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1.xml" ContentType="application/vnd.openxmlformats-officedocument.spreadsheetml.pivotTable+xml"/>
  <Override PartName="/xl/drawings/drawing2.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3.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7.xml" ContentType="application/vnd.openxmlformats-officedocument.spreadsheetml.pivotTable+xml"/>
  <Override PartName="/xl/drawings/drawing4.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8.xml" ContentType="application/vnd.openxmlformats-officedocument.spreadsheetml.pivotTable+xml"/>
  <Override PartName="/xl/drawings/drawing5.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hidePivotFieldList="1" defaultThemeVersion="202300"/>
  <mc:AlternateContent xmlns:mc="http://schemas.openxmlformats.org/markup-compatibility/2006">
    <mc:Choice Requires="x15">
      <x15ac:absPath xmlns:x15ac="http://schemas.microsoft.com/office/spreadsheetml/2010/11/ac" url="C:\Users\shahm\OneDrive\Desktop\Project_showcase_website\excel\"/>
    </mc:Choice>
  </mc:AlternateContent>
  <xr:revisionPtr revIDLastSave="0" documentId="13_ncr:1_{80DEB6BB-00C0-4BCB-AB82-C657CBB2600C}" xr6:coauthVersionLast="47" xr6:coauthVersionMax="47" xr10:uidLastSave="{00000000-0000-0000-0000-000000000000}"/>
  <bookViews>
    <workbookView xWindow="-110" yWindow="-110" windowWidth="19420" windowHeight="11500" tabRatio="724" firstSheet="2" activeTab="7" xr2:uid="{E9BF26DC-32E2-4B7F-BF38-5B0EED4AA78E}"/>
  </bookViews>
  <sheets>
    <sheet name="Dashboard" sheetId="19" r:id="rId1"/>
    <sheet name="Sales by Team Member" sheetId="2" r:id="rId2"/>
    <sheet name="Cards" sheetId="15" r:id="rId3"/>
    <sheet name="Customer Mix Type" sheetId="12" r:id="rId4"/>
    <sheet name="Sales by Week-Month" sheetId="8" r:id="rId5"/>
    <sheet name="Top 5 Rental Items" sheetId="3" r:id="rId6"/>
    <sheet name="Data" sheetId="1" r:id="rId7"/>
    <sheet name="New Data" sheetId="20" r:id="rId8"/>
  </sheets>
  <definedNames>
    <definedName name="Slicer_Team_Member">#N/A</definedName>
  </definedNames>
  <calcPr calcId="191029"/>
  <pivotCaches>
    <pivotCache cacheId="0" r:id="rId9"/>
  </pivotCaches>
  <extLst>
    <ext xmlns:x14="http://schemas.microsoft.com/office/spreadsheetml/2009/9/main" uri="{BBE1A952-AA13-448e-AADC-164F8A28A991}">
      <x14:slicerCaches>
        <x14:slicerCache r:id="rId10"/>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D2" i="1" l="1"/>
  <c r="D3" i="1"/>
  <c r="D4" i="1"/>
  <c r="D5" i="1"/>
  <c r="D6" i="1"/>
  <c r="D7" i="1"/>
  <c r="D8" i="1"/>
  <c r="D9" i="1"/>
  <c r="D10" i="1"/>
  <c r="D11" i="1"/>
  <c r="D12" i="1"/>
  <c r="D13" i="1"/>
  <c r="D14" i="1"/>
  <c r="D15" i="1"/>
  <c r="D16" i="1"/>
  <c r="D17" i="1"/>
  <c r="D18" i="1"/>
  <c r="D19" i="1"/>
  <c r="D20" i="1"/>
  <c r="D21" i="1"/>
  <c r="D22" i="1"/>
  <c r="D23" i="1"/>
  <c r="D24" i="1"/>
  <c r="D25" i="1"/>
  <c r="D26" i="1"/>
  <c r="D27" i="1"/>
  <c r="D28" i="1"/>
  <c r="D29" i="1"/>
  <c r="D30" i="1"/>
  <c r="D31" i="1"/>
  <c r="D32" i="1"/>
  <c r="D33" i="1"/>
  <c r="D34" i="1"/>
  <c r="D35" i="1"/>
  <c r="D36" i="1"/>
  <c r="D37" i="1"/>
  <c r="D38" i="1"/>
  <c r="D39" i="1"/>
  <c r="D40" i="1"/>
  <c r="D41" i="1"/>
  <c r="D42" i="1"/>
  <c r="D43" i="1"/>
  <c r="D44" i="1"/>
  <c r="D45" i="1"/>
  <c r="D46" i="1"/>
  <c r="D47" i="1"/>
  <c r="D48" i="1"/>
  <c r="D49" i="1"/>
  <c r="D50" i="1"/>
  <c r="D51" i="1"/>
  <c r="D52" i="1"/>
  <c r="D53" i="1"/>
  <c r="D54" i="1"/>
  <c r="D55" i="1"/>
  <c r="D56" i="1"/>
  <c r="D57" i="1"/>
  <c r="D58" i="1"/>
  <c r="D59" i="1"/>
  <c r="D60" i="1"/>
  <c r="D61" i="1"/>
  <c r="D62" i="1"/>
  <c r="D63" i="1"/>
  <c r="D64" i="1"/>
  <c r="D65" i="1"/>
  <c r="D66" i="1"/>
  <c r="D67" i="1"/>
  <c r="D68" i="1"/>
  <c r="D69" i="1"/>
  <c r="D70" i="1"/>
  <c r="D71" i="1"/>
  <c r="D72" i="1"/>
  <c r="D73" i="1"/>
  <c r="D74" i="1"/>
  <c r="D75" i="1"/>
  <c r="D76" i="1"/>
  <c r="D77" i="1"/>
  <c r="D78" i="1"/>
  <c r="D79" i="1"/>
  <c r="D80" i="1"/>
  <c r="D81" i="1"/>
  <c r="D82" i="1"/>
  <c r="D83" i="1"/>
  <c r="D84" i="1"/>
  <c r="D85" i="1"/>
  <c r="D86" i="1"/>
  <c r="D87" i="1"/>
  <c r="D88" i="1"/>
  <c r="D89" i="1"/>
  <c r="D90" i="1"/>
  <c r="D91" i="1"/>
  <c r="D92" i="1"/>
  <c r="D93" i="1"/>
  <c r="D94" i="1"/>
  <c r="D95" i="1"/>
  <c r="D96" i="1"/>
  <c r="D97" i="1"/>
  <c r="D98" i="1"/>
  <c r="D99" i="1"/>
  <c r="D100" i="1"/>
  <c r="D101" i="1"/>
  <c r="D102" i="1"/>
  <c r="D103" i="1"/>
  <c r="D104" i="1"/>
  <c r="D105" i="1"/>
  <c r="D106" i="1"/>
  <c r="D107" i="1"/>
  <c r="D108" i="1"/>
  <c r="D109" i="1"/>
  <c r="D110" i="1"/>
  <c r="D111" i="1"/>
  <c r="D112" i="1"/>
  <c r="D113" i="1"/>
  <c r="D114" i="1"/>
  <c r="D115" i="1"/>
  <c r="D116" i="1"/>
  <c r="D117" i="1"/>
  <c r="D118" i="1"/>
  <c r="D119" i="1"/>
  <c r="D120" i="1"/>
  <c r="D121" i="1"/>
  <c r="D122" i="1"/>
  <c r="D123" i="1"/>
  <c r="D124" i="1"/>
  <c r="D125" i="1"/>
  <c r="D126" i="1"/>
  <c r="D127" i="1"/>
  <c r="D128" i="1"/>
  <c r="D129" i="1"/>
  <c r="D130" i="1"/>
  <c r="D131" i="1"/>
  <c r="D132" i="1"/>
  <c r="D133" i="1"/>
  <c r="D134" i="1"/>
  <c r="D135" i="1"/>
  <c r="D136" i="1"/>
  <c r="D137" i="1"/>
  <c r="D138" i="1"/>
  <c r="D139" i="1"/>
  <c r="D140" i="1"/>
  <c r="D141" i="1"/>
  <c r="D142" i="1"/>
  <c r="D143" i="1"/>
  <c r="D144" i="1"/>
  <c r="D145" i="1"/>
  <c r="D146" i="1"/>
  <c r="D147" i="1"/>
  <c r="D148" i="1"/>
  <c r="D149" i="1"/>
  <c r="D150" i="1"/>
  <c r="D151" i="1"/>
  <c r="D152" i="1"/>
  <c r="D153" i="1"/>
  <c r="D154" i="1"/>
  <c r="D155" i="1"/>
  <c r="D156" i="1"/>
  <c r="D157" i="1"/>
  <c r="D158" i="1"/>
  <c r="D159" i="1"/>
  <c r="D160" i="1"/>
  <c r="D161" i="1"/>
  <c r="D162" i="1"/>
  <c r="D163" i="1"/>
  <c r="D164" i="1"/>
  <c r="D165" i="1"/>
  <c r="D166" i="1"/>
  <c r="D167" i="1"/>
  <c r="D168" i="1"/>
  <c r="D169" i="1"/>
  <c r="D170" i="1"/>
  <c r="D171" i="1"/>
  <c r="D172" i="1"/>
  <c r="D173" i="1"/>
  <c r="D174" i="1"/>
  <c r="D175" i="1"/>
  <c r="D176" i="1"/>
  <c r="D177" i="1"/>
  <c r="D178" i="1"/>
  <c r="D179" i="1"/>
  <c r="D180" i="1"/>
  <c r="D181" i="1"/>
  <c r="D182" i="1"/>
  <c r="D183" i="1"/>
  <c r="D184" i="1"/>
  <c r="D185" i="1"/>
  <c r="D186" i="1"/>
  <c r="D187" i="1"/>
  <c r="D188" i="1"/>
  <c r="D189" i="1"/>
  <c r="D190" i="1"/>
  <c r="D191" i="1"/>
  <c r="D192" i="1"/>
  <c r="D193" i="1"/>
  <c r="D194" i="1"/>
  <c r="D195" i="1"/>
  <c r="D196" i="1"/>
  <c r="D197" i="1"/>
  <c r="D198" i="1"/>
  <c r="D199" i="1"/>
  <c r="D200" i="1"/>
  <c r="D201" i="1"/>
  <c r="D202" i="1"/>
  <c r="D203" i="1"/>
  <c r="D204" i="1"/>
  <c r="D205" i="1"/>
  <c r="D206" i="1"/>
  <c r="D207" i="1"/>
  <c r="D208" i="1"/>
  <c r="D209" i="1"/>
  <c r="D210" i="1"/>
  <c r="D211" i="1"/>
  <c r="D212" i="1"/>
  <c r="D213" i="1"/>
  <c r="D214" i="1"/>
  <c r="D215" i="1"/>
  <c r="D216" i="1"/>
  <c r="D217" i="1"/>
  <c r="D218" i="1"/>
  <c r="D219" i="1"/>
  <c r="D220" i="1"/>
  <c r="D221" i="1"/>
  <c r="D222" i="1"/>
  <c r="D223" i="1"/>
  <c r="D224" i="1"/>
  <c r="D225" i="1"/>
  <c r="D226" i="1"/>
  <c r="D227" i="1"/>
  <c r="D228" i="1"/>
  <c r="D229" i="1"/>
  <c r="D230" i="1"/>
  <c r="D231" i="1"/>
  <c r="D232" i="1"/>
  <c r="D233" i="1"/>
  <c r="D234" i="1"/>
  <c r="D235" i="1"/>
  <c r="D236" i="1"/>
  <c r="D237" i="1"/>
  <c r="D238" i="1"/>
  <c r="D239" i="1"/>
  <c r="D240" i="1"/>
  <c r="D241" i="1"/>
  <c r="D242" i="1"/>
  <c r="D243" i="1"/>
  <c r="D244" i="1"/>
  <c r="D245" i="1"/>
  <c r="D246" i="1"/>
  <c r="D247" i="1"/>
  <c r="D248" i="1"/>
  <c r="D249" i="1"/>
  <c r="D250" i="1"/>
  <c r="D251" i="1"/>
  <c r="D252" i="1"/>
  <c r="D253" i="1"/>
  <c r="D254" i="1"/>
  <c r="D255" i="1"/>
  <c r="D256" i="1"/>
  <c r="D257" i="1"/>
  <c r="D258" i="1"/>
  <c r="D259" i="1"/>
  <c r="D260" i="1"/>
  <c r="D261" i="1"/>
  <c r="D262" i="1"/>
  <c r="D263" i="1"/>
  <c r="D264" i="1"/>
  <c r="D265" i="1"/>
  <c r="D266" i="1"/>
  <c r="D267" i="1"/>
  <c r="D268" i="1"/>
  <c r="D269" i="1"/>
  <c r="D270" i="1"/>
  <c r="D271" i="1"/>
  <c r="D272" i="1"/>
  <c r="D273" i="1"/>
  <c r="D274" i="1"/>
  <c r="D275" i="1"/>
  <c r="D276" i="1"/>
  <c r="D277" i="1"/>
  <c r="D278" i="1"/>
  <c r="D279" i="1"/>
  <c r="D280" i="1"/>
  <c r="D281" i="1"/>
  <c r="D282" i="1"/>
  <c r="D283" i="1"/>
  <c r="D284" i="1"/>
  <c r="D285" i="1"/>
  <c r="D286" i="1"/>
  <c r="D287" i="1"/>
  <c r="D288" i="1"/>
  <c r="D289" i="1"/>
  <c r="D290" i="1"/>
  <c r="D291" i="1"/>
  <c r="D292" i="1"/>
  <c r="D293" i="1"/>
  <c r="D294" i="1"/>
  <c r="D295" i="1"/>
  <c r="D296" i="1"/>
  <c r="D297" i="1"/>
  <c r="D298" i="1"/>
  <c r="D299" i="1"/>
  <c r="D300" i="1"/>
  <c r="D301" i="1"/>
  <c r="D302" i="1"/>
  <c r="D303" i="1"/>
  <c r="D304" i="1"/>
  <c r="D305" i="1"/>
  <c r="D306" i="1"/>
  <c r="D307" i="1"/>
  <c r="D308" i="1"/>
  <c r="D309" i="1"/>
  <c r="D310" i="1"/>
  <c r="D311" i="1"/>
  <c r="D312" i="1"/>
  <c r="D313" i="1"/>
  <c r="D314" i="1"/>
  <c r="D315" i="1"/>
  <c r="D316" i="1"/>
  <c r="D317" i="1"/>
  <c r="D318" i="1"/>
  <c r="D319" i="1"/>
  <c r="D320" i="1"/>
  <c r="D321" i="1"/>
  <c r="D322" i="1"/>
  <c r="D323" i="1"/>
  <c r="D324" i="1"/>
  <c r="D325" i="1"/>
  <c r="D326" i="1"/>
  <c r="D327" i="1"/>
  <c r="D328" i="1"/>
  <c r="D329" i="1"/>
  <c r="D330" i="1"/>
  <c r="D331" i="1"/>
  <c r="D332" i="1"/>
  <c r="D333" i="1"/>
  <c r="D334" i="1"/>
  <c r="D335" i="1"/>
  <c r="D336" i="1"/>
  <c r="D337" i="1"/>
  <c r="D338" i="1"/>
  <c r="D339" i="1"/>
  <c r="D340" i="1"/>
  <c r="D341" i="1"/>
  <c r="D342" i="1"/>
  <c r="D343" i="1"/>
  <c r="D344" i="1"/>
  <c r="D345" i="1"/>
  <c r="D346" i="1"/>
  <c r="D347" i="1"/>
  <c r="D348" i="1"/>
  <c r="D349" i="1"/>
  <c r="D350" i="1"/>
  <c r="D351" i="1"/>
  <c r="D352" i="1"/>
  <c r="D353" i="1"/>
  <c r="D354" i="1"/>
  <c r="D355" i="1"/>
  <c r="D356" i="1"/>
  <c r="D357" i="1"/>
  <c r="D358" i="1"/>
  <c r="D359" i="1"/>
  <c r="D360" i="1"/>
  <c r="D361" i="1"/>
  <c r="D362" i="1"/>
  <c r="D363" i="1"/>
  <c r="D364" i="1"/>
  <c r="D365" i="1"/>
  <c r="D366" i="1"/>
  <c r="D367" i="1"/>
  <c r="D368" i="1"/>
  <c r="D369" i="1"/>
  <c r="D370" i="1"/>
  <c r="D371" i="1"/>
  <c r="D372" i="1"/>
  <c r="D373" i="1"/>
  <c r="D374" i="1"/>
  <c r="D375" i="1"/>
  <c r="D376" i="1"/>
  <c r="D377" i="1"/>
  <c r="D378" i="1"/>
  <c r="D379" i="1"/>
  <c r="D380" i="1"/>
  <c r="D381" i="1"/>
  <c r="D382" i="1"/>
  <c r="D383" i="1"/>
  <c r="D384" i="1"/>
  <c r="D385" i="1"/>
  <c r="D386" i="1"/>
  <c r="D387" i="1"/>
  <c r="D388" i="1"/>
  <c r="D389" i="1"/>
  <c r="D390" i="1"/>
  <c r="D391" i="1"/>
  <c r="D392" i="1"/>
  <c r="D393" i="1"/>
  <c r="D394" i="1"/>
  <c r="D395" i="1"/>
  <c r="D396" i="1"/>
  <c r="D397" i="1"/>
  <c r="D398" i="1"/>
  <c r="D399" i="1"/>
  <c r="D400" i="1"/>
  <c r="D401" i="1"/>
  <c r="D402" i="1"/>
  <c r="D403" i="1"/>
  <c r="D404" i="1"/>
  <c r="D405" i="1"/>
  <c r="D406" i="1"/>
  <c r="D407" i="1"/>
  <c r="D408" i="1"/>
  <c r="D409" i="1"/>
  <c r="D410" i="1"/>
  <c r="D411" i="1"/>
  <c r="D412" i="1"/>
  <c r="D413" i="1"/>
  <c r="D414" i="1"/>
  <c r="D415" i="1"/>
  <c r="D416" i="1"/>
  <c r="D417" i="1"/>
  <c r="D418" i="1"/>
  <c r="D419" i="1"/>
  <c r="D420" i="1"/>
  <c r="D421" i="1"/>
  <c r="D422" i="1"/>
  <c r="D423" i="1"/>
  <c r="D424" i="1"/>
  <c r="D425" i="1"/>
  <c r="D426" i="1"/>
  <c r="D427" i="1"/>
  <c r="D428" i="1"/>
  <c r="D429" i="1"/>
  <c r="D430" i="1"/>
  <c r="D431" i="1"/>
  <c r="D432" i="1"/>
  <c r="D433" i="1"/>
  <c r="D434" i="1"/>
  <c r="D435" i="1"/>
  <c r="D436" i="1"/>
  <c r="D437" i="1"/>
  <c r="D438" i="1"/>
  <c r="D439" i="1"/>
  <c r="D440" i="1"/>
  <c r="D441" i="1"/>
  <c r="D442" i="1"/>
  <c r="D443" i="1"/>
  <c r="D444" i="1"/>
  <c r="D445" i="1"/>
  <c r="D446" i="1"/>
  <c r="D447" i="1"/>
  <c r="D448" i="1"/>
  <c r="D449" i="1"/>
  <c r="D450" i="1"/>
  <c r="D451" i="1"/>
  <c r="D452" i="1"/>
  <c r="D453" i="1"/>
  <c r="D454" i="1"/>
  <c r="D455" i="1"/>
  <c r="D456" i="1"/>
  <c r="D457" i="1"/>
  <c r="D458" i="1"/>
  <c r="D459" i="1"/>
  <c r="D460" i="1"/>
  <c r="D461" i="1"/>
  <c r="D462" i="1"/>
  <c r="D463" i="1"/>
  <c r="D464" i="1"/>
  <c r="D465" i="1"/>
  <c r="D466" i="1"/>
  <c r="D467" i="1"/>
  <c r="D468" i="1"/>
  <c r="D469" i="1"/>
  <c r="D470" i="1"/>
  <c r="D471" i="1"/>
  <c r="D472" i="1"/>
  <c r="D473" i="1"/>
  <c r="D474" i="1"/>
  <c r="D475" i="1"/>
  <c r="D476" i="1"/>
  <c r="D477" i="1"/>
  <c r="D478" i="1"/>
  <c r="D479" i="1"/>
  <c r="D480" i="1"/>
  <c r="D481" i="1"/>
  <c r="D482" i="1"/>
  <c r="D483" i="1"/>
  <c r="D484" i="1"/>
  <c r="D485" i="1"/>
  <c r="D486" i="1"/>
  <c r="D487" i="1"/>
  <c r="D488" i="1"/>
  <c r="D489" i="1"/>
  <c r="D490" i="1"/>
  <c r="D491" i="1"/>
  <c r="D492" i="1"/>
  <c r="D493" i="1"/>
  <c r="D494" i="1"/>
  <c r="D495" i="1"/>
  <c r="D496" i="1"/>
  <c r="D497" i="1"/>
  <c r="D498" i="1"/>
  <c r="D499" i="1"/>
  <c r="D500" i="1"/>
  <c r="D501" i="1"/>
  <c r="D502" i="1"/>
  <c r="D503" i="1"/>
  <c r="D504" i="1"/>
  <c r="D505" i="1"/>
  <c r="D506" i="1"/>
  <c r="D507" i="1"/>
  <c r="D508" i="1"/>
  <c r="D509" i="1"/>
  <c r="D510" i="1"/>
  <c r="D511" i="1"/>
  <c r="D512" i="1"/>
  <c r="D513" i="1"/>
  <c r="D514" i="1"/>
  <c r="D515" i="1"/>
  <c r="D516" i="1"/>
  <c r="D517" i="1"/>
  <c r="D518" i="1"/>
  <c r="D519" i="1"/>
  <c r="D520" i="1"/>
  <c r="D521" i="1"/>
  <c r="D522" i="1"/>
  <c r="D523" i="1"/>
  <c r="D524" i="1"/>
  <c r="D525" i="1"/>
  <c r="D526" i="1"/>
  <c r="D527" i="1"/>
  <c r="D528" i="1"/>
  <c r="D529" i="1"/>
  <c r="D530" i="1"/>
  <c r="D531" i="1"/>
  <c r="D532" i="1"/>
  <c r="D533" i="1"/>
  <c r="D534" i="1"/>
  <c r="D535" i="1"/>
  <c r="D536" i="1"/>
  <c r="D537" i="1"/>
  <c r="D538" i="1"/>
  <c r="D539" i="1"/>
  <c r="D540" i="1"/>
  <c r="D541" i="1"/>
  <c r="D542" i="1"/>
  <c r="D543" i="1"/>
  <c r="D544" i="1"/>
  <c r="D545" i="1"/>
  <c r="D546" i="1"/>
  <c r="D547" i="1"/>
  <c r="D548" i="1"/>
  <c r="D549" i="1"/>
  <c r="D550" i="1"/>
  <c r="D551" i="1"/>
  <c r="D552" i="1"/>
  <c r="D553" i="1"/>
  <c r="D554" i="1"/>
  <c r="D555" i="1"/>
  <c r="D556" i="1"/>
  <c r="D557" i="1"/>
  <c r="D558" i="1"/>
  <c r="D559" i="1"/>
  <c r="D560" i="1"/>
  <c r="D561" i="1"/>
  <c r="D562" i="1"/>
  <c r="D563" i="1"/>
  <c r="D564" i="1"/>
  <c r="D565" i="1"/>
  <c r="D566" i="1"/>
  <c r="D567" i="1"/>
  <c r="D568" i="1"/>
  <c r="D569" i="1"/>
  <c r="D570" i="1"/>
  <c r="D571" i="1"/>
  <c r="D572" i="1"/>
  <c r="D573" i="1"/>
  <c r="D574" i="1"/>
  <c r="D575" i="1"/>
  <c r="D576" i="1"/>
  <c r="D577" i="1"/>
  <c r="D578" i="1"/>
  <c r="D579" i="1"/>
  <c r="D580" i="1"/>
  <c r="D581" i="1"/>
  <c r="D582" i="1"/>
  <c r="D583" i="1"/>
  <c r="D584" i="1"/>
  <c r="D585" i="1"/>
  <c r="D586" i="1"/>
  <c r="D587" i="1"/>
  <c r="D588" i="1"/>
  <c r="D589" i="1"/>
  <c r="D590" i="1"/>
  <c r="D591" i="1"/>
  <c r="D592" i="1"/>
  <c r="D593" i="1"/>
  <c r="D594" i="1"/>
  <c r="D595" i="1"/>
  <c r="D596" i="1"/>
  <c r="D597" i="1"/>
  <c r="D598" i="1"/>
  <c r="D599" i="1"/>
  <c r="D600" i="1"/>
  <c r="D601" i="1"/>
  <c r="D602" i="1"/>
  <c r="D603" i="1"/>
  <c r="D604" i="1"/>
  <c r="D605" i="1"/>
  <c r="D606" i="1"/>
  <c r="D607" i="1"/>
  <c r="D608" i="1"/>
  <c r="D609" i="1"/>
  <c r="D610" i="1"/>
  <c r="D611" i="1"/>
  <c r="D612" i="1"/>
  <c r="D613" i="1"/>
  <c r="D614" i="1"/>
  <c r="D615" i="1"/>
  <c r="D616" i="1"/>
  <c r="D617" i="1"/>
  <c r="D618" i="1"/>
  <c r="D619" i="1"/>
  <c r="D620" i="1"/>
  <c r="D621" i="1"/>
  <c r="D622" i="1"/>
  <c r="D623" i="1"/>
  <c r="D624" i="1"/>
  <c r="D625" i="1"/>
  <c r="D626" i="1"/>
  <c r="D627" i="1"/>
  <c r="D628" i="1"/>
  <c r="D629" i="1"/>
  <c r="D630" i="1"/>
  <c r="D631" i="1"/>
  <c r="D632" i="1"/>
  <c r="D633" i="1"/>
  <c r="D634" i="1"/>
  <c r="D635" i="1"/>
  <c r="D636" i="1"/>
  <c r="D637" i="1"/>
  <c r="D638" i="1"/>
  <c r="D639" i="1"/>
  <c r="D640" i="1"/>
  <c r="D641" i="1"/>
  <c r="D642" i="1"/>
  <c r="D643" i="1"/>
  <c r="D644" i="1"/>
  <c r="D645" i="1"/>
  <c r="D646" i="1"/>
  <c r="D647" i="1"/>
  <c r="D648" i="1"/>
  <c r="D649" i="1"/>
  <c r="D650" i="1"/>
  <c r="D651" i="1"/>
  <c r="D652" i="1"/>
  <c r="D653" i="1"/>
  <c r="D654" i="1"/>
  <c r="D655" i="1"/>
  <c r="D656" i="1"/>
  <c r="D657" i="1"/>
  <c r="D658" i="1"/>
  <c r="D659" i="1"/>
  <c r="D660" i="1"/>
  <c r="D661" i="1"/>
  <c r="D662" i="1"/>
  <c r="D663" i="1"/>
  <c r="D664" i="1"/>
  <c r="D665" i="1"/>
  <c r="D666" i="1"/>
  <c r="D667" i="1"/>
  <c r="D668" i="1"/>
  <c r="D669" i="1"/>
  <c r="D670" i="1"/>
  <c r="D671" i="1"/>
  <c r="D672" i="1"/>
  <c r="D673" i="1"/>
  <c r="D674" i="1"/>
  <c r="D675" i="1"/>
  <c r="D676" i="1"/>
  <c r="D677" i="1"/>
  <c r="D678" i="1"/>
  <c r="D679" i="1"/>
  <c r="D680" i="1"/>
  <c r="D681" i="1"/>
  <c r="D682" i="1"/>
  <c r="D683" i="1"/>
  <c r="D684" i="1"/>
  <c r="D685" i="1"/>
  <c r="D686" i="1"/>
  <c r="D687" i="1"/>
  <c r="D688" i="1"/>
  <c r="D689" i="1"/>
  <c r="D690" i="1"/>
  <c r="D691" i="1"/>
  <c r="D692" i="1"/>
  <c r="D693" i="1"/>
  <c r="D694" i="1"/>
  <c r="D695" i="1"/>
  <c r="D696" i="1"/>
  <c r="D697" i="1"/>
  <c r="D698" i="1"/>
  <c r="D699" i="1"/>
  <c r="D700" i="1"/>
  <c r="D701" i="1"/>
  <c r="D702" i="1"/>
  <c r="D703" i="1"/>
  <c r="D704" i="1"/>
  <c r="D705" i="1"/>
  <c r="D706" i="1"/>
  <c r="D707" i="1"/>
  <c r="D708" i="1"/>
  <c r="D709" i="1"/>
  <c r="D710" i="1"/>
  <c r="D711" i="1"/>
  <c r="D712" i="1"/>
  <c r="D713" i="1"/>
  <c r="D714" i="1"/>
  <c r="D715" i="1"/>
  <c r="D716" i="1"/>
  <c r="D717" i="1"/>
  <c r="D718" i="1"/>
  <c r="D719" i="1"/>
  <c r="D720" i="1"/>
  <c r="D721" i="1"/>
  <c r="D722" i="1"/>
  <c r="D723" i="1"/>
  <c r="D724" i="1"/>
  <c r="D725" i="1"/>
  <c r="D726" i="1"/>
  <c r="D727" i="1"/>
  <c r="D728" i="1"/>
  <c r="D729" i="1"/>
  <c r="D730" i="1"/>
  <c r="D731" i="1"/>
  <c r="D732" i="1"/>
  <c r="D733" i="1"/>
  <c r="D734" i="1"/>
  <c r="D735" i="1"/>
  <c r="D736" i="1"/>
  <c r="D737" i="1"/>
  <c r="D738" i="1"/>
  <c r="D739" i="1"/>
  <c r="D740" i="1"/>
  <c r="D741" i="1"/>
  <c r="D742" i="1"/>
  <c r="D743" i="1"/>
  <c r="D744" i="1"/>
  <c r="D745" i="1"/>
  <c r="D746" i="1"/>
  <c r="D747" i="1"/>
  <c r="D748" i="1"/>
  <c r="D749" i="1"/>
  <c r="D750" i="1"/>
  <c r="D751" i="1"/>
  <c r="D752" i="1"/>
  <c r="D753" i="1"/>
  <c r="D754" i="1"/>
  <c r="D755" i="1"/>
  <c r="D756" i="1"/>
  <c r="D757" i="1"/>
  <c r="D758" i="1"/>
  <c r="D759" i="1"/>
  <c r="D760" i="1"/>
  <c r="D761" i="1"/>
  <c r="D762" i="1"/>
  <c r="D763" i="1"/>
  <c r="D764" i="1"/>
  <c r="D765" i="1"/>
  <c r="D766" i="1"/>
  <c r="D767" i="1"/>
  <c r="D768" i="1"/>
  <c r="D769" i="1"/>
  <c r="D770" i="1"/>
  <c r="D771" i="1"/>
  <c r="D772" i="1"/>
  <c r="D773" i="1"/>
  <c r="D774" i="1"/>
  <c r="D775" i="1"/>
  <c r="D776" i="1"/>
  <c r="D777" i="1"/>
  <c r="D778" i="1"/>
  <c r="D779" i="1"/>
  <c r="D780" i="1"/>
  <c r="D781" i="1"/>
  <c r="D782" i="1"/>
  <c r="D783" i="1"/>
  <c r="D784" i="1"/>
  <c r="D785" i="1"/>
  <c r="D786" i="1"/>
  <c r="D787" i="1"/>
  <c r="D788" i="1"/>
  <c r="D789" i="1"/>
  <c r="D790" i="1"/>
  <c r="D791" i="1"/>
  <c r="D792" i="1"/>
  <c r="D793" i="1"/>
  <c r="D794" i="1"/>
  <c r="D795" i="1"/>
  <c r="D796" i="1"/>
  <c r="D797" i="1"/>
  <c r="D798" i="1"/>
  <c r="D799" i="1"/>
  <c r="D800" i="1"/>
  <c r="D801" i="1"/>
  <c r="D802" i="1"/>
  <c r="D803" i="1"/>
  <c r="D804" i="1"/>
  <c r="D805" i="1"/>
  <c r="D806" i="1"/>
  <c r="D807" i="1"/>
  <c r="D808" i="1"/>
  <c r="D809" i="1"/>
  <c r="D810" i="1"/>
  <c r="D811" i="1"/>
  <c r="D812" i="1"/>
  <c r="D813" i="1"/>
  <c r="D814" i="1"/>
  <c r="D815" i="1"/>
  <c r="D816" i="1"/>
  <c r="D817" i="1"/>
  <c r="D818" i="1"/>
  <c r="D819" i="1"/>
  <c r="D820" i="1"/>
  <c r="D821" i="1"/>
  <c r="D822" i="1"/>
  <c r="D823" i="1"/>
  <c r="D824" i="1"/>
  <c r="D825" i="1"/>
  <c r="D826" i="1"/>
  <c r="D827" i="1"/>
  <c r="D828" i="1"/>
  <c r="D829" i="1"/>
  <c r="D830" i="1"/>
  <c r="D831" i="1"/>
  <c r="D832" i="1"/>
  <c r="D833" i="1"/>
  <c r="D834" i="1"/>
  <c r="D835" i="1"/>
  <c r="D836" i="1"/>
  <c r="D837" i="1"/>
  <c r="D838" i="1"/>
  <c r="D839" i="1"/>
  <c r="D840" i="1"/>
  <c r="D841" i="1"/>
  <c r="D842" i="1"/>
  <c r="D843" i="1"/>
  <c r="D844" i="1"/>
  <c r="D845" i="1"/>
  <c r="D846" i="1"/>
  <c r="D847" i="1"/>
  <c r="D848" i="1"/>
  <c r="D849" i="1"/>
  <c r="D850" i="1"/>
  <c r="D851" i="1"/>
  <c r="D852" i="1"/>
  <c r="D853" i="1"/>
  <c r="D854" i="1"/>
  <c r="D855" i="1"/>
  <c r="D856" i="1"/>
  <c r="D857" i="1"/>
  <c r="D858" i="1"/>
  <c r="D859" i="1"/>
  <c r="D860" i="1"/>
  <c r="D861" i="1"/>
  <c r="D862" i="1"/>
  <c r="D863" i="1"/>
  <c r="D864" i="1"/>
  <c r="D865" i="1"/>
  <c r="D866" i="1"/>
  <c r="D867" i="1"/>
  <c r="D868" i="1"/>
  <c r="D869" i="1"/>
  <c r="D870" i="1"/>
  <c r="D871" i="1"/>
  <c r="D872" i="1"/>
  <c r="D873" i="1"/>
  <c r="D874" i="1"/>
  <c r="D875" i="1"/>
  <c r="D876" i="1"/>
  <c r="D877" i="1"/>
  <c r="D878" i="1"/>
  <c r="D879" i="1"/>
  <c r="D880" i="1"/>
  <c r="D881" i="1"/>
  <c r="D882" i="1"/>
  <c r="D883" i="1"/>
  <c r="D884" i="1"/>
  <c r="D885" i="1"/>
  <c r="D886" i="1"/>
  <c r="D887" i="1"/>
  <c r="D888" i="1"/>
  <c r="D889" i="1"/>
  <c r="D890" i="1"/>
  <c r="D891" i="1"/>
  <c r="D892" i="1"/>
  <c r="D893" i="1"/>
  <c r="D894" i="1"/>
  <c r="D895" i="1"/>
  <c r="D896" i="1"/>
  <c r="D897" i="1"/>
  <c r="D898" i="1"/>
  <c r="D899" i="1"/>
  <c r="D900" i="1"/>
  <c r="D901" i="1"/>
  <c r="D902" i="1"/>
  <c r="D903" i="1"/>
  <c r="D904" i="1"/>
  <c r="D905" i="1"/>
  <c r="D906" i="1"/>
  <c r="D907" i="1"/>
  <c r="D908" i="1"/>
  <c r="D909" i="1"/>
  <c r="D910" i="1"/>
  <c r="D911" i="1"/>
  <c r="D912" i="1"/>
  <c r="D913" i="1"/>
  <c r="D914" i="1"/>
  <c r="D915" i="1"/>
  <c r="D916" i="1"/>
  <c r="D917" i="1"/>
  <c r="D918" i="1"/>
  <c r="D919" i="1"/>
  <c r="D920" i="1"/>
  <c r="D921" i="1"/>
  <c r="D922" i="1"/>
  <c r="D923" i="1"/>
  <c r="D924" i="1"/>
  <c r="D925" i="1"/>
  <c r="D926" i="1"/>
  <c r="D927" i="1"/>
  <c r="D928" i="1"/>
  <c r="D929" i="1"/>
  <c r="D930" i="1"/>
  <c r="D931" i="1"/>
  <c r="D932" i="1"/>
  <c r="D933" i="1"/>
  <c r="D934" i="1"/>
  <c r="D935" i="1"/>
  <c r="D936" i="1"/>
  <c r="D937" i="1"/>
  <c r="D938" i="1"/>
  <c r="D939" i="1"/>
  <c r="D940" i="1"/>
  <c r="D941" i="1"/>
  <c r="D942" i="1"/>
  <c r="D943" i="1"/>
  <c r="D944" i="1"/>
  <c r="D945" i="1"/>
  <c r="D946" i="1"/>
  <c r="D947" i="1"/>
  <c r="D948" i="1"/>
  <c r="D949" i="1"/>
  <c r="D950" i="1"/>
  <c r="D951" i="1"/>
  <c r="D952" i="1"/>
  <c r="D953" i="1"/>
  <c r="D954" i="1"/>
  <c r="D955" i="1"/>
  <c r="D956" i="1"/>
  <c r="D957" i="1"/>
  <c r="D958" i="1"/>
  <c r="D959" i="1"/>
  <c r="D960" i="1"/>
  <c r="D961" i="1"/>
  <c r="D962" i="1"/>
  <c r="D963" i="1"/>
  <c r="D964" i="1"/>
  <c r="D965" i="1"/>
  <c r="D966" i="1"/>
  <c r="D967" i="1"/>
  <c r="D968" i="1"/>
  <c r="D969" i="1"/>
  <c r="D970" i="1"/>
  <c r="D971" i="1"/>
  <c r="D972" i="1"/>
  <c r="D973" i="1"/>
  <c r="D974" i="1"/>
  <c r="D975" i="1"/>
  <c r="D976" i="1"/>
  <c r="D977" i="1"/>
  <c r="D978" i="1"/>
  <c r="D979" i="1"/>
  <c r="D980" i="1"/>
  <c r="D981" i="1"/>
  <c r="D982" i="1"/>
  <c r="D983" i="1"/>
  <c r="D984" i="1"/>
  <c r="D985" i="1"/>
  <c r="D986" i="1"/>
  <c r="D987" i="1"/>
  <c r="D988" i="1"/>
  <c r="D989" i="1"/>
  <c r="D990" i="1"/>
  <c r="D991" i="1"/>
  <c r="D992" i="1"/>
  <c r="D993" i="1"/>
  <c r="D994" i="1"/>
  <c r="D995" i="1"/>
  <c r="D996" i="1"/>
  <c r="D997" i="1"/>
  <c r="D998" i="1"/>
  <c r="D999" i="1"/>
  <c r="D1000" i="1"/>
  <c r="D1001" i="1"/>
  <c r="D1002" i="1"/>
  <c r="D1003" i="1"/>
  <c r="D1004" i="1"/>
  <c r="D1005" i="1"/>
  <c r="D1006" i="1"/>
  <c r="D1007" i="1"/>
  <c r="D1008" i="1"/>
  <c r="D1009" i="1"/>
  <c r="D1010" i="1"/>
  <c r="D1011" i="1"/>
  <c r="D1012" i="1"/>
  <c r="D1013" i="1"/>
  <c r="D1014" i="1"/>
  <c r="D1015" i="1"/>
  <c r="D1016" i="1"/>
  <c r="D1017" i="1"/>
  <c r="D1018" i="1"/>
  <c r="D1019" i="1"/>
  <c r="D1020" i="1"/>
  <c r="D1021" i="1"/>
  <c r="D1022" i="1"/>
  <c r="D1023" i="1"/>
  <c r="D1024" i="1"/>
  <c r="D1025" i="1"/>
  <c r="D1026" i="1"/>
  <c r="D1027" i="1"/>
  <c r="D1028" i="1"/>
  <c r="D1029" i="1"/>
  <c r="D1030" i="1"/>
  <c r="D1031" i="1"/>
  <c r="D1032" i="1"/>
  <c r="D1033" i="1"/>
  <c r="D1034" i="1"/>
  <c r="D1035" i="1"/>
  <c r="D1036" i="1"/>
  <c r="D1037" i="1"/>
  <c r="D1038" i="1"/>
  <c r="D1039" i="1"/>
  <c r="D1040" i="1"/>
  <c r="D1041" i="1"/>
  <c r="D1042" i="1"/>
  <c r="D1043" i="1"/>
  <c r="D1044" i="1"/>
  <c r="D1045" i="1"/>
  <c r="D1046" i="1"/>
  <c r="D1047" i="1"/>
  <c r="D1048" i="1"/>
  <c r="D1049" i="1"/>
  <c r="D1050" i="1"/>
  <c r="D1051" i="1"/>
  <c r="D1052" i="1"/>
  <c r="D1053" i="1"/>
  <c r="D1054" i="1"/>
  <c r="D1055" i="1"/>
  <c r="D1056" i="1"/>
  <c r="D1057" i="1"/>
  <c r="D1058" i="1"/>
  <c r="D1059" i="1"/>
  <c r="D1060" i="1"/>
  <c r="D1061" i="1"/>
  <c r="D1062" i="1"/>
  <c r="D1063" i="1"/>
  <c r="D1064" i="1"/>
  <c r="D1065" i="1"/>
  <c r="D1066" i="1"/>
  <c r="D1067" i="1"/>
  <c r="D1068" i="1"/>
  <c r="D1069" i="1"/>
  <c r="D1070" i="1"/>
  <c r="D1071" i="1"/>
  <c r="D1072" i="1"/>
  <c r="D1073" i="1"/>
  <c r="D1074" i="1"/>
  <c r="D1075" i="1"/>
  <c r="D1076" i="1"/>
  <c r="D1077" i="1"/>
  <c r="D1078" i="1"/>
  <c r="D1079" i="1"/>
  <c r="D1080" i="1"/>
  <c r="D1081" i="1"/>
  <c r="D1082" i="1"/>
  <c r="D1083" i="1"/>
  <c r="D1084" i="1"/>
  <c r="D1085" i="1"/>
  <c r="D1086" i="1"/>
  <c r="D1087" i="1"/>
  <c r="D1088" i="1"/>
  <c r="D1089" i="1"/>
  <c r="D1090" i="1"/>
  <c r="D1091" i="1"/>
  <c r="D1092" i="1"/>
  <c r="D1093" i="1"/>
  <c r="D1094" i="1"/>
  <c r="D1095" i="1"/>
  <c r="D1096" i="1"/>
  <c r="D1097" i="1"/>
  <c r="D1098" i="1"/>
  <c r="D1099" i="1"/>
  <c r="D1100" i="1"/>
  <c r="D1101" i="1"/>
  <c r="D1102" i="1"/>
  <c r="D1103" i="1"/>
  <c r="D1104" i="1"/>
  <c r="D1105" i="1"/>
  <c r="D1106" i="1"/>
  <c r="D1107" i="1"/>
  <c r="D1108" i="1"/>
  <c r="D1109" i="1"/>
  <c r="D1110" i="1"/>
  <c r="D1111" i="1"/>
  <c r="D1112" i="1"/>
  <c r="D1113" i="1"/>
  <c r="D1114" i="1"/>
  <c r="D1115" i="1"/>
  <c r="D1116" i="1"/>
  <c r="D1117" i="1"/>
  <c r="D1118" i="1"/>
  <c r="D1119" i="1"/>
  <c r="D1120" i="1"/>
  <c r="D1121" i="1"/>
  <c r="D1122" i="1"/>
  <c r="D1123" i="1"/>
  <c r="D1124" i="1"/>
  <c r="D1125" i="1"/>
  <c r="D1126" i="1"/>
  <c r="D1127" i="1"/>
  <c r="D1128" i="1"/>
  <c r="D1129" i="1"/>
  <c r="D1130" i="1"/>
  <c r="D1131" i="1"/>
  <c r="D1132" i="1"/>
  <c r="D1133" i="1"/>
  <c r="D1134" i="1"/>
  <c r="D1135" i="1"/>
  <c r="D1136" i="1"/>
  <c r="D1137" i="1"/>
  <c r="D1138" i="1"/>
  <c r="D1139" i="1"/>
  <c r="D1140" i="1"/>
  <c r="D1141" i="1"/>
  <c r="D1142" i="1"/>
  <c r="D1143" i="1"/>
  <c r="D1144" i="1"/>
  <c r="D1145" i="1"/>
  <c r="D1146" i="1"/>
  <c r="D1147" i="1"/>
  <c r="D1148" i="1"/>
  <c r="D1149" i="1"/>
  <c r="D1150" i="1"/>
  <c r="D1151" i="1"/>
  <c r="D1152" i="1"/>
  <c r="D1153" i="1"/>
  <c r="D1154" i="1"/>
  <c r="D1155" i="1"/>
  <c r="D1156" i="1"/>
  <c r="D1157" i="1"/>
  <c r="D1158" i="1"/>
  <c r="D1159" i="1"/>
  <c r="D1160" i="1"/>
  <c r="D1161" i="1"/>
  <c r="D1162" i="1"/>
  <c r="D1163" i="1"/>
  <c r="D1164" i="1"/>
  <c r="D1165" i="1"/>
  <c r="D1166" i="1"/>
  <c r="D1167" i="1"/>
  <c r="D1168" i="1"/>
  <c r="D1169" i="1"/>
  <c r="D1170" i="1"/>
  <c r="D1171" i="1"/>
  <c r="D1172" i="1"/>
  <c r="D1173" i="1"/>
  <c r="D1174" i="1"/>
  <c r="D1175" i="1"/>
  <c r="D1176" i="1"/>
  <c r="D1177" i="1"/>
  <c r="D1178" i="1"/>
  <c r="D1179" i="1"/>
  <c r="D1180" i="1"/>
  <c r="D1181" i="1"/>
  <c r="D1182" i="1"/>
  <c r="D1183" i="1"/>
  <c r="D1184" i="1"/>
  <c r="D1185" i="1"/>
  <c r="D1186" i="1"/>
  <c r="D1187" i="1"/>
  <c r="D1188" i="1"/>
  <c r="D1189" i="1"/>
  <c r="D1190" i="1"/>
  <c r="D1191" i="1"/>
  <c r="D1192" i="1"/>
  <c r="D1193" i="1"/>
  <c r="D1194" i="1"/>
  <c r="D1195" i="1"/>
  <c r="D1196" i="1"/>
  <c r="D1197" i="1"/>
  <c r="D1198" i="1"/>
  <c r="D1199" i="1"/>
  <c r="D1200" i="1"/>
  <c r="D1201" i="1"/>
  <c r="D1202" i="1"/>
  <c r="D1203" i="1"/>
  <c r="D1204" i="1"/>
  <c r="D1205" i="1"/>
  <c r="D1206" i="1"/>
  <c r="D1207" i="1"/>
  <c r="D1208" i="1"/>
  <c r="D1209" i="1"/>
  <c r="D1210" i="1"/>
  <c r="D1211" i="1"/>
  <c r="D1212" i="1"/>
  <c r="D1213" i="1"/>
  <c r="D1214" i="1"/>
  <c r="D1215" i="1"/>
  <c r="D1216" i="1"/>
  <c r="D1217" i="1"/>
  <c r="D1218" i="1"/>
  <c r="D1219" i="1"/>
  <c r="D1220" i="1"/>
  <c r="D1221" i="1"/>
  <c r="D1222" i="1"/>
  <c r="D1223" i="1"/>
  <c r="D1224" i="1"/>
  <c r="D1225" i="1"/>
  <c r="D1226" i="1"/>
  <c r="D1227" i="1"/>
  <c r="D1228" i="1"/>
  <c r="D1229" i="1"/>
  <c r="D1230" i="1"/>
  <c r="D1231" i="1"/>
  <c r="D1232" i="1"/>
  <c r="D1233" i="1"/>
  <c r="D1234" i="1"/>
  <c r="D1235" i="1"/>
  <c r="D1236" i="1"/>
  <c r="D1237" i="1"/>
  <c r="D1238" i="1"/>
  <c r="D1239" i="1"/>
  <c r="D1240" i="1"/>
  <c r="D1241" i="1"/>
  <c r="D1242" i="1"/>
  <c r="D1243" i="1"/>
  <c r="D1244" i="1"/>
  <c r="D1245" i="1"/>
  <c r="D1246" i="1"/>
  <c r="D1247" i="1"/>
  <c r="D1248" i="1"/>
  <c r="D1249" i="1"/>
  <c r="D1250" i="1"/>
  <c r="D1251" i="1"/>
  <c r="D1252" i="1"/>
  <c r="D1253" i="1"/>
  <c r="D1254" i="1"/>
  <c r="D1255" i="1"/>
  <c r="D1256" i="1"/>
  <c r="D1257" i="1"/>
  <c r="D1258" i="1"/>
  <c r="D1259" i="1"/>
  <c r="D1260" i="1"/>
  <c r="D1261" i="1"/>
  <c r="D1262" i="1"/>
  <c r="D1263" i="1"/>
  <c r="D1264" i="1"/>
  <c r="D1265" i="1"/>
  <c r="D1266" i="1"/>
  <c r="D1267" i="1"/>
  <c r="D1268" i="1"/>
  <c r="D1269" i="1"/>
  <c r="D1270" i="1"/>
  <c r="D1271" i="1"/>
  <c r="D1272" i="1"/>
  <c r="D1273" i="1"/>
  <c r="D1274" i="1"/>
  <c r="D1275" i="1"/>
  <c r="D1276" i="1"/>
  <c r="D1277" i="1"/>
  <c r="D1278" i="1"/>
  <c r="D1279" i="1"/>
  <c r="D1280" i="1"/>
  <c r="D1281" i="1"/>
  <c r="D1282" i="1"/>
  <c r="D1283" i="1"/>
  <c r="D1284" i="1"/>
  <c r="D1285" i="1"/>
  <c r="D1286" i="1"/>
  <c r="D1287" i="1"/>
  <c r="D1288" i="1"/>
  <c r="D1289" i="1"/>
  <c r="D1290" i="1"/>
  <c r="D1291" i="1"/>
  <c r="D1292" i="1"/>
  <c r="D1293" i="1"/>
  <c r="D1294" i="1"/>
  <c r="D1295" i="1"/>
  <c r="D1296" i="1"/>
  <c r="D1297" i="1"/>
  <c r="D1298" i="1"/>
  <c r="D1299" i="1"/>
  <c r="D1300" i="1"/>
  <c r="D1301" i="1"/>
  <c r="D1302" i="1"/>
  <c r="D1303" i="1"/>
  <c r="D1304" i="1"/>
  <c r="D1305" i="1"/>
  <c r="D1306" i="1"/>
  <c r="D1307" i="1"/>
  <c r="D1308" i="1"/>
  <c r="D1309" i="1"/>
  <c r="D1310" i="1"/>
  <c r="D1311" i="1"/>
  <c r="D1312" i="1"/>
  <c r="D1313" i="1"/>
  <c r="D1314" i="1"/>
  <c r="D1315" i="1"/>
  <c r="D1316" i="1"/>
  <c r="D1317" i="1"/>
  <c r="D1318" i="1"/>
  <c r="D1319" i="1"/>
  <c r="D1320" i="1"/>
  <c r="D1321" i="1"/>
  <c r="D1322" i="1"/>
  <c r="D1323" i="1"/>
  <c r="D1324" i="1"/>
  <c r="D1325" i="1"/>
  <c r="D1326" i="1"/>
  <c r="D1327" i="1"/>
  <c r="D1328" i="1"/>
  <c r="D1329" i="1"/>
  <c r="D1330" i="1"/>
  <c r="D1331" i="1"/>
  <c r="D1332" i="1"/>
  <c r="D1333" i="1"/>
  <c r="D1334" i="1"/>
  <c r="D1335" i="1"/>
  <c r="D1336" i="1"/>
  <c r="D1337" i="1"/>
  <c r="D1338" i="1"/>
  <c r="D1339" i="1"/>
  <c r="D1340" i="1"/>
  <c r="D1341" i="1"/>
  <c r="D1342" i="1"/>
  <c r="D1343" i="1"/>
  <c r="D1344" i="1"/>
  <c r="D1345" i="1"/>
  <c r="D1346" i="1"/>
  <c r="D1347" i="1"/>
  <c r="D1348" i="1"/>
  <c r="D1349" i="1"/>
  <c r="D1350" i="1"/>
  <c r="D1351" i="1"/>
  <c r="D1352" i="1"/>
  <c r="D1353" i="1"/>
  <c r="D1354" i="1"/>
  <c r="D1355" i="1"/>
  <c r="D1356" i="1"/>
  <c r="D1357" i="1"/>
  <c r="D1358" i="1"/>
  <c r="D1359" i="1"/>
  <c r="D1360" i="1"/>
  <c r="D1361" i="1"/>
  <c r="D1362" i="1"/>
  <c r="D1363" i="1"/>
  <c r="D1364" i="1"/>
  <c r="D1365" i="1"/>
  <c r="D1366" i="1"/>
  <c r="D1367" i="1"/>
  <c r="D1368" i="1"/>
  <c r="D1369" i="1"/>
  <c r="D1370" i="1"/>
  <c r="D1371" i="1"/>
  <c r="D1372" i="1"/>
  <c r="D1373" i="1"/>
  <c r="D1374" i="1"/>
  <c r="D1375" i="1"/>
  <c r="D1376" i="1"/>
  <c r="D1377" i="1"/>
  <c r="D1378" i="1"/>
  <c r="D1379" i="1"/>
  <c r="D1380" i="1"/>
  <c r="D1381" i="1"/>
  <c r="D1382" i="1"/>
  <c r="D1383" i="1"/>
  <c r="D1384" i="1"/>
  <c r="D1385" i="1"/>
  <c r="D1386" i="1"/>
  <c r="D1387" i="1"/>
  <c r="D1388" i="1"/>
  <c r="D1389" i="1"/>
  <c r="D1390" i="1"/>
  <c r="D1391" i="1"/>
  <c r="D1392" i="1"/>
  <c r="D1393" i="1"/>
  <c r="D1394" i="1"/>
  <c r="D1395" i="1"/>
  <c r="D1396" i="1"/>
  <c r="D1397" i="1"/>
  <c r="D1398" i="1"/>
  <c r="D1399" i="1"/>
  <c r="D1400" i="1"/>
  <c r="D1401" i="1"/>
  <c r="D1402" i="1"/>
  <c r="D1403" i="1"/>
  <c r="D1404" i="1"/>
  <c r="D1405" i="1"/>
  <c r="D1406" i="1"/>
  <c r="D1407" i="1"/>
  <c r="D1408" i="1"/>
  <c r="D1409" i="1"/>
  <c r="D1410" i="1"/>
  <c r="D1411" i="1"/>
  <c r="D1412" i="1"/>
  <c r="D1413" i="1"/>
  <c r="D1414" i="1"/>
  <c r="D1415" i="1"/>
  <c r="D1416" i="1"/>
  <c r="D1417" i="1"/>
  <c r="D1418" i="1"/>
  <c r="D1419" i="1"/>
  <c r="D1420" i="1"/>
  <c r="D1421" i="1"/>
  <c r="D1422" i="1"/>
  <c r="D1423" i="1"/>
  <c r="D1424" i="1"/>
  <c r="D1425" i="1"/>
  <c r="D1426" i="1"/>
  <c r="D1427" i="1"/>
  <c r="D1428" i="1"/>
  <c r="D1429" i="1"/>
  <c r="D1430" i="1"/>
  <c r="D1431" i="1"/>
  <c r="D1432" i="1"/>
  <c r="D1433" i="1"/>
  <c r="D1434" i="1"/>
  <c r="D1435" i="1"/>
  <c r="D1436" i="1"/>
  <c r="D1437" i="1"/>
  <c r="D1438" i="1"/>
  <c r="D1439" i="1"/>
  <c r="D1440" i="1"/>
  <c r="D1441" i="1"/>
  <c r="D1442" i="1"/>
  <c r="D1443" i="1"/>
  <c r="D1444" i="1"/>
  <c r="D1445" i="1"/>
  <c r="D1446" i="1"/>
  <c r="D1447" i="1"/>
  <c r="D1448" i="1"/>
  <c r="D1449" i="1"/>
  <c r="D1450" i="1"/>
  <c r="D1451" i="1"/>
  <c r="D1452" i="1"/>
  <c r="D1453" i="1"/>
  <c r="D1454" i="1"/>
  <c r="D1455" i="1"/>
  <c r="D1456" i="1"/>
  <c r="D1457" i="1"/>
  <c r="D1458" i="1"/>
  <c r="D1459" i="1"/>
  <c r="D1460" i="1"/>
  <c r="D1461" i="1"/>
  <c r="D1462" i="1"/>
  <c r="D1463" i="1"/>
  <c r="D1464" i="1"/>
  <c r="D1465" i="1"/>
  <c r="D1466" i="1"/>
  <c r="D1467" i="1"/>
  <c r="D1468" i="1"/>
  <c r="D1469" i="1"/>
  <c r="D1470" i="1"/>
  <c r="D1471" i="1"/>
  <c r="D1472" i="1"/>
  <c r="D1473" i="1"/>
  <c r="D1474" i="1"/>
  <c r="D1475" i="1"/>
  <c r="D1476" i="1"/>
  <c r="D1477" i="1"/>
  <c r="D1478" i="1"/>
  <c r="D1479" i="1"/>
  <c r="D1480" i="1"/>
  <c r="D1481" i="1"/>
  <c r="D1482" i="1"/>
  <c r="D1483" i="1"/>
  <c r="D1484" i="1"/>
  <c r="D1485" i="1"/>
  <c r="D1486" i="1"/>
  <c r="D1487" i="1"/>
  <c r="D1488" i="1"/>
  <c r="D1489" i="1"/>
  <c r="D1490" i="1"/>
  <c r="D1491" i="1"/>
  <c r="D1492" i="1"/>
  <c r="D1493" i="1"/>
  <c r="D1494" i="1"/>
  <c r="D1495" i="1"/>
  <c r="D1496" i="1"/>
  <c r="D1497" i="1"/>
  <c r="D1498" i="1"/>
  <c r="D1499" i="1"/>
  <c r="D1500" i="1"/>
  <c r="D1501" i="1"/>
  <c r="D1502" i="1"/>
  <c r="D1503" i="1"/>
  <c r="D1504" i="1"/>
  <c r="D1505" i="1"/>
  <c r="D1506" i="1"/>
  <c r="D1507" i="1"/>
  <c r="D1508" i="1"/>
  <c r="D1509" i="1"/>
  <c r="D1510" i="1"/>
  <c r="D1511" i="1"/>
  <c r="D1512" i="1"/>
  <c r="D1513" i="1"/>
  <c r="D1514" i="1"/>
  <c r="D1515" i="1"/>
  <c r="D1516" i="1"/>
  <c r="D1517" i="1"/>
  <c r="D1518" i="1"/>
  <c r="D1519" i="1"/>
  <c r="D1520" i="1"/>
  <c r="D1521" i="1"/>
  <c r="D1522" i="1"/>
  <c r="D1523" i="1"/>
  <c r="D1524" i="1"/>
  <c r="D1525" i="1"/>
  <c r="D1526" i="1"/>
  <c r="D1527" i="1"/>
  <c r="D1528" i="1"/>
  <c r="D1529" i="1"/>
  <c r="D1530" i="1"/>
  <c r="D1531" i="1"/>
  <c r="D1532" i="1"/>
  <c r="D1533" i="1"/>
  <c r="D1534" i="1"/>
  <c r="D1535" i="1"/>
  <c r="D1536" i="1"/>
  <c r="D1537" i="1"/>
  <c r="D1538" i="1"/>
  <c r="D1539" i="1"/>
  <c r="D1540" i="1"/>
  <c r="D1541" i="1"/>
  <c r="D1542" i="1"/>
  <c r="D1543" i="1"/>
  <c r="D1544" i="1"/>
  <c r="D1545" i="1"/>
  <c r="D1546" i="1"/>
  <c r="D1547" i="1"/>
  <c r="D1548" i="1"/>
  <c r="D1549" i="1"/>
  <c r="D1550" i="1"/>
  <c r="D1551" i="1"/>
  <c r="D1552" i="1"/>
  <c r="D1553" i="1"/>
  <c r="D1554" i="1"/>
  <c r="D1555" i="1"/>
  <c r="D1556" i="1"/>
  <c r="D1557" i="1"/>
  <c r="D1558" i="1"/>
  <c r="D1559" i="1"/>
  <c r="D1560" i="1"/>
  <c r="D1561" i="1"/>
  <c r="D1562" i="1"/>
  <c r="D1563" i="1"/>
  <c r="D1564" i="1"/>
  <c r="D1565" i="1"/>
  <c r="D1566" i="1"/>
  <c r="D1567" i="1"/>
  <c r="D1568" i="1"/>
  <c r="D1569" i="1"/>
  <c r="D1570" i="1"/>
  <c r="D1571" i="1"/>
  <c r="D1572" i="1"/>
  <c r="D1573" i="1"/>
  <c r="D1574" i="1"/>
  <c r="D1575" i="1"/>
  <c r="D1576" i="1"/>
  <c r="D1577" i="1"/>
  <c r="D1578" i="1"/>
  <c r="D1579" i="1"/>
  <c r="D1580" i="1"/>
  <c r="D1581" i="1"/>
  <c r="D1582" i="1"/>
  <c r="D1583" i="1"/>
  <c r="D1584" i="1"/>
  <c r="D1585" i="1"/>
  <c r="D1586" i="1"/>
  <c r="D1587" i="1"/>
  <c r="D1588" i="1"/>
  <c r="D1589" i="1"/>
  <c r="D1590" i="1"/>
  <c r="D1591" i="1"/>
  <c r="D1592" i="1"/>
  <c r="D1593" i="1"/>
  <c r="D1594" i="1"/>
  <c r="D1595" i="1"/>
  <c r="D1596" i="1"/>
  <c r="D1597" i="1"/>
  <c r="D1598" i="1"/>
  <c r="D1599" i="1"/>
  <c r="D1600" i="1"/>
  <c r="D1601" i="1"/>
  <c r="D1602" i="1"/>
  <c r="D1603" i="1"/>
  <c r="D1604" i="1"/>
  <c r="D1605" i="1"/>
  <c r="D1606" i="1"/>
  <c r="D1607" i="1"/>
  <c r="D1608" i="1"/>
  <c r="D1609" i="1"/>
  <c r="D1610" i="1"/>
  <c r="D1611" i="1"/>
  <c r="D1612" i="1"/>
  <c r="D1613" i="1"/>
  <c r="D1614" i="1"/>
  <c r="D1615" i="1"/>
  <c r="D1616" i="1"/>
  <c r="D1617" i="1"/>
  <c r="D1618" i="1"/>
  <c r="D1619" i="1"/>
  <c r="D1620" i="1"/>
  <c r="D1621" i="1"/>
  <c r="D1622" i="1"/>
  <c r="D1623" i="1"/>
  <c r="D1624" i="1"/>
  <c r="D1625" i="1"/>
  <c r="D1626" i="1"/>
  <c r="D1627" i="1"/>
  <c r="D1628" i="1"/>
  <c r="D1629" i="1"/>
  <c r="D1630" i="1"/>
  <c r="D1631" i="1"/>
  <c r="D1632" i="1"/>
  <c r="D1633" i="1"/>
  <c r="D1634" i="1"/>
  <c r="D1635" i="1"/>
  <c r="D1636" i="1"/>
  <c r="D1637" i="1"/>
  <c r="D1638" i="1"/>
  <c r="D1639" i="1"/>
  <c r="D1640" i="1"/>
  <c r="D1641" i="1"/>
  <c r="D1642" i="1"/>
  <c r="D1643" i="1"/>
  <c r="D1644" i="1"/>
  <c r="D1645" i="1"/>
  <c r="D1646" i="1"/>
  <c r="D1647" i="1"/>
  <c r="D1648" i="1"/>
  <c r="D1649" i="1"/>
  <c r="D1650" i="1"/>
  <c r="D1651" i="1"/>
  <c r="D1652" i="1"/>
  <c r="D1653" i="1"/>
  <c r="D1654" i="1"/>
  <c r="D1655" i="1"/>
  <c r="D1656" i="1"/>
  <c r="D1657" i="1"/>
  <c r="D1658" i="1"/>
  <c r="D1659" i="1"/>
  <c r="D1660" i="1"/>
  <c r="D1661" i="1"/>
  <c r="D1662" i="1"/>
  <c r="D1663" i="1"/>
  <c r="D1664" i="1"/>
  <c r="D1665" i="1"/>
  <c r="D1666" i="1"/>
  <c r="D1667" i="1"/>
  <c r="D1668" i="1"/>
  <c r="D1669" i="1"/>
  <c r="D1670" i="1"/>
  <c r="D1671" i="1"/>
  <c r="D1672" i="1"/>
  <c r="D1673" i="1"/>
  <c r="D1674" i="1"/>
  <c r="D1675" i="1"/>
  <c r="D1676" i="1"/>
  <c r="D1677" i="1"/>
  <c r="D1678" i="1"/>
  <c r="D1679" i="1"/>
  <c r="D1680" i="1"/>
  <c r="D1681" i="1"/>
  <c r="D1682" i="1"/>
  <c r="D1683" i="1"/>
  <c r="D1684" i="1"/>
  <c r="D1685" i="1"/>
  <c r="D1686" i="1"/>
  <c r="D1687" i="1"/>
  <c r="D1688" i="1"/>
  <c r="D1689" i="1"/>
  <c r="D1690" i="1"/>
  <c r="D1691" i="1"/>
  <c r="D1692" i="1"/>
  <c r="D1693" i="1"/>
  <c r="D1694" i="1"/>
  <c r="D1695" i="1"/>
  <c r="D1696" i="1"/>
  <c r="D1697" i="1"/>
  <c r="D1698" i="1"/>
  <c r="D1699" i="1"/>
  <c r="D1700" i="1"/>
  <c r="D1701" i="1"/>
  <c r="D1702" i="1"/>
  <c r="D1703" i="1"/>
  <c r="D1704" i="1"/>
  <c r="D1705" i="1"/>
  <c r="D1706" i="1"/>
  <c r="D1707" i="1"/>
  <c r="D1708" i="1"/>
  <c r="D1709" i="1"/>
  <c r="D1710" i="1"/>
  <c r="D1711" i="1"/>
  <c r="D1712" i="1"/>
  <c r="D1713" i="1"/>
  <c r="D1714" i="1"/>
  <c r="D1715" i="1"/>
  <c r="D1716" i="1"/>
  <c r="D1717" i="1"/>
  <c r="D1718" i="1"/>
  <c r="D1719" i="1"/>
  <c r="D1720" i="1"/>
  <c r="D1721" i="1"/>
  <c r="D1722" i="1"/>
  <c r="D1723" i="1"/>
  <c r="D1724" i="1"/>
  <c r="D1725" i="1"/>
  <c r="D1726" i="1"/>
  <c r="D1727" i="1"/>
  <c r="D1728" i="1"/>
  <c r="D1729" i="1"/>
  <c r="D1730" i="1"/>
  <c r="D1731" i="1"/>
  <c r="D1732" i="1"/>
  <c r="D1733" i="1"/>
  <c r="D1734" i="1"/>
  <c r="D1735" i="1"/>
  <c r="D1736" i="1"/>
  <c r="D1737" i="1"/>
  <c r="D1738" i="1"/>
  <c r="D1739" i="1"/>
  <c r="D1740" i="1"/>
  <c r="D1741" i="1"/>
  <c r="D1742" i="1"/>
  <c r="D1743" i="1"/>
  <c r="D1744" i="1"/>
  <c r="D1745" i="1"/>
  <c r="D1746" i="1"/>
  <c r="D1747" i="1"/>
  <c r="D1748" i="1"/>
  <c r="D1749" i="1"/>
  <c r="D1750" i="1"/>
  <c r="D1751" i="1"/>
  <c r="D1752" i="1"/>
  <c r="D1753" i="1"/>
  <c r="D1754" i="1"/>
  <c r="D1755" i="1"/>
  <c r="D1756" i="1"/>
  <c r="D1757" i="1"/>
  <c r="D1758" i="1"/>
  <c r="D1759" i="1"/>
  <c r="D1760" i="1"/>
  <c r="D1761" i="1"/>
  <c r="D1762" i="1"/>
  <c r="D1763" i="1"/>
  <c r="D1764" i="1"/>
  <c r="D1765" i="1"/>
  <c r="D1766" i="1"/>
  <c r="D1767" i="1"/>
  <c r="D1768" i="1"/>
  <c r="D1769" i="1"/>
  <c r="D1770" i="1"/>
  <c r="D1771" i="1"/>
  <c r="D1772" i="1"/>
  <c r="D1773" i="1"/>
  <c r="D1774" i="1"/>
  <c r="D1775" i="1"/>
  <c r="D1776" i="1"/>
  <c r="D1777" i="1"/>
  <c r="D1778" i="1"/>
  <c r="D1779" i="1"/>
  <c r="D1780" i="1"/>
  <c r="D1781" i="1"/>
  <c r="D1782" i="1"/>
  <c r="D1783" i="1"/>
  <c r="D1784" i="1"/>
  <c r="D1785" i="1"/>
  <c r="D1786" i="1"/>
  <c r="D1787" i="1"/>
  <c r="D1788" i="1"/>
  <c r="D1789" i="1"/>
  <c r="D1790" i="1"/>
  <c r="D1791" i="1"/>
  <c r="D1792" i="1"/>
  <c r="D1793" i="1"/>
  <c r="D1794" i="1"/>
  <c r="D1795" i="1"/>
  <c r="D1796" i="1"/>
  <c r="D1797" i="1"/>
  <c r="D1798" i="1"/>
  <c r="D1799" i="1"/>
  <c r="D1800" i="1"/>
  <c r="D1801" i="1"/>
  <c r="D1802" i="1"/>
  <c r="D1803" i="1"/>
  <c r="D1804" i="1"/>
  <c r="D1805" i="1"/>
  <c r="D1806" i="1"/>
  <c r="D1807" i="1"/>
  <c r="D1808" i="1"/>
  <c r="D1809" i="1"/>
  <c r="D1810" i="1"/>
  <c r="D1811" i="1"/>
  <c r="D1812" i="1"/>
  <c r="D1813" i="1"/>
  <c r="D1814" i="1"/>
  <c r="D1815" i="1"/>
  <c r="D1816" i="1"/>
  <c r="D1817" i="1"/>
  <c r="D1818" i="1"/>
  <c r="D1819" i="1"/>
  <c r="D1820" i="1"/>
  <c r="D1821" i="1"/>
  <c r="D1822" i="1"/>
  <c r="D1823" i="1"/>
  <c r="D1824" i="1"/>
  <c r="D1825" i="1"/>
  <c r="D1826" i="1"/>
  <c r="D1827" i="1"/>
  <c r="D1828" i="1"/>
  <c r="D1829" i="1"/>
  <c r="D1830" i="1"/>
  <c r="D1831" i="1"/>
  <c r="D1832" i="1"/>
  <c r="D1833" i="1"/>
  <c r="D1834" i="1"/>
  <c r="D1835" i="1"/>
  <c r="D1836" i="1"/>
  <c r="D1837" i="1"/>
  <c r="D1838" i="1"/>
  <c r="D1839" i="1"/>
  <c r="D1840" i="1"/>
  <c r="D1841" i="1"/>
  <c r="D1842" i="1"/>
  <c r="D1843" i="1"/>
  <c r="D1844" i="1"/>
  <c r="D1845" i="1"/>
  <c r="D1846" i="1"/>
  <c r="D1847" i="1"/>
  <c r="D1848" i="1"/>
  <c r="D1849" i="1"/>
  <c r="D1850" i="1"/>
  <c r="D1851" i="1"/>
  <c r="D1852" i="1"/>
  <c r="D1853" i="1"/>
  <c r="D1854" i="1"/>
  <c r="D1855" i="1"/>
  <c r="D1856" i="1"/>
  <c r="D1857" i="1"/>
  <c r="D1858" i="1"/>
  <c r="D1859" i="1"/>
  <c r="D1860" i="1"/>
  <c r="D1861" i="1"/>
  <c r="D1862" i="1"/>
  <c r="D1863" i="1"/>
  <c r="D1864" i="1"/>
  <c r="D1865" i="1"/>
  <c r="D1866" i="1"/>
  <c r="D1867" i="1"/>
  <c r="D1868" i="1"/>
  <c r="D1869" i="1"/>
  <c r="D1870" i="1"/>
  <c r="D1871" i="1"/>
  <c r="D1872" i="1"/>
  <c r="D1873" i="1"/>
  <c r="D1874" i="1"/>
  <c r="D1875" i="1"/>
  <c r="D1876" i="1"/>
  <c r="D1877" i="1"/>
  <c r="D1878" i="1"/>
  <c r="D1879" i="1"/>
  <c r="D1880" i="1"/>
  <c r="D1881" i="1"/>
  <c r="D1882" i="1"/>
  <c r="D1883" i="1"/>
  <c r="D1884" i="1"/>
  <c r="D1885" i="1"/>
  <c r="D1886" i="1"/>
  <c r="D1887" i="1"/>
  <c r="D1888" i="1"/>
  <c r="D1889" i="1"/>
  <c r="D1890" i="1"/>
  <c r="D1891" i="1"/>
  <c r="D1892" i="1"/>
  <c r="D1893" i="1"/>
  <c r="D1894" i="1"/>
  <c r="D1895" i="1"/>
  <c r="D1896" i="1"/>
  <c r="D1897" i="1"/>
  <c r="D1898" i="1"/>
  <c r="D1899" i="1"/>
  <c r="D1900" i="1"/>
  <c r="D1901" i="1"/>
  <c r="D1902" i="1"/>
  <c r="D1903" i="1"/>
  <c r="D1904" i="1"/>
  <c r="D1905" i="1"/>
  <c r="D1906" i="1"/>
  <c r="D1907" i="1"/>
  <c r="D1908" i="1"/>
  <c r="D1909" i="1"/>
  <c r="D1910" i="1"/>
  <c r="D1911" i="1"/>
  <c r="D1912" i="1"/>
  <c r="D1913" i="1"/>
  <c r="D1914" i="1"/>
  <c r="D1915" i="1"/>
  <c r="D1916" i="1"/>
  <c r="D1917" i="1"/>
  <c r="D1918" i="1"/>
  <c r="D1919" i="1"/>
  <c r="D1920" i="1"/>
  <c r="D1921" i="1"/>
  <c r="D1922" i="1"/>
  <c r="D1923" i="1"/>
  <c r="D1924" i="1"/>
  <c r="D1925" i="1"/>
  <c r="D1926" i="1"/>
  <c r="D1927" i="1"/>
  <c r="D1928" i="1"/>
  <c r="D1929" i="1"/>
  <c r="D1930" i="1"/>
  <c r="D1931" i="1"/>
  <c r="D1932" i="1"/>
  <c r="D1933" i="1"/>
  <c r="D1934" i="1"/>
  <c r="D1935" i="1"/>
  <c r="D1936" i="1"/>
  <c r="D1937" i="1"/>
  <c r="D1938" i="1"/>
  <c r="D1939" i="1"/>
  <c r="D1940" i="1"/>
  <c r="D1941" i="1"/>
  <c r="D1942" i="1"/>
  <c r="D1943" i="1"/>
  <c r="D1944" i="1"/>
  <c r="D1945" i="1"/>
  <c r="D1946" i="1"/>
  <c r="D1947" i="1"/>
  <c r="D1948" i="1"/>
  <c r="D1949" i="1"/>
  <c r="D1950" i="1"/>
  <c r="D1951" i="1"/>
  <c r="D1952" i="1"/>
  <c r="D1953" i="1"/>
  <c r="D1954" i="1"/>
  <c r="D1955" i="1"/>
  <c r="D1956" i="1"/>
  <c r="D1957" i="1"/>
  <c r="D1958" i="1"/>
  <c r="D1959" i="1"/>
  <c r="D1960" i="1"/>
  <c r="D1961" i="1"/>
  <c r="D1962" i="1"/>
  <c r="D1963" i="1"/>
  <c r="D1964" i="1"/>
  <c r="D1965" i="1"/>
  <c r="D1966" i="1"/>
  <c r="D1967" i="1"/>
  <c r="D1968" i="1"/>
  <c r="D1969" i="1"/>
  <c r="D1970" i="1"/>
  <c r="D1971" i="1"/>
  <c r="D1972" i="1"/>
  <c r="D1973" i="1"/>
  <c r="D1974" i="1"/>
  <c r="D1975" i="1"/>
  <c r="D1976" i="1"/>
  <c r="D1977" i="1"/>
  <c r="D1978" i="1"/>
  <c r="D1979" i="1"/>
  <c r="D1980" i="1"/>
  <c r="D1981" i="1"/>
  <c r="D1982" i="1"/>
  <c r="D1983" i="1"/>
  <c r="D1984" i="1"/>
  <c r="D1985" i="1"/>
  <c r="D1986" i="1"/>
  <c r="D1987" i="1"/>
  <c r="D1988" i="1"/>
  <c r="D1989" i="1"/>
  <c r="D1990" i="1"/>
  <c r="D1991" i="1"/>
  <c r="D1992" i="1"/>
  <c r="D1993" i="1"/>
  <c r="D1994" i="1"/>
  <c r="D1995" i="1"/>
  <c r="D1996" i="1"/>
  <c r="D1997" i="1"/>
  <c r="D1998" i="1"/>
  <c r="D1999" i="1"/>
  <c r="D2000" i="1"/>
  <c r="D2001" i="1"/>
  <c r="D2002" i="1"/>
  <c r="D2003" i="1"/>
  <c r="D2004" i="1"/>
  <c r="D2005" i="1"/>
  <c r="D2006" i="1"/>
  <c r="D2007" i="1"/>
  <c r="D2008" i="1"/>
  <c r="D2009" i="1"/>
  <c r="D2010" i="1"/>
  <c r="D2011" i="1"/>
  <c r="D2012" i="1"/>
  <c r="D2013" i="1"/>
  <c r="D2014" i="1"/>
  <c r="D2015" i="1"/>
  <c r="D2016" i="1"/>
  <c r="D2017" i="1"/>
  <c r="D2018" i="1"/>
  <c r="D2019" i="1"/>
  <c r="D2020" i="1"/>
  <c r="D2021" i="1"/>
  <c r="D2022" i="1"/>
  <c r="D2023" i="1"/>
  <c r="D2024" i="1"/>
  <c r="D2025" i="1"/>
  <c r="D2026" i="1"/>
  <c r="D2027" i="1"/>
  <c r="D2028" i="1"/>
  <c r="D2029" i="1"/>
  <c r="D2030" i="1"/>
  <c r="D2031" i="1"/>
  <c r="D2032" i="1"/>
  <c r="D2033" i="1"/>
  <c r="D2034" i="1"/>
  <c r="D2035" i="1"/>
  <c r="D2036" i="1"/>
  <c r="D2037" i="1"/>
  <c r="D2038" i="1"/>
  <c r="D2039" i="1"/>
  <c r="D2040" i="1"/>
  <c r="D2041" i="1"/>
  <c r="D2042" i="1"/>
  <c r="D2043" i="1"/>
  <c r="D2044" i="1"/>
  <c r="D2045" i="1"/>
  <c r="D2046" i="1"/>
  <c r="D2047" i="1"/>
  <c r="D2048" i="1"/>
  <c r="D2049" i="1"/>
  <c r="D2050" i="1"/>
  <c r="D2051" i="1"/>
  <c r="D2052" i="1"/>
  <c r="D2053" i="1"/>
  <c r="D2054" i="1"/>
  <c r="D2055" i="1"/>
  <c r="D2056" i="1"/>
  <c r="D2057" i="1"/>
  <c r="D2058" i="1"/>
  <c r="D2059" i="1"/>
  <c r="D2060" i="1"/>
  <c r="D2061" i="1"/>
  <c r="D2062" i="1"/>
  <c r="D2063" i="1"/>
  <c r="D2064" i="1"/>
  <c r="D2065" i="1"/>
  <c r="D2066" i="1"/>
  <c r="D2067" i="1"/>
  <c r="D2068" i="1"/>
  <c r="D2069" i="1"/>
  <c r="D2070" i="1"/>
  <c r="D2071" i="1"/>
  <c r="D2072" i="1"/>
  <c r="D2073" i="1"/>
  <c r="D2074" i="1"/>
  <c r="D2075" i="1"/>
  <c r="D2076" i="1"/>
  <c r="D2077" i="1"/>
  <c r="D2078" i="1"/>
  <c r="D2079" i="1"/>
  <c r="D2080" i="1"/>
  <c r="D2081" i="1"/>
  <c r="D2082" i="1"/>
  <c r="D2083" i="1"/>
  <c r="D2084" i="1"/>
  <c r="D2085" i="1"/>
  <c r="D2086" i="1"/>
  <c r="D2087" i="1"/>
  <c r="D2088" i="1"/>
  <c r="D2089" i="1"/>
  <c r="D2090" i="1"/>
  <c r="D2091" i="1"/>
  <c r="D2092" i="1"/>
  <c r="D2093" i="1"/>
  <c r="D2094" i="1"/>
  <c r="D2095" i="1"/>
  <c r="D2096" i="1"/>
  <c r="D2097" i="1"/>
  <c r="D2098" i="1"/>
  <c r="D2099" i="1"/>
  <c r="D2100" i="1"/>
  <c r="D2101" i="1"/>
  <c r="D2102" i="1"/>
  <c r="D2103" i="1"/>
  <c r="D2104" i="1"/>
  <c r="D2105" i="1"/>
  <c r="D2106" i="1"/>
  <c r="D2107" i="1"/>
  <c r="D2108" i="1"/>
  <c r="D2109" i="1"/>
  <c r="D2110" i="1"/>
  <c r="D2111" i="1"/>
  <c r="D2112" i="1"/>
  <c r="D2113" i="1"/>
  <c r="D2114" i="1"/>
  <c r="D2115" i="1"/>
  <c r="D2116" i="1"/>
  <c r="D2117" i="1"/>
  <c r="D2118" i="1"/>
  <c r="D2119" i="1"/>
  <c r="D2120" i="1"/>
  <c r="D2121" i="1"/>
  <c r="D2122" i="1"/>
  <c r="D2123" i="1"/>
  <c r="D2124" i="1"/>
  <c r="D2125" i="1"/>
  <c r="D2126" i="1"/>
  <c r="D2127" i="1"/>
  <c r="D2128" i="1"/>
  <c r="D2129" i="1"/>
  <c r="D2130" i="1"/>
  <c r="D2131" i="1"/>
  <c r="D2132" i="1"/>
  <c r="D2133" i="1"/>
  <c r="D2134" i="1"/>
  <c r="D2135" i="1"/>
  <c r="D2136" i="1"/>
  <c r="D2137" i="1"/>
  <c r="D2138" i="1"/>
  <c r="D2139" i="1"/>
  <c r="D2140" i="1"/>
  <c r="D2141" i="1"/>
  <c r="D2142" i="1"/>
  <c r="D2143" i="1"/>
  <c r="D2144" i="1"/>
  <c r="D2145" i="1"/>
  <c r="D2146" i="1"/>
  <c r="D2147" i="1"/>
  <c r="D2148" i="1"/>
  <c r="D2149" i="1"/>
  <c r="D2150" i="1"/>
  <c r="D2151" i="1"/>
  <c r="D2152" i="1"/>
  <c r="D2153" i="1"/>
  <c r="D2154" i="1"/>
  <c r="D2155" i="1"/>
  <c r="D2156" i="1"/>
  <c r="D2157" i="1"/>
  <c r="D2158" i="1"/>
  <c r="D2159" i="1"/>
  <c r="D2160" i="1"/>
  <c r="D2161" i="1"/>
  <c r="D2162" i="1"/>
  <c r="D2163" i="1"/>
  <c r="D2164" i="1"/>
  <c r="D2165" i="1"/>
  <c r="D2166" i="1"/>
  <c r="D2167" i="1"/>
  <c r="D2168" i="1"/>
  <c r="D2169" i="1"/>
  <c r="D2170" i="1"/>
  <c r="D2171" i="1"/>
  <c r="D2172" i="1"/>
  <c r="D2173" i="1"/>
  <c r="D2174" i="1"/>
  <c r="D2175" i="1"/>
  <c r="D2176" i="1"/>
  <c r="D2177" i="1"/>
  <c r="D2178" i="1"/>
  <c r="D2179" i="1"/>
  <c r="D2180" i="1"/>
  <c r="D2181" i="1"/>
  <c r="D2182" i="1"/>
  <c r="D2183" i="1"/>
  <c r="D2184" i="1"/>
  <c r="D2185" i="1"/>
  <c r="D2186" i="1"/>
  <c r="D2187" i="1"/>
  <c r="D2188" i="1"/>
  <c r="D2189" i="1"/>
  <c r="D2190" i="1"/>
  <c r="D2191" i="1"/>
  <c r="D2192" i="1"/>
  <c r="D2193" i="1"/>
  <c r="D2194" i="1"/>
  <c r="D2195" i="1"/>
  <c r="D2196" i="1"/>
  <c r="D2197" i="1"/>
  <c r="D2198" i="1"/>
  <c r="D2199" i="1"/>
  <c r="D2200" i="1"/>
  <c r="D2201" i="1"/>
  <c r="D2202" i="1"/>
  <c r="D2203" i="1"/>
  <c r="D2204" i="1"/>
  <c r="D2205" i="1"/>
  <c r="D2206" i="1"/>
  <c r="D2207" i="1"/>
  <c r="D2208" i="1"/>
  <c r="D2209" i="1"/>
  <c r="D2210" i="1"/>
  <c r="D2211" i="1"/>
  <c r="D2212" i="1"/>
  <c r="D2213" i="1"/>
  <c r="D2214" i="1"/>
  <c r="D2215" i="1"/>
  <c r="D2216" i="1"/>
  <c r="D2217" i="1"/>
  <c r="D2218" i="1"/>
  <c r="D2219" i="1"/>
  <c r="D2220" i="1"/>
  <c r="D2221" i="1"/>
  <c r="D2222" i="1"/>
  <c r="D2223" i="1"/>
  <c r="D2224" i="1"/>
  <c r="D2225" i="1"/>
  <c r="D2226" i="1"/>
  <c r="D2227" i="1"/>
  <c r="D2228" i="1"/>
  <c r="D2229" i="1"/>
  <c r="D2230" i="1"/>
  <c r="D2231" i="1"/>
  <c r="D2232" i="1"/>
  <c r="D2233" i="1"/>
  <c r="D2234" i="1"/>
  <c r="D2235" i="1"/>
  <c r="D2236" i="1"/>
  <c r="D2237" i="1"/>
  <c r="D2238" i="1"/>
  <c r="D2239" i="1"/>
  <c r="D2240" i="1"/>
  <c r="D2241" i="1"/>
  <c r="D2242" i="1"/>
  <c r="D2243" i="1"/>
  <c r="D2244" i="1"/>
  <c r="D2245" i="1"/>
  <c r="D2246" i="1"/>
  <c r="D2247" i="1"/>
  <c r="D2248" i="1"/>
  <c r="D2249" i="1"/>
  <c r="D2250" i="1"/>
  <c r="D2251" i="1"/>
  <c r="D2252" i="1"/>
  <c r="D2253" i="1"/>
  <c r="D2254" i="1"/>
  <c r="D2255" i="1"/>
  <c r="D2256" i="1"/>
  <c r="D2257" i="1"/>
  <c r="D2258" i="1"/>
  <c r="D2259" i="1"/>
  <c r="D2260" i="1"/>
  <c r="D2261" i="1"/>
  <c r="D2262" i="1"/>
  <c r="D2263" i="1"/>
  <c r="D2264" i="1"/>
  <c r="D2265" i="1"/>
  <c r="D2266" i="1"/>
  <c r="D2267" i="1"/>
  <c r="D2268" i="1"/>
  <c r="D2269" i="1"/>
  <c r="D2270" i="1"/>
  <c r="D2271" i="1"/>
  <c r="D2272" i="1"/>
  <c r="D2273" i="1"/>
  <c r="D2274" i="1"/>
  <c r="D2275" i="1"/>
  <c r="D2276" i="1"/>
  <c r="D2277" i="1"/>
  <c r="D2278" i="1"/>
  <c r="D2279" i="1"/>
  <c r="D2280" i="1"/>
  <c r="D2281" i="1"/>
  <c r="D2282" i="1"/>
  <c r="D2283" i="1"/>
  <c r="D2284" i="1"/>
  <c r="D2285" i="1"/>
  <c r="D2286" i="1"/>
  <c r="D2287" i="1"/>
  <c r="D2288" i="1"/>
  <c r="D2289" i="1"/>
  <c r="D2290" i="1"/>
  <c r="D2291" i="1"/>
  <c r="D2292" i="1"/>
  <c r="D2293" i="1"/>
  <c r="D2294" i="1"/>
  <c r="D2295" i="1"/>
  <c r="D2296" i="1"/>
  <c r="D2297" i="1"/>
  <c r="D2298" i="1"/>
  <c r="D2299" i="1"/>
  <c r="D2300" i="1"/>
  <c r="D2301" i="1"/>
  <c r="D2302" i="1"/>
  <c r="D2303" i="1"/>
  <c r="D2304" i="1"/>
  <c r="D2305" i="1"/>
  <c r="D2306" i="1"/>
  <c r="D2307" i="1"/>
  <c r="D2308" i="1"/>
  <c r="D2309" i="1"/>
  <c r="D2310" i="1"/>
  <c r="D2311" i="1"/>
  <c r="D2312" i="1"/>
  <c r="D2313" i="1"/>
  <c r="D2314" i="1"/>
  <c r="D2315" i="1"/>
  <c r="D2316" i="1"/>
  <c r="D2317" i="1"/>
  <c r="D2318" i="1"/>
  <c r="D2319" i="1"/>
  <c r="D2320" i="1"/>
  <c r="D2321" i="1"/>
  <c r="D2322" i="1"/>
  <c r="D2323" i="1"/>
  <c r="D2324" i="1"/>
  <c r="D2325" i="1"/>
  <c r="D2326" i="1"/>
  <c r="D2327" i="1"/>
  <c r="D2328" i="1"/>
  <c r="D2329" i="1"/>
  <c r="D2330" i="1"/>
  <c r="D2331" i="1"/>
  <c r="D2332" i="1"/>
  <c r="D2333" i="1"/>
  <c r="D2334" i="1"/>
  <c r="D2335" i="1"/>
  <c r="D2336" i="1"/>
  <c r="D2337" i="1"/>
  <c r="D2338" i="1"/>
  <c r="D2339" i="1"/>
  <c r="D2340" i="1"/>
  <c r="D2341" i="1"/>
  <c r="D2342" i="1"/>
  <c r="D2343" i="1"/>
  <c r="D2344" i="1"/>
  <c r="D2345" i="1"/>
  <c r="D2346" i="1"/>
  <c r="D2347" i="1"/>
  <c r="D2348" i="1"/>
  <c r="D2349" i="1"/>
  <c r="D2350" i="1"/>
  <c r="D2351" i="1"/>
  <c r="D2352" i="1"/>
  <c r="D2353" i="1"/>
  <c r="D2354" i="1"/>
  <c r="D2355" i="1"/>
  <c r="D2356" i="1"/>
  <c r="D2357" i="1"/>
  <c r="D2358" i="1"/>
  <c r="D2359" i="1"/>
  <c r="D2360" i="1"/>
  <c r="D2361" i="1"/>
  <c r="D2362" i="1"/>
  <c r="D2363" i="1"/>
  <c r="D2364" i="1"/>
  <c r="D2365" i="1"/>
  <c r="D2366" i="1"/>
  <c r="D2367" i="1"/>
  <c r="D2368" i="1"/>
  <c r="D2369" i="1"/>
  <c r="D2370" i="1"/>
  <c r="D2371" i="1"/>
  <c r="D2372" i="1"/>
  <c r="D2373" i="1"/>
  <c r="D2374" i="1"/>
  <c r="D2375" i="1"/>
  <c r="D2376" i="1"/>
  <c r="D2377" i="1"/>
  <c r="D2378" i="1"/>
  <c r="D2379" i="1"/>
  <c r="D2380" i="1"/>
  <c r="D2381" i="1"/>
  <c r="D2382" i="1"/>
  <c r="D2383" i="1"/>
  <c r="D2384" i="1"/>
  <c r="D2385" i="1"/>
  <c r="D2386" i="1"/>
  <c r="D2387" i="1"/>
  <c r="D2388" i="1"/>
  <c r="D2389" i="1"/>
  <c r="D2390" i="1"/>
  <c r="D2391" i="1"/>
  <c r="D2392" i="1"/>
  <c r="D2393" i="1"/>
  <c r="D2394" i="1"/>
  <c r="D2395" i="1"/>
  <c r="D2396" i="1"/>
  <c r="D2397" i="1"/>
  <c r="D2398" i="1"/>
  <c r="D2399" i="1"/>
  <c r="D2400" i="1"/>
  <c r="D2401" i="1"/>
  <c r="D2402" i="1"/>
  <c r="D2403" i="1"/>
  <c r="D2404" i="1"/>
  <c r="D2405" i="1"/>
  <c r="D2406" i="1"/>
  <c r="D2407" i="1"/>
  <c r="D2408" i="1"/>
  <c r="D2409" i="1"/>
  <c r="D2410" i="1"/>
  <c r="D2411" i="1"/>
  <c r="D2412" i="1"/>
  <c r="D2413" i="1"/>
  <c r="D2414" i="1"/>
  <c r="D2415" i="1"/>
  <c r="D2416" i="1"/>
  <c r="D2417" i="1"/>
  <c r="D2418" i="1"/>
  <c r="D2419" i="1"/>
  <c r="D2420" i="1"/>
  <c r="D2421" i="1"/>
  <c r="D2422" i="1"/>
  <c r="D2423" i="1"/>
  <c r="D2424" i="1"/>
  <c r="D2425" i="1"/>
  <c r="D2426" i="1"/>
  <c r="D2427" i="1"/>
  <c r="D2428" i="1"/>
  <c r="D2429" i="1"/>
  <c r="D2430" i="1"/>
  <c r="D2431" i="1"/>
  <c r="D2432" i="1"/>
  <c r="D2433" i="1"/>
  <c r="D2434" i="1"/>
  <c r="D2435" i="1"/>
  <c r="D2436" i="1"/>
  <c r="D2437" i="1"/>
  <c r="D2438" i="1"/>
  <c r="D2439" i="1"/>
  <c r="D2440" i="1"/>
  <c r="D2441" i="1"/>
  <c r="D2442" i="1"/>
  <c r="D2443" i="1"/>
  <c r="D2444" i="1"/>
  <c r="D2445" i="1"/>
  <c r="D2446" i="1"/>
  <c r="D2447" i="1"/>
  <c r="D2448" i="1"/>
  <c r="D2449" i="1"/>
  <c r="D2450" i="1"/>
  <c r="D2451" i="1"/>
  <c r="D2452" i="1"/>
  <c r="D2453" i="1"/>
  <c r="D2454" i="1"/>
  <c r="D2455" i="1"/>
  <c r="D2456" i="1"/>
  <c r="D2457" i="1"/>
  <c r="D2458" i="1"/>
  <c r="D2459" i="1"/>
  <c r="D2460" i="1"/>
  <c r="D2461" i="1"/>
  <c r="D2462" i="1"/>
  <c r="D2463" i="1"/>
  <c r="D2464" i="1"/>
  <c r="D2465" i="1"/>
  <c r="D2466" i="1"/>
  <c r="D2467" i="1"/>
  <c r="D2468" i="1"/>
  <c r="D2469" i="1"/>
  <c r="D2470" i="1"/>
  <c r="D2471" i="1"/>
  <c r="D2472" i="1"/>
  <c r="D2473" i="1"/>
  <c r="D2474" i="1"/>
  <c r="D2475" i="1"/>
  <c r="D2476" i="1"/>
  <c r="D2477" i="1"/>
  <c r="D2478" i="1"/>
  <c r="D2479" i="1"/>
  <c r="D2480" i="1"/>
  <c r="D2481" i="1"/>
  <c r="D2482" i="1"/>
  <c r="D2483" i="1"/>
  <c r="D2484" i="1"/>
  <c r="D2485" i="1"/>
  <c r="D2486" i="1"/>
  <c r="D2487" i="1"/>
  <c r="D2488" i="1"/>
  <c r="D2489" i="1"/>
  <c r="D2490" i="1"/>
  <c r="D2491" i="1"/>
  <c r="D2492" i="1"/>
  <c r="D2493" i="1"/>
  <c r="D2494" i="1"/>
  <c r="D2495" i="1"/>
  <c r="D2496" i="1"/>
  <c r="D2497" i="1"/>
  <c r="D2498" i="1"/>
  <c r="D2499" i="1"/>
  <c r="D2500" i="1"/>
  <c r="D2501" i="1"/>
  <c r="D2502" i="1"/>
  <c r="D2503" i="1"/>
  <c r="D2504" i="1"/>
  <c r="D2505" i="1"/>
  <c r="D2506" i="1"/>
  <c r="D2507" i="1"/>
  <c r="D2508" i="1"/>
  <c r="D2509" i="1"/>
  <c r="D2510" i="1"/>
  <c r="D2511" i="1"/>
  <c r="D2512" i="1"/>
  <c r="D2513" i="1"/>
  <c r="D2514" i="1"/>
  <c r="D2515" i="1"/>
  <c r="D2516" i="1"/>
  <c r="D2517" i="1"/>
  <c r="D2518" i="1"/>
  <c r="D2519" i="1"/>
  <c r="D2520" i="1"/>
  <c r="D2521" i="1"/>
  <c r="D2522" i="1"/>
  <c r="D2523" i="1"/>
  <c r="D2524" i="1"/>
  <c r="D2525" i="1"/>
  <c r="D2526" i="1"/>
  <c r="D2527" i="1"/>
  <c r="D2528" i="1"/>
  <c r="D2529" i="1"/>
  <c r="D2530" i="1"/>
  <c r="D2531" i="1"/>
  <c r="D2532" i="1"/>
  <c r="D2533" i="1"/>
  <c r="D2534" i="1"/>
  <c r="D2535" i="1"/>
  <c r="D2536" i="1"/>
  <c r="D2537" i="1"/>
  <c r="D2538" i="1"/>
  <c r="D2539" i="1"/>
  <c r="D2540" i="1"/>
  <c r="D2541" i="1"/>
  <c r="D2542" i="1"/>
  <c r="D2543" i="1"/>
  <c r="D2544" i="1"/>
  <c r="D2545" i="1"/>
  <c r="D2546" i="1"/>
  <c r="D2547" i="1"/>
  <c r="D2548" i="1"/>
  <c r="D2549" i="1"/>
  <c r="D2550" i="1"/>
  <c r="D2551" i="1"/>
  <c r="D2552" i="1"/>
  <c r="D2553" i="1"/>
  <c r="D2554" i="1"/>
  <c r="D2555" i="1"/>
  <c r="D2556" i="1"/>
  <c r="D2557" i="1"/>
  <c r="D2558" i="1"/>
  <c r="D2559" i="1"/>
  <c r="D2560" i="1"/>
  <c r="D2561" i="1"/>
  <c r="D2562" i="1"/>
  <c r="D2563" i="1"/>
  <c r="D2564" i="1"/>
  <c r="D2565" i="1"/>
  <c r="D2566" i="1"/>
  <c r="D2567" i="1"/>
  <c r="D2568" i="1"/>
  <c r="D2569" i="1"/>
  <c r="D2570" i="1"/>
  <c r="D2571" i="1"/>
  <c r="D2572" i="1"/>
  <c r="D2573" i="1"/>
  <c r="D2574" i="1"/>
  <c r="D2575" i="1"/>
  <c r="D2576" i="1"/>
  <c r="D2577" i="1"/>
  <c r="D2578" i="1"/>
  <c r="D2579" i="1"/>
  <c r="D2580" i="1"/>
  <c r="D2581" i="1"/>
  <c r="D2582" i="1"/>
  <c r="D2583" i="1"/>
  <c r="D2584" i="1"/>
  <c r="D2585" i="1"/>
  <c r="D2586" i="1"/>
  <c r="D2587" i="1"/>
  <c r="D2588" i="1"/>
  <c r="D2589" i="1"/>
  <c r="D2590" i="1"/>
  <c r="D2591" i="1"/>
  <c r="D2592" i="1"/>
  <c r="D2593" i="1"/>
  <c r="D2594" i="1"/>
  <c r="D2595" i="1"/>
  <c r="D2596" i="1"/>
  <c r="D2597" i="1"/>
  <c r="D2598" i="1"/>
  <c r="D2599" i="1"/>
  <c r="D2600" i="1"/>
  <c r="D2601" i="1"/>
  <c r="D2602" i="1"/>
  <c r="D2603" i="1"/>
  <c r="D2604" i="1"/>
  <c r="D2605" i="1"/>
  <c r="D2606" i="1"/>
  <c r="D2607" i="1"/>
  <c r="D2608" i="1"/>
  <c r="D2609" i="1"/>
  <c r="D2610" i="1"/>
  <c r="D2611" i="1"/>
  <c r="D2612" i="1"/>
  <c r="D2613" i="1"/>
  <c r="D2614" i="1"/>
  <c r="D2615" i="1"/>
  <c r="D2616" i="1"/>
  <c r="D2617" i="1"/>
  <c r="D2618" i="1"/>
  <c r="D2619" i="1"/>
  <c r="D2620" i="1"/>
  <c r="D2621" i="1"/>
  <c r="D2622" i="1"/>
  <c r="D2623" i="1"/>
  <c r="D2624" i="1"/>
  <c r="D2625" i="1"/>
  <c r="D2626" i="1"/>
  <c r="D2627" i="1"/>
  <c r="D2628" i="1"/>
  <c r="D2629" i="1"/>
  <c r="D2630" i="1"/>
  <c r="D2631" i="1"/>
  <c r="D2632" i="1"/>
  <c r="D2633" i="1"/>
  <c r="D2634" i="1"/>
  <c r="D2635" i="1"/>
  <c r="D2636" i="1"/>
  <c r="D2637" i="1"/>
  <c r="D2638" i="1"/>
  <c r="D2639" i="1"/>
  <c r="D2640" i="1"/>
  <c r="D2641" i="1"/>
  <c r="D2642" i="1"/>
  <c r="D2643" i="1"/>
  <c r="D2644" i="1"/>
  <c r="D2645" i="1"/>
  <c r="D2646" i="1"/>
  <c r="D2647" i="1"/>
  <c r="D2648" i="1"/>
  <c r="D2649" i="1"/>
  <c r="D2650" i="1"/>
  <c r="D2651" i="1"/>
  <c r="D2652" i="1"/>
  <c r="D2653" i="1"/>
  <c r="D2654" i="1"/>
  <c r="D2655" i="1"/>
  <c r="D2656" i="1"/>
  <c r="D2657" i="1"/>
  <c r="D2658" i="1"/>
  <c r="D2659" i="1"/>
  <c r="D2660" i="1"/>
  <c r="D2661" i="1"/>
  <c r="D2662" i="1"/>
  <c r="D2663" i="1"/>
  <c r="D2664" i="1"/>
  <c r="D2665" i="1"/>
  <c r="D2666" i="1"/>
  <c r="D2667" i="1"/>
  <c r="D2668" i="1"/>
  <c r="D2669" i="1"/>
  <c r="D2670" i="1"/>
  <c r="D2671" i="1"/>
  <c r="D2672" i="1"/>
  <c r="D2673" i="1"/>
  <c r="D2674" i="1"/>
  <c r="D2675" i="1"/>
  <c r="D2676" i="1"/>
  <c r="D2677" i="1"/>
  <c r="D2678" i="1"/>
  <c r="D2679" i="1"/>
  <c r="D2680" i="1"/>
  <c r="D2681" i="1"/>
  <c r="D2682" i="1"/>
  <c r="D2683" i="1"/>
  <c r="D2684" i="1"/>
  <c r="D2685" i="1"/>
  <c r="D2686" i="1"/>
  <c r="D2687" i="1"/>
  <c r="D2688" i="1"/>
  <c r="D2689" i="1"/>
  <c r="D2690" i="1"/>
  <c r="D2691" i="1"/>
  <c r="D2692" i="1"/>
  <c r="D2693" i="1"/>
  <c r="D2694" i="1"/>
  <c r="D2695" i="1"/>
  <c r="D2696" i="1"/>
  <c r="D2697" i="1"/>
  <c r="D2698" i="1"/>
  <c r="D2699" i="1"/>
  <c r="D2700" i="1"/>
  <c r="D2701" i="1"/>
  <c r="D2702" i="1"/>
  <c r="D2703" i="1"/>
  <c r="D2704" i="1"/>
  <c r="D2705" i="1"/>
  <c r="D2706" i="1"/>
  <c r="D2707" i="1"/>
  <c r="D2708" i="1"/>
  <c r="D2709" i="1"/>
  <c r="D2710" i="1"/>
  <c r="D2711" i="1"/>
  <c r="D2712" i="1"/>
  <c r="D2713" i="1"/>
  <c r="D2714" i="1"/>
  <c r="D2715" i="1"/>
  <c r="D2716" i="1"/>
  <c r="D2717" i="1"/>
  <c r="D2718" i="1"/>
  <c r="D2719" i="1"/>
  <c r="D2720" i="1"/>
  <c r="D2721" i="1"/>
  <c r="D2722" i="1"/>
  <c r="D2723" i="1"/>
  <c r="D2724" i="1"/>
  <c r="D2725" i="1"/>
  <c r="D2726" i="1"/>
  <c r="D2727" i="1"/>
  <c r="D2728" i="1"/>
  <c r="D2729" i="1"/>
  <c r="D2730" i="1"/>
  <c r="D2731" i="1"/>
  <c r="D2732" i="1"/>
  <c r="D2733" i="1"/>
  <c r="D2734" i="1"/>
  <c r="D2735" i="1"/>
  <c r="D2736" i="1"/>
  <c r="D2737" i="1"/>
  <c r="D2738" i="1"/>
  <c r="D2739" i="1"/>
  <c r="D2740" i="1"/>
  <c r="D2741" i="1"/>
  <c r="D2742" i="1"/>
  <c r="D2743" i="1"/>
  <c r="D2744" i="1"/>
  <c r="D2745" i="1"/>
  <c r="D2746" i="1"/>
  <c r="D2747" i="1"/>
  <c r="D2748" i="1"/>
  <c r="D2749" i="1"/>
  <c r="D2750" i="1"/>
  <c r="D2751" i="1"/>
  <c r="D2752" i="1"/>
  <c r="D2753" i="1"/>
  <c r="D2754" i="1"/>
  <c r="D2755" i="1"/>
  <c r="D2756" i="1"/>
  <c r="D2757" i="1"/>
  <c r="D2758" i="1"/>
  <c r="D2759" i="1"/>
  <c r="D2760" i="1"/>
  <c r="D2761" i="1"/>
  <c r="D2762" i="1"/>
  <c r="D2763" i="1"/>
  <c r="D2764" i="1"/>
  <c r="D2765" i="1"/>
  <c r="D2766" i="1"/>
  <c r="D2767" i="1"/>
  <c r="D2768" i="1"/>
  <c r="D2769" i="1"/>
  <c r="D2770" i="1"/>
  <c r="D2771" i="1"/>
  <c r="D2772" i="1"/>
  <c r="D2773" i="1"/>
  <c r="D2774" i="1"/>
  <c r="D2775" i="1"/>
  <c r="D2776" i="1"/>
  <c r="D2777" i="1"/>
  <c r="D2778" i="1"/>
  <c r="D2779" i="1"/>
  <c r="D2780" i="1"/>
  <c r="D2781" i="1"/>
  <c r="D2782" i="1"/>
  <c r="D2783" i="1"/>
  <c r="D2784" i="1"/>
  <c r="D2785" i="1"/>
  <c r="D2786" i="1"/>
  <c r="D2787" i="1"/>
  <c r="D2788" i="1"/>
  <c r="D2789" i="1"/>
  <c r="D2790" i="1"/>
  <c r="D2791" i="1"/>
  <c r="D2792" i="1"/>
  <c r="D2793" i="1"/>
  <c r="D2794" i="1"/>
  <c r="D2795" i="1"/>
  <c r="D2796" i="1"/>
  <c r="D2797" i="1"/>
  <c r="D2798" i="1"/>
  <c r="D2799" i="1"/>
  <c r="D2800" i="1"/>
  <c r="D2801" i="1"/>
  <c r="D2802" i="1"/>
  <c r="D2803" i="1"/>
  <c r="D2804" i="1"/>
  <c r="D2805" i="1"/>
  <c r="D2806" i="1"/>
  <c r="D2807" i="1"/>
  <c r="D2808" i="1"/>
  <c r="D2809" i="1"/>
  <c r="D2810" i="1"/>
  <c r="D2811" i="1"/>
  <c r="D2812" i="1"/>
  <c r="D2813" i="1"/>
  <c r="D2814" i="1"/>
  <c r="D2815" i="1"/>
  <c r="D2816" i="1"/>
  <c r="D2817" i="1"/>
  <c r="D2818" i="1"/>
  <c r="D2819" i="1"/>
  <c r="D2820" i="1"/>
  <c r="D2821" i="1"/>
  <c r="D2822" i="1"/>
  <c r="D2823" i="1"/>
  <c r="D2824" i="1"/>
  <c r="D2825" i="1"/>
  <c r="D2826" i="1"/>
  <c r="D2827" i="1"/>
  <c r="D2828" i="1"/>
  <c r="D2829" i="1"/>
  <c r="D2830" i="1"/>
  <c r="D2831" i="1"/>
  <c r="D2832" i="1"/>
  <c r="D2833" i="1"/>
  <c r="D2834" i="1"/>
  <c r="D2835" i="1"/>
  <c r="D2836" i="1"/>
  <c r="D2837" i="1"/>
  <c r="D2838" i="1"/>
  <c r="D2839" i="1"/>
  <c r="D2840" i="1"/>
  <c r="D2841" i="1"/>
  <c r="D2842" i="1"/>
  <c r="D2843" i="1"/>
  <c r="D2844" i="1"/>
  <c r="D2845" i="1"/>
  <c r="D2846" i="1"/>
  <c r="D2847" i="1"/>
  <c r="D2848" i="1"/>
  <c r="D2849" i="1"/>
  <c r="D2850" i="1"/>
  <c r="D2851" i="1"/>
  <c r="D2852" i="1"/>
  <c r="D2853" i="1"/>
  <c r="D2854" i="1"/>
  <c r="D2855" i="1"/>
  <c r="D2856" i="1"/>
  <c r="D2857" i="1"/>
  <c r="D2858" i="1"/>
  <c r="D2859" i="1"/>
  <c r="D2860" i="1"/>
  <c r="D2861" i="1"/>
  <c r="D2862" i="1"/>
  <c r="D2863" i="1"/>
  <c r="D2864" i="1"/>
  <c r="D2865" i="1"/>
  <c r="D2866" i="1"/>
  <c r="D2867" i="1"/>
  <c r="D2868" i="1"/>
  <c r="D2869" i="1"/>
  <c r="D2870" i="1"/>
  <c r="D2871" i="1"/>
  <c r="D2872" i="1"/>
  <c r="D2873" i="1"/>
  <c r="D2874" i="1"/>
  <c r="D2875" i="1"/>
  <c r="D2876" i="1"/>
  <c r="D2877" i="1"/>
  <c r="D2878" i="1"/>
  <c r="D2879" i="1"/>
  <c r="D2880" i="1"/>
  <c r="D2881" i="1"/>
  <c r="D2882" i="1"/>
  <c r="D2883" i="1"/>
  <c r="D2884" i="1"/>
  <c r="D2885" i="1"/>
  <c r="D2886" i="1"/>
  <c r="D2887" i="1"/>
  <c r="D2888" i="1"/>
  <c r="D2889" i="1"/>
  <c r="D2890" i="1"/>
  <c r="D2891" i="1"/>
  <c r="D2892" i="1"/>
  <c r="D2893" i="1"/>
  <c r="D2894" i="1"/>
  <c r="D2895" i="1"/>
  <c r="D2896" i="1"/>
  <c r="D2897" i="1"/>
  <c r="D2898" i="1"/>
  <c r="D2899" i="1"/>
  <c r="D2900" i="1"/>
  <c r="D2901" i="1"/>
  <c r="D2902" i="1"/>
  <c r="D2903" i="1"/>
  <c r="D2904" i="1"/>
  <c r="D2905" i="1"/>
  <c r="D2906" i="1"/>
  <c r="D2907" i="1"/>
  <c r="D2908" i="1"/>
  <c r="D2909" i="1"/>
  <c r="D2910" i="1"/>
  <c r="D2911" i="1"/>
  <c r="D2912" i="1"/>
  <c r="D2913" i="1"/>
  <c r="D2914" i="1"/>
  <c r="D2915" i="1"/>
  <c r="D2916" i="1"/>
  <c r="D2917" i="1"/>
  <c r="D2918" i="1"/>
  <c r="D2919" i="1"/>
  <c r="D2920" i="1"/>
  <c r="D2921" i="1"/>
  <c r="D2922" i="1"/>
  <c r="D2923" i="1"/>
  <c r="D2924" i="1"/>
  <c r="D2925" i="1"/>
  <c r="D2926" i="1"/>
  <c r="D2927" i="1"/>
  <c r="D2928" i="1"/>
  <c r="D2929" i="1"/>
  <c r="D2930" i="1"/>
  <c r="D2931" i="1"/>
  <c r="D2932" i="1"/>
  <c r="D2933" i="1"/>
  <c r="D2934" i="1"/>
  <c r="D2935" i="1"/>
  <c r="D2936" i="1"/>
  <c r="D2937" i="1"/>
  <c r="D2938" i="1"/>
  <c r="D2939" i="1"/>
  <c r="D2940" i="1"/>
  <c r="D2941" i="1"/>
  <c r="D2942" i="1"/>
  <c r="D2943" i="1"/>
  <c r="D2944" i="1"/>
  <c r="D2945" i="1"/>
  <c r="D2946" i="1"/>
  <c r="D2947" i="1"/>
  <c r="D2948" i="1"/>
  <c r="D2949" i="1"/>
  <c r="D2950" i="1"/>
  <c r="D2951" i="1"/>
  <c r="D2952" i="1"/>
  <c r="D2953" i="1"/>
  <c r="D2954" i="1"/>
  <c r="D2955" i="1"/>
  <c r="D2956" i="1"/>
  <c r="D2957" i="1"/>
  <c r="D2958" i="1"/>
  <c r="D2959" i="1"/>
  <c r="D2960" i="1"/>
  <c r="D2961" i="1"/>
  <c r="D2962" i="1"/>
  <c r="D2963" i="1"/>
  <c r="D2964" i="1"/>
  <c r="D2965" i="1"/>
  <c r="D2966" i="1"/>
  <c r="D2967" i="1"/>
  <c r="D2968" i="1"/>
  <c r="D2969" i="1"/>
  <c r="D2970" i="1"/>
  <c r="D2971" i="1"/>
  <c r="D2972" i="1"/>
  <c r="D2973" i="1"/>
  <c r="D2974" i="1"/>
  <c r="D2975" i="1"/>
  <c r="D2976" i="1"/>
  <c r="D2977" i="1"/>
  <c r="D2978" i="1"/>
  <c r="D2979" i="1"/>
  <c r="D2980" i="1"/>
  <c r="D2981" i="1"/>
  <c r="D2982" i="1"/>
  <c r="D2983" i="1"/>
  <c r="D2984" i="1"/>
  <c r="D2985" i="1"/>
  <c r="D2986" i="1"/>
  <c r="D2987" i="1"/>
  <c r="D2988" i="1"/>
  <c r="D2989" i="1"/>
  <c r="D2990" i="1"/>
  <c r="D2991" i="1"/>
  <c r="D2992" i="1"/>
  <c r="D2993" i="1"/>
  <c r="D2994" i="1"/>
  <c r="D2995" i="1"/>
  <c r="D2996" i="1"/>
  <c r="D2997" i="1"/>
  <c r="D2998" i="1"/>
  <c r="D2999" i="1"/>
  <c r="D3000" i="1"/>
  <c r="D3001" i="1"/>
  <c r="C2" i="1"/>
  <c r="C3" i="1"/>
  <c r="C4" i="1"/>
  <c r="C5" i="1"/>
  <c r="C6" i="1"/>
  <c r="C7" i="1"/>
  <c r="C8" i="1"/>
  <c r="C9" i="1"/>
  <c r="C10" i="1"/>
  <c r="C11" i="1"/>
  <c r="C12" i="1"/>
  <c r="C13" i="1"/>
  <c r="C14" i="1"/>
  <c r="C15" i="1"/>
  <c r="C16" i="1"/>
  <c r="C17" i="1"/>
  <c r="C18" i="1"/>
  <c r="C19" i="1"/>
  <c r="C20" i="1"/>
  <c r="C21" i="1"/>
  <c r="C22" i="1"/>
  <c r="C23" i="1"/>
  <c r="C24" i="1"/>
  <c r="C25" i="1"/>
  <c r="C26" i="1"/>
  <c r="C27" i="1"/>
  <c r="C28" i="1"/>
  <c r="C29" i="1"/>
  <c r="C30" i="1"/>
  <c r="C31" i="1"/>
  <c r="C32" i="1"/>
  <c r="C33" i="1"/>
  <c r="C34" i="1"/>
  <c r="C35" i="1"/>
  <c r="C36" i="1"/>
  <c r="C37" i="1"/>
  <c r="C38" i="1"/>
  <c r="C39" i="1"/>
  <c r="C40" i="1"/>
  <c r="C41" i="1"/>
  <c r="C42" i="1"/>
  <c r="C43" i="1"/>
  <c r="C44" i="1"/>
  <c r="C45" i="1"/>
  <c r="C46" i="1"/>
  <c r="C47" i="1"/>
  <c r="C48" i="1"/>
  <c r="C49" i="1"/>
  <c r="C50" i="1"/>
  <c r="C51" i="1"/>
  <c r="C52" i="1"/>
  <c r="C53" i="1"/>
  <c r="C54" i="1"/>
  <c r="C55" i="1"/>
  <c r="C56" i="1"/>
  <c r="C57" i="1"/>
  <c r="C58" i="1"/>
  <c r="C59" i="1"/>
  <c r="C60" i="1"/>
  <c r="C61" i="1"/>
  <c r="C62" i="1"/>
  <c r="C63" i="1"/>
  <c r="C64" i="1"/>
  <c r="C65" i="1"/>
  <c r="C66" i="1"/>
  <c r="C67" i="1"/>
  <c r="C68" i="1"/>
  <c r="C69" i="1"/>
  <c r="C70" i="1"/>
  <c r="C71" i="1"/>
  <c r="C72" i="1"/>
  <c r="C73" i="1"/>
  <c r="C74" i="1"/>
  <c r="C75" i="1"/>
  <c r="C76" i="1"/>
  <c r="C77" i="1"/>
  <c r="C78" i="1"/>
  <c r="C79" i="1"/>
  <c r="C80" i="1"/>
  <c r="C81" i="1"/>
  <c r="C82" i="1"/>
  <c r="C83" i="1"/>
  <c r="C84" i="1"/>
  <c r="C85" i="1"/>
  <c r="C86" i="1"/>
  <c r="C87" i="1"/>
  <c r="C88" i="1"/>
  <c r="C89" i="1"/>
  <c r="C90" i="1"/>
  <c r="C91" i="1"/>
  <c r="C92" i="1"/>
  <c r="C93" i="1"/>
  <c r="C94" i="1"/>
  <c r="C95" i="1"/>
  <c r="C96" i="1"/>
  <c r="C97" i="1"/>
  <c r="C98" i="1"/>
  <c r="C99" i="1"/>
  <c r="C100" i="1"/>
  <c r="C101" i="1"/>
  <c r="C102" i="1"/>
  <c r="C103" i="1"/>
  <c r="C104" i="1"/>
  <c r="C105" i="1"/>
  <c r="C106" i="1"/>
  <c r="C107" i="1"/>
  <c r="C108" i="1"/>
  <c r="C109" i="1"/>
  <c r="C110" i="1"/>
  <c r="C111" i="1"/>
  <c r="C112" i="1"/>
  <c r="C113" i="1"/>
  <c r="C114" i="1"/>
  <c r="C115" i="1"/>
  <c r="C116" i="1"/>
  <c r="C117" i="1"/>
  <c r="C118" i="1"/>
  <c r="C119" i="1"/>
  <c r="C120" i="1"/>
  <c r="C121" i="1"/>
  <c r="C122" i="1"/>
  <c r="C123" i="1"/>
  <c r="C124" i="1"/>
  <c r="C125" i="1"/>
  <c r="C126" i="1"/>
  <c r="C127" i="1"/>
  <c r="C128" i="1"/>
  <c r="C129" i="1"/>
  <c r="C130" i="1"/>
  <c r="C131" i="1"/>
  <c r="C132" i="1"/>
  <c r="C133" i="1"/>
  <c r="C134" i="1"/>
  <c r="C135" i="1"/>
  <c r="C136" i="1"/>
  <c r="C137" i="1"/>
  <c r="C138" i="1"/>
  <c r="C139" i="1"/>
  <c r="C140" i="1"/>
  <c r="C141" i="1"/>
  <c r="C142" i="1"/>
  <c r="C143" i="1"/>
  <c r="C144" i="1"/>
  <c r="C145" i="1"/>
  <c r="C146" i="1"/>
  <c r="C147" i="1"/>
  <c r="C148" i="1"/>
  <c r="C149" i="1"/>
  <c r="C150" i="1"/>
  <c r="C151" i="1"/>
  <c r="C152" i="1"/>
  <c r="C153" i="1"/>
  <c r="C154" i="1"/>
  <c r="C155" i="1"/>
  <c r="C156" i="1"/>
  <c r="C157" i="1"/>
  <c r="C158" i="1"/>
  <c r="C159" i="1"/>
  <c r="C160" i="1"/>
  <c r="C161" i="1"/>
  <c r="C162" i="1"/>
  <c r="C163" i="1"/>
  <c r="C164" i="1"/>
  <c r="C165" i="1"/>
  <c r="C166" i="1"/>
  <c r="C167" i="1"/>
  <c r="C168" i="1"/>
  <c r="C169" i="1"/>
  <c r="C170" i="1"/>
  <c r="C171" i="1"/>
  <c r="C172" i="1"/>
  <c r="C173" i="1"/>
  <c r="C174" i="1"/>
  <c r="C175" i="1"/>
  <c r="C176" i="1"/>
  <c r="C177" i="1"/>
  <c r="C178" i="1"/>
  <c r="C179" i="1"/>
  <c r="C180" i="1"/>
  <c r="C181" i="1"/>
  <c r="C182" i="1"/>
  <c r="C183" i="1"/>
  <c r="C184" i="1"/>
  <c r="C185" i="1"/>
  <c r="C186" i="1"/>
  <c r="C187" i="1"/>
  <c r="C188" i="1"/>
  <c r="C189" i="1"/>
  <c r="C190" i="1"/>
  <c r="C191" i="1"/>
  <c r="C192" i="1"/>
  <c r="C193" i="1"/>
  <c r="C194" i="1"/>
  <c r="C195" i="1"/>
  <c r="C196" i="1"/>
  <c r="C197" i="1"/>
  <c r="C198" i="1"/>
  <c r="C199" i="1"/>
  <c r="C200" i="1"/>
  <c r="C201" i="1"/>
  <c r="C202" i="1"/>
  <c r="C203" i="1"/>
  <c r="C204" i="1"/>
  <c r="C205" i="1"/>
  <c r="C206" i="1"/>
  <c r="C207" i="1"/>
  <c r="C208" i="1"/>
  <c r="C209" i="1"/>
  <c r="C210" i="1"/>
  <c r="C211" i="1"/>
  <c r="C212" i="1"/>
  <c r="C213" i="1"/>
  <c r="C214" i="1"/>
  <c r="C215" i="1"/>
  <c r="C216" i="1"/>
  <c r="C217" i="1"/>
  <c r="C218" i="1"/>
  <c r="C219" i="1"/>
  <c r="C220" i="1"/>
  <c r="C221" i="1"/>
  <c r="C222" i="1"/>
  <c r="C223" i="1"/>
  <c r="C224" i="1"/>
  <c r="C225" i="1"/>
  <c r="C226" i="1"/>
  <c r="C227" i="1"/>
  <c r="C228" i="1"/>
  <c r="C229" i="1"/>
  <c r="C230" i="1"/>
  <c r="C231" i="1"/>
  <c r="C232" i="1"/>
  <c r="C233" i="1"/>
  <c r="C234" i="1"/>
  <c r="C235" i="1"/>
  <c r="C236" i="1"/>
  <c r="C237" i="1"/>
  <c r="C238" i="1"/>
  <c r="C239" i="1"/>
  <c r="C240" i="1"/>
  <c r="C241" i="1"/>
  <c r="C242" i="1"/>
  <c r="C243" i="1"/>
  <c r="C244" i="1"/>
  <c r="C245" i="1"/>
  <c r="C246" i="1"/>
  <c r="C247" i="1"/>
  <c r="C248" i="1"/>
  <c r="C249" i="1"/>
  <c r="C250" i="1"/>
  <c r="C251" i="1"/>
  <c r="C252" i="1"/>
  <c r="C253" i="1"/>
  <c r="C254" i="1"/>
  <c r="C255" i="1"/>
  <c r="C256" i="1"/>
  <c r="C257" i="1"/>
  <c r="C258" i="1"/>
  <c r="C259" i="1"/>
  <c r="C260" i="1"/>
  <c r="C261" i="1"/>
  <c r="C262" i="1"/>
  <c r="C263" i="1"/>
  <c r="C264" i="1"/>
  <c r="C265" i="1"/>
  <c r="C266" i="1"/>
  <c r="C267" i="1"/>
  <c r="C268" i="1"/>
  <c r="C269" i="1"/>
  <c r="C270" i="1"/>
  <c r="C271" i="1"/>
  <c r="C272" i="1"/>
  <c r="C273" i="1"/>
  <c r="C274" i="1"/>
  <c r="C275" i="1"/>
  <c r="C276" i="1"/>
  <c r="C277" i="1"/>
  <c r="C278" i="1"/>
  <c r="C279" i="1"/>
  <c r="C280" i="1"/>
  <c r="C281" i="1"/>
  <c r="C282" i="1"/>
  <c r="C283" i="1"/>
  <c r="C284" i="1"/>
  <c r="C285" i="1"/>
  <c r="C286" i="1"/>
  <c r="C287" i="1"/>
  <c r="C288" i="1"/>
  <c r="C289" i="1"/>
  <c r="C290" i="1"/>
  <c r="C291" i="1"/>
  <c r="C292" i="1"/>
  <c r="C293" i="1"/>
  <c r="C294" i="1"/>
  <c r="C295" i="1"/>
  <c r="C296" i="1"/>
  <c r="C297" i="1"/>
  <c r="C298" i="1"/>
  <c r="C299" i="1"/>
  <c r="C300" i="1"/>
  <c r="C301" i="1"/>
  <c r="C302" i="1"/>
  <c r="C303" i="1"/>
  <c r="C304" i="1"/>
  <c r="C305" i="1"/>
  <c r="C306" i="1"/>
  <c r="C307" i="1"/>
  <c r="C308" i="1"/>
  <c r="C309" i="1"/>
  <c r="C310" i="1"/>
  <c r="C311" i="1"/>
  <c r="C312" i="1"/>
  <c r="C313" i="1"/>
  <c r="C314" i="1"/>
  <c r="C315" i="1"/>
  <c r="C316" i="1"/>
  <c r="C317" i="1"/>
  <c r="C318" i="1"/>
  <c r="C319" i="1"/>
  <c r="C320" i="1"/>
  <c r="C321" i="1"/>
  <c r="C322" i="1"/>
  <c r="C323" i="1"/>
  <c r="C324" i="1"/>
  <c r="C325" i="1"/>
  <c r="C326" i="1"/>
  <c r="C327" i="1"/>
  <c r="C328" i="1"/>
  <c r="C329" i="1"/>
  <c r="C330" i="1"/>
  <c r="C331" i="1"/>
  <c r="C332" i="1"/>
  <c r="C333" i="1"/>
  <c r="C334" i="1"/>
  <c r="C335" i="1"/>
  <c r="C336" i="1"/>
  <c r="C337" i="1"/>
  <c r="C338" i="1"/>
  <c r="C339" i="1"/>
  <c r="C340" i="1"/>
  <c r="C341" i="1"/>
  <c r="C342" i="1"/>
  <c r="C343" i="1"/>
  <c r="C344" i="1"/>
  <c r="C345" i="1"/>
  <c r="C346" i="1"/>
  <c r="C347" i="1"/>
  <c r="C348" i="1"/>
  <c r="C349" i="1"/>
  <c r="C350" i="1"/>
  <c r="C351" i="1"/>
  <c r="C352" i="1"/>
  <c r="C353" i="1"/>
  <c r="C354" i="1"/>
  <c r="C355" i="1"/>
  <c r="C356" i="1"/>
  <c r="C357" i="1"/>
  <c r="C358" i="1"/>
  <c r="C359" i="1"/>
  <c r="C360" i="1"/>
  <c r="C361" i="1"/>
  <c r="C362" i="1"/>
  <c r="C363" i="1"/>
  <c r="C364" i="1"/>
  <c r="C365" i="1"/>
  <c r="C366" i="1"/>
  <c r="C367" i="1"/>
  <c r="C368" i="1"/>
  <c r="C369" i="1"/>
  <c r="C370" i="1"/>
  <c r="C371" i="1"/>
  <c r="C372" i="1"/>
  <c r="C373" i="1"/>
  <c r="C374" i="1"/>
  <c r="C375" i="1"/>
  <c r="C376" i="1"/>
  <c r="C377" i="1"/>
  <c r="C378" i="1"/>
  <c r="C379" i="1"/>
  <c r="C380" i="1"/>
  <c r="C381" i="1"/>
  <c r="C382" i="1"/>
  <c r="C383" i="1"/>
  <c r="C384" i="1"/>
  <c r="C385" i="1"/>
  <c r="C386" i="1"/>
  <c r="C387" i="1"/>
  <c r="C388" i="1"/>
  <c r="C389" i="1"/>
  <c r="C390" i="1"/>
  <c r="C391" i="1"/>
  <c r="C392" i="1"/>
  <c r="C393" i="1"/>
  <c r="C394" i="1"/>
  <c r="C395" i="1"/>
  <c r="C396" i="1"/>
  <c r="C397" i="1"/>
  <c r="C398" i="1"/>
  <c r="C399" i="1"/>
  <c r="C400" i="1"/>
  <c r="C401" i="1"/>
  <c r="C402" i="1"/>
  <c r="C403" i="1"/>
  <c r="C404" i="1"/>
  <c r="C405" i="1"/>
  <c r="C406" i="1"/>
  <c r="C407" i="1"/>
  <c r="C408" i="1"/>
  <c r="C409" i="1"/>
  <c r="C410" i="1"/>
  <c r="C411" i="1"/>
  <c r="C412" i="1"/>
  <c r="C413" i="1"/>
  <c r="C414" i="1"/>
  <c r="C415" i="1"/>
  <c r="C416" i="1"/>
  <c r="C417" i="1"/>
  <c r="C418" i="1"/>
  <c r="C419" i="1"/>
  <c r="C420" i="1"/>
  <c r="C421" i="1"/>
  <c r="C422" i="1"/>
  <c r="C423" i="1"/>
  <c r="C424" i="1"/>
  <c r="C425" i="1"/>
  <c r="C426" i="1"/>
  <c r="C427" i="1"/>
  <c r="C428" i="1"/>
  <c r="C429" i="1"/>
  <c r="C430" i="1"/>
  <c r="C431" i="1"/>
  <c r="C432" i="1"/>
  <c r="C433" i="1"/>
  <c r="C434" i="1"/>
  <c r="C435" i="1"/>
  <c r="C436" i="1"/>
  <c r="C437" i="1"/>
  <c r="C438" i="1"/>
  <c r="C439" i="1"/>
  <c r="C440" i="1"/>
  <c r="C441" i="1"/>
  <c r="C442" i="1"/>
  <c r="C443" i="1"/>
  <c r="C444" i="1"/>
  <c r="C445" i="1"/>
  <c r="C446" i="1"/>
  <c r="C447" i="1"/>
  <c r="C448" i="1"/>
  <c r="C449" i="1"/>
  <c r="C450" i="1"/>
  <c r="C451" i="1"/>
  <c r="C452" i="1"/>
  <c r="C453" i="1"/>
  <c r="C454" i="1"/>
  <c r="C455" i="1"/>
  <c r="C456" i="1"/>
  <c r="C457" i="1"/>
  <c r="C458" i="1"/>
  <c r="C459" i="1"/>
  <c r="C460" i="1"/>
  <c r="C461" i="1"/>
  <c r="C462" i="1"/>
  <c r="C463" i="1"/>
  <c r="C464" i="1"/>
  <c r="C465" i="1"/>
  <c r="C466" i="1"/>
  <c r="C467" i="1"/>
  <c r="C468" i="1"/>
  <c r="C469" i="1"/>
  <c r="C470" i="1"/>
  <c r="C471" i="1"/>
  <c r="C472" i="1"/>
  <c r="C473" i="1"/>
  <c r="C474" i="1"/>
  <c r="C475" i="1"/>
  <c r="C476" i="1"/>
  <c r="C477" i="1"/>
  <c r="C478" i="1"/>
  <c r="C479" i="1"/>
  <c r="C480" i="1"/>
  <c r="C481" i="1"/>
  <c r="C482" i="1"/>
  <c r="C483" i="1"/>
  <c r="C484" i="1"/>
  <c r="C485" i="1"/>
  <c r="C486" i="1"/>
  <c r="C487" i="1"/>
  <c r="C488" i="1"/>
  <c r="C489" i="1"/>
  <c r="C490" i="1"/>
  <c r="C491" i="1"/>
  <c r="C492" i="1"/>
  <c r="C493" i="1"/>
  <c r="C494" i="1"/>
  <c r="C495" i="1"/>
  <c r="C496" i="1"/>
  <c r="C497" i="1"/>
  <c r="C498" i="1"/>
  <c r="C499" i="1"/>
  <c r="C500" i="1"/>
  <c r="C501" i="1"/>
  <c r="C502" i="1"/>
  <c r="C503" i="1"/>
  <c r="C504" i="1"/>
  <c r="C505" i="1"/>
  <c r="C506" i="1"/>
  <c r="C507" i="1"/>
  <c r="C508" i="1"/>
  <c r="C509" i="1"/>
  <c r="C510" i="1"/>
  <c r="C511" i="1"/>
  <c r="C512" i="1"/>
  <c r="C513" i="1"/>
  <c r="C514" i="1"/>
  <c r="C515" i="1"/>
  <c r="C516" i="1"/>
  <c r="C517" i="1"/>
  <c r="C518" i="1"/>
  <c r="C519" i="1"/>
  <c r="C520" i="1"/>
  <c r="C521" i="1"/>
  <c r="C522" i="1"/>
  <c r="C523" i="1"/>
  <c r="C524" i="1"/>
  <c r="C525" i="1"/>
  <c r="C526" i="1"/>
  <c r="C527" i="1"/>
  <c r="C528" i="1"/>
  <c r="C529" i="1"/>
  <c r="C530" i="1"/>
  <c r="C531" i="1"/>
  <c r="C532" i="1"/>
  <c r="C533" i="1"/>
  <c r="C534" i="1"/>
  <c r="C535" i="1"/>
  <c r="C536" i="1"/>
  <c r="C537" i="1"/>
  <c r="C538" i="1"/>
  <c r="C539" i="1"/>
  <c r="C540" i="1"/>
  <c r="C541" i="1"/>
  <c r="C542" i="1"/>
  <c r="C543" i="1"/>
  <c r="C544" i="1"/>
  <c r="C545" i="1"/>
  <c r="C546" i="1"/>
  <c r="C547" i="1"/>
  <c r="C548" i="1"/>
  <c r="C549" i="1"/>
  <c r="C550" i="1"/>
  <c r="C551" i="1"/>
  <c r="C552" i="1"/>
  <c r="C553" i="1"/>
  <c r="C554" i="1"/>
  <c r="C555" i="1"/>
  <c r="C556" i="1"/>
  <c r="C557" i="1"/>
  <c r="C558" i="1"/>
  <c r="C559" i="1"/>
  <c r="C560" i="1"/>
  <c r="C561" i="1"/>
  <c r="C562" i="1"/>
  <c r="C563" i="1"/>
  <c r="C564" i="1"/>
  <c r="C565" i="1"/>
  <c r="C566" i="1"/>
  <c r="C567" i="1"/>
  <c r="C568" i="1"/>
  <c r="C569" i="1"/>
  <c r="C570" i="1"/>
  <c r="C571" i="1"/>
  <c r="C572" i="1"/>
  <c r="C573" i="1"/>
  <c r="C574" i="1"/>
  <c r="C575" i="1"/>
  <c r="C576" i="1"/>
  <c r="C577" i="1"/>
  <c r="C578" i="1"/>
  <c r="C579" i="1"/>
  <c r="C580" i="1"/>
  <c r="C581" i="1"/>
  <c r="C582" i="1"/>
  <c r="C583" i="1"/>
  <c r="C584" i="1"/>
  <c r="C585" i="1"/>
  <c r="C586" i="1"/>
  <c r="C587" i="1"/>
  <c r="C588" i="1"/>
  <c r="C589" i="1"/>
  <c r="C590" i="1"/>
  <c r="C591" i="1"/>
  <c r="C592" i="1"/>
  <c r="C593" i="1"/>
  <c r="C594" i="1"/>
  <c r="C595" i="1"/>
  <c r="C596" i="1"/>
  <c r="C597" i="1"/>
  <c r="C598" i="1"/>
  <c r="C599" i="1"/>
  <c r="C600" i="1"/>
  <c r="C601" i="1"/>
  <c r="C602" i="1"/>
  <c r="C603" i="1"/>
  <c r="C604" i="1"/>
  <c r="C605" i="1"/>
  <c r="C606" i="1"/>
  <c r="C607" i="1"/>
  <c r="C608" i="1"/>
  <c r="C609" i="1"/>
  <c r="C610" i="1"/>
  <c r="C611" i="1"/>
  <c r="C612" i="1"/>
  <c r="C613" i="1"/>
  <c r="C614" i="1"/>
  <c r="C615" i="1"/>
  <c r="C616" i="1"/>
  <c r="C617" i="1"/>
  <c r="C618" i="1"/>
  <c r="C619" i="1"/>
  <c r="C620" i="1"/>
  <c r="C621" i="1"/>
  <c r="C622" i="1"/>
  <c r="C623" i="1"/>
  <c r="C624" i="1"/>
  <c r="C625" i="1"/>
  <c r="C626" i="1"/>
  <c r="C627" i="1"/>
  <c r="C628" i="1"/>
  <c r="C629" i="1"/>
  <c r="C630" i="1"/>
  <c r="C631" i="1"/>
  <c r="C632" i="1"/>
  <c r="C633" i="1"/>
  <c r="C634" i="1"/>
  <c r="C635" i="1"/>
  <c r="C636" i="1"/>
  <c r="C637" i="1"/>
  <c r="C638" i="1"/>
  <c r="C639" i="1"/>
  <c r="C640" i="1"/>
  <c r="C641" i="1"/>
  <c r="C642" i="1"/>
  <c r="C643" i="1"/>
  <c r="C644" i="1"/>
  <c r="C645" i="1"/>
  <c r="C646" i="1"/>
  <c r="C647" i="1"/>
  <c r="C648" i="1"/>
  <c r="C649" i="1"/>
  <c r="C650" i="1"/>
  <c r="C651" i="1"/>
  <c r="C652" i="1"/>
  <c r="C653" i="1"/>
  <c r="C654" i="1"/>
  <c r="C655" i="1"/>
  <c r="C656" i="1"/>
  <c r="C657" i="1"/>
  <c r="C658" i="1"/>
  <c r="C659" i="1"/>
  <c r="C660" i="1"/>
  <c r="C661" i="1"/>
  <c r="C662" i="1"/>
  <c r="C663" i="1"/>
  <c r="C664" i="1"/>
  <c r="C665" i="1"/>
  <c r="C666" i="1"/>
  <c r="C667" i="1"/>
  <c r="C668" i="1"/>
  <c r="C669" i="1"/>
  <c r="C670" i="1"/>
  <c r="C671" i="1"/>
  <c r="C672" i="1"/>
  <c r="C673" i="1"/>
  <c r="C674" i="1"/>
  <c r="C675" i="1"/>
  <c r="C676" i="1"/>
  <c r="C677" i="1"/>
  <c r="C678" i="1"/>
  <c r="C679" i="1"/>
  <c r="C680" i="1"/>
  <c r="C681" i="1"/>
  <c r="C682" i="1"/>
  <c r="C683" i="1"/>
  <c r="C684" i="1"/>
  <c r="C685" i="1"/>
  <c r="C686" i="1"/>
  <c r="C687" i="1"/>
  <c r="C688" i="1"/>
  <c r="C689" i="1"/>
  <c r="C690" i="1"/>
  <c r="C691" i="1"/>
  <c r="C692" i="1"/>
  <c r="C693" i="1"/>
  <c r="C694" i="1"/>
  <c r="C695" i="1"/>
  <c r="C696" i="1"/>
  <c r="C697" i="1"/>
  <c r="C698" i="1"/>
  <c r="C699" i="1"/>
  <c r="C700" i="1"/>
  <c r="C701" i="1"/>
  <c r="C702" i="1"/>
  <c r="C703" i="1"/>
  <c r="C704" i="1"/>
  <c r="C705" i="1"/>
  <c r="C706" i="1"/>
  <c r="C707" i="1"/>
  <c r="C708" i="1"/>
  <c r="C709" i="1"/>
  <c r="C710" i="1"/>
  <c r="C711" i="1"/>
  <c r="C712" i="1"/>
  <c r="C713" i="1"/>
  <c r="C714" i="1"/>
  <c r="C715" i="1"/>
  <c r="C716" i="1"/>
  <c r="C717" i="1"/>
  <c r="C718" i="1"/>
  <c r="C719" i="1"/>
  <c r="C720" i="1"/>
  <c r="C721" i="1"/>
  <c r="C722" i="1"/>
  <c r="C723" i="1"/>
  <c r="C724" i="1"/>
  <c r="C725" i="1"/>
  <c r="C726" i="1"/>
  <c r="C727" i="1"/>
  <c r="C728" i="1"/>
  <c r="C729" i="1"/>
  <c r="C730" i="1"/>
  <c r="C731" i="1"/>
  <c r="C732" i="1"/>
  <c r="C733" i="1"/>
  <c r="C734" i="1"/>
  <c r="C735" i="1"/>
  <c r="C736" i="1"/>
  <c r="C737" i="1"/>
  <c r="C738" i="1"/>
  <c r="C739" i="1"/>
  <c r="C740" i="1"/>
  <c r="C741" i="1"/>
  <c r="C742" i="1"/>
  <c r="C743" i="1"/>
  <c r="C744" i="1"/>
  <c r="C745" i="1"/>
  <c r="C746" i="1"/>
  <c r="C747" i="1"/>
  <c r="C748" i="1"/>
  <c r="C749" i="1"/>
  <c r="C750" i="1"/>
  <c r="C751" i="1"/>
  <c r="C752" i="1"/>
  <c r="C753" i="1"/>
  <c r="C754" i="1"/>
  <c r="C755" i="1"/>
  <c r="C756" i="1"/>
  <c r="C757" i="1"/>
  <c r="C758" i="1"/>
  <c r="C759" i="1"/>
  <c r="C760" i="1"/>
  <c r="C761" i="1"/>
  <c r="C762" i="1"/>
  <c r="C763" i="1"/>
  <c r="C764" i="1"/>
  <c r="C765" i="1"/>
  <c r="C766" i="1"/>
  <c r="C767" i="1"/>
  <c r="C768" i="1"/>
  <c r="C769" i="1"/>
  <c r="C770" i="1"/>
  <c r="C771" i="1"/>
  <c r="C772" i="1"/>
  <c r="C773" i="1"/>
  <c r="C774" i="1"/>
  <c r="C775" i="1"/>
  <c r="C776" i="1"/>
  <c r="C777" i="1"/>
  <c r="C778" i="1"/>
  <c r="C779" i="1"/>
  <c r="C780" i="1"/>
  <c r="C781" i="1"/>
  <c r="C782" i="1"/>
  <c r="C783" i="1"/>
  <c r="C784" i="1"/>
  <c r="C785" i="1"/>
  <c r="C786" i="1"/>
  <c r="C787" i="1"/>
  <c r="C788" i="1"/>
  <c r="C789" i="1"/>
  <c r="C790" i="1"/>
  <c r="C791" i="1"/>
  <c r="C792" i="1"/>
  <c r="C793" i="1"/>
  <c r="C794" i="1"/>
  <c r="C795" i="1"/>
  <c r="C796" i="1"/>
  <c r="C797" i="1"/>
  <c r="C798" i="1"/>
  <c r="C799" i="1"/>
  <c r="C800" i="1"/>
  <c r="C801" i="1"/>
  <c r="C802" i="1"/>
  <c r="C803" i="1"/>
  <c r="C804" i="1"/>
  <c r="C805" i="1"/>
  <c r="C806" i="1"/>
  <c r="C807" i="1"/>
  <c r="C808" i="1"/>
  <c r="C809" i="1"/>
  <c r="C810" i="1"/>
  <c r="C811" i="1"/>
  <c r="C812" i="1"/>
  <c r="C813" i="1"/>
  <c r="C814" i="1"/>
  <c r="C815" i="1"/>
  <c r="C816" i="1"/>
  <c r="C817" i="1"/>
  <c r="C818" i="1"/>
  <c r="C819" i="1"/>
  <c r="C820" i="1"/>
  <c r="C821" i="1"/>
  <c r="C822" i="1"/>
  <c r="C823" i="1"/>
  <c r="C824" i="1"/>
  <c r="C825" i="1"/>
  <c r="C826" i="1"/>
  <c r="C827" i="1"/>
  <c r="C828" i="1"/>
  <c r="C829" i="1"/>
  <c r="C830" i="1"/>
  <c r="C831" i="1"/>
  <c r="C832" i="1"/>
  <c r="C833" i="1"/>
  <c r="C834" i="1"/>
  <c r="C835" i="1"/>
  <c r="C836" i="1"/>
  <c r="C837" i="1"/>
  <c r="C838" i="1"/>
  <c r="C839" i="1"/>
  <c r="C840" i="1"/>
  <c r="C841" i="1"/>
  <c r="C842" i="1"/>
  <c r="C843" i="1"/>
  <c r="C844" i="1"/>
  <c r="C845" i="1"/>
  <c r="C846" i="1"/>
  <c r="C847" i="1"/>
  <c r="C848" i="1"/>
  <c r="C849" i="1"/>
  <c r="C850" i="1"/>
  <c r="C851" i="1"/>
  <c r="C852" i="1"/>
  <c r="C853" i="1"/>
  <c r="C854" i="1"/>
  <c r="C855" i="1"/>
  <c r="C856" i="1"/>
  <c r="C857" i="1"/>
  <c r="C858" i="1"/>
  <c r="C859" i="1"/>
  <c r="C860" i="1"/>
  <c r="C861" i="1"/>
  <c r="C862" i="1"/>
  <c r="C863" i="1"/>
  <c r="C864" i="1"/>
  <c r="C865" i="1"/>
  <c r="C866" i="1"/>
  <c r="C867" i="1"/>
  <c r="C868" i="1"/>
  <c r="C869" i="1"/>
  <c r="C870" i="1"/>
  <c r="C871" i="1"/>
  <c r="C872" i="1"/>
  <c r="C873" i="1"/>
  <c r="C874" i="1"/>
  <c r="C875" i="1"/>
  <c r="C876" i="1"/>
  <c r="C877" i="1"/>
  <c r="C878" i="1"/>
  <c r="C879" i="1"/>
  <c r="C880" i="1"/>
  <c r="C881" i="1"/>
  <c r="C882" i="1"/>
  <c r="C883" i="1"/>
  <c r="C884" i="1"/>
  <c r="C885" i="1"/>
  <c r="C886" i="1"/>
  <c r="C887" i="1"/>
  <c r="C888" i="1"/>
  <c r="C889" i="1"/>
  <c r="C890" i="1"/>
  <c r="C891" i="1"/>
  <c r="C892" i="1"/>
  <c r="C893" i="1"/>
  <c r="C894" i="1"/>
  <c r="C895" i="1"/>
  <c r="C896" i="1"/>
  <c r="C897" i="1"/>
  <c r="C898" i="1"/>
  <c r="C899" i="1"/>
  <c r="C900" i="1"/>
  <c r="C901" i="1"/>
  <c r="C902" i="1"/>
  <c r="C903" i="1"/>
  <c r="C904" i="1"/>
  <c r="C905" i="1"/>
  <c r="C906" i="1"/>
  <c r="C907" i="1"/>
  <c r="C908" i="1"/>
  <c r="C909" i="1"/>
  <c r="C910" i="1"/>
  <c r="C911" i="1"/>
  <c r="C912" i="1"/>
  <c r="C913" i="1"/>
  <c r="C914" i="1"/>
  <c r="C915" i="1"/>
  <c r="C916" i="1"/>
  <c r="C917" i="1"/>
  <c r="C918" i="1"/>
  <c r="C919" i="1"/>
  <c r="C920" i="1"/>
  <c r="C921" i="1"/>
  <c r="C922" i="1"/>
  <c r="C923" i="1"/>
  <c r="C924" i="1"/>
  <c r="C925" i="1"/>
  <c r="C926" i="1"/>
  <c r="C927" i="1"/>
  <c r="C928" i="1"/>
  <c r="C929" i="1"/>
  <c r="C930" i="1"/>
  <c r="C931" i="1"/>
  <c r="C932" i="1"/>
  <c r="C933" i="1"/>
  <c r="C934" i="1"/>
  <c r="C935" i="1"/>
  <c r="C936" i="1"/>
  <c r="C937" i="1"/>
  <c r="C938" i="1"/>
  <c r="C939" i="1"/>
  <c r="C940" i="1"/>
  <c r="C941" i="1"/>
  <c r="C942" i="1"/>
  <c r="C943" i="1"/>
  <c r="C944" i="1"/>
  <c r="C945" i="1"/>
  <c r="C946" i="1"/>
  <c r="C947" i="1"/>
  <c r="C948" i="1"/>
  <c r="C949" i="1"/>
  <c r="C950" i="1"/>
  <c r="C951" i="1"/>
  <c r="C952" i="1"/>
  <c r="C953" i="1"/>
  <c r="C954" i="1"/>
  <c r="C955" i="1"/>
  <c r="C956" i="1"/>
  <c r="C957" i="1"/>
  <c r="C958" i="1"/>
  <c r="C959" i="1"/>
  <c r="C960" i="1"/>
  <c r="C961" i="1"/>
  <c r="C962" i="1"/>
  <c r="C963" i="1"/>
  <c r="C964" i="1"/>
  <c r="C965" i="1"/>
  <c r="C966" i="1"/>
  <c r="C967" i="1"/>
  <c r="C968" i="1"/>
  <c r="C969" i="1"/>
  <c r="C970" i="1"/>
  <c r="C971" i="1"/>
  <c r="C972" i="1"/>
  <c r="C973" i="1"/>
  <c r="C974" i="1"/>
  <c r="C975" i="1"/>
  <c r="C976" i="1"/>
  <c r="C977" i="1"/>
  <c r="C978" i="1"/>
  <c r="C979" i="1"/>
  <c r="C980" i="1"/>
  <c r="C981" i="1"/>
  <c r="C982" i="1"/>
  <c r="C983" i="1"/>
  <c r="C984" i="1"/>
  <c r="C985" i="1"/>
  <c r="C986" i="1"/>
  <c r="C987" i="1"/>
  <c r="C988" i="1"/>
  <c r="C989" i="1"/>
  <c r="C990" i="1"/>
  <c r="C991" i="1"/>
  <c r="C992" i="1"/>
  <c r="C993" i="1"/>
  <c r="C994" i="1"/>
  <c r="C995" i="1"/>
  <c r="C996" i="1"/>
  <c r="C997" i="1"/>
  <c r="C998" i="1"/>
  <c r="C999" i="1"/>
  <c r="C1000" i="1"/>
  <c r="C1001" i="1"/>
  <c r="C1002" i="1"/>
  <c r="C1003" i="1"/>
  <c r="C1004" i="1"/>
  <c r="C1005" i="1"/>
  <c r="C1006" i="1"/>
  <c r="C1007" i="1"/>
  <c r="C1008" i="1"/>
  <c r="C1009" i="1"/>
  <c r="C1010" i="1"/>
  <c r="C1011" i="1"/>
  <c r="C1012" i="1"/>
  <c r="C1013" i="1"/>
  <c r="C1014" i="1"/>
  <c r="C1015" i="1"/>
  <c r="C1016" i="1"/>
  <c r="C1017" i="1"/>
  <c r="C1018" i="1"/>
  <c r="C1019" i="1"/>
  <c r="C1020" i="1"/>
  <c r="C1021" i="1"/>
  <c r="C1022" i="1"/>
  <c r="C1023" i="1"/>
  <c r="C1024" i="1"/>
  <c r="C1025" i="1"/>
  <c r="C1026" i="1"/>
  <c r="C1027" i="1"/>
  <c r="C1028" i="1"/>
  <c r="C1029" i="1"/>
  <c r="C1030" i="1"/>
  <c r="C1031" i="1"/>
  <c r="C1032" i="1"/>
  <c r="C1033" i="1"/>
  <c r="C1034" i="1"/>
  <c r="C1035" i="1"/>
  <c r="C1036" i="1"/>
  <c r="C1037" i="1"/>
  <c r="C1038" i="1"/>
  <c r="C1039" i="1"/>
  <c r="C1040" i="1"/>
  <c r="C1041" i="1"/>
  <c r="C1042" i="1"/>
  <c r="C1043" i="1"/>
  <c r="C1044" i="1"/>
  <c r="C1045" i="1"/>
  <c r="C1046" i="1"/>
  <c r="C1047" i="1"/>
  <c r="C1048" i="1"/>
  <c r="C1049" i="1"/>
  <c r="C1050" i="1"/>
  <c r="C1051" i="1"/>
  <c r="C1052" i="1"/>
  <c r="C1053" i="1"/>
  <c r="C1054" i="1"/>
  <c r="C1055" i="1"/>
  <c r="C1056" i="1"/>
  <c r="C1057" i="1"/>
  <c r="C1058" i="1"/>
  <c r="C1059" i="1"/>
  <c r="C1060" i="1"/>
  <c r="C1061" i="1"/>
  <c r="C1062" i="1"/>
  <c r="C1063" i="1"/>
  <c r="C1064" i="1"/>
  <c r="C1065" i="1"/>
  <c r="C1066" i="1"/>
  <c r="C1067" i="1"/>
  <c r="C1068" i="1"/>
  <c r="C1069" i="1"/>
  <c r="C1070" i="1"/>
  <c r="C1071" i="1"/>
  <c r="C1072" i="1"/>
  <c r="C1073" i="1"/>
  <c r="C1074" i="1"/>
  <c r="C1075" i="1"/>
  <c r="C1076" i="1"/>
  <c r="C1077" i="1"/>
  <c r="C1078" i="1"/>
  <c r="C1079" i="1"/>
  <c r="C1080" i="1"/>
  <c r="C1081" i="1"/>
  <c r="C1082" i="1"/>
  <c r="C1083" i="1"/>
  <c r="C1084" i="1"/>
  <c r="C1085" i="1"/>
  <c r="C1086" i="1"/>
  <c r="C1087" i="1"/>
  <c r="C1088" i="1"/>
  <c r="C1089" i="1"/>
  <c r="C1090" i="1"/>
  <c r="C1091" i="1"/>
  <c r="C1092" i="1"/>
  <c r="C1093" i="1"/>
  <c r="C1094" i="1"/>
  <c r="C1095" i="1"/>
  <c r="C1096" i="1"/>
  <c r="C1097" i="1"/>
  <c r="C1098" i="1"/>
  <c r="C1099" i="1"/>
  <c r="C1100" i="1"/>
  <c r="C1101" i="1"/>
  <c r="C1102" i="1"/>
  <c r="C1103" i="1"/>
  <c r="C1104" i="1"/>
  <c r="C1105" i="1"/>
  <c r="C1106" i="1"/>
  <c r="C1107" i="1"/>
  <c r="C1108" i="1"/>
  <c r="C1109" i="1"/>
  <c r="C1110" i="1"/>
  <c r="C1111" i="1"/>
  <c r="C1112" i="1"/>
  <c r="C1113" i="1"/>
  <c r="C1114" i="1"/>
  <c r="C1115" i="1"/>
  <c r="C1116" i="1"/>
  <c r="C1117" i="1"/>
  <c r="C1118" i="1"/>
  <c r="C1119" i="1"/>
  <c r="C1120" i="1"/>
  <c r="C1121" i="1"/>
  <c r="C1122" i="1"/>
  <c r="C1123" i="1"/>
  <c r="C1124" i="1"/>
  <c r="C1125" i="1"/>
  <c r="C1126" i="1"/>
  <c r="C1127" i="1"/>
  <c r="C1128" i="1"/>
  <c r="C1129" i="1"/>
  <c r="C1130" i="1"/>
  <c r="C1131" i="1"/>
  <c r="C1132" i="1"/>
  <c r="C1133" i="1"/>
  <c r="C1134" i="1"/>
  <c r="C1135" i="1"/>
  <c r="C1136" i="1"/>
  <c r="C1137" i="1"/>
  <c r="C1138" i="1"/>
  <c r="C1139" i="1"/>
  <c r="C1140" i="1"/>
  <c r="C1141" i="1"/>
  <c r="C1142" i="1"/>
  <c r="C1143" i="1"/>
  <c r="C1144" i="1"/>
  <c r="C1145" i="1"/>
  <c r="C1146" i="1"/>
  <c r="C1147" i="1"/>
  <c r="C1148" i="1"/>
  <c r="C1149" i="1"/>
  <c r="C1150" i="1"/>
  <c r="C1151" i="1"/>
  <c r="C1152" i="1"/>
  <c r="C1153" i="1"/>
  <c r="C1154" i="1"/>
  <c r="C1155" i="1"/>
  <c r="C1156" i="1"/>
  <c r="C1157" i="1"/>
  <c r="C1158" i="1"/>
  <c r="C1159" i="1"/>
  <c r="C1160" i="1"/>
  <c r="C1161" i="1"/>
  <c r="C1162" i="1"/>
  <c r="C1163" i="1"/>
  <c r="C1164" i="1"/>
  <c r="C1165" i="1"/>
  <c r="C1166" i="1"/>
  <c r="C1167" i="1"/>
  <c r="C1168" i="1"/>
  <c r="C1169" i="1"/>
  <c r="C1170" i="1"/>
  <c r="C1171" i="1"/>
  <c r="C1172" i="1"/>
  <c r="C1173" i="1"/>
  <c r="C1174" i="1"/>
  <c r="C1175" i="1"/>
  <c r="C1176" i="1"/>
  <c r="C1177" i="1"/>
  <c r="C1178" i="1"/>
  <c r="C1179" i="1"/>
  <c r="C1180" i="1"/>
  <c r="C1181" i="1"/>
  <c r="C1182" i="1"/>
  <c r="C1183" i="1"/>
  <c r="C1184" i="1"/>
  <c r="C1185" i="1"/>
  <c r="C1186" i="1"/>
  <c r="C1187" i="1"/>
  <c r="C1188" i="1"/>
  <c r="C1189" i="1"/>
  <c r="C1190" i="1"/>
  <c r="C1191" i="1"/>
  <c r="C1192" i="1"/>
  <c r="C1193" i="1"/>
  <c r="C1194" i="1"/>
  <c r="C1195" i="1"/>
  <c r="C1196" i="1"/>
  <c r="C1197" i="1"/>
  <c r="C1198" i="1"/>
  <c r="C1199" i="1"/>
  <c r="C1200" i="1"/>
  <c r="C1201" i="1"/>
  <c r="C1202" i="1"/>
  <c r="C1203" i="1"/>
  <c r="C1204" i="1"/>
  <c r="C1205" i="1"/>
  <c r="C1206" i="1"/>
  <c r="C1207" i="1"/>
  <c r="C1208" i="1"/>
  <c r="C1209" i="1"/>
  <c r="C1210" i="1"/>
  <c r="C1211" i="1"/>
  <c r="C1212" i="1"/>
  <c r="C1213" i="1"/>
  <c r="C1214" i="1"/>
  <c r="C1215" i="1"/>
  <c r="C1216" i="1"/>
  <c r="C1217" i="1"/>
  <c r="C1218" i="1"/>
  <c r="C1219" i="1"/>
  <c r="C1220" i="1"/>
  <c r="C1221" i="1"/>
  <c r="C1222" i="1"/>
  <c r="C1223" i="1"/>
  <c r="C1224" i="1"/>
  <c r="C1225" i="1"/>
  <c r="C1226" i="1"/>
  <c r="C1227" i="1"/>
  <c r="C1228" i="1"/>
  <c r="C1229" i="1"/>
  <c r="C1230" i="1"/>
  <c r="C1231" i="1"/>
  <c r="C1232" i="1"/>
  <c r="C1233" i="1"/>
  <c r="C1234" i="1"/>
  <c r="C1235" i="1"/>
  <c r="C1236" i="1"/>
  <c r="C1237" i="1"/>
  <c r="C1238" i="1"/>
  <c r="C1239" i="1"/>
  <c r="C1240" i="1"/>
  <c r="C1241" i="1"/>
  <c r="C1242" i="1"/>
  <c r="C1243" i="1"/>
  <c r="C1244" i="1"/>
  <c r="C1245" i="1"/>
  <c r="C1246" i="1"/>
  <c r="C1247" i="1"/>
  <c r="C1248" i="1"/>
  <c r="C1249" i="1"/>
  <c r="C1250" i="1"/>
  <c r="C1251" i="1"/>
  <c r="C1252" i="1"/>
  <c r="C1253" i="1"/>
  <c r="C1254" i="1"/>
  <c r="C1255" i="1"/>
  <c r="C1256" i="1"/>
  <c r="C1257" i="1"/>
  <c r="C1258" i="1"/>
  <c r="C1259" i="1"/>
  <c r="C1260" i="1"/>
  <c r="C1261" i="1"/>
  <c r="C1262" i="1"/>
  <c r="C1263" i="1"/>
  <c r="C1264" i="1"/>
  <c r="C1265" i="1"/>
  <c r="C1266" i="1"/>
  <c r="C1267" i="1"/>
  <c r="C1268" i="1"/>
  <c r="C1269" i="1"/>
  <c r="C1270" i="1"/>
  <c r="C1271" i="1"/>
  <c r="C1272" i="1"/>
  <c r="C1273" i="1"/>
  <c r="C1274" i="1"/>
  <c r="C1275" i="1"/>
  <c r="C1276" i="1"/>
  <c r="C1277" i="1"/>
  <c r="C1278" i="1"/>
  <c r="C1279" i="1"/>
  <c r="C1280" i="1"/>
  <c r="C1281" i="1"/>
  <c r="C1282" i="1"/>
  <c r="C1283" i="1"/>
  <c r="C1284" i="1"/>
  <c r="C1285" i="1"/>
  <c r="C1286" i="1"/>
  <c r="C1287" i="1"/>
  <c r="C1288" i="1"/>
  <c r="C1289" i="1"/>
  <c r="C1290" i="1"/>
  <c r="C1291" i="1"/>
  <c r="C1292" i="1"/>
  <c r="C1293" i="1"/>
  <c r="C1294" i="1"/>
  <c r="C1295" i="1"/>
  <c r="C1296" i="1"/>
  <c r="C1297" i="1"/>
  <c r="C1298" i="1"/>
  <c r="C1299" i="1"/>
  <c r="C1300" i="1"/>
  <c r="C1301" i="1"/>
  <c r="C1302" i="1"/>
  <c r="C1303" i="1"/>
  <c r="C1304" i="1"/>
  <c r="C1305" i="1"/>
  <c r="C1306" i="1"/>
  <c r="C1307" i="1"/>
  <c r="C1308" i="1"/>
  <c r="C1309" i="1"/>
  <c r="C1310" i="1"/>
  <c r="C1311" i="1"/>
  <c r="C1312" i="1"/>
  <c r="C1313" i="1"/>
  <c r="C1314" i="1"/>
  <c r="C1315" i="1"/>
  <c r="C1316" i="1"/>
  <c r="C1317" i="1"/>
  <c r="C1318" i="1"/>
  <c r="C1319" i="1"/>
  <c r="C1320" i="1"/>
  <c r="C1321" i="1"/>
  <c r="C1322" i="1"/>
  <c r="C1323" i="1"/>
  <c r="C1324" i="1"/>
  <c r="C1325" i="1"/>
  <c r="C1326" i="1"/>
  <c r="C1327" i="1"/>
  <c r="C1328" i="1"/>
  <c r="C1329" i="1"/>
  <c r="C1330" i="1"/>
  <c r="C1331" i="1"/>
  <c r="C1332" i="1"/>
  <c r="C1333" i="1"/>
  <c r="C1334" i="1"/>
  <c r="C1335" i="1"/>
  <c r="C1336" i="1"/>
  <c r="C1337" i="1"/>
  <c r="C1338" i="1"/>
  <c r="C1339" i="1"/>
  <c r="C1340" i="1"/>
  <c r="C1341" i="1"/>
  <c r="C1342" i="1"/>
  <c r="C1343" i="1"/>
  <c r="C1344" i="1"/>
  <c r="C1345" i="1"/>
  <c r="C1346" i="1"/>
  <c r="C1347" i="1"/>
  <c r="C1348" i="1"/>
  <c r="C1349" i="1"/>
  <c r="C1350" i="1"/>
  <c r="C1351" i="1"/>
  <c r="C1352" i="1"/>
  <c r="C1353" i="1"/>
  <c r="C1354" i="1"/>
  <c r="C1355" i="1"/>
  <c r="C1356" i="1"/>
  <c r="C1357" i="1"/>
  <c r="C1358" i="1"/>
  <c r="C1359" i="1"/>
  <c r="C1360" i="1"/>
  <c r="C1361" i="1"/>
  <c r="C1362" i="1"/>
  <c r="C1363" i="1"/>
  <c r="C1364" i="1"/>
  <c r="C1365" i="1"/>
  <c r="C1366" i="1"/>
  <c r="C1367" i="1"/>
  <c r="C1368" i="1"/>
  <c r="C1369" i="1"/>
  <c r="C1370" i="1"/>
  <c r="C1371" i="1"/>
  <c r="C1372" i="1"/>
  <c r="C1373" i="1"/>
  <c r="C1374" i="1"/>
  <c r="C1375" i="1"/>
  <c r="C1376" i="1"/>
  <c r="C1377" i="1"/>
  <c r="C1378" i="1"/>
  <c r="C1379" i="1"/>
  <c r="C1380" i="1"/>
  <c r="C1381" i="1"/>
  <c r="C1382" i="1"/>
  <c r="C1383" i="1"/>
  <c r="C1384" i="1"/>
  <c r="C1385" i="1"/>
  <c r="C1386" i="1"/>
  <c r="C1387" i="1"/>
  <c r="C1388" i="1"/>
  <c r="C1389" i="1"/>
  <c r="C1390" i="1"/>
  <c r="C1391" i="1"/>
  <c r="C1392" i="1"/>
  <c r="C1393" i="1"/>
  <c r="C1394" i="1"/>
  <c r="C1395" i="1"/>
  <c r="C1396" i="1"/>
  <c r="C1397" i="1"/>
  <c r="C1398" i="1"/>
  <c r="C1399" i="1"/>
  <c r="C1400" i="1"/>
  <c r="C1401" i="1"/>
  <c r="C1402" i="1"/>
  <c r="C1403" i="1"/>
  <c r="C1404" i="1"/>
  <c r="C1405" i="1"/>
  <c r="C1406" i="1"/>
  <c r="C1407" i="1"/>
  <c r="C1408" i="1"/>
  <c r="C1409" i="1"/>
  <c r="C1410" i="1"/>
  <c r="C1411" i="1"/>
  <c r="C1412" i="1"/>
  <c r="C1413" i="1"/>
  <c r="C1414" i="1"/>
  <c r="C1415" i="1"/>
  <c r="C1416" i="1"/>
  <c r="C1417" i="1"/>
  <c r="C1418" i="1"/>
  <c r="C1419" i="1"/>
  <c r="C1420" i="1"/>
  <c r="C1421" i="1"/>
  <c r="C1422" i="1"/>
  <c r="C1423" i="1"/>
  <c r="C1424" i="1"/>
  <c r="C1425" i="1"/>
  <c r="C1426" i="1"/>
  <c r="C1427" i="1"/>
  <c r="C1428" i="1"/>
  <c r="C1429" i="1"/>
  <c r="C1430" i="1"/>
  <c r="C1431" i="1"/>
  <c r="C1432" i="1"/>
  <c r="C1433" i="1"/>
  <c r="C1434" i="1"/>
  <c r="C1435" i="1"/>
  <c r="C1436" i="1"/>
  <c r="C1437" i="1"/>
  <c r="C1438" i="1"/>
  <c r="C1439" i="1"/>
  <c r="C1440" i="1"/>
  <c r="C1441" i="1"/>
  <c r="C1442" i="1"/>
  <c r="C1443" i="1"/>
  <c r="C1444" i="1"/>
  <c r="C1445" i="1"/>
  <c r="C1446" i="1"/>
  <c r="C1447" i="1"/>
  <c r="C1448" i="1"/>
  <c r="C1449" i="1"/>
  <c r="C1450" i="1"/>
  <c r="C1451" i="1"/>
  <c r="C1452" i="1"/>
  <c r="C1453" i="1"/>
  <c r="C1454" i="1"/>
  <c r="C1455" i="1"/>
  <c r="C1456" i="1"/>
  <c r="C1457" i="1"/>
  <c r="C1458" i="1"/>
  <c r="C1459" i="1"/>
  <c r="C1460" i="1"/>
  <c r="C1461" i="1"/>
  <c r="C1462" i="1"/>
  <c r="C1463" i="1"/>
  <c r="C1464" i="1"/>
  <c r="C1465" i="1"/>
  <c r="C1466" i="1"/>
  <c r="C1467" i="1"/>
  <c r="C1468" i="1"/>
  <c r="C1469" i="1"/>
  <c r="C1470" i="1"/>
  <c r="C1471" i="1"/>
  <c r="C1472" i="1"/>
  <c r="C1473" i="1"/>
  <c r="C1474" i="1"/>
  <c r="C1475" i="1"/>
  <c r="C1476" i="1"/>
  <c r="C1477" i="1"/>
  <c r="C1478" i="1"/>
  <c r="C1479" i="1"/>
  <c r="C1480" i="1"/>
  <c r="C1481" i="1"/>
  <c r="C1482" i="1"/>
  <c r="C1483" i="1"/>
  <c r="C1484" i="1"/>
  <c r="C1485" i="1"/>
  <c r="C1486" i="1"/>
  <c r="C1487" i="1"/>
  <c r="C1488" i="1"/>
  <c r="C1489" i="1"/>
  <c r="C1490" i="1"/>
  <c r="C1491" i="1"/>
  <c r="C1492" i="1"/>
  <c r="C1493" i="1"/>
  <c r="C1494" i="1"/>
  <c r="C1495" i="1"/>
  <c r="C1496" i="1"/>
  <c r="C1497" i="1"/>
  <c r="C1498" i="1"/>
  <c r="C1499" i="1"/>
  <c r="C1500" i="1"/>
  <c r="C1501" i="1"/>
  <c r="C1502" i="1"/>
  <c r="C1503" i="1"/>
  <c r="C1504" i="1"/>
  <c r="C1505" i="1"/>
  <c r="C1506" i="1"/>
  <c r="C1507" i="1"/>
  <c r="C1508" i="1"/>
  <c r="C1509" i="1"/>
  <c r="C1510" i="1"/>
  <c r="C1511" i="1"/>
  <c r="C1512" i="1"/>
  <c r="C1513" i="1"/>
  <c r="C1514" i="1"/>
  <c r="C1515" i="1"/>
  <c r="C1516" i="1"/>
  <c r="C1517" i="1"/>
  <c r="C1518" i="1"/>
  <c r="C1519" i="1"/>
  <c r="C1520" i="1"/>
  <c r="C1521" i="1"/>
  <c r="C1522" i="1"/>
  <c r="C1523" i="1"/>
  <c r="C1524" i="1"/>
  <c r="C1525" i="1"/>
  <c r="C1526" i="1"/>
  <c r="C1527" i="1"/>
  <c r="C1528" i="1"/>
  <c r="C1529" i="1"/>
  <c r="C1530" i="1"/>
  <c r="C1531" i="1"/>
  <c r="C1532" i="1"/>
  <c r="C1533" i="1"/>
  <c r="C1534" i="1"/>
  <c r="C1535" i="1"/>
  <c r="C1536" i="1"/>
  <c r="C1537" i="1"/>
  <c r="C1538" i="1"/>
  <c r="C1539" i="1"/>
  <c r="C1540" i="1"/>
  <c r="C1541" i="1"/>
  <c r="C1542" i="1"/>
  <c r="C1543" i="1"/>
  <c r="C1544" i="1"/>
  <c r="C1545" i="1"/>
  <c r="C1546" i="1"/>
  <c r="C1547" i="1"/>
  <c r="C1548" i="1"/>
  <c r="C1549" i="1"/>
  <c r="C1550" i="1"/>
  <c r="C1551" i="1"/>
  <c r="C1552" i="1"/>
  <c r="C1553" i="1"/>
  <c r="C1554" i="1"/>
  <c r="C1555" i="1"/>
  <c r="C1556" i="1"/>
  <c r="C1557" i="1"/>
  <c r="C1558" i="1"/>
  <c r="C1559" i="1"/>
  <c r="C1560" i="1"/>
  <c r="C1561" i="1"/>
  <c r="C1562" i="1"/>
  <c r="C1563" i="1"/>
  <c r="C1564" i="1"/>
  <c r="C1565" i="1"/>
  <c r="C1566" i="1"/>
  <c r="C1567" i="1"/>
  <c r="C1568" i="1"/>
  <c r="C1569" i="1"/>
  <c r="C1570" i="1"/>
  <c r="C1571" i="1"/>
  <c r="C1572" i="1"/>
  <c r="C1573" i="1"/>
  <c r="C1574" i="1"/>
  <c r="C1575" i="1"/>
  <c r="C1576" i="1"/>
  <c r="C1577" i="1"/>
  <c r="C1578" i="1"/>
  <c r="C1579" i="1"/>
  <c r="C1580" i="1"/>
  <c r="C1581" i="1"/>
  <c r="C1582" i="1"/>
  <c r="C1583" i="1"/>
  <c r="C1584" i="1"/>
  <c r="C1585" i="1"/>
  <c r="C1586" i="1"/>
  <c r="C1587" i="1"/>
  <c r="C1588" i="1"/>
  <c r="C1589" i="1"/>
  <c r="C1590" i="1"/>
  <c r="C1591" i="1"/>
  <c r="C1592" i="1"/>
  <c r="C1593" i="1"/>
  <c r="C1594" i="1"/>
  <c r="C1595" i="1"/>
  <c r="C1596" i="1"/>
  <c r="C1597" i="1"/>
  <c r="C1598" i="1"/>
  <c r="C1599" i="1"/>
  <c r="C1600" i="1"/>
  <c r="C1601" i="1"/>
  <c r="C1602" i="1"/>
  <c r="C1603" i="1"/>
  <c r="C1604" i="1"/>
  <c r="C1605" i="1"/>
  <c r="C1606" i="1"/>
  <c r="C1607" i="1"/>
  <c r="C1608" i="1"/>
  <c r="C1609" i="1"/>
  <c r="C1610" i="1"/>
  <c r="C1611" i="1"/>
  <c r="C1612" i="1"/>
  <c r="C1613" i="1"/>
  <c r="C1614" i="1"/>
  <c r="C1615" i="1"/>
  <c r="C1616" i="1"/>
  <c r="C1617" i="1"/>
  <c r="C1618" i="1"/>
  <c r="C1619" i="1"/>
  <c r="C1620" i="1"/>
  <c r="C1621" i="1"/>
  <c r="C1622" i="1"/>
  <c r="C1623" i="1"/>
  <c r="C1624" i="1"/>
  <c r="C1625" i="1"/>
  <c r="C1626" i="1"/>
  <c r="C1627" i="1"/>
  <c r="C1628" i="1"/>
  <c r="C1629" i="1"/>
  <c r="C1630" i="1"/>
  <c r="C1631" i="1"/>
  <c r="C1632" i="1"/>
  <c r="C1633" i="1"/>
  <c r="C1634" i="1"/>
  <c r="C1635" i="1"/>
  <c r="C1636" i="1"/>
  <c r="C1637" i="1"/>
  <c r="C1638" i="1"/>
  <c r="C1639" i="1"/>
  <c r="C1640" i="1"/>
  <c r="C1641" i="1"/>
  <c r="C1642" i="1"/>
  <c r="C1643" i="1"/>
  <c r="C1644" i="1"/>
  <c r="C1645" i="1"/>
  <c r="C1646" i="1"/>
  <c r="C1647" i="1"/>
  <c r="C1648" i="1"/>
  <c r="C1649" i="1"/>
  <c r="C1650" i="1"/>
  <c r="C1651" i="1"/>
  <c r="C1652" i="1"/>
  <c r="C1653" i="1"/>
  <c r="C1654" i="1"/>
  <c r="C1655" i="1"/>
  <c r="C1656" i="1"/>
  <c r="C1657" i="1"/>
  <c r="C1658" i="1"/>
  <c r="C1659" i="1"/>
  <c r="C1660" i="1"/>
  <c r="C1661" i="1"/>
  <c r="C1662" i="1"/>
  <c r="C1663" i="1"/>
  <c r="C1664" i="1"/>
  <c r="C1665" i="1"/>
  <c r="C1666" i="1"/>
  <c r="C1667" i="1"/>
  <c r="C1668" i="1"/>
  <c r="C1669" i="1"/>
  <c r="C1670" i="1"/>
  <c r="C1671" i="1"/>
  <c r="C1672" i="1"/>
  <c r="C1673" i="1"/>
  <c r="C1674" i="1"/>
  <c r="C1675" i="1"/>
  <c r="C1676" i="1"/>
  <c r="C1677" i="1"/>
  <c r="C1678" i="1"/>
  <c r="C1679" i="1"/>
  <c r="C1680" i="1"/>
  <c r="C1681" i="1"/>
  <c r="C1682" i="1"/>
  <c r="C1683" i="1"/>
  <c r="C1684" i="1"/>
  <c r="C1685" i="1"/>
  <c r="C1686" i="1"/>
  <c r="C1687" i="1"/>
  <c r="C1688" i="1"/>
  <c r="C1689" i="1"/>
  <c r="C1690" i="1"/>
  <c r="C1691" i="1"/>
  <c r="C1692" i="1"/>
  <c r="C1693" i="1"/>
  <c r="C1694" i="1"/>
  <c r="C1695" i="1"/>
  <c r="C1696" i="1"/>
  <c r="C1697" i="1"/>
  <c r="C1698" i="1"/>
  <c r="C1699" i="1"/>
  <c r="C1700" i="1"/>
  <c r="C1701" i="1"/>
  <c r="C1702" i="1"/>
  <c r="C1703" i="1"/>
  <c r="C1704" i="1"/>
  <c r="C1705" i="1"/>
  <c r="C1706" i="1"/>
  <c r="C1707" i="1"/>
  <c r="C1708" i="1"/>
  <c r="C1709" i="1"/>
  <c r="C1710" i="1"/>
  <c r="C1711" i="1"/>
  <c r="C1712" i="1"/>
  <c r="C1713" i="1"/>
  <c r="C1714" i="1"/>
  <c r="C1715" i="1"/>
  <c r="C1716" i="1"/>
  <c r="C1717" i="1"/>
  <c r="C1718" i="1"/>
  <c r="C1719" i="1"/>
  <c r="C1720" i="1"/>
  <c r="C1721" i="1"/>
  <c r="C1722" i="1"/>
  <c r="C1723" i="1"/>
  <c r="C1724" i="1"/>
  <c r="C1725" i="1"/>
  <c r="C1726" i="1"/>
  <c r="C1727" i="1"/>
  <c r="C1728" i="1"/>
  <c r="C1729" i="1"/>
  <c r="C1730" i="1"/>
  <c r="C1731" i="1"/>
  <c r="C1732" i="1"/>
  <c r="C1733" i="1"/>
  <c r="C1734" i="1"/>
  <c r="C1735" i="1"/>
  <c r="C1736" i="1"/>
  <c r="C1737" i="1"/>
  <c r="C1738" i="1"/>
  <c r="C1739" i="1"/>
  <c r="C1740" i="1"/>
  <c r="C1741" i="1"/>
  <c r="C1742" i="1"/>
  <c r="C1743" i="1"/>
  <c r="C1744" i="1"/>
  <c r="C1745" i="1"/>
  <c r="C1746" i="1"/>
  <c r="C1747" i="1"/>
  <c r="C1748" i="1"/>
  <c r="C1749" i="1"/>
  <c r="C1750" i="1"/>
  <c r="C1751" i="1"/>
  <c r="C1752" i="1"/>
  <c r="C1753" i="1"/>
  <c r="C1754" i="1"/>
  <c r="C1755" i="1"/>
  <c r="C1756" i="1"/>
  <c r="C1757" i="1"/>
  <c r="C1758" i="1"/>
  <c r="C1759" i="1"/>
  <c r="C1760" i="1"/>
  <c r="C1761" i="1"/>
  <c r="C1762" i="1"/>
  <c r="C1763" i="1"/>
  <c r="C1764" i="1"/>
  <c r="C1765" i="1"/>
  <c r="C1766" i="1"/>
  <c r="C1767" i="1"/>
  <c r="C1768" i="1"/>
  <c r="C1769" i="1"/>
  <c r="C1770" i="1"/>
  <c r="C1771" i="1"/>
  <c r="C1772" i="1"/>
  <c r="C1773" i="1"/>
  <c r="C1774" i="1"/>
  <c r="C1775" i="1"/>
  <c r="C1776" i="1"/>
  <c r="C1777" i="1"/>
  <c r="C1778" i="1"/>
  <c r="C1779" i="1"/>
  <c r="C1780" i="1"/>
  <c r="C1781" i="1"/>
  <c r="C1782" i="1"/>
  <c r="C1783" i="1"/>
  <c r="C1784" i="1"/>
  <c r="C1785" i="1"/>
  <c r="C1786" i="1"/>
  <c r="C1787" i="1"/>
  <c r="C1788" i="1"/>
  <c r="C1789" i="1"/>
  <c r="C1790" i="1"/>
  <c r="C1791" i="1"/>
  <c r="C1792" i="1"/>
  <c r="C1793" i="1"/>
  <c r="C1794" i="1"/>
  <c r="C1795" i="1"/>
  <c r="C1796" i="1"/>
  <c r="C1797" i="1"/>
  <c r="C1798" i="1"/>
  <c r="C1799" i="1"/>
  <c r="C1800" i="1"/>
  <c r="C1801" i="1"/>
  <c r="C1802" i="1"/>
  <c r="C1803" i="1"/>
  <c r="C1804" i="1"/>
  <c r="C1805" i="1"/>
  <c r="C1806" i="1"/>
  <c r="C1807" i="1"/>
  <c r="C1808" i="1"/>
  <c r="C1809" i="1"/>
  <c r="C1810" i="1"/>
  <c r="C1811" i="1"/>
  <c r="C1812" i="1"/>
  <c r="C1813" i="1"/>
  <c r="C1814" i="1"/>
  <c r="C1815" i="1"/>
  <c r="C1816" i="1"/>
  <c r="C1817" i="1"/>
  <c r="C1818" i="1"/>
  <c r="C1819" i="1"/>
  <c r="C1820" i="1"/>
  <c r="C1821" i="1"/>
  <c r="C1822" i="1"/>
  <c r="C1823" i="1"/>
  <c r="C1824" i="1"/>
  <c r="C1825" i="1"/>
  <c r="C1826" i="1"/>
  <c r="C1827" i="1"/>
  <c r="C1828" i="1"/>
  <c r="C1829" i="1"/>
  <c r="C1830" i="1"/>
  <c r="C1831" i="1"/>
  <c r="C1832" i="1"/>
  <c r="C1833" i="1"/>
  <c r="C1834" i="1"/>
  <c r="C1835" i="1"/>
  <c r="C1836" i="1"/>
  <c r="C1837" i="1"/>
  <c r="C1838" i="1"/>
  <c r="C1839" i="1"/>
  <c r="C1840" i="1"/>
  <c r="C1841" i="1"/>
  <c r="C1842" i="1"/>
  <c r="C1843" i="1"/>
  <c r="C1844" i="1"/>
  <c r="C1845" i="1"/>
  <c r="C1846" i="1"/>
  <c r="C1847" i="1"/>
  <c r="C1848" i="1"/>
  <c r="C1849" i="1"/>
  <c r="C1850" i="1"/>
  <c r="C1851" i="1"/>
  <c r="C1852" i="1"/>
  <c r="C1853" i="1"/>
  <c r="C1854" i="1"/>
  <c r="C1855" i="1"/>
  <c r="C1856" i="1"/>
  <c r="C1857" i="1"/>
  <c r="C1858" i="1"/>
  <c r="C1859" i="1"/>
  <c r="C1860" i="1"/>
  <c r="C1861" i="1"/>
  <c r="C1862" i="1"/>
  <c r="C1863" i="1"/>
  <c r="C1864" i="1"/>
  <c r="C1865" i="1"/>
  <c r="C1866" i="1"/>
  <c r="C1867" i="1"/>
  <c r="C1868" i="1"/>
  <c r="C1869" i="1"/>
  <c r="C1870" i="1"/>
  <c r="C1871" i="1"/>
  <c r="C1872" i="1"/>
  <c r="C1873" i="1"/>
  <c r="C1874" i="1"/>
  <c r="C1875" i="1"/>
  <c r="C1876" i="1"/>
  <c r="C1877" i="1"/>
  <c r="C1878" i="1"/>
  <c r="C1879" i="1"/>
  <c r="C1880" i="1"/>
  <c r="C1881" i="1"/>
  <c r="C1882" i="1"/>
  <c r="C1883" i="1"/>
  <c r="C1884" i="1"/>
  <c r="C1885" i="1"/>
  <c r="C1886" i="1"/>
  <c r="C1887" i="1"/>
  <c r="C1888" i="1"/>
  <c r="C1889" i="1"/>
  <c r="C1890" i="1"/>
  <c r="C1891" i="1"/>
  <c r="C1892" i="1"/>
  <c r="C1893" i="1"/>
  <c r="C1894" i="1"/>
  <c r="C1895" i="1"/>
  <c r="C1896" i="1"/>
  <c r="C1897" i="1"/>
  <c r="C1898" i="1"/>
  <c r="C1899" i="1"/>
  <c r="C1900" i="1"/>
  <c r="C1901" i="1"/>
  <c r="C1902" i="1"/>
  <c r="C1903" i="1"/>
  <c r="C1904" i="1"/>
  <c r="C1905" i="1"/>
  <c r="C1906" i="1"/>
  <c r="C1907" i="1"/>
  <c r="C1908" i="1"/>
  <c r="C1909" i="1"/>
  <c r="C1910" i="1"/>
  <c r="C1911" i="1"/>
  <c r="C1912" i="1"/>
  <c r="C1913" i="1"/>
  <c r="C1914" i="1"/>
  <c r="C1915" i="1"/>
  <c r="C1916" i="1"/>
  <c r="C1917" i="1"/>
  <c r="C1918" i="1"/>
  <c r="C1919" i="1"/>
  <c r="C1920" i="1"/>
  <c r="C1921" i="1"/>
  <c r="C1922" i="1"/>
  <c r="C1923" i="1"/>
  <c r="C1924" i="1"/>
  <c r="C1925" i="1"/>
  <c r="C1926" i="1"/>
  <c r="C1927" i="1"/>
  <c r="C1928" i="1"/>
  <c r="C1929" i="1"/>
  <c r="C1930" i="1"/>
  <c r="C1931" i="1"/>
  <c r="C1932" i="1"/>
  <c r="C1933" i="1"/>
  <c r="C1934" i="1"/>
  <c r="C1935" i="1"/>
  <c r="C1936" i="1"/>
  <c r="C1937" i="1"/>
  <c r="C1938" i="1"/>
  <c r="C1939" i="1"/>
  <c r="C1940" i="1"/>
  <c r="C1941" i="1"/>
  <c r="C1942" i="1"/>
  <c r="C1943" i="1"/>
  <c r="C1944" i="1"/>
  <c r="C1945" i="1"/>
  <c r="C1946" i="1"/>
  <c r="C1947" i="1"/>
  <c r="C1948" i="1"/>
  <c r="C1949" i="1"/>
  <c r="C1950" i="1"/>
  <c r="C1951" i="1"/>
  <c r="C1952" i="1"/>
  <c r="C1953" i="1"/>
  <c r="C1954" i="1"/>
  <c r="C1955" i="1"/>
  <c r="C1956" i="1"/>
  <c r="C1957" i="1"/>
  <c r="C1958" i="1"/>
  <c r="C1959" i="1"/>
  <c r="C1960" i="1"/>
  <c r="C1961" i="1"/>
  <c r="C1962" i="1"/>
  <c r="C1963" i="1"/>
  <c r="C1964" i="1"/>
  <c r="C1965" i="1"/>
  <c r="C1966" i="1"/>
  <c r="C1967" i="1"/>
  <c r="C1968" i="1"/>
  <c r="C1969" i="1"/>
  <c r="C1970" i="1"/>
  <c r="C1971" i="1"/>
  <c r="C1972" i="1"/>
  <c r="C1973" i="1"/>
  <c r="C1974" i="1"/>
  <c r="C1975" i="1"/>
  <c r="C1976" i="1"/>
  <c r="C1977" i="1"/>
  <c r="C1978" i="1"/>
  <c r="C1979" i="1"/>
  <c r="C1980" i="1"/>
  <c r="C1981" i="1"/>
  <c r="C1982" i="1"/>
  <c r="C1983" i="1"/>
  <c r="C1984" i="1"/>
  <c r="C1985" i="1"/>
  <c r="C1986" i="1"/>
  <c r="C1987" i="1"/>
  <c r="C1988" i="1"/>
  <c r="C1989" i="1"/>
  <c r="C1990" i="1"/>
  <c r="C1991" i="1"/>
  <c r="C1992" i="1"/>
  <c r="C1993" i="1"/>
  <c r="C1994" i="1"/>
  <c r="C1995" i="1"/>
  <c r="C1996" i="1"/>
  <c r="C1997" i="1"/>
  <c r="C1998" i="1"/>
  <c r="C1999" i="1"/>
  <c r="C2000" i="1"/>
  <c r="C2001" i="1"/>
  <c r="C2002" i="1"/>
  <c r="C2003" i="1"/>
  <c r="C2004" i="1"/>
  <c r="C2005" i="1"/>
  <c r="C2006" i="1"/>
  <c r="C2007" i="1"/>
  <c r="C2008" i="1"/>
  <c r="C2009" i="1"/>
  <c r="C2010" i="1"/>
  <c r="C2011" i="1"/>
  <c r="C2012" i="1"/>
  <c r="C2013" i="1"/>
  <c r="C2014" i="1"/>
  <c r="C2015" i="1"/>
  <c r="C2016" i="1"/>
  <c r="C2017" i="1"/>
  <c r="C2018" i="1"/>
  <c r="C2019" i="1"/>
  <c r="C2020" i="1"/>
  <c r="C2021" i="1"/>
  <c r="C2022" i="1"/>
  <c r="C2023" i="1"/>
  <c r="C2024" i="1"/>
  <c r="C2025" i="1"/>
  <c r="C2026" i="1"/>
  <c r="C2027" i="1"/>
  <c r="C2028" i="1"/>
  <c r="C2029" i="1"/>
  <c r="C2030" i="1"/>
  <c r="C2031" i="1"/>
  <c r="C2032" i="1"/>
  <c r="C2033" i="1"/>
  <c r="C2034" i="1"/>
  <c r="C2035" i="1"/>
  <c r="C2036" i="1"/>
  <c r="C2037" i="1"/>
  <c r="C2038" i="1"/>
  <c r="C2039" i="1"/>
  <c r="C2040" i="1"/>
  <c r="C2041" i="1"/>
  <c r="C2042" i="1"/>
  <c r="C2043" i="1"/>
  <c r="C2044" i="1"/>
  <c r="C2045" i="1"/>
  <c r="C2046" i="1"/>
  <c r="C2047" i="1"/>
  <c r="C2048" i="1"/>
  <c r="C2049" i="1"/>
  <c r="C2050" i="1"/>
  <c r="C2051" i="1"/>
  <c r="C2052" i="1"/>
  <c r="C2053" i="1"/>
  <c r="C2054" i="1"/>
  <c r="C2055" i="1"/>
  <c r="C2056" i="1"/>
  <c r="C2057" i="1"/>
  <c r="C2058" i="1"/>
  <c r="C2059" i="1"/>
  <c r="C2060" i="1"/>
  <c r="C2061" i="1"/>
  <c r="C2062" i="1"/>
  <c r="C2063" i="1"/>
  <c r="C2064" i="1"/>
  <c r="C2065" i="1"/>
  <c r="C2066" i="1"/>
  <c r="C2067" i="1"/>
  <c r="C2068" i="1"/>
  <c r="C2069" i="1"/>
  <c r="C2070" i="1"/>
  <c r="C2071" i="1"/>
  <c r="C2072" i="1"/>
  <c r="C2073" i="1"/>
  <c r="C2074" i="1"/>
  <c r="C2075" i="1"/>
  <c r="C2076" i="1"/>
  <c r="C2077" i="1"/>
  <c r="C2078" i="1"/>
  <c r="C2079" i="1"/>
  <c r="C2080" i="1"/>
  <c r="C2081" i="1"/>
  <c r="C2082" i="1"/>
  <c r="C2083" i="1"/>
  <c r="C2084" i="1"/>
  <c r="C2085" i="1"/>
  <c r="C2086" i="1"/>
  <c r="C2087" i="1"/>
  <c r="C2088" i="1"/>
  <c r="C2089" i="1"/>
  <c r="C2090" i="1"/>
  <c r="C2091" i="1"/>
  <c r="C2092" i="1"/>
  <c r="C2093" i="1"/>
  <c r="C2094" i="1"/>
  <c r="C2095" i="1"/>
  <c r="C2096" i="1"/>
  <c r="C2097" i="1"/>
  <c r="C2098" i="1"/>
  <c r="C2099" i="1"/>
  <c r="C2100" i="1"/>
  <c r="C2101" i="1"/>
  <c r="C2102" i="1"/>
  <c r="C2103" i="1"/>
  <c r="C2104" i="1"/>
  <c r="C2105" i="1"/>
  <c r="C2106" i="1"/>
  <c r="C2107" i="1"/>
  <c r="C2108" i="1"/>
  <c r="C2109" i="1"/>
  <c r="C2110" i="1"/>
  <c r="C2111" i="1"/>
  <c r="C2112" i="1"/>
  <c r="C2113" i="1"/>
  <c r="C2114" i="1"/>
  <c r="C2115" i="1"/>
  <c r="C2116" i="1"/>
  <c r="C2117" i="1"/>
  <c r="C2118" i="1"/>
  <c r="C2119" i="1"/>
  <c r="C2120" i="1"/>
  <c r="C2121" i="1"/>
  <c r="C2122" i="1"/>
  <c r="C2123" i="1"/>
  <c r="C2124" i="1"/>
  <c r="C2125" i="1"/>
  <c r="C2126" i="1"/>
  <c r="C2127" i="1"/>
  <c r="C2128" i="1"/>
  <c r="C2129" i="1"/>
  <c r="C2130" i="1"/>
  <c r="C2131" i="1"/>
  <c r="C2132" i="1"/>
  <c r="C2133" i="1"/>
  <c r="C2134" i="1"/>
  <c r="C2135" i="1"/>
  <c r="C2136" i="1"/>
  <c r="C2137" i="1"/>
  <c r="C2138" i="1"/>
  <c r="C2139" i="1"/>
  <c r="C2140" i="1"/>
  <c r="C2141" i="1"/>
  <c r="C2142" i="1"/>
  <c r="C2143" i="1"/>
  <c r="C2144" i="1"/>
  <c r="C2145" i="1"/>
  <c r="C2146" i="1"/>
  <c r="C2147" i="1"/>
  <c r="C2148" i="1"/>
  <c r="C2149" i="1"/>
  <c r="C2150" i="1"/>
  <c r="C2151" i="1"/>
  <c r="C2152" i="1"/>
  <c r="C2153" i="1"/>
  <c r="C2154" i="1"/>
  <c r="C2155" i="1"/>
  <c r="C2156" i="1"/>
  <c r="C2157" i="1"/>
  <c r="C2158" i="1"/>
  <c r="C2159" i="1"/>
  <c r="C2160" i="1"/>
  <c r="C2161" i="1"/>
  <c r="C2162" i="1"/>
  <c r="C2163" i="1"/>
  <c r="C2164" i="1"/>
  <c r="C2165" i="1"/>
  <c r="C2166" i="1"/>
  <c r="C2167" i="1"/>
  <c r="C2168" i="1"/>
  <c r="C2169" i="1"/>
  <c r="C2170" i="1"/>
  <c r="C2171" i="1"/>
  <c r="C2172" i="1"/>
  <c r="C2173" i="1"/>
  <c r="C2174" i="1"/>
  <c r="C2175" i="1"/>
  <c r="C2176" i="1"/>
  <c r="C2177" i="1"/>
  <c r="C2178" i="1"/>
  <c r="C2179" i="1"/>
  <c r="C2180" i="1"/>
  <c r="C2181" i="1"/>
  <c r="C2182" i="1"/>
  <c r="C2183" i="1"/>
  <c r="C2184" i="1"/>
  <c r="C2185" i="1"/>
  <c r="C2186" i="1"/>
  <c r="C2187" i="1"/>
  <c r="C2188" i="1"/>
  <c r="C2189" i="1"/>
  <c r="C2190" i="1"/>
  <c r="C2191" i="1"/>
  <c r="C2192" i="1"/>
  <c r="C2193" i="1"/>
  <c r="C2194" i="1"/>
  <c r="C2195" i="1"/>
  <c r="C2196" i="1"/>
  <c r="C2197" i="1"/>
  <c r="C2198" i="1"/>
  <c r="C2199" i="1"/>
  <c r="C2200" i="1"/>
  <c r="C2201" i="1"/>
  <c r="C2202" i="1"/>
  <c r="C2203" i="1"/>
  <c r="C2204" i="1"/>
  <c r="C2205" i="1"/>
  <c r="C2206" i="1"/>
  <c r="C2207" i="1"/>
  <c r="C2208" i="1"/>
  <c r="C2209" i="1"/>
  <c r="C2210" i="1"/>
  <c r="C2211" i="1"/>
  <c r="C2212" i="1"/>
  <c r="C2213" i="1"/>
  <c r="C2214" i="1"/>
  <c r="C2215" i="1"/>
  <c r="C2216" i="1"/>
  <c r="C2217" i="1"/>
  <c r="C2218" i="1"/>
  <c r="C2219" i="1"/>
  <c r="C2220" i="1"/>
  <c r="C2221" i="1"/>
  <c r="C2222" i="1"/>
  <c r="C2223" i="1"/>
  <c r="C2224" i="1"/>
  <c r="C2225" i="1"/>
  <c r="C2226" i="1"/>
  <c r="C2227" i="1"/>
  <c r="C2228" i="1"/>
  <c r="C2229" i="1"/>
  <c r="C2230" i="1"/>
  <c r="C2231" i="1"/>
  <c r="C2232" i="1"/>
  <c r="C2233" i="1"/>
  <c r="C2234" i="1"/>
  <c r="C2235" i="1"/>
  <c r="C2236" i="1"/>
  <c r="C2237" i="1"/>
  <c r="C2238" i="1"/>
  <c r="C2239" i="1"/>
  <c r="C2240" i="1"/>
  <c r="C2241" i="1"/>
  <c r="C2242" i="1"/>
  <c r="C2243" i="1"/>
  <c r="C2244" i="1"/>
  <c r="C2245" i="1"/>
  <c r="C2246" i="1"/>
  <c r="C2247" i="1"/>
  <c r="C2248" i="1"/>
  <c r="C2249" i="1"/>
  <c r="C2250" i="1"/>
  <c r="C2251" i="1"/>
  <c r="C2252" i="1"/>
  <c r="C2253" i="1"/>
  <c r="C2254" i="1"/>
  <c r="C2255" i="1"/>
  <c r="C2256" i="1"/>
  <c r="C2257" i="1"/>
  <c r="C2258" i="1"/>
  <c r="C2259" i="1"/>
  <c r="C2260" i="1"/>
  <c r="C2261" i="1"/>
  <c r="C2262" i="1"/>
  <c r="C2263" i="1"/>
  <c r="C2264" i="1"/>
  <c r="C2265" i="1"/>
  <c r="C2266" i="1"/>
  <c r="C2267" i="1"/>
  <c r="C2268" i="1"/>
  <c r="C2269" i="1"/>
  <c r="C2270" i="1"/>
  <c r="C2271" i="1"/>
  <c r="C2272" i="1"/>
  <c r="C2273" i="1"/>
  <c r="C2274" i="1"/>
  <c r="C2275" i="1"/>
  <c r="C2276" i="1"/>
  <c r="C2277" i="1"/>
  <c r="C2278" i="1"/>
  <c r="C2279" i="1"/>
  <c r="C2280" i="1"/>
  <c r="C2281" i="1"/>
  <c r="C2282" i="1"/>
  <c r="C2283" i="1"/>
  <c r="C2284" i="1"/>
  <c r="C2285" i="1"/>
  <c r="C2286" i="1"/>
  <c r="C2287" i="1"/>
  <c r="C2288" i="1"/>
  <c r="C2289" i="1"/>
  <c r="C2290" i="1"/>
  <c r="C2291" i="1"/>
  <c r="C2292" i="1"/>
  <c r="C2293" i="1"/>
  <c r="C2294" i="1"/>
  <c r="C2295" i="1"/>
  <c r="C2296" i="1"/>
  <c r="C2297" i="1"/>
  <c r="C2298" i="1"/>
  <c r="C2299" i="1"/>
  <c r="C2300" i="1"/>
  <c r="C2301" i="1"/>
  <c r="C2302" i="1"/>
  <c r="C2303" i="1"/>
  <c r="C2304" i="1"/>
  <c r="C2305" i="1"/>
  <c r="C2306" i="1"/>
  <c r="C2307" i="1"/>
  <c r="C2308" i="1"/>
  <c r="C2309" i="1"/>
  <c r="C2310" i="1"/>
  <c r="C2311" i="1"/>
  <c r="C2312" i="1"/>
  <c r="C2313" i="1"/>
  <c r="C2314" i="1"/>
  <c r="C2315" i="1"/>
  <c r="C2316" i="1"/>
  <c r="C2317" i="1"/>
  <c r="C2318" i="1"/>
  <c r="C2319" i="1"/>
  <c r="C2320" i="1"/>
  <c r="C2321" i="1"/>
  <c r="C2322" i="1"/>
  <c r="C2323" i="1"/>
  <c r="C2324" i="1"/>
  <c r="C2325" i="1"/>
  <c r="C2326" i="1"/>
  <c r="C2327" i="1"/>
  <c r="C2328" i="1"/>
  <c r="C2329" i="1"/>
  <c r="C2330" i="1"/>
  <c r="C2331" i="1"/>
  <c r="C2332" i="1"/>
  <c r="C2333" i="1"/>
  <c r="C2334" i="1"/>
  <c r="C2335" i="1"/>
  <c r="C2336" i="1"/>
  <c r="C2337" i="1"/>
  <c r="C2338" i="1"/>
  <c r="C2339" i="1"/>
  <c r="C2340" i="1"/>
  <c r="C2341" i="1"/>
  <c r="C2342" i="1"/>
  <c r="C2343" i="1"/>
  <c r="C2344" i="1"/>
  <c r="C2345" i="1"/>
  <c r="C2346" i="1"/>
  <c r="C2347" i="1"/>
  <c r="C2348" i="1"/>
  <c r="C2349" i="1"/>
  <c r="C2350" i="1"/>
  <c r="C2351" i="1"/>
  <c r="C2352" i="1"/>
  <c r="C2353" i="1"/>
  <c r="C2354" i="1"/>
  <c r="C2355" i="1"/>
  <c r="C2356" i="1"/>
  <c r="C2357" i="1"/>
  <c r="C2358" i="1"/>
  <c r="C2359" i="1"/>
  <c r="C2360" i="1"/>
  <c r="C2361" i="1"/>
  <c r="C2362" i="1"/>
  <c r="C2363" i="1"/>
  <c r="C2364" i="1"/>
  <c r="C2365" i="1"/>
  <c r="C2366" i="1"/>
  <c r="C2367" i="1"/>
  <c r="C2368" i="1"/>
  <c r="C2369" i="1"/>
  <c r="C2370" i="1"/>
  <c r="C2371" i="1"/>
  <c r="C2372" i="1"/>
  <c r="C2373" i="1"/>
  <c r="C2374" i="1"/>
  <c r="C2375" i="1"/>
  <c r="C2376" i="1"/>
  <c r="C2377" i="1"/>
  <c r="C2378" i="1"/>
  <c r="C2379" i="1"/>
  <c r="C2380" i="1"/>
  <c r="C2381" i="1"/>
  <c r="C2382" i="1"/>
  <c r="C2383" i="1"/>
  <c r="C2384" i="1"/>
  <c r="C2385" i="1"/>
  <c r="C2386" i="1"/>
  <c r="C2387" i="1"/>
  <c r="C2388" i="1"/>
  <c r="C2389" i="1"/>
  <c r="C2390" i="1"/>
  <c r="C2391" i="1"/>
  <c r="C2392" i="1"/>
  <c r="C2393" i="1"/>
  <c r="C2394" i="1"/>
  <c r="C2395" i="1"/>
  <c r="C2396" i="1"/>
  <c r="C2397" i="1"/>
  <c r="C2398" i="1"/>
  <c r="C2399" i="1"/>
  <c r="C2400" i="1"/>
  <c r="C2401" i="1"/>
  <c r="C2402" i="1"/>
  <c r="C2403" i="1"/>
  <c r="C2404" i="1"/>
  <c r="C2405" i="1"/>
  <c r="C2406" i="1"/>
  <c r="C2407" i="1"/>
  <c r="C2408" i="1"/>
  <c r="C2409" i="1"/>
  <c r="C2410" i="1"/>
  <c r="C2411" i="1"/>
  <c r="C2412" i="1"/>
  <c r="C2413" i="1"/>
  <c r="C2414" i="1"/>
  <c r="C2415" i="1"/>
  <c r="C2416" i="1"/>
  <c r="C2417" i="1"/>
  <c r="C2418" i="1"/>
  <c r="C2419" i="1"/>
  <c r="C2420" i="1"/>
  <c r="C2421" i="1"/>
  <c r="C2422" i="1"/>
  <c r="C2423" i="1"/>
  <c r="C2424" i="1"/>
  <c r="C2425" i="1"/>
  <c r="C2426" i="1"/>
  <c r="C2427" i="1"/>
  <c r="C2428" i="1"/>
  <c r="C2429" i="1"/>
  <c r="C2430" i="1"/>
  <c r="C2431" i="1"/>
  <c r="C2432" i="1"/>
  <c r="C2433" i="1"/>
  <c r="C2434" i="1"/>
  <c r="C2435" i="1"/>
  <c r="C2436" i="1"/>
  <c r="C2437" i="1"/>
  <c r="C2438" i="1"/>
  <c r="C2439" i="1"/>
  <c r="C2440" i="1"/>
  <c r="C2441" i="1"/>
  <c r="C2442" i="1"/>
  <c r="C2443" i="1"/>
  <c r="C2444" i="1"/>
  <c r="C2445" i="1"/>
  <c r="C2446" i="1"/>
  <c r="C2447" i="1"/>
  <c r="C2448" i="1"/>
  <c r="C2449" i="1"/>
  <c r="C2450" i="1"/>
  <c r="C2451" i="1"/>
  <c r="C2452" i="1"/>
  <c r="C2453" i="1"/>
  <c r="C2454" i="1"/>
  <c r="C2455" i="1"/>
  <c r="C2456" i="1"/>
  <c r="C2457" i="1"/>
  <c r="C2458" i="1"/>
  <c r="C2459" i="1"/>
  <c r="C2460" i="1"/>
  <c r="C2461" i="1"/>
  <c r="C2462" i="1"/>
  <c r="C2463" i="1"/>
  <c r="C2464" i="1"/>
  <c r="C2465" i="1"/>
  <c r="C2466" i="1"/>
  <c r="C2467" i="1"/>
  <c r="C2468" i="1"/>
  <c r="C2469" i="1"/>
  <c r="C2470" i="1"/>
  <c r="C2471" i="1"/>
  <c r="C2472" i="1"/>
  <c r="C2473" i="1"/>
  <c r="C2474" i="1"/>
  <c r="C2475" i="1"/>
  <c r="C2476" i="1"/>
  <c r="C2477" i="1"/>
  <c r="C2478" i="1"/>
  <c r="C2479" i="1"/>
  <c r="C2480" i="1"/>
  <c r="C2481" i="1"/>
  <c r="C2482" i="1"/>
  <c r="C2483" i="1"/>
  <c r="C2484" i="1"/>
  <c r="C2485" i="1"/>
  <c r="C2486" i="1"/>
  <c r="C2487" i="1"/>
  <c r="C2488" i="1"/>
  <c r="C2489" i="1"/>
  <c r="C2490" i="1"/>
  <c r="C2491" i="1"/>
  <c r="C2492" i="1"/>
  <c r="C2493" i="1"/>
  <c r="C2494" i="1"/>
  <c r="C2495" i="1"/>
  <c r="C2496" i="1"/>
  <c r="C2497" i="1"/>
  <c r="C2498" i="1"/>
  <c r="C2499" i="1"/>
  <c r="C2500" i="1"/>
  <c r="C2501" i="1"/>
  <c r="C2502" i="1"/>
  <c r="C2503" i="1"/>
  <c r="C2504" i="1"/>
  <c r="C2505" i="1"/>
  <c r="C2506" i="1"/>
  <c r="C2507" i="1"/>
  <c r="C2508" i="1"/>
  <c r="C2509" i="1"/>
  <c r="C2510" i="1"/>
  <c r="C2511" i="1"/>
  <c r="C2512" i="1"/>
  <c r="C2513" i="1"/>
  <c r="C2514" i="1"/>
  <c r="C2515" i="1"/>
  <c r="C2516" i="1"/>
  <c r="C2517" i="1"/>
  <c r="C2518" i="1"/>
  <c r="C2519" i="1"/>
  <c r="C2520" i="1"/>
  <c r="C2521" i="1"/>
  <c r="C2522" i="1"/>
  <c r="C2523" i="1"/>
  <c r="C2524" i="1"/>
  <c r="C2525" i="1"/>
  <c r="C2526" i="1"/>
  <c r="C2527" i="1"/>
  <c r="C2528" i="1"/>
  <c r="C2529" i="1"/>
  <c r="C2530" i="1"/>
  <c r="C2531" i="1"/>
  <c r="C2532" i="1"/>
  <c r="C2533" i="1"/>
  <c r="C2534" i="1"/>
  <c r="C2535" i="1"/>
  <c r="C2536" i="1"/>
  <c r="C2537" i="1"/>
  <c r="C2538" i="1"/>
  <c r="C2539" i="1"/>
  <c r="C2540" i="1"/>
  <c r="C2541" i="1"/>
  <c r="C2542" i="1"/>
  <c r="C2543" i="1"/>
  <c r="C2544" i="1"/>
  <c r="C2545" i="1"/>
  <c r="C2546" i="1"/>
  <c r="C2547" i="1"/>
  <c r="C2548" i="1"/>
  <c r="C2549" i="1"/>
  <c r="C2550" i="1"/>
  <c r="C2551" i="1"/>
  <c r="C2552" i="1"/>
  <c r="C2553" i="1"/>
  <c r="C2554" i="1"/>
  <c r="C2555" i="1"/>
  <c r="C2556" i="1"/>
  <c r="C2557" i="1"/>
  <c r="C2558" i="1"/>
  <c r="C2559" i="1"/>
  <c r="C2560" i="1"/>
  <c r="C2561" i="1"/>
  <c r="C2562" i="1"/>
  <c r="C2563" i="1"/>
  <c r="C2564" i="1"/>
  <c r="C2565" i="1"/>
  <c r="C2566" i="1"/>
  <c r="C2567" i="1"/>
  <c r="C2568" i="1"/>
  <c r="C2569" i="1"/>
  <c r="C2570" i="1"/>
  <c r="C2571" i="1"/>
  <c r="C2572" i="1"/>
  <c r="C2573" i="1"/>
  <c r="C2574" i="1"/>
  <c r="C2575" i="1"/>
  <c r="C2576" i="1"/>
  <c r="C2577" i="1"/>
  <c r="C2578" i="1"/>
  <c r="C2579" i="1"/>
  <c r="C2580" i="1"/>
  <c r="C2581" i="1"/>
  <c r="C2582" i="1"/>
  <c r="C2583" i="1"/>
  <c r="C2584" i="1"/>
  <c r="C2585" i="1"/>
  <c r="C2586" i="1"/>
  <c r="C2587" i="1"/>
  <c r="C2588" i="1"/>
  <c r="C2589" i="1"/>
  <c r="C2590" i="1"/>
  <c r="C2591" i="1"/>
  <c r="C2592" i="1"/>
  <c r="C2593" i="1"/>
  <c r="C2594" i="1"/>
  <c r="C2595" i="1"/>
  <c r="C2596" i="1"/>
  <c r="C2597" i="1"/>
  <c r="C2598" i="1"/>
  <c r="C2599" i="1"/>
  <c r="C2600" i="1"/>
  <c r="C2601" i="1"/>
  <c r="C2602" i="1"/>
  <c r="C2603" i="1"/>
  <c r="C2604" i="1"/>
  <c r="C2605" i="1"/>
  <c r="C2606" i="1"/>
  <c r="C2607" i="1"/>
  <c r="C2608" i="1"/>
  <c r="C2609" i="1"/>
  <c r="C2610" i="1"/>
  <c r="C2611" i="1"/>
  <c r="C2612" i="1"/>
  <c r="C2613" i="1"/>
  <c r="C2614" i="1"/>
  <c r="C2615" i="1"/>
  <c r="C2616" i="1"/>
  <c r="C2617" i="1"/>
  <c r="C2618" i="1"/>
  <c r="C2619" i="1"/>
  <c r="C2620" i="1"/>
  <c r="C2621" i="1"/>
  <c r="C2622" i="1"/>
  <c r="C2623" i="1"/>
  <c r="C2624" i="1"/>
  <c r="C2625" i="1"/>
  <c r="C2626" i="1"/>
  <c r="C2627" i="1"/>
  <c r="C2628" i="1"/>
  <c r="C2629" i="1"/>
  <c r="C2630" i="1"/>
  <c r="C2631" i="1"/>
  <c r="C2632" i="1"/>
  <c r="C2633" i="1"/>
  <c r="C2634" i="1"/>
  <c r="C2635" i="1"/>
  <c r="C2636" i="1"/>
  <c r="C2637" i="1"/>
  <c r="C2638" i="1"/>
  <c r="C2639" i="1"/>
  <c r="C2640" i="1"/>
  <c r="C2641" i="1"/>
  <c r="C2642" i="1"/>
  <c r="C2643" i="1"/>
  <c r="C2644" i="1"/>
  <c r="C2645" i="1"/>
  <c r="C2646" i="1"/>
  <c r="C2647" i="1"/>
  <c r="C2648" i="1"/>
  <c r="C2649" i="1"/>
  <c r="C2650" i="1"/>
  <c r="C2651" i="1"/>
  <c r="C2652" i="1"/>
  <c r="C2653" i="1"/>
  <c r="C2654" i="1"/>
  <c r="C2655" i="1"/>
  <c r="C2656" i="1"/>
  <c r="C2657" i="1"/>
  <c r="C2658" i="1"/>
  <c r="C2659" i="1"/>
  <c r="C2660" i="1"/>
  <c r="C2661" i="1"/>
  <c r="C2662" i="1"/>
  <c r="C2663" i="1"/>
  <c r="C2664" i="1"/>
  <c r="C2665" i="1"/>
  <c r="C2666" i="1"/>
  <c r="C2667" i="1"/>
  <c r="C2668" i="1"/>
  <c r="C2669" i="1"/>
  <c r="C2670" i="1"/>
  <c r="C2671" i="1"/>
  <c r="C2672" i="1"/>
  <c r="C2673" i="1"/>
  <c r="C2674" i="1"/>
  <c r="C2675" i="1"/>
  <c r="C2676" i="1"/>
  <c r="C2677" i="1"/>
  <c r="C2678" i="1"/>
  <c r="C2679" i="1"/>
  <c r="C2680" i="1"/>
  <c r="C2681" i="1"/>
  <c r="C2682" i="1"/>
  <c r="C2683" i="1"/>
  <c r="C2684" i="1"/>
  <c r="C2685" i="1"/>
  <c r="C2686" i="1"/>
  <c r="C2687" i="1"/>
  <c r="C2688" i="1"/>
  <c r="C2689" i="1"/>
  <c r="C2690" i="1"/>
  <c r="C2691" i="1"/>
  <c r="C2692" i="1"/>
  <c r="C2693" i="1"/>
  <c r="C2694" i="1"/>
  <c r="C2695" i="1"/>
  <c r="C2696" i="1"/>
  <c r="C2697" i="1"/>
  <c r="C2698" i="1"/>
  <c r="C2699" i="1"/>
  <c r="C2700" i="1"/>
  <c r="C2701" i="1"/>
  <c r="C2702" i="1"/>
  <c r="C2703" i="1"/>
  <c r="C2704" i="1"/>
  <c r="C2705" i="1"/>
  <c r="C2706" i="1"/>
  <c r="C2707" i="1"/>
  <c r="C2708" i="1"/>
  <c r="C2709" i="1"/>
  <c r="C2710" i="1"/>
  <c r="C2711" i="1"/>
  <c r="C2712" i="1"/>
  <c r="C2713" i="1"/>
  <c r="C2714" i="1"/>
  <c r="C2715" i="1"/>
  <c r="C2716" i="1"/>
  <c r="C2717" i="1"/>
  <c r="C2718" i="1"/>
  <c r="C2719" i="1"/>
  <c r="C2720" i="1"/>
  <c r="C2721" i="1"/>
  <c r="C2722" i="1"/>
  <c r="C2723" i="1"/>
  <c r="C2724" i="1"/>
  <c r="C2725" i="1"/>
  <c r="C2726" i="1"/>
  <c r="C2727" i="1"/>
  <c r="C2728" i="1"/>
  <c r="C2729" i="1"/>
  <c r="C2730" i="1"/>
  <c r="C2731" i="1"/>
  <c r="C2732" i="1"/>
  <c r="C2733" i="1"/>
  <c r="C2734" i="1"/>
  <c r="C2735" i="1"/>
  <c r="C2736" i="1"/>
  <c r="C2737" i="1"/>
  <c r="C2738" i="1"/>
  <c r="C2739" i="1"/>
  <c r="C2740" i="1"/>
  <c r="C2741" i="1"/>
  <c r="C2742" i="1"/>
  <c r="C2743" i="1"/>
  <c r="C2744" i="1"/>
  <c r="C2745" i="1"/>
  <c r="C2746" i="1"/>
  <c r="C2747" i="1"/>
  <c r="C2748" i="1"/>
  <c r="C2749" i="1"/>
  <c r="C2750" i="1"/>
  <c r="C2751" i="1"/>
  <c r="C2752" i="1"/>
  <c r="C2753" i="1"/>
  <c r="C2754" i="1"/>
  <c r="C2755" i="1"/>
  <c r="C2756" i="1"/>
  <c r="C2757" i="1"/>
  <c r="C2758" i="1"/>
  <c r="C2759" i="1"/>
  <c r="C2760" i="1"/>
  <c r="C2761" i="1"/>
  <c r="C2762" i="1"/>
  <c r="C2763" i="1"/>
  <c r="C2764" i="1"/>
  <c r="C2765" i="1"/>
  <c r="C2766" i="1"/>
  <c r="C2767" i="1"/>
  <c r="C2768" i="1"/>
  <c r="C2769" i="1"/>
  <c r="C2770" i="1"/>
  <c r="C2771" i="1"/>
  <c r="C2772" i="1"/>
  <c r="C2773" i="1"/>
  <c r="C2774" i="1"/>
  <c r="C2775" i="1"/>
  <c r="C2776" i="1"/>
  <c r="C2777" i="1"/>
  <c r="C2778" i="1"/>
  <c r="C2779" i="1"/>
  <c r="C2780" i="1"/>
  <c r="C2781" i="1"/>
  <c r="C2782" i="1"/>
  <c r="C2783" i="1"/>
  <c r="C2784" i="1"/>
  <c r="C2785" i="1"/>
  <c r="C2786" i="1"/>
  <c r="C2787" i="1"/>
  <c r="C2788" i="1"/>
  <c r="C2789" i="1"/>
  <c r="C2790" i="1"/>
  <c r="C2791" i="1"/>
  <c r="C2792" i="1"/>
  <c r="C2793" i="1"/>
  <c r="C2794" i="1"/>
  <c r="C2795" i="1"/>
  <c r="C2796" i="1"/>
  <c r="C2797" i="1"/>
  <c r="C2798" i="1"/>
  <c r="C2799" i="1"/>
  <c r="C2800" i="1"/>
  <c r="C2801" i="1"/>
  <c r="C2802" i="1"/>
  <c r="C2803" i="1"/>
  <c r="C2804" i="1"/>
  <c r="C2805" i="1"/>
  <c r="C2806" i="1"/>
  <c r="C2807" i="1"/>
  <c r="C2808" i="1"/>
  <c r="C2809" i="1"/>
  <c r="C2810" i="1"/>
  <c r="C2811" i="1"/>
  <c r="C2812" i="1"/>
  <c r="C2813" i="1"/>
  <c r="C2814" i="1"/>
  <c r="C2815" i="1"/>
  <c r="C2816" i="1"/>
  <c r="C2817" i="1"/>
  <c r="C2818" i="1"/>
  <c r="C2819" i="1"/>
  <c r="C2820" i="1"/>
  <c r="C2821" i="1"/>
  <c r="C2822" i="1"/>
  <c r="C2823" i="1"/>
  <c r="C2824" i="1"/>
  <c r="C2825" i="1"/>
  <c r="C2826" i="1"/>
  <c r="C2827" i="1"/>
  <c r="C2828" i="1"/>
  <c r="C2829" i="1"/>
  <c r="C2830" i="1"/>
  <c r="C2831" i="1"/>
  <c r="C2832" i="1"/>
  <c r="C2833" i="1"/>
  <c r="C2834" i="1"/>
  <c r="C2835" i="1"/>
  <c r="C2836" i="1"/>
  <c r="C2837" i="1"/>
  <c r="C2838" i="1"/>
  <c r="C2839" i="1"/>
  <c r="C2840" i="1"/>
  <c r="C2841" i="1"/>
  <c r="C2842" i="1"/>
  <c r="C2843" i="1"/>
  <c r="C2844" i="1"/>
  <c r="C2845" i="1"/>
  <c r="C2846" i="1"/>
  <c r="C2847" i="1"/>
  <c r="C2848" i="1"/>
  <c r="C2849" i="1"/>
  <c r="C2850" i="1"/>
  <c r="C2851" i="1"/>
  <c r="C2852" i="1"/>
  <c r="C2853" i="1"/>
  <c r="C2854" i="1"/>
  <c r="C2855" i="1"/>
  <c r="C2856" i="1"/>
  <c r="C2857" i="1"/>
  <c r="C2858" i="1"/>
  <c r="C2859" i="1"/>
  <c r="C2860" i="1"/>
  <c r="C2861" i="1"/>
  <c r="C2862" i="1"/>
  <c r="C2863" i="1"/>
  <c r="C2864" i="1"/>
  <c r="C2865" i="1"/>
  <c r="C2866" i="1"/>
  <c r="C2867" i="1"/>
  <c r="C2868" i="1"/>
  <c r="C2869" i="1"/>
  <c r="C2870" i="1"/>
  <c r="C2871" i="1"/>
  <c r="C2872" i="1"/>
  <c r="C2873" i="1"/>
  <c r="C2874" i="1"/>
  <c r="C2875" i="1"/>
  <c r="C2876" i="1"/>
  <c r="C2877" i="1"/>
  <c r="C2878" i="1"/>
  <c r="C2879" i="1"/>
  <c r="C2880" i="1"/>
  <c r="C2881" i="1"/>
  <c r="C2882" i="1"/>
  <c r="C2883" i="1"/>
  <c r="C2884" i="1"/>
  <c r="C2885" i="1"/>
  <c r="C2886" i="1"/>
  <c r="C2887" i="1"/>
  <c r="C2888" i="1"/>
  <c r="C2889" i="1"/>
  <c r="C2890" i="1"/>
  <c r="C2891" i="1"/>
  <c r="C2892" i="1"/>
  <c r="C2893" i="1"/>
  <c r="C2894" i="1"/>
  <c r="C2895" i="1"/>
  <c r="C2896" i="1"/>
  <c r="C2897" i="1"/>
  <c r="C2898" i="1"/>
  <c r="C2899" i="1"/>
  <c r="C2900" i="1"/>
  <c r="C2901" i="1"/>
  <c r="C2902" i="1"/>
  <c r="C2903" i="1"/>
  <c r="C2904" i="1"/>
  <c r="C2905" i="1"/>
  <c r="C2906" i="1"/>
  <c r="C2907" i="1"/>
  <c r="C2908" i="1"/>
  <c r="C2909" i="1"/>
  <c r="C2910" i="1"/>
  <c r="C2911" i="1"/>
  <c r="C2912" i="1"/>
  <c r="C2913" i="1"/>
  <c r="C2914" i="1"/>
  <c r="C2915" i="1"/>
  <c r="C2916" i="1"/>
  <c r="C2917" i="1"/>
  <c r="C2918" i="1"/>
  <c r="C2919" i="1"/>
  <c r="C2920" i="1"/>
  <c r="C2921" i="1"/>
  <c r="C2922" i="1"/>
  <c r="C2923" i="1"/>
  <c r="C2924" i="1"/>
  <c r="C2925" i="1"/>
  <c r="C2926" i="1"/>
  <c r="C2927" i="1"/>
  <c r="C2928" i="1"/>
  <c r="C2929" i="1"/>
  <c r="C2930" i="1"/>
  <c r="C2931" i="1"/>
  <c r="C2932" i="1"/>
  <c r="C2933" i="1"/>
  <c r="C2934" i="1"/>
  <c r="C2935" i="1"/>
  <c r="C2936" i="1"/>
  <c r="C2937" i="1"/>
  <c r="C2938" i="1"/>
  <c r="C2939" i="1"/>
  <c r="C2940" i="1"/>
  <c r="C2941" i="1"/>
  <c r="C2942" i="1"/>
  <c r="C2943" i="1"/>
  <c r="C2944" i="1"/>
  <c r="C2945" i="1"/>
  <c r="C2946" i="1"/>
  <c r="C2947" i="1"/>
  <c r="C2948" i="1"/>
  <c r="C2949" i="1"/>
  <c r="C2950" i="1"/>
  <c r="C2951" i="1"/>
  <c r="C2952" i="1"/>
  <c r="C2953" i="1"/>
  <c r="C2954" i="1"/>
  <c r="C2955" i="1"/>
  <c r="C2956" i="1"/>
  <c r="C2957" i="1"/>
  <c r="C2958" i="1"/>
  <c r="C2959" i="1"/>
  <c r="C2960" i="1"/>
  <c r="C2961" i="1"/>
  <c r="C2962" i="1"/>
  <c r="C2963" i="1"/>
  <c r="C2964" i="1"/>
  <c r="C2965" i="1"/>
  <c r="C2966" i="1"/>
  <c r="C2967" i="1"/>
  <c r="C2968" i="1"/>
  <c r="C2969" i="1"/>
  <c r="C2970" i="1"/>
  <c r="C2971" i="1"/>
  <c r="C2972" i="1"/>
  <c r="C2973" i="1"/>
  <c r="C2974" i="1"/>
  <c r="C2975" i="1"/>
  <c r="C2976" i="1"/>
  <c r="C2977" i="1"/>
  <c r="C2978" i="1"/>
  <c r="C2979" i="1"/>
  <c r="C2980" i="1"/>
  <c r="C2981" i="1"/>
  <c r="C2982" i="1"/>
  <c r="C2983" i="1"/>
  <c r="C2984" i="1"/>
  <c r="C2985" i="1"/>
  <c r="C2986" i="1"/>
  <c r="C2987" i="1"/>
  <c r="C2988" i="1"/>
  <c r="C2989" i="1"/>
  <c r="C2990" i="1"/>
  <c r="C2991" i="1"/>
  <c r="C2992" i="1"/>
  <c r="C2993" i="1"/>
  <c r="C2994" i="1"/>
  <c r="C2995" i="1"/>
  <c r="C2996" i="1"/>
  <c r="C2997" i="1"/>
  <c r="C2998" i="1"/>
  <c r="C2999" i="1"/>
  <c r="C3000" i="1"/>
  <c r="C3001" i="1"/>
  <c r="G3001" i="1"/>
  <c r="F3001" i="1"/>
  <c r="G3000" i="1"/>
  <c r="F3000" i="1"/>
  <c r="G2999" i="1"/>
  <c r="F2999" i="1"/>
  <c r="G2998" i="1"/>
  <c r="F2998" i="1"/>
  <c r="G2997" i="1"/>
  <c r="F2997" i="1"/>
  <c r="G2996" i="1"/>
  <c r="F2996" i="1"/>
  <c r="G2995" i="1"/>
  <c r="F2995" i="1"/>
  <c r="G2994" i="1"/>
  <c r="F2994" i="1"/>
  <c r="G2993" i="1"/>
  <c r="F2993" i="1"/>
  <c r="G2992" i="1"/>
  <c r="F2992" i="1"/>
  <c r="G2991" i="1"/>
  <c r="F2991" i="1"/>
  <c r="G2990" i="1"/>
  <c r="F2990" i="1"/>
  <c r="G2989" i="1"/>
  <c r="F2989" i="1"/>
  <c r="G2988" i="1"/>
  <c r="F2988" i="1"/>
  <c r="G2987" i="1"/>
  <c r="F2987" i="1"/>
  <c r="G2986" i="1"/>
  <c r="F2986" i="1"/>
  <c r="G2985" i="1"/>
  <c r="F2985" i="1"/>
  <c r="G2984" i="1"/>
  <c r="F2984" i="1"/>
  <c r="G2983" i="1"/>
  <c r="F2983" i="1"/>
  <c r="G2982" i="1"/>
  <c r="F2982" i="1"/>
  <c r="G2981" i="1"/>
  <c r="F2981" i="1"/>
  <c r="G2980" i="1"/>
  <c r="F2980" i="1"/>
  <c r="G2979" i="1"/>
  <c r="F2979" i="1"/>
  <c r="G2978" i="1"/>
  <c r="F2978" i="1"/>
  <c r="G2977" i="1"/>
  <c r="F2977" i="1"/>
  <c r="G2976" i="1"/>
  <c r="F2976" i="1"/>
  <c r="G2975" i="1"/>
  <c r="F2975" i="1"/>
  <c r="G2974" i="1"/>
  <c r="F2974" i="1"/>
  <c r="G2973" i="1"/>
  <c r="F2973" i="1"/>
  <c r="G2972" i="1"/>
  <c r="F2972" i="1"/>
  <c r="G2971" i="1"/>
  <c r="F2971" i="1"/>
  <c r="G2970" i="1"/>
  <c r="F2970" i="1"/>
  <c r="G2969" i="1"/>
  <c r="F2969" i="1"/>
  <c r="G2968" i="1"/>
  <c r="F2968" i="1"/>
  <c r="G2967" i="1"/>
  <c r="F2967" i="1"/>
  <c r="G2966" i="1"/>
  <c r="F2966" i="1"/>
  <c r="G2965" i="1"/>
  <c r="F2965" i="1"/>
  <c r="G2964" i="1"/>
  <c r="F2964" i="1"/>
  <c r="G2963" i="1"/>
  <c r="F2963" i="1"/>
  <c r="G2962" i="1"/>
  <c r="F2962" i="1"/>
  <c r="G2961" i="1"/>
  <c r="F2961" i="1"/>
  <c r="G2960" i="1"/>
  <c r="F2960" i="1"/>
  <c r="G2959" i="1"/>
  <c r="F2959" i="1"/>
  <c r="G2958" i="1"/>
  <c r="F2958" i="1"/>
  <c r="G2957" i="1"/>
  <c r="F2957" i="1"/>
  <c r="G2956" i="1"/>
  <c r="F2956" i="1"/>
  <c r="G2955" i="1"/>
  <c r="F2955" i="1"/>
  <c r="G2954" i="1"/>
  <c r="F2954" i="1"/>
  <c r="G2953" i="1"/>
  <c r="F2953" i="1"/>
  <c r="G2952" i="1"/>
  <c r="F2952" i="1"/>
  <c r="G2951" i="1"/>
  <c r="F2951" i="1"/>
  <c r="G2950" i="1"/>
  <c r="F2950" i="1"/>
  <c r="G2949" i="1"/>
  <c r="F2949" i="1"/>
  <c r="G2948" i="1"/>
  <c r="F2948" i="1"/>
  <c r="G2947" i="1"/>
  <c r="F2947" i="1"/>
  <c r="G2946" i="1"/>
  <c r="F2946" i="1"/>
  <c r="G2945" i="1"/>
  <c r="F2945" i="1"/>
  <c r="G2944" i="1"/>
  <c r="F2944" i="1"/>
  <c r="G2943" i="1"/>
  <c r="F2943" i="1"/>
  <c r="G2942" i="1"/>
  <c r="F2942" i="1"/>
  <c r="G2941" i="1"/>
  <c r="F2941" i="1"/>
  <c r="G2940" i="1"/>
  <c r="F2940" i="1"/>
  <c r="G2939" i="1"/>
  <c r="F2939" i="1"/>
  <c r="G2938" i="1"/>
  <c r="F2938" i="1"/>
  <c r="G2937" i="1"/>
  <c r="F2937" i="1"/>
  <c r="G2936" i="1"/>
  <c r="F2936" i="1"/>
  <c r="G2935" i="1"/>
  <c r="F2935" i="1"/>
  <c r="G2934" i="1"/>
  <c r="F2934" i="1"/>
  <c r="G2933" i="1"/>
  <c r="F2933" i="1"/>
  <c r="G2932" i="1"/>
  <c r="F2932" i="1"/>
  <c r="G2931" i="1"/>
  <c r="F2931" i="1"/>
  <c r="G2930" i="1"/>
  <c r="F2930" i="1"/>
  <c r="G2929" i="1"/>
  <c r="F2929" i="1"/>
  <c r="G2928" i="1"/>
  <c r="F2928" i="1"/>
  <c r="G2927" i="1"/>
  <c r="F2927" i="1"/>
  <c r="G2926" i="1"/>
  <c r="F2926" i="1"/>
  <c r="G2925" i="1"/>
  <c r="F2925" i="1"/>
  <c r="G2924" i="1"/>
  <c r="F2924" i="1"/>
  <c r="G2923" i="1"/>
  <c r="F2923" i="1"/>
  <c r="G2922" i="1"/>
  <c r="F2922" i="1"/>
  <c r="G2921" i="1"/>
  <c r="F2921" i="1"/>
  <c r="G2920" i="1"/>
  <c r="F2920" i="1"/>
  <c r="G2919" i="1"/>
  <c r="F2919" i="1"/>
  <c r="G2918" i="1"/>
  <c r="F2918" i="1"/>
  <c r="G2917" i="1"/>
  <c r="F2917" i="1"/>
  <c r="G2916" i="1"/>
  <c r="F2916" i="1"/>
  <c r="G2915" i="1"/>
  <c r="F2915" i="1"/>
  <c r="G2914" i="1"/>
  <c r="F2914" i="1"/>
  <c r="G2913" i="1"/>
  <c r="F2913" i="1"/>
  <c r="G2912" i="1"/>
  <c r="F2912" i="1"/>
  <c r="G2911" i="1"/>
  <c r="F2911" i="1"/>
  <c r="G2910" i="1"/>
  <c r="F2910" i="1"/>
  <c r="G2909" i="1"/>
  <c r="F2909" i="1"/>
  <c r="G2908" i="1"/>
  <c r="F2908" i="1"/>
  <c r="G2907" i="1"/>
  <c r="F2907" i="1"/>
  <c r="G2906" i="1"/>
  <c r="F2906" i="1"/>
  <c r="G2905" i="1"/>
  <c r="F2905" i="1"/>
  <c r="G2904" i="1"/>
  <c r="F2904" i="1"/>
  <c r="G2903" i="1"/>
  <c r="F2903" i="1"/>
  <c r="G2902" i="1"/>
  <c r="F2902" i="1"/>
  <c r="G2901" i="1"/>
  <c r="F2901" i="1"/>
  <c r="G2900" i="1"/>
  <c r="F2900" i="1"/>
  <c r="G2899" i="1"/>
  <c r="F2899" i="1"/>
  <c r="G2898" i="1"/>
  <c r="F2898" i="1"/>
  <c r="G2897" i="1"/>
  <c r="F2897" i="1"/>
  <c r="G2896" i="1"/>
  <c r="F2896" i="1"/>
  <c r="G2895" i="1"/>
  <c r="F2895" i="1"/>
  <c r="G2894" i="1"/>
  <c r="F2894" i="1"/>
  <c r="G2893" i="1"/>
  <c r="F2893" i="1"/>
  <c r="G2892" i="1"/>
  <c r="F2892" i="1"/>
  <c r="G2891" i="1"/>
  <c r="F2891" i="1"/>
  <c r="G2890" i="1"/>
  <c r="F2890" i="1"/>
  <c r="G2889" i="1"/>
  <c r="F2889" i="1"/>
  <c r="G2888" i="1"/>
  <c r="F2888" i="1"/>
  <c r="G2887" i="1"/>
  <c r="F2887" i="1"/>
  <c r="G2886" i="1"/>
  <c r="F2886" i="1"/>
  <c r="G2885" i="1"/>
  <c r="F2885" i="1"/>
  <c r="G2884" i="1"/>
  <c r="F2884" i="1"/>
  <c r="G2883" i="1"/>
  <c r="F2883" i="1"/>
  <c r="G2882" i="1"/>
  <c r="F2882" i="1"/>
  <c r="G2881" i="1"/>
  <c r="F2881" i="1"/>
  <c r="G2880" i="1"/>
  <c r="F2880" i="1"/>
  <c r="G2879" i="1"/>
  <c r="F2879" i="1"/>
  <c r="G2878" i="1"/>
  <c r="F2878" i="1"/>
  <c r="G2877" i="1"/>
  <c r="F2877" i="1"/>
  <c r="G2876" i="1"/>
  <c r="F2876" i="1"/>
  <c r="G2875" i="1"/>
  <c r="F2875" i="1"/>
  <c r="G2874" i="1"/>
  <c r="F2874" i="1"/>
  <c r="G2873" i="1"/>
  <c r="F2873" i="1"/>
  <c r="G2872" i="1"/>
  <c r="F2872" i="1"/>
  <c r="G2871" i="1"/>
  <c r="F2871" i="1"/>
  <c r="G2870" i="1"/>
  <c r="F2870" i="1"/>
  <c r="G2869" i="1"/>
  <c r="F2869" i="1"/>
  <c r="G2868" i="1"/>
  <c r="F2868" i="1"/>
  <c r="G2867" i="1"/>
  <c r="F2867" i="1"/>
  <c r="G2866" i="1"/>
  <c r="F2866" i="1"/>
  <c r="G2865" i="1"/>
  <c r="F2865" i="1"/>
  <c r="G2864" i="1"/>
  <c r="F2864" i="1"/>
  <c r="G2863" i="1"/>
  <c r="F2863" i="1"/>
  <c r="G2862" i="1"/>
  <c r="F2862" i="1"/>
  <c r="G2861" i="1"/>
  <c r="F2861" i="1"/>
  <c r="G2860" i="1"/>
  <c r="F2860" i="1"/>
  <c r="G2859" i="1"/>
  <c r="F2859" i="1"/>
  <c r="G2858" i="1"/>
  <c r="F2858" i="1"/>
  <c r="G2857" i="1"/>
  <c r="F2857" i="1"/>
  <c r="G2856" i="1"/>
  <c r="F2856" i="1"/>
  <c r="G2855" i="1"/>
  <c r="F2855" i="1"/>
  <c r="G2854" i="1"/>
  <c r="F2854" i="1"/>
  <c r="G2853" i="1"/>
  <c r="F2853" i="1"/>
  <c r="G2852" i="1"/>
  <c r="F2852" i="1"/>
  <c r="G2851" i="1"/>
  <c r="F2851" i="1"/>
  <c r="G2850" i="1"/>
  <c r="F2850" i="1"/>
  <c r="G2849" i="1"/>
  <c r="F2849" i="1"/>
  <c r="G2848" i="1"/>
  <c r="F2848" i="1"/>
  <c r="G2847" i="1"/>
  <c r="F2847" i="1"/>
  <c r="G2846" i="1"/>
  <c r="F2846" i="1"/>
  <c r="G2845" i="1"/>
  <c r="F2845" i="1"/>
  <c r="G2844" i="1"/>
  <c r="F2844" i="1"/>
  <c r="G2843" i="1"/>
  <c r="F2843" i="1"/>
  <c r="G2842" i="1"/>
  <c r="F2842" i="1"/>
  <c r="G2841" i="1"/>
  <c r="F2841" i="1"/>
  <c r="G2840" i="1"/>
  <c r="F2840" i="1"/>
  <c r="G2839" i="1"/>
  <c r="F2839" i="1"/>
  <c r="G2838" i="1"/>
  <c r="F2838" i="1"/>
  <c r="G2837" i="1"/>
  <c r="F2837" i="1"/>
  <c r="G2836" i="1"/>
  <c r="F2836" i="1"/>
  <c r="G2835" i="1"/>
  <c r="F2835" i="1"/>
  <c r="G2834" i="1"/>
  <c r="F2834" i="1"/>
  <c r="G2833" i="1"/>
  <c r="F2833" i="1"/>
  <c r="G2832" i="1"/>
  <c r="F2832" i="1"/>
  <c r="G2831" i="1"/>
  <c r="F2831" i="1"/>
  <c r="G2830" i="1"/>
  <c r="F2830" i="1"/>
  <c r="G2829" i="1"/>
  <c r="F2829" i="1"/>
  <c r="G2828" i="1"/>
  <c r="F2828" i="1"/>
  <c r="G2827" i="1"/>
  <c r="F2827" i="1"/>
  <c r="G2826" i="1"/>
  <c r="F2826" i="1"/>
  <c r="G2825" i="1"/>
  <c r="F2825" i="1"/>
  <c r="G2824" i="1"/>
  <c r="F2824" i="1"/>
  <c r="G2823" i="1"/>
  <c r="F2823" i="1"/>
  <c r="G2822" i="1"/>
  <c r="F2822" i="1"/>
  <c r="G2821" i="1"/>
  <c r="F2821" i="1"/>
  <c r="G2820" i="1"/>
  <c r="F2820" i="1"/>
  <c r="G2819" i="1"/>
  <c r="F2819" i="1"/>
  <c r="G2818" i="1"/>
  <c r="F2818" i="1"/>
  <c r="G2817" i="1"/>
  <c r="F2817" i="1"/>
  <c r="G2816" i="1"/>
  <c r="F2816" i="1"/>
  <c r="G2815" i="1"/>
  <c r="F2815" i="1"/>
  <c r="G2814" i="1"/>
  <c r="F2814" i="1"/>
  <c r="G2813" i="1"/>
  <c r="F2813" i="1"/>
  <c r="G2812" i="1"/>
  <c r="F2812" i="1"/>
  <c r="G2811" i="1"/>
  <c r="F2811" i="1"/>
  <c r="G2810" i="1"/>
  <c r="F2810" i="1"/>
  <c r="G2809" i="1"/>
  <c r="F2809" i="1"/>
  <c r="G2808" i="1"/>
  <c r="F2808" i="1"/>
  <c r="G2807" i="1"/>
  <c r="F2807" i="1"/>
  <c r="G2806" i="1"/>
  <c r="F2806" i="1"/>
  <c r="G2805" i="1"/>
  <c r="F2805" i="1"/>
  <c r="G2804" i="1"/>
  <c r="F2804" i="1"/>
  <c r="G2803" i="1"/>
  <c r="F2803" i="1"/>
  <c r="G2802" i="1"/>
  <c r="F2802" i="1"/>
  <c r="G2801" i="1"/>
  <c r="F2801" i="1"/>
  <c r="G2800" i="1"/>
  <c r="F2800" i="1"/>
  <c r="G2799" i="1"/>
  <c r="F2799" i="1"/>
  <c r="G2798" i="1"/>
  <c r="F2798" i="1"/>
  <c r="G2797" i="1"/>
  <c r="F2797" i="1"/>
  <c r="G2796" i="1"/>
  <c r="F2796" i="1"/>
  <c r="G2795" i="1"/>
  <c r="F2795" i="1"/>
  <c r="G2794" i="1"/>
  <c r="F2794" i="1"/>
  <c r="G2793" i="1"/>
  <c r="F2793" i="1"/>
  <c r="G2792" i="1"/>
  <c r="F2792" i="1"/>
  <c r="G2791" i="1"/>
  <c r="F2791" i="1"/>
  <c r="G2790" i="1"/>
  <c r="F2790" i="1"/>
  <c r="G2789" i="1"/>
  <c r="F2789" i="1"/>
  <c r="G2788" i="1"/>
  <c r="F2788" i="1"/>
  <c r="G2787" i="1"/>
  <c r="F2787" i="1"/>
  <c r="G2786" i="1"/>
  <c r="F2786" i="1"/>
  <c r="G2785" i="1"/>
  <c r="F2785" i="1"/>
  <c r="G2784" i="1"/>
  <c r="F2784" i="1"/>
  <c r="G2783" i="1"/>
  <c r="F2783" i="1"/>
  <c r="G2782" i="1"/>
  <c r="F2782" i="1"/>
  <c r="G2781" i="1"/>
  <c r="F2781" i="1"/>
  <c r="G2780" i="1"/>
  <c r="F2780" i="1"/>
  <c r="G2779" i="1"/>
  <c r="F2779" i="1"/>
  <c r="G2778" i="1"/>
  <c r="F2778" i="1"/>
  <c r="G2777" i="1"/>
  <c r="F2777" i="1"/>
  <c r="G2776" i="1"/>
  <c r="F2776" i="1"/>
  <c r="G2775" i="1"/>
  <c r="F2775" i="1"/>
  <c r="G2774" i="1"/>
  <c r="F2774" i="1"/>
  <c r="G2773" i="1"/>
  <c r="F2773" i="1"/>
  <c r="G2772" i="1"/>
  <c r="F2772" i="1"/>
  <c r="G2771" i="1"/>
  <c r="F2771" i="1"/>
  <c r="G2770" i="1"/>
  <c r="F2770" i="1"/>
  <c r="G2769" i="1"/>
  <c r="F2769" i="1"/>
  <c r="G2768" i="1"/>
  <c r="F2768" i="1"/>
  <c r="G2767" i="1"/>
  <c r="F2767" i="1"/>
  <c r="G2766" i="1"/>
  <c r="F2766" i="1"/>
  <c r="G2765" i="1"/>
  <c r="F2765" i="1"/>
  <c r="G2764" i="1"/>
  <c r="F2764" i="1"/>
  <c r="G2763" i="1"/>
  <c r="F2763" i="1"/>
  <c r="G2762" i="1"/>
  <c r="F2762" i="1"/>
  <c r="G2761" i="1"/>
  <c r="F2761" i="1"/>
  <c r="G2760" i="1"/>
  <c r="F2760" i="1"/>
  <c r="G2759" i="1"/>
  <c r="F2759" i="1"/>
  <c r="G2758" i="1"/>
  <c r="F2758" i="1"/>
  <c r="G2757" i="1"/>
  <c r="F2757" i="1"/>
  <c r="G2756" i="1"/>
  <c r="F2756" i="1"/>
  <c r="G2755" i="1"/>
  <c r="F2755" i="1"/>
  <c r="G2754" i="1"/>
  <c r="F2754" i="1"/>
  <c r="G2753" i="1"/>
  <c r="F2753" i="1"/>
  <c r="G2752" i="1"/>
  <c r="F2752" i="1"/>
  <c r="G2751" i="1"/>
  <c r="F2751" i="1"/>
  <c r="G2750" i="1"/>
  <c r="F2750" i="1"/>
  <c r="G2749" i="1"/>
  <c r="F2749" i="1"/>
  <c r="G2748" i="1"/>
  <c r="F2748" i="1"/>
  <c r="G2747" i="1"/>
  <c r="F2747" i="1"/>
  <c r="G2746" i="1"/>
  <c r="F2746" i="1"/>
  <c r="G2745" i="1"/>
  <c r="F2745" i="1"/>
  <c r="G2744" i="1"/>
  <c r="F2744" i="1"/>
  <c r="G2743" i="1"/>
  <c r="F2743" i="1"/>
  <c r="G2742" i="1"/>
  <c r="F2742" i="1"/>
  <c r="G2741" i="1"/>
  <c r="F2741" i="1"/>
  <c r="G2740" i="1"/>
  <c r="F2740" i="1"/>
  <c r="G2739" i="1"/>
  <c r="F2739" i="1"/>
  <c r="G2738" i="1"/>
  <c r="F2738" i="1"/>
  <c r="G2737" i="1"/>
  <c r="F2737" i="1"/>
  <c r="G2736" i="1"/>
  <c r="F2736" i="1"/>
  <c r="G2735" i="1"/>
  <c r="F2735" i="1"/>
  <c r="G2734" i="1"/>
  <c r="F2734" i="1"/>
  <c r="G2733" i="1"/>
  <c r="F2733" i="1"/>
  <c r="G2732" i="1"/>
  <c r="F2732" i="1"/>
  <c r="G2731" i="1"/>
  <c r="F2731" i="1"/>
  <c r="G2730" i="1"/>
  <c r="F2730" i="1"/>
  <c r="G2729" i="1"/>
  <c r="F2729" i="1"/>
  <c r="G2728" i="1"/>
  <c r="F2728" i="1"/>
  <c r="G2727" i="1"/>
  <c r="F2727" i="1"/>
  <c r="G2726" i="1"/>
  <c r="F2726" i="1"/>
  <c r="G2725" i="1"/>
  <c r="F2725" i="1"/>
  <c r="G2724" i="1"/>
  <c r="F2724" i="1"/>
  <c r="G2723" i="1"/>
  <c r="F2723" i="1"/>
  <c r="G2722" i="1"/>
  <c r="F2722" i="1"/>
  <c r="G2721" i="1"/>
  <c r="F2721" i="1"/>
  <c r="G2720" i="1"/>
  <c r="F2720" i="1"/>
  <c r="G2719" i="1"/>
  <c r="F2719" i="1"/>
  <c r="G2718" i="1"/>
  <c r="F2718" i="1"/>
  <c r="G2717" i="1"/>
  <c r="F2717" i="1"/>
  <c r="G2716" i="1"/>
  <c r="F2716" i="1"/>
  <c r="G2715" i="1"/>
  <c r="F2715" i="1"/>
  <c r="G2714" i="1"/>
  <c r="F2714" i="1"/>
  <c r="G2713" i="1"/>
  <c r="F2713" i="1"/>
  <c r="G2712" i="1"/>
  <c r="F2712" i="1"/>
  <c r="G2711" i="1"/>
  <c r="F2711" i="1"/>
  <c r="G2710" i="1"/>
  <c r="F2710" i="1"/>
  <c r="G2709" i="1"/>
  <c r="F2709" i="1"/>
  <c r="G2708" i="1"/>
  <c r="F2708" i="1"/>
  <c r="G2707" i="1"/>
  <c r="F2707" i="1"/>
  <c r="G2706" i="1"/>
  <c r="F2706" i="1"/>
  <c r="G2705" i="1"/>
  <c r="F2705" i="1"/>
  <c r="G2704" i="1"/>
  <c r="F2704" i="1"/>
  <c r="G2703" i="1"/>
  <c r="F2703" i="1"/>
  <c r="G2702" i="1"/>
  <c r="F2702" i="1"/>
  <c r="G2701" i="1"/>
  <c r="F2701" i="1"/>
  <c r="G2700" i="1"/>
  <c r="F2700" i="1"/>
  <c r="G2699" i="1"/>
  <c r="F2699" i="1"/>
  <c r="G2698" i="1"/>
  <c r="F2698" i="1"/>
  <c r="G2697" i="1"/>
  <c r="F2697" i="1"/>
  <c r="G2696" i="1"/>
  <c r="F2696" i="1"/>
  <c r="G2695" i="1"/>
  <c r="F2695" i="1"/>
  <c r="G2694" i="1"/>
  <c r="F2694" i="1"/>
  <c r="G2693" i="1"/>
  <c r="F2693" i="1"/>
  <c r="G2692" i="1"/>
  <c r="F2692" i="1"/>
  <c r="G2691" i="1"/>
  <c r="F2691" i="1"/>
  <c r="G2690" i="1"/>
  <c r="F2690" i="1"/>
  <c r="G2689" i="1"/>
  <c r="F2689" i="1"/>
  <c r="G2688" i="1"/>
  <c r="F2688" i="1"/>
  <c r="G2687" i="1"/>
  <c r="F2687" i="1"/>
  <c r="G2686" i="1"/>
  <c r="F2686" i="1"/>
  <c r="G2685" i="1"/>
  <c r="F2685" i="1"/>
  <c r="G2684" i="1"/>
  <c r="F2684" i="1"/>
  <c r="G2683" i="1"/>
  <c r="F2683" i="1"/>
  <c r="G2682" i="1"/>
  <c r="F2682" i="1"/>
  <c r="G2681" i="1"/>
  <c r="F2681" i="1"/>
  <c r="G2680" i="1"/>
  <c r="F2680" i="1"/>
  <c r="G2679" i="1"/>
  <c r="F2679" i="1"/>
  <c r="G2678" i="1"/>
  <c r="F2678" i="1"/>
  <c r="G2677" i="1"/>
  <c r="F2677" i="1"/>
  <c r="G2676" i="1"/>
  <c r="F2676" i="1"/>
  <c r="G2675" i="1"/>
  <c r="F2675" i="1"/>
  <c r="G2674" i="1"/>
  <c r="F2674" i="1"/>
  <c r="G2673" i="1"/>
  <c r="F2673" i="1"/>
  <c r="G2672" i="1"/>
  <c r="F2672" i="1"/>
  <c r="G2671" i="1"/>
  <c r="F2671" i="1"/>
  <c r="G2670" i="1"/>
  <c r="F2670" i="1"/>
  <c r="G2669" i="1"/>
  <c r="F2669" i="1"/>
  <c r="G2668" i="1"/>
  <c r="F2668" i="1"/>
  <c r="G2667" i="1"/>
  <c r="F2667" i="1"/>
  <c r="G2666" i="1"/>
  <c r="F2666" i="1"/>
  <c r="G2665" i="1"/>
  <c r="F2665" i="1"/>
  <c r="G2664" i="1"/>
  <c r="F2664" i="1"/>
  <c r="G2663" i="1"/>
  <c r="F2663" i="1"/>
  <c r="G2662" i="1"/>
  <c r="F2662" i="1"/>
  <c r="G2661" i="1"/>
  <c r="F2661" i="1"/>
  <c r="G2660" i="1"/>
  <c r="F2660" i="1"/>
  <c r="G2659" i="1"/>
  <c r="F2659" i="1"/>
  <c r="G2658" i="1"/>
  <c r="F2658" i="1"/>
  <c r="G2657" i="1"/>
  <c r="F2657" i="1"/>
  <c r="G2656" i="1"/>
  <c r="F2656" i="1"/>
  <c r="G2655" i="1"/>
  <c r="F2655" i="1"/>
  <c r="G2654" i="1"/>
  <c r="F2654" i="1"/>
  <c r="G2653" i="1"/>
  <c r="F2653" i="1"/>
  <c r="G2652" i="1"/>
  <c r="F2652" i="1"/>
  <c r="G2651" i="1"/>
  <c r="F2651" i="1"/>
  <c r="G2650" i="1"/>
  <c r="F2650" i="1"/>
  <c r="G2649" i="1"/>
  <c r="F2649" i="1"/>
  <c r="G2648" i="1"/>
  <c r="F2648" i="1"/>
  <c r="G2647" i="1"/>
  <c r="F2647" i="1"/>
  <c r="G2646" i="1"/>
  <c r="F2646" i="1"/>
  <c r="G2645" i="1"/>
  <c r="F2645" i="1"/>
  <c r="G2644" i="1"/>
  <c r="F2644" i="1"/>
  <c r="G2643" i="1"/>
  <c r="F2643" i="1"/>
  <c r="G2642" i="1"/>
  <c r="F2642" i="1"/>
  <c r="G2641" i="1"/>
  <c r="F2641" i="1"/>
  <c r="G2640" i="1"/>
  <c r="F2640" i="1"/>
  <c r="G2639" i="1"/>
  <c r="F2639" i="1"/>
  <c r="G2638" i="1"/>
  <c r="F2638" i="1"/>
  <c r="G2637" i="1"/>
  <c r="F2637" i="1"/>
  <c r="G2636" i="1"/>
  <c r="F2636" i="1"/>
  <c r="G2635" i="1"/>
  <c r="F2635" i="1"/>
  <c r="G2634" i="1"/>
  <c r="F2634" i="1"/>
  <c r="G2633" i="1"/>
  <c r="F2633" i="1"/>
  <c r="G2632" i="1"/>
  <c r="F2632" i="1"/>
  <c r="G2631" i="1"/>
  <c r="F2631" i="1"/>
  <c r="G2630" i="1"/>
  <c r="F2630" i="1"/>
  <c r="G2629" i="1"/>
  <c r="F2629" i="1"/>
  <c r="G2628" i="1"/>
  <c r="F2628" i="1"/>
  <c r="G2627" i="1"/>
  <c r="F2627" i="1"/>
  <c r="G2626" i="1"/>
  <c r="F2626" i="1"/>
  <c r="G2625" i="1"/>
  <c r="F2625" i="1"/>
  <c r="G2624" i="1"/>
  <c r="F2624" i="1"/>
  <c r="G2623" i="1"/>
  <c r="F2623" i="1"/>
  <c r="G2622" i="1"/>
  <c r="F2622" i="1"/>
  <c r="G2621" i="1"/>
  <c r="F2621" i="1"/>
  <c r="G2620" i="1"/>
  <c r="F2620" i="1"/>
  <c r="G2619" i="1"/>
  <c r="F2619" i="1"/>
  <c r="G2618" i="1"/>
  <c r="F2618" i="1"/>
  <c r="G2617" i="1"/>
  <c r="F2617" i="1"/>
  <c r="G2616" i="1"/>
  <c r="F2616" i="1"/>
  <c r="G2615" i="1"/>
  <c r="F2615" i="1"/>
  <c r="G2614" i="1"/>
  <c r="F2614" i="1"/>
  <c r="G2613" i="1"/>
  <c r="F2613" i="1"/>
  <c r="G2612" i="1"/>
  <c r="F2612" i="1"/>
  <c r="G2611" i="1"/>
  <c r="F2611" i="1"/>
  <c r="G2610" i="1"/>
  <c r="F2610" i="1"/>
  <c r="G2609" i="1"/>
  <c r="F2609" i="1"/>
  <c r="G2608" i="1"/>
  <c r="F2608" i="1"/>
  <c r="G2607" i="1"/>
  <c r="F2607" i="1"/>
  <c r="G2606" i="1"/>
  <c r="F2606" i="1"/>
  <c r="G2605" i="1"/>
  <c r="F2605" i="1"/>
  <c r="G2604" i="1"/>
  <c r="F2604" i="1"/>
  <c r="G2603" i="1"/>
  <c r="F2603" i="1"/>
  <c r="G2602" i="1"/>
  <c r="F2602" i="1"/>
  <c r="G2601" i="1"/>
  <c r="F2601" i="1"/>
  <c r="G2600" i="1"/>
  <c r="F2600" i="1"/>
  <c r="G2599" i="1"/>
  <c r="F2599" i="1"/>
  <c r="G2598" i="1"/>
  <c r="F2598" i="1"/>
  <c r="G2597" i="1"/>
  <c r="F2597" i="1"/>
  <c r="G2596" i="1"/>
  <c r="F2596" i="1"/>
  <c r="G2595" i="1"/>
  <c r="F2595" i="1"/>
  <c r="G2594" i="1"/>
  <c r="F2594" i="1"/>
  <c r="G2593" i="1"/>
  <c r="F2593" i="1"/>
  <c r="G2592" i="1"/>
  <c r="F2592" i="1"/>
  <c r="G2591" i="1"/>
  <c r="F2591" i="1"/>
  <c r="G2590" i="1"/>
  <c r="F2590" i="1"/>
  <c r="G2589" i="1"/>
  <c r="F2589" i="1"/>
  <c r="G2588" i="1"/>
  <c r="F2588" i="1"/>
  <c r="G2587" i="1"/>
  <c r="F2587" i="1"/>
  <c r="G2586" i="1"/>
  <c r="F2586" i="1"/>
  <c r="G2585" i="1"/>
  <c r="F2585" i="1"/>
  <c r="G2584" i="1"/>
  <c r="F2584" i="1"/>
  <c r="G2583" i="1"/>
  <c r="F2583" i="1"/>
  <c r="G2582" i="1"/>
  <c r="F2582" i="1"/>
  <c r="G2581" i="1"/>
  <c r="F2581" i="1"/>
  <c r="G2580" i="1"/>
  <c r="F2580" i="1"/>
  <c r="G2579" i="1"/>
  <c r="F2579" i="1"/>
  <c r="G2578" i="1"/>
  <c r="F2578" i="1"/>
  <c r="G2577" i="1"/>
  <c r="F2577" i="1"/>
  <c r="G2576" i="1"/>
  <c r="F2576" i="1"/>
  <c r="G2575" i="1"/>
  <c r="F2575" i="1"/>
  <c r="G2574" i="1"/>
  <c r="F2574" i="1"/>
  <c r="G2573" i="1"/>
  <c r="F2573" i="1"/>
  <c r="G2572" i="1"/>
  <c r="F2572" i="1"/>
  <c r="G2571" i="1"/>
  <c r="F2571" i="1"/>
  <c r="G2570" i="1"/>
  <c r="F2570" i="1"/>
  <c r="G2569" i="1"/>
  <c r="F2569" i="1"/>
  <c r="G2568" i="1"/>
  <c r="F2568" i="1"/>
  <c r="G2567" i="1"/>
  <c r="F2567" i="1"/>
  <c r="G2566" i="1"/>
  <c r="F2566" i="1"/>
  <c r="G2565" i="1"/>
  <c r="F2565" i="1"/>
  <c r="G2564" i="1"/>
  <c r="F2564" i="1"/>
  <c r="G2563" i="1"/>
  <c r="F2563" i="1"/>
  <c r="G2562" i="1"/>
  <c r="F2562" i="1"/>
  <c r="G2561" i="1"/>
  <c r="F2561" i="1"/>
  <c r="G2560" i="1"/>
  <c r="F2560" i="1"/>
  <c r="G2559" i="1"/>
  <c r="F2559" i="1"/>
  <c r="G2558" i="1"/>
  <c r="F2558" i="1"/>
  <c r="G2557" i="1"/>
  <c r="F2557" i="1"/>
  <c r="G2556" i="1"/>
  <c r="F2556" i="1"/>
  <c r="G2555" i="1"/>
  <c r="F2555" i="1"/>
  <c r="G2554" i="1"/>
  <c r="F2554" i="1"/>
  <c r="G2553" i="1"/>
  <c r="F2553" i="1"/>
  <c r="G2552" i="1"/>
  <c r="F2552" i="1"/>
  <c r="G2551" i="1"/>
  <c r="F2551" i="1"/>
  <c r="G2550" i="1"/>
  <c r="F2550" i="1"/>
  <c r="G2549" i="1"/>
  <c r="F2549" i="1"/>
  <c r="G2548" i="1"/>
  <c r="F2548" i="1"/>
  <c r="G2547" i="1"/>
  <c r="F2547" i="1"/>
  <c r="G2546" i="1"/>
  <c r="F2546" i="1"/>
  <c r="G2545" i="1"/>
  <c r="F2545" i="1"/>
  <c r="G2544" i="1"/>
  <c r="F2544" i="1"/>
  <c r="G2543" i="1"/>
  <c r="F2543" i="1"/>
  <c r="G2542" i="1"/>
  <c r="F2542" i="1"/>
  <c r="G2541" i="1"/>
  <c r="F2541" i="1"/>
  <c r="G2540" i="1"/>
  <c r="F2540" i="1"/>
  <c r="G2539" i="1"/>
  <c r="F2539" i="1"/>
  <c r="G2538" i="1"/>
  <c r="F2538" i="1"/>
  <c r="G2537" i="1"/>
  <c r="F2537" i="1"/>
  <c r="G2536" i="1"/>
  <c r="F2536" i="1"/>
  <c r="G2535" i="1"/>
  <c r="F2535" i="1"/>
  <c r="G2534" i="1"/>
  <c r="F2534" i="1"/>
  <c r="G2533" i="1"/>
  <c r="F2533" i="1"/>
  <c r="G2532" i="1"/>
  <c r="F2532" i="1"/>
  <c r="G2531" i="1"/>
  <c r="F2531" i="1"/>
  <c r="G2530" i="1"/>
  <c r="F2530" i="1"/>
  <c r="G2529" i="1"/>
  <c r="F2529" i="1"/>
  <c r="G2528" i="1"/>
  <c r="F2528" i="1"/>
  <c r="G2527" i="1"/>
  <c r="F2527" i="1"/>
  <c r="G2526" i="1"/>
  <c r="F2526" i="1"/>
  <c r="G2525" i="1"/>
  <c r="F2525" i="1"/>
  <c r="G2524" i="1"/>
  <c r="F2524" i="1"/>
  <c r="G2523" i="1"/>
  <c r="F2523" i="1"/>
  <c r="G2522" i="1"/>
  <c r="F2522" i="1"/>
  <c r="G2521" i="1"/>
  <c r="F2521" i="1"/>
  <c r="G2520" i="1"/>
  <c r="F2520" i="1"/>
  <c r="G2519" i="1"/>
  <c r="F2519" i="1"/>
  <c r="G2518" i="1"/>
  <c r="F2518" i="1"/>
  <c r="G2517" i="1"/>
  <c r="F2517" i="1"/>
  <c r="G2516" i="1"/>
  <c r="F2516" i="1"/>
  <c r="G2515" i="1"/>
  <c r="F2515" i="1"/>
  <c r="G2514" i="1"/>
  <c r="F2514" i="1"/>
  <c r="G2513" i="1"/>
  <c r="F2513" i="1"/>
  <c r="G2512" i="1"/>
  <c r="F2512" i="1"/>
  <c r="G2511" i="1"/>
  <c r="F2511" i="1"/>
  <c r="G2510" i="1"/>
  <c r="F2510" i="1"/>
  <c r="G2509" i="1"/>
  <c r="F2509" i="1"/>
  <c r="G2508" i="1"/>
  <c r="F2508" i="1"/>
  <c r="G2507" i="1"/>
  <c r="F2507" i="1"/>
  <c r="G2506" i="1"/>
  <c r="F2506" i="1"/>
  <c r="G2505" i="1"/>
  <c r="F2505" i="1"/>
  <c r="G2504" i="1"/>
  <c r="F2504" i="1"/>
  <c r="G2503" i="1"/>
  <c r="F2503" i="1"/>
  <c r="G2502" i="1"/>
  <c r="F2502" i="1"/>
  <c r="G2501" i="1"/>
  <c r="F2501" i="1"/>
  <c r="G2500" i="1"/>
  <c r="F2500" i="1"/>
  <c r="G2499" i="1"/>
  <c r="F2499" i="1"/>
  <c r="G2498" i="1"/>
  <c r="F2498" i="1"/>
  <c r="G2497" i="1"/>
  <c r="F2497" i="1"/>
  <c r="G2496" i="1"/>
  <c r="F2496" i="1"/>
  <c r="G2495" i="1"/>
  <c r="F2495" i="1"/>
  <c r="G2494" i="1"/>
  <c r="F2494" i="1"/>
  <c r="G2493" i="1"/>
  <c r="F2493" i="1"/>
  <c r="G2492" i="1"/>
  <c r="F2492" i="1"/>
  <c r="G2491" i="1"/>
  <c r="F2491" i="1"/>
  <c r="G2490" i="1"/>
  <c r="F2490" i="1"/>
  <c r="G2489" i="1"/>
  <c r="F2489" i="1"/>
  <c r="G2488" i="1"/>
  <c r="F2488" i="1"/>
  <c r="G2487" i="1"/>
  <c r="F2487" i="1"/>
  <c r="G2486" i="1"/>
  <c r="F2486" i="1"/>
  <c r="G2485" i="1"/>
  <c r="F2485" i="1"/>
  <c r="G2484" i="1"/>
  <c r="F2484" i="1"/>
  <c r="G2483" i="1"/>
  <c r="F2483" i="1"/>
  <c r="G2482" i="1"/>
  <c r="F2482" i="1"/>
  <c r="G2481" i="1"/>
  <c r="F2481" i="1"/>
  <c r="G2480" i="1"/>
  <c r="F2480" i="1"/>
  <c r="G2479" i="1"/>
  <c r="F2479" i="1"/>
  <c r="G2478" i="1"/>
  <c r="F2478" i="1"/>
  <c r="G2477" i="1"/>
  <c r="F2477" i="1"/>
  <c r="G2476" i="1"/>
  <c r="F2476" i="1"/>
  <c r="G2475" i="1"/>
  <c r="F2475" i="1"/>
  <c r="G2474" i="1"/>
  <c r="F2474" i="1"/>
  <c r="G2473" i="1"/>
  <c r="F2473" i="1"/>
  <c r="G2472" i="1"/>
  <c r="F2472" i="1"/>
  <c r="G2471" i="1"/>
  <c r="F2471" i="1"/>
  <c r="G2470" i="1"/>
  <c r="F2470" i="1"/>
  <c r="G2469" i="1"/>
  <c r="F2469" i="1"/>
  <c r="G2468" i="1"/>
  <c r="F2468" i="1"/>
  <c r="G2467" i="1"/>
  <c r="F2467" i="1"/>
  <c r="G2466" i="1"/>
  <c r="F2466" i="1"/>
  <c r="G2465" i="1"/>
  <c r="F2465" i="1"/>
  <c r="G2464" i="1"/>
  <c r="F2464" i="1"/>
  <c r="G2463" i="1"/>
  <c r="F2463" i="1"/>
  <c r="G2462" i="1"/>
  <c r="F2462" i="1"/>
  <c r="G2461" i="1"/>
  <c r="F2461" i="1"/>
  <c r="G2460" i="1"/>
  <c r="F2460" i="1"/>
  <c r="G2459" i="1"/>
  <c r="F2459" i="1"/>
  <c r="G2458" i="1"/>
  <c r="F2458" i="1"/>
  <c r="G2457" i="1"/>
  <c r="F2457" i="1"/>
  <c r="G2456" i="1"/>
  <c r="F2456" i="1"/>
  <c r="G2455" i="1"/>
  <c r="F2455" i="1"/>
  <c r="G2454" i="1"/>
  <c r="F2454" i="1"/>
  <c r="G2453" i="1"/>
  <c r="F2453" i="1"/>
  <c r="G2452" i="1"/>
  <c r="F2452" i="1"/>
  <c r="G2451" i="1"/>
  <c r="F2451" i="1"/>
  <c r="G2450" i="1"/>
  <c r="F2450" i="1"/>
  <c r="G2449" i="1"/>
  <c r="F2449" i="1"/>
  <c r="G2448" i="1"/>
  <c r="F2448" i="1"/>
  <c r="G2447" i="1"/>
  <c r="F2447" i="1"/>
  <c r="G2446" i="1"/>
  <c r="F2446" i="1"/>
  <c r="G2445" i="1"/>
  <c r="F2445" i="1"/>
  <c r="G2444" i="1"/>
  <c r="F2444" i="1"/>
  <c r="G2443" i="1"/>
  <c r="F2443" i="1"/>
  <c r="G2442" i="1"/>
  <c r="F2442" i="1"/>
  <c r="G2441" i="1"/>
  <c r="F2441" i="1"/>
  <c r="G2440" i="1"/>
  <c r="F2440" i="1"/>
  <c r="G2439" i="1"/>
  <c r="F2439" i="1"/>
  <c r="G2438" i="1"/>
  <c r="F2438" i="1"/>
  <c r="G2437" i="1"/>
  <c r="F2437" i="1"/>
  <c r="G2436" i="1"/>
  <c r="F2436" i="1"/>
  <c r="G2435" i="1"/>
  <c r="F2435" i="1"/>
  <c r="G2434" i="1"/>
  <c r="F2434" i="1"/>
  <c r="G2433" i="1"/>
  <c r="F2433" i="1"/>
  <c r="G2432" i="1"/>
  <c r="F2432" i="1"/>
  <c r="G2431" i="1"/>
  <c r="F2431" i="1"/>
  <c r="G2430" i="1"/>
  <c r="F2430" i="1"/>
  <c r="G2429" i="1"/>
  <c r="F2429" i="1"/>
  <c r="G2428" i="1"/>
  <c r="F2428" i="1"/>
  <c r="G2427" i="1"/>
  <c r="F2427" i="1"/>
  <c r="G2426" i="1"/>
  <c r="F2426" i="1"/>
  <c r="G2425" i="1"/>
  <c r="F2425" i="1"/>
  <c r="G2424" i="1"/>
  <c r="F2424" i="1"/>
  <c r="G2423" i="1"/>
  <c r="F2423" i="1"/>
  <c r="G2422" i="1"/>
  <c r="F2422" i="1"/>
  <c r="G2421" i="1"/>
  <c r="F2421" i="1"/>
  <c r="G2420" i="1"/>
  <c r="F2420" i="1"/>
  <c r="G2419" i="1"/>
  <c r="F2419" i="1"/>
  <c r="G2418" i="1"/>
  <c r="F2418" i="1"/>
  <c r="G2417" i="1"/>
  <c r="F2417" i="1"/>
  <c r="G2416" i="1"/>
  <c r="F2416" i="1"/>
  <c r="G2415" i="1"/>
  <c r="F2415" i="1"/>
  <c r="G2414" i="1"/>
  <c r="F2414" i="1"/>
  <c r="G2413" i="1"/>
  <c r="F2413" i="1"/>
  <c r="G2412" i="1"/>
  <c r="F2412" i="1"/>
  <c r="G2411" i="1"/>
  <c r="F2411" i="1"/>
  <c r="G2410" i="1"/>
  <c r="F2410" i="1"/>
  <c r="G2409" i="1"/>
  <c r="F2409" i="1"/>
  <c r="G2408" i="1"/>
  <c r="F2408" i="1"/>
  <c r="G2407" i="1"/>
  <c r="F2407" i="1"/>
  <c r="G2406" i="1"/>
  <c r="F2406" i="1"/>
  <c r="G2405" i="1"/>
  <c r="F2405" i="1"/>
  <c r="G2404" i="1"/>
  <c r="F2404" i="1"/>
  <c r="G2403" i="1"/>
  <c r="F2403" i="1"/>
  <c r="G2402" i="1"/>
  <c r="F2402" i="1"/>
  <c r="G2401" i="1"/>
  <c r="F2401" i="1"/>
  <c r="G2400" i="1"/>
  <c r="F2400" i="1"/>
  <c r="G2399" i="1"/>
  <c r="F2399" i="1"/>
  <c r="G2398" i="1"/>
  <c r="F2398" i="1"/>
  <c r="G2397" i="1"/>
  <c r="F2397" i="1"/>
  <c r="G2396" i="1"/>
  <c r="F2396" i="1"/>
  <c r="G2395" i="1"/>
  <c r="F2395" i="1"/>
  <c r="G2394" i="1"/>
  <c r="F2394" i="1"/>
  <c r="G2393" i="1"/>
  <c r="F2393" i="1"/>
  <c r="G2392" i="1"/>
  <c r="F2392" i="1"/>
  <c r="G2391" i="1"/>
  <c r="F2391" i="1"/>
  <c r="G2390" i="1"/>
  <c r="F2390" i="1"/>
  <c r="G2389" i="1"/>
  <c r="F2389" i="1"/>
  <c r="G2388" i="1"/>
  <c r="F2388" i="1"/>
  <c r="G2387" i="1"/>
  <c r="F2387" i="1"/>
  <c r="G2386" i="1"/>
  <c r="F2386" i="1"/>
  <c r="G2385" i="1"/>
  <c r="F2385" i="1"/>
  <c r="G2384" i="1"/>
  <c r="F2384" i="1"/>
  <c r="G2383" i="1"/>
  <c r="F2383" i="1"/>
  <c r="G2382" i="1"/>
  <c r="F2382" i="1"/>
  <c r="G2381" i="1"/>
  <c r="F2381" i="1"/>
  <c r="G2380" i="1"/>
  <c r="F2380" i="1"/>
  <c r="G2379" i="1"/>
  <c r="F2379" i="1"/>
  <c r="G2378" i="1"/>
  <c r="F2378" i="1"/>
  <c r="G2377" i="1"/>
  <c r="F2377" i="1"/>
  <c r="G2376" i="1"/>
  <c r="F2376" i="1"/>
  <c r="G2375" i="1"/>
  <c r="F2375" i="1"/>
  <c r="G2374" i="1"/>
  <c r="F2374" i="1"/>
  <c r="G2373" i="1"/>
  <c r="F2373" i="1"/>
  <c r="G2372" i="1"/>
  <c r="F2372" i="1"/>
  <c r="G2371" i="1"/>
  <c r="F2371" i="1"/>
  <c r="G2370" i="1"/>
  <c r="F2370" i="1"/>
  <c r="G2369" i="1"/>
  <c r="F2369" i="1"/>
  <c r="G2368" i="1"/>
  <c r="F2368" i="1"/>
  <c r="G2367" i="1"/>
  <c r="F2367" i="1"/>
  <c r="G2366" i="1"/>
  <c r="F2366" i="1"/>
  <c r="G2365" i="1"/>
  <c r="F2365" i="1"/>
  <c r="G2364" i="1"/>
  <c r="F2364" i="1"/>
  <c r="G2363" i="1"/>
  <c r="F2363" i="1"/>
  <c r="G2362" i="1"/>
  <c r="F2362" i="1"/>
  <c r="G2361" i="1"/>
  <c r="F2361" i="1"/>
  <c r="G2360" i="1"/>
  <c r="F2360" i="1"/>
  <c r="G2359" i="1"/>
  <c r="F2359" i="1"/>
  <c r="G2358" i="1"/>
  <c r="F2358" i="1"/>
  <c r="G2357" i="1"/>
  <c r="F2357" i="1"/>
  <c r="G2356" i="1"/>
  <c r="F2356" i="1"/>
  <c r="G2355" i="1"/>
  <c r="F2355" i="1"/>
  <c r="G2354" i="1"/>
  <c r="F2354" i="1"/>
  <c r="G2353" i="1"/>
  <c r="F2353" i="1"/>
  <c r="G2352" i="1"/>
  <c r="F2352" i="1"/>
  <c r="G2351" i="1"/>
  <c r="F2351" i="1"/>
  <c r="G2350" i="1"/>
  <c r="F2350" i="1"/>
  <c r="G2349" i="1"/>
  <c r="F2349" i="1"/>
  <c r="G2348" i="1"/>
  <c r="F2348" i="1"/>
  <c r="G2347" i="1"/>
  <c r="F2347" i="1"/>
  <c r="G2346" i="1"/>
  <c r="F2346" i="1"/>
  <c r="G2345" i="1"/>
  <c r="F2345" i="1"/>
  <c r="G2344" i="1"/>
  <c r="F2344" i="1"/>
  <c r="G2343" i="1"/>
  <c r="F2343" i="1"/>
  <c r="G2342" i="1"/>
  <c r="F2342" i="1"/>
  <c r="G2341" i="1"/>
  <c r="F2341" i="1"/>
  <c r="G2340" i="1"/>
  <c r="F2340" i="1"/>
  <c r="G2339" i="1"/>
  <c r="F2339" i="1"/>
  <c r="G2338" i="1"/>
  <c r="F2338" i="1"/>
  <c r="G2337" i="1"/>
  <c r="F2337" i="1"/>
  <c r="G2336" i="1"/>
  <c r="F2336" i="1"/>
  <c r="G2335" i="1"/>
  <c r="F2335" i="1"/>
  <c r="G2334" i="1"/>
  <c r="F2334" i="1"/>
  <c r="G2333" i="1"/>
  <c r="F2333" i="1"/>
  <c r="G2332" i="1"/>
  <c r="F2332" i="1"/>
  <c r="G2331" i="1"/>
  <c r="F2331" i="1"/>
  <c r="G2330" i="1"/>
  <c r="F2330" i="1"/>
  <c r="G2329" i="1"/>
  <c r="F2329" i="1"/>
  <c r="G2328" i="1"/>
  <c r="F2328" i="1"/>
  <c r="G2327" i="1"/>
  <c r="F2327" i="1"/>
  <c r="G2326" i="1"/>
  <c r="F2326" i="1"/>
  <c r="G2325" i="1"/>
  <c r="F2325" i="1"/>
  <c r="G2324" i="1"/>
  <c r="F2324" i="1"/>
  <c r="G2323" i="1"/>
  <c r="F2323" i="1"/>
  <c r="G2322" i="1"/>
  <c r="F2322" i="1"/>
  <c r="G2321" i="1"/>
  <c r="F2321" i="1"/>
  <c r="G2320" i="1"/>
  <c r="F2320" i="1"/>
  <c r="G2319" i="1"/>
  <c r="F2319" i="1"/>
  <c r="G2318" i="1"/>
  <c r="F2318" i="1"/>
  <c r="G2317" i="1"/>
  <c r="F2317" i="1"/>
  <c r="G2316" i="1"/>
  <c r="F2316" i="1"/>
  <c r="G2315" i="1"/>
  <c r="F2315" i="1"/>
  <c r="G2314" i="1"/>
  <c r="F2314" i="1"/>
  <c r="G2313" i="1"/>
  <c r="F2313" i="1"/>
  <c r="G2312" i="1"/>
  <c r="F2312" i="1"/>
  <c r="G2311" i="1"/>
  <c r="F2311" i="1"/>
  <c r="G2310" i="1"/>
  <c r="F2310" i="1"/>
  <c r="G2309" i="1"/>
  <c r="F2309" i="1"/>
  <c r="G2308" i="1"/>
  <c r="F2308" i="1"/>
  <c r="G2307" i="1"/>
  <c r="F2307" i="1"/>
  <c r="G2306" i="1"/>
  <c r="F2306" i="1"/>
  <c r="G2305" i="1"/>
  <c r="F2305" i="1"/>
  <c r="G2304" i="1"/>
  <c r="F2304" i="1"/>
  <c r="G2303" i="1"/>
  <c r="F2303" i="1"/>
  <c r="G2302" i="1"/>
  <c r="F2302" i="1"/>
  <c r="G2301" i="1"/>
  <c r="F2301" i="1"/>
  <c r="G2300" i="1"/>
  <c r="F2300" i="1"/>
  <c r="G2299" i="1"/>
  <c r="F2299" i="1"/>
  <c r="G2298" i="1"/>
  <c r="F2298" i="1"/>
  <c r="G2297" i="1"/>
  <c r="F2297" i="1"/>
  <c r="G2296" i="1"/>
  <c r="F2296" i="1"/>
  <c r="G2295" i="1"/>
  <c r="F2295" i="1"/>
  <c r="G2294" i="1"/>
  <c r="F2294" i="1"/>
  <c r="G2293" i="1"/>
  <c r="F2293" i="1"/>
  <c r="G2292" i="1"/>
  <c r="F2292" i="1"/>
  <c r="G2291" i="1"/>
  <c r="F2291" i="1"/>
  <c r="G2290" i="1"/>
  <c r="F2290" i="1"/>
  <c r="G2289" i="1"/>
  <c r="F2289" i="1"/>
  <c r="G2288" i="1"/>
  <c r="F2288" i="1"/>
  <c r="G2287" i="1"/>
  <c r="F2287" i="1"/>
  <c r="G2286" i="1"/>
  <c r="F2286" i="1"/>
  <c r="G2285" i="1"/>
  <c r="F2285" i="1"/>
  <c r="G2284" i="1"/>
  <c r="F2284" i="1"/>
  <c r="G2283" i="1"/>
  <c r="F2283" i="1"/>
  <c r="G2282" i="1"/>
  <c r="F2282" i="1"/>
  <c r="G2281" i="1"/>
  <c r="F2281" i="1"/>
  <c r="G2280" i="1"/>
  <c r="F2280" i="1"/>
  <c r="G2279" i="1"/>
  <c r="F2279" i="1"/>
  <c r="G2278" i="1"/>
  <c r="F2278" i="1"/>
  <c r="G2277" i="1"/>
  <c r="F2277" i="1"/>
  <c r="G2276" i="1"/>
  <c r="F2276" i="1"/>
  <c r="G2275" i="1"/>
  <c r="F2275" i="1"/>
  <c r="G2274" i="1"/>
  <c r="F2274" i="1"/>
  <c r="G2273" i="1"/>
  <c r="F2273" i="1"/>
  <c r="G2272" i="1"/>
  <c r="F2272" i="1"/>
  <c r="G2271" i="1"/>
  <c r="F2271" i="1"/>
  <c r="G2270" i="1"/>
  <c r="F2270" i="1"/>
  <c r="G2269" i="1"/>
  <c r="F2269" i="1"/>
  <c r="G2268" i="1"/>
  <c r="F2268" i="1"/>
  <c r="G2267" i="1"/>
  <c r="F2267" i="1"/>
  <c r="G2266" i="1"/>
  <c r="F2266" i="1"/>
  <c r="G2265" i="1"/>
  <c r="F2265" i="1"/>
  <c r="G2264" i="1"/>
  <c r="F2264" i="1"/>
  <c r="G2263" i="1"/>
  <c r="F2263" i="1"/>
  <c r="G2262" i="1"/>
  <c r="F2262" i="1"/>
  <c r="G2261" i="1"/>
  <c r="F2261" i="1"/>
  <c r="G2260" i="1"/>
  <c r="F2260" i="1"/>
  <c r="G2259" i="1"/>
  <c r="F2259" i="1"/>
  <c r="G2258" i="1"/>
  <c r="F2258" i="1"/>
  <c r="G2257" i="1"/>
  <c r="F2257" i="1"/>
  <c r="G2256" i="1"/>
  <c r="F2256" i="1"/>
  <c r="G2255" i="1"/>
  <c r="F2255" i="1"/>
  <c r="G2254" i="1"/>
  <c r="F2254" i="1"/>
  <c r="G2253" i="1"/>
  <c r="F2253" i="1"/>
  <c r="G2252" i="1"/>
  <c r="F2252" i="1"/>
  <c r="G2251" i="1"/>
  <c r="F2251" i="1"/>
  <c r="G2250" i="1"/>
  <c r="F2250" i="1"/>
  <c r="G2249" i="1"/>
  <c r="F2249" i="1"/>
  <c r="G2248" i="1"/>
  <c r="F2248" i="1"/>
  <c r="G2247" i="1"/>
  <c r="F2247" i="1"/>
  <c r="G2246" i="1"/>
  <c r="F2246" i="1"/>
  <c r="G2245" i="1"/>
  <c r="F2245" i="1"/>
  <c r="G2244" i="1"/>
  <c r="F2244" i="1"/>
  <c r="G2243" i="1"/>
  <c r="F2243" i="1"/>
  <c r="G2242" i="1"/>
  <c r="F2242" i="1"/>
  <c r="G2241" i="1"/>
  <c r="F2241" i="1"/>
  <c r="G2240" i="1"/>
  <c r="F2240" i="1"/>
  <c r="G2239" i="1"/>
  <c r="F2239" i="1"/>
  <c r="G2238" i="1"/>
  <c r="F2238" i="1"/>
  <c r="G2237" i="1"/>
  <c r="F2237" i="1"/>
  <c r="G2236" i="1"/>
  <c r="F2236" i="1"/>
  <c r="G2235" i="1"/>
  <c r="F2235" i="1"/>
  <c r="G2234" i="1"/>
  <c r="F2234" i="1"/>
  <c r="G2233" i="1"/>
  <c r="F2233" i="1"/>
  <c r="G2232" i="1"/>
  <c r="F2232" i="1"/>
  <c r="G2231" i="1"/>
  <c r="F2231" i="1"/>
  <c r="G2230" i="1"/>
  <c r="F2230" i="1"/>
  <c r="G2229" i="1"/>
  <c r="F2229" i="1"/>
  <c r="G2228" i="1"/>
  <c r="F2228" i="1"/>
  <c r="G2227" i="1"/>
  <c r="F2227" i="1"/>
  <c r="G2226" i="1"/>
  <c r="F2226" i="1"/>
  <c r="G2225" i="1"/>
  <c r="F2225" i="1"/>
  <c r="G2224" i="1"/>
  <c r="F2224" i="1"/>
  <c r="G2223" i="1"/>
  <c r="F2223" i="1"/>
  <c r="G2222" i="1"/>
  <c r="F2222" i="1"/>
  <c r="G2221" i="1"/>
  <c r="F2221" i="1"/>
  <c r="G2220" i="1"/>
  <c r="F2220" i="1"/>
  <c r="G2219" i="1"/>
  <c r="F2219" i="1"/>
  <c r="G2218" i="1"/>
  <c r="F2218" i="1"/>
  <c r="G2217" i="1"/>
  <c r="F2217" i="1"/>
  <c r="G2216" i="1"/>
  <c r="F2216" i="1"/>
  <c r="G2215" i="1"/>
  <c r="F2215" i="1"/>
  <c r="G2214" i="1"/>
  <c r="F2214" i="1"/>
  <c r="G2213" i="1"/>
  <c r="F2213" i="1"/>
  <c r="G2212" i="1"/>
  <c r="F2212" i="1"/>
  <c r="G2211" i="1"/>
  <c r="F2211" i="1"/>
  <c r="G2210" i="1"/>
  <c r="F2210" i="1"/>
  <c r="G2209" i="1"/>
  <c r="F2209" i="1"/>
  <c r="G2208" i="1"/>
  <c r="F2208" i="1"/>
  <c r="G2207" i="1"/>
  <c r="F2207" i="1"/>
  <c r="G2206" i="1"/>
  <c r="F2206" i="1"/>
  <c r="G2205" i="1"/>
  <c r="F2205" i="1"/>
  <c r="G2204" i="1"/>
  <c r="F2204" i="1"/>
  <c r="G2203" i="1"/>
  <c r="F2203" i="1"/>
  <c r="G2202" i="1"/>
  <c r="F2202" i="1"/>
  <c r="G2201" i="1"/>
  <c r="F2201" i="1"/>
  <c r="G2200" i="1"/>
  <c r="F2200" i="1"/>
  <c r="G2199" i="1"/>
  <c r="F2199" i="1"/>
  <c r="G2198" i="1"/>
  <c r="F2198" i="1"/>
  <c r="G2197" i="1"/>
  <c r="F2197" i="1"/>
  <c r="G2196" i="1"/>
  <c r="F2196" i="1"/>
  <c r="G2195" i="1"/>
  <c r="F2195" i="1"/>
  <c r="G2194" i="1"/>
  <c r="F2194" i="1"/>
  <c r="G2193" i="1"/>
  <c r="F2193" i="1"/>
  <c r="G2192" i="1"/>
  <c r="F2192" i="1"/>
  <c r="G2191" i="1"/>
  <c r="F2191" i="1"/>
  <c r="G2190" i="1"/>
  <c r="F2190" i="1"/>
  <c r="G2189" i="1"/>
  <c r="F2189" i="1"/>
  <c r="G2188" i="1"/>
  <c r="F2188" i="1"/>
  <c r="G2187" i="1"/>
  <c r="F2187" i="1"/>
  <c r="G2186" i="1"/>
  <c r="F2186" i="1"/>
  <c r="G2185" i="1"/>
  <c r="F2185" i="1"/>
  <c r="G2184" i="1"/>
  <c r="F2184" i="1"/>
  <c r="G2183" i="1"/>
  <c r="F2183" i="1"/>
  <c r="G2182" i="1"/>
  <c r="F2182" i="1"/>
  <c r="G2181" i="1"/>
  <c r="F2181" i="1"/>
  <c r="G2180" i="1"/>
  <c r="F2180" i="1"/>
  <c r="G2179" i="1"/>
  <c r="F2179" i="1"/>
  <c r="G2178" i="1"/>
  <c r="F2178" i="1"/>
  <c r="G2177" i="1"/>
  <c r="F2177" i="1"/>
  <c r="G2176" i="1"/>
  <c r="F2176" i="1"/>
  <c r="G2175" i="1"/>
  <c r="F2175" i="1"/>
  <c r="G2174" i="1"/>
  <c r="F2174" i="1"/>
  <c r="G2173" i="1"/>
  <c r="F2173" i="1"/>
  <c r="G2172" i="1"/>
  <c r="F2172" i="1"/>
  <c r="G2171" i="1"/>
  <c r="F2171" i="1"/>
  <c r="G2170" i="1"/>
  <c r="F2170" i="1"/>
  <c r="G2169" i="1"/>
  <c r="F2169" i="1"/>
  <c r="G2168" i="1"/>
  <c r="F2168" i="1"/>
  <c r="G2167" i="1"/>
  <c r="F2167" i="1"/>
  <c r="G2166" i="1"/>
  <c r="F2166" i="1"/>
  <c r="G2165" i="1"/>
  <c r="F2165" i="1"/>
  <c r="G2164" i="1"/>
  <c r="F2164" i="1"/>
  <c r="G2163" i="1"/>
  <c r="F2163" i="1"/>
  <c r="G2162" i="1"/>
  <c r="F2162" i="1"/>
  <c r="G2161" i="1"/>
  <c r="F2161" i="1"/>
  <c r="G2160" i="1"/>
  <c r="F2160" i="1"/>
  <c r="G2159" i="1"/>
  <c r="F2159" i="1"/>
  <c r="G2158" i="1"/>
  <c r="F2158" i="1"/>
  <c r="G2157" i="1"/>
  <c r="F2157" i="1"/>
  <c r="G2156" i="1"/>
  <c r="F2156" i="1"/>
  <c r="G2155" i="1"/>
  <c r="F2155" i="1"/>
  <c r="G2154" i="1"/>
  <c r="F2154" i="1"/>
  <c r="G2153" i="1"/>
  <c r="F2153" i="1"/>
  <c r="G2152" i="1"/>
  <c r="F2152" i="1"/>
  <c r="G2151" i="1"/>
  <c r="F2151" i="1"/>
  <c r="G2150" i="1"/>
  <c r="F2150" i="1"/>
  <c r="G2149" i="1"/>
  <c r="F2149" i="1"/>
  <c r="G2148" i="1"/>
  <c r="F2148" i="1"/>
  <c r="G2147" i="1"/>
  <c r="F2147" i="1"/>
  <c r="G2146" i="1"/>
  <c r="F2146" i="1"/>
  <c r="G2145" i="1"/>
  <c r="F2145" i="1"/>
  <c r="G2144" i="1"/>
  <c r="F2144" i="1"/>
  <c r="G2143" i="1"/>
  <c r="F2143" i="1"/>
  <c r="G2142" i="1"/>
  <c r="F2142" i="1"/>
  <c r="G2141" i="1"/>
  <c r="F2141" i="1"/>
  <c r="G2140" i="1"/>
  <c r="F2140" i="1"/>
  <c r="G2139" i="1"/>
  <c r="F2139" i="1"/>
  <c r="G2138" i="1"/>
  <c r="F2138" i="1"/>
  <c r="G2137" i="1"/>
  <c r="F2137" i="1"/>
  <c r="G2136" i="1"/>
  <c r="F2136" i="1"/>
  <c r="G2135" i="1"/>
  <c r="F2135" i="1"/>
  <c r="G2134" i="1"/>
  <c r="F2134" i="1"/>
  <c r="G2133" i="1"/>
  <c r="F2133" i="1"/>
  <c r="G2132" i="1"/>
  <c r="F2132" i="1"/>
  <c r="G2131" i="1"/>
  <c r="F2131" i="1"/>
  <c r="G2130" i="1"/>
  <c r="F2130" i="1"/>
  <c r="G2129" i="1"/>
  <c r="F2129" i="1"/>
  <c r="G2128" i="1"/>
  <c r="F2128" i="1"/>
  <c r="G2127" i="1"/>
  <c r="F2127" i="1"/>
  <c r="G2126" i="1"/>
  <c r="F2126" i="1"/>
  <c r="G2125" i="1"/>
  <c r="F2125" i="1"/>
  <c r="G2124" i="1"/>
  <c r="F2124" i="1"/>
  <c r="G2123" i="1"/>
  <c r="F2123" i="1"/>
  <c r="G2122" i="1"/>
  <c r="F2122" i="1"/>
  <c r="G2121" i="1"/>
  <c r="F2121" i="1"/>
  <c r="G2120" i="1"/>
  <c r="F2120" i="1"/>
  <c r="G2119" i="1"/>
  <c r="F2119" i="1"/>
  <c r="G2118" i="1"/>
  <c r="F2118" i="1"/>
  <c r="G2117" i="1"/>
  <c r="F2117" i="1"/>
  <c r="G2116" i="1"/>
  <c r="F2116" i="1"/>
  <c r="G2115" i="1"/>
  <c r="F2115" i="1"/>
  <c r="G2114" i="1"/>
  <c r="F2114" i="1"/>
  <c r="G2113" i="1"/>
  <c r="F2113" i="1"/>
  <c r="G2112" i="1"/>
  <c r="F2112" i="1"/>
  <c r="G2111" i="1"/>
  <c r="F2111" i="1"/>
  <c r="G2110" i="1"/>
  <c r="F2110" i="1"/>
  <c r="G2109" i="1"/>
  <c r="F2109" i="1"/>
  <c r="G2108" i="1"/>
  <c r="F2108" i="1"/>
  <c r="G2107" i="1"/>
  <c r="F2107" i="1"/>
  <c r="G2106" i="1"/>
  <c r="F2106" i="1"/>
  <c r="G2105" i="1"/>
  <c r="F2105" i="1"/>
  <c r="G2104" i="1"/>
  <c r="F2104" i="1"/>
  <c r="G2103" i="1"/>
  <c r="F2103" i="1"/>
  <c r="G2102" i="1"/>
  <c r="F2102" i="1"/>
  <c r="G2101" i="1"/>
  <c r="F2101" i="1"/>
  <c r="G2100" i="1"/>
  <c r="F2100" i="1"/>
  <c r="G2099" i="1"/>
  <c r="F2099" i="1"/>
  <c r="G2098" i="1"/>
  <c r="F2098" i="1"/>
  <c r="G2097" i="1"/>
  <c r="F2097" i="1"/>
  <c r="G2096" i="1"/>
  <c r="F2096" i="1"/>
  <c r="G2095" i="1"/>
  <c r="F2095" i="1"/>
  <c r="G2094" i="1"/>
  <c r="F2094" i="1"/>
  <c r="G2093" i="1"/>
  <c r="F2093" i="1"/>
  <c r="G2092" i="1"/>
  <c r="F2092" i="1"/>
  <c r="G2091" i="1"/>
  <c r="F2091" i="1"/>
  <c r="G2090" i="1"/>
  <c r="F2090" i="1"/>
  <c r="G2089" i="1"/>
  <c r="F2089" i="1"/>
  <c r="G2088" i="1"/>
  <c r="F2088" i="1"/>
  <c r="G2087" i="1"/>
  <c r="F2087" i="1"/>
  <c r="G2086" i="1"/>
  <c r="F2086" i="1"/>
  <c r="G2085" i="1"/>
  <c r="F2085" i="1"/>
  <c r="G2084" i="1"/>
  <c r="F2084" i="1"/>
  <c r="G2083" i="1"/>
  <c r="F2083" i="1"/>
  <c r="G2082" i="1"/>
  <c r="F2082" i="1"/>
  <c r="G2081" i="1"/>
  <c r="F2081" i="1"/>
  <c r="G2080" i="1"/>
  <c r="F2080" i="1"/>
  <c r="G2079" i="1"/>
  <c r="F2079" i="1"/>
  <c r="G2078" i="1"/>
  <c r="F2078" i="1"/>
  <c r="G2077" i="1"/>
  <c r="F2077" i="1"/>
  <c r="G2076" i="1"/>
  <c r="F2076" i="1"/>
  <c r="G2075" i="1"/>
  <c r="F2075" i="1"/>
  <c r="G2074" i="1"/>
  <c r="F2074" i="1"/>
  <c r="G2073" i="1"/>
  <c r="F2073" i="1"/>
  <c r="G2072" i="1"/>
  <c r="F2072" i="1"/>
  <c r="G2071" i="1"/>
  <c r="F2071" i="1"/>
  <c r="G2070" i="1"/>
  <c r="F2070" i="1"/>
  <c r="G2069" i="1"/>
  <c r="F2069" i="1"/>
  <c r="G2068" i="1"/>
  <c r="F2068" i="1"/>
  <c r="G2067" i="1"/>
  <c r="F2067" i="1"/>
  <c r="G2066" i="1"/>
  <c r="F2066" i="1"/>
  <c r="G2065" i="1"/>
  <c r="F2065" i="1"/>
  <c r="G2064" i="1"/>
  <c r="F2064" i="1"/>
  <c r="G2063" i="1"/>
  <c r="F2063" i="1"/>
  <c r="G2062" i="1"/>
  <c r="F2062" i="1"/>
  <c r="G2061" i="1"/>
  <c r="F2061" i="1"/>
  <c r="G2060" i="1"/>
  <c r="F2060" i="1"/>
  <c r="G2059" i="1"/>
  <c r="F2059" i="1"/>
  <c r="G2058" i="1"/>
  <c r="F2058" i="1"/>
  <c r="G2057" i="1"/>
  <c r="F2057" i="1"/>
  <c r="G2056" i="1"/>
  <c r="F2056" i="1"/>
  <c r="G2055" i="1"/>
  <c r="F2055" i="1"/>
  <c r="G2054" i="1"/>
  <c r="F2054" i="1"/>
  <c r="G2053" i="1"/>
  <c r="F2053" i="1"/>
  <c r="G2052" i="1"/>
  <c r="F2052" i="1"/>
  <c r="G2051" i="1"/>
  <c r="F2051" i="1"/>
  <c r="G2050" i="1"/>
  <c r="F2050" i="1"/>
  <c r="G2049" i="1"/>
  <c r="F2049" i="1"/>
  <c r="G2048" i="1"/>
  <c r="F2048" i="1"/>
  <c r="G2047" i="1"/>
  <c r="F2047" i="1"/>
  <c r="G2046" i="1"/>
  <c r="F2046" i="1"/>
  <c r="G2045" i="1"/>
  <c r="F2045" i="1"/>
  <c r="G2044" i="1"/>
  <c r="F2044" i="1"/>
  <c r="G2043" i="1"/>
  <c r="F2043" i="1"/>
  <c r="G2042" i="1"/>
  <c r="F2042" i="1"/>
  <c r="G2041" i="1"/>
  <c r="F2041" i="1"/>
  <c r="G2040" i="1"/>
  <c r="F2040" i="1"/>
  <c r="G2039" i="1"/>
  <c r="F2039" i="1"/>
  <c r="G2038" i="1"/>
  <c r="F2038" i="1"/>
  <c r="G2037" i="1"/>
  <c r="F2037" i="1"/>
  <c r="G2036" i="1"/>
  <c r="F2036" i="1"/>
  <c r="G2035" i="1"/>
  <c r="F2035" i="1"/>
  <c r="G2034" i="1"/>
  <c r="F2034" i="1"/>
  <c r="G2033" i="1"/>
  <c r="F2033" i="1"/>
  <c r="G2032" i="1"/>
  <c r="F2032" i="1"/>
  <c r="G2031" i="1"/>
  <c r="F2031" i="1"/>
  <c r="G2030" i="1"/>
  <c r="F2030" i="1"/>
  <c r="G2029" i="1"/>
  <c r="F2029" i="1"/>
  <c r="G2028" i="1"/>
  <c r="F2028" i="1"/>
  <c r="G2027" i="1"/>
  <c r="F2027" i="1"/>
  <c r="G2026" i="1"/>
  <c r="F2026" i="1"/>
  <c r="G2025" i="1"/>
  <c r="F2025" i="1"/>
  <c r="G2024" i="1"/>
  <c r="F2024" i="1"/>
  <c r="G2023" i="1"/>
  <c r="F2023" i="1"/>
  <c r="G2022" i="1"/>
  <c r="F2022" i="1"/>
  <c r="G2021" i="1"/>
  <c r="F2021" i="1"/>
  <c r="G2020" i="1"/>
  <c r="F2020" i="1"/>
  <c r="G2019" i="1"/>
  <c r="F2019" i="1"/>
  <c r="G2018" i="1"/>
  <c r="F2018" i="1"/>
  <c r="G2017" i="1"/>
  <c r="F2017" i="1"/>
  <c r="G2016" i="1"/>
  <c r="F2016" i="1"/>
  <c r="G2015" i="1"/>
  <c r="F2015" i="1"/>
  <c r="G2014" i="1"/>
  <c r="F2014" i="1"/>
  <c r="G2013" i="1"/>
  <c r="F2013" i="1"/>
  <c r="G2012" i="1"/>
  <c r="F2012" i="1"/>
  <c r="G2011" i="1"/>
  <c r="F2011" i="1"/>
  <c r="G2010" i="1"/>
  <c r="F2010" i="1"/>
  <c r="G2009" i="1"/>
  <c r="F2009" i="1"/>
  <c r="G2008" i="1"/>
  <c r="F2008" i="1"/>
  <c r="G2007" i="1"/>
  <c r="F2007" i="1"/>
  <c r="G2006" i="1"/>
  <c r="F2006" i="1"/>
  <c r="G2005" i="1"/>
  <c r="F2005" i="1"/>
  <c r="G2004" i="1"/>
  <c r="F2004" i="1"/>
  <c r="G2003" i="1"/>
  <c r="F2003" i="1"/>
  <c r="G2002" i="1"/>
  <c r="F2002" i="1"/>
  <c r="G2001" i="1"/>
  <c r="F2001" i="1"/>
  <c r="G2000" i="1"/>
  <c r="F2000" i="1"/>
  <c r="G1999" i="1"/>
  <c r="F1999" i="1"/>
  <c r="G1998" i="1"/>
  <c r="F1998" i="1"/>
  <c r="G1997" i="1"/>
  <c r="F1997" i="1"/>
  <c r="G1996" i="1"/>
  <c r="F1996" i="1"/>
  <c r="G1995" i="1"/>
  <c r="F1995" i="1"/>
  <c r="G1994" i="1"/>
  <c r="F1994" i="1"/>
  <c r="G1993" i="1"/>
  <c r="F1993" i="1"/>
  <c r="G1992" i="1"/>
  <c r="F1992" i="1"/>
  <c r="G1991" i="1"/>
  <c r="F1991" i="1"/>
  <c r="G1990" i="1"/>
  <c r="F1990" i="1"/>
  <c r="G1989" i="1"/>
  <c r="F1989" i="1"/>
  <c r="G1988" i="1"/>
  <c r="F1988" i="1"/>
  <c r="G1987" i="1"/>
  <c r="F1987" i="1"/>
  <c r="G1986" i="1"/>
  <c r="F1986" i="1"/>
  <c r="G1985" i="1"/>
  <c r="F1985" i="1"/>
  <c r="G1984" i="1"/>
  <c r="F1984" i="1"/>
  <c r="G1983" i="1"/>
  <c r="F1983" i="1"/>
  <c r="G1982" i="1"/>
  <c r="F1982" i="1"/>
  <c r="G1981" i="1"/>
  <c r="F1981" i="1"/>
  <c r="G1980" i="1"/>
  <c r="F1980" i="1"/>
  <c r="G1979" i="1"/>
  <c r="F1979" i="1"/>
  <c r="G1978" i="1"/>
  <c r="F1978" i="1"/>
  <c r="G1977" i="1"/>
  <c r="F1977" i="1"/>
  <c r="G1976" i="1"/>
  <c r="F1976" i="1"/>
  <c r="G1975" i="1"/>
  <c r="F1975" i="1"/>
  <c r="G1974" i="1"/>
  <c r="F1974" i="1"/>
  <c r="G1973" i="1"/>
  <c r="F1973" i="1"/>
  <c r="G1972" i="1"/>
  <c r="F1972" i="1"/>
  <c r="G1971" i="1"/>
  <c r="F1971" i="1"/>
  <c r="G1970" i="1"/>
  <c r="F1970" i="1"/>
  <c r="G1969" i="1"/>
  <c r="F1969" i="1"/>
  <c r="G1968" i="1"/>
  <c r="F1968" i="1"/>
  <c r="G1967" i="1"/>
  <c r="F1967" i="1"/>
  <c r="G1966" i="1"/>
  <c r="F1966" i="1"/>
  <c r="G1965" i="1"/>
  <c r="F1965" i="1"/>
  <c r="G1964" i="1"/>
  <c r="F1964" i="1"/>
  <c r="G1963" i="1"/>
  <c r="F1963" i="1"/>
  <c r="G1962" i="1"/>
  <c r="F1962" i="1"/>
  <c r="G1961" i="1"/>
  <c r="F1961" i="1"/>
  <c r="G1960" i="1"/>
  <c r="F1960" i="1"/>
  <c r="G1959" i="1"/>
  <c r="F1959" i="1"/>
  <c r="G1958" i="1"/>
  <c r="F1958" i="1"/>
  <c r="G1957" i="1"/>
  <c r="F1957" i="1"/>
  <c r="G1956" i="1"/>
  <c r="F1956" i="1"/>
  <c r="G1955" i="1"/>
  <c r="F1955" i="1"/>
  <c r="G1954" i="1"/>
  <c r="F1954" i="1"/>
  <c r="G1953" i="1"/>
  <c r="F1953" i="1"/>
  <c r="G1952" i="1"/>
  <c r="F1952" i="1"/>
  <c r="G1951" i="1"/>
  <c r="F1951" i="1"/>
  <c r="G1950" i="1"/>
  <c r="F1950" i="1"/>
  <c r="G1949" i="1"/>
  <c r="F1949" i="1"/>
  <c r="G1948" i="1"/>
  <c r="F1948" i="1"/>
  <c r="G1947" i="1"/>
  <c r="F1947" i="1"/>
  <c r="G1946" i="1"/>
  <c r="F1946" i="1"/>
  <c r="G1945" i="1"/>
  <c r="F1945" i="1"/>
  <c r="G1944" i="1"/>
  <c r="F1944" i="1"/>
  <c r="G1943" i="1"/>
  <c r="F1943" i="1"/>
  <c r="G1942" i="1"/>
  <c r="F1942" i="1"/>
  <c r="G1941" i="1"/>
  <c r="F1941" i="1"/>
  <c r="G1940" i="1"/>
  <c r="F1940" i="1"/>
  <c r="G1939" i="1"/>
  <c r="F1939" i="1"/>
  <c r="G1938" i="1"/>
  <c r="F1938" i="1"/>
  <c r="G1937" i="1"/>
  <c r="F1937" i="1"/>
  <c r="G1936" i="1"/>
  <c r="F1936" i="1"/>
  <c r="G1935" i="1"/>
  <c r="F1935" i="1"/>
  <c r="G1934" i="1"/>
  <c r="F1934" i="1"/>
  <c r="G1933" i="1"/>
  <c r="F1933" i="1"/>
  <c r="G1932" i="1"/>
  <c r="F1932" i="1"/>
  <c r="G1931" i="1"/>
  <c r="F1931" i="1"/>
  <c r="G1930" i="1"/>
  <c r="F1930" i="1"/>
  <c r="G1929" i="1"/>
  <c r="F1929" i="1"/>
  <c r="G1928" i="1"/>
  <c r="F1928" i="1"/>
  <c r="G1927" i="1"/>
  <c r="F1927" i="1"/>
  <c r="G1926" i="1"/>
  <c r="F1926" i="1"/>
  <c r="G1925" i="1"/>
  <c r="F1925" i="1"/>
  <c r="G1924" i="1"/>
  <c r="F1924" i="1"/>
  <c r="G1923" i="1"/>
  <c r="F1923" i="1"/>
  <c r="G1922" i="1"/>
  <c r="F1922" i="1"/>
  <c r="G1921" i="1"/>
  <c r="F1921" i="1"/>
  <c r="G1920" i="1"/>
  <c r="F1920" i="1"/>
  <c r="G1919" i="1"/>
  <c r="F1919" i="1"/>
  <c r="G1918" i="1"/>
  <c r="F1918" i="1"/>
  <c r="G1917" i="1"/>
  <c r="F1917" i="1"/>
  <c r="G1916" i="1"/>
  <c r="F1916" i="1"/>
  <c r="G1915" i="1"/>
  <c r="F1915" i="1"/>
  <c r="G1914" i="1"/>
  <c r="F1914" i="1"/>
  <c r="G1913" i="1"/>
  <c r="F1913" i="1"/>
  <c r="G1912" i="1"/>
  <c r="F1912" i="1"/>
  <c r="G1911" i="1"/>
  <c r="F1911" i="1"/>
  <c r="G1910" i="1"/>
  <c r="F1910" i="1"/>
  <c r="G1909" i="1"/>
  <c r="F1909" i="1"/>
  <c r="G1908" i="1"/>
  <c r="F1908" i="1"/>
  <c r="G1907" i="1"/>
  <c r="F1907" i="1"/>
  <c r="G1906" i="1"/>
  <c r="F1906" i="1"/>
  <c r="G1905" i="1"/>
  <c r="F1905" i="1"/>
  <c r="G1904" i="1"/>
  <c r="F1904" i="1"/>
  <c r="G1903" i="1"/>
  <c r="F1903" i="1"/>
  <c r="G1902" i="1"/>
  <c r="F1902" i="1"/>
  <c r="G1901" i="1"/>
  <c r="F1901" i="1"/>
  <c r="G1900" i="1"/>
  <c r="F1900" i="1"/>
  <c r="G1899" i="1"/>
  <c r="F1899" i="1"/>
  <c r="G1898" i="1"/>
  <c r="F1898" i="1"/>
  <c r="G1897" i="1"/>
  <c r="F1897" i="1"/>
  <c r="G1896" i="1"/>
  <c r="F1896" i="1"/>
  <c r="G1895" i="1"/>
  <c r="F1895" i="1"/>
  <c r="G1894" i="1"/>
  <c r="F1894" i="1"/>
  <c r="G1893" i="1"/>
  <c r="F1893" i="1"/>
  <c r="G1892" i="1"/>
  <c r="F1892" i="1"/>
  <c r="G1891" i="1"/>
  <c r="F1891" i="1"/>
  <c r="G1890" i="1"/>
  <c r="F1890" i="1"/>
  <c r="G1889" i="1"/>
  <c r="F1889" i="1"/>
  <c r="G1888" i="1"/>
  <c r="F1888" i="1"/>
  <c r="G1887" i="1"/>
  <c r="F1887" i="1"/>
  <c r="G1886" i="1"/>
  <c r="F1886" i="1"/>
  <c r="G1885" i="1"/>
  <c r="F1885" i="1"/>
  <c r="G1884" i="1"/>
  <c r="F1884" i="1"/>
  <c r="G1883" i="1"/>
  <c r="F1883" i="1"/>
  <c r="G1882" i="1"/>
  <c r="F1882" i="1"/>
  <c r="G1881" i="1"/>
  <c r="F1881" i="1"/>
  <c r="G1880" i="1"/>
  <c r="F1880" i="1"/>
  <c r="G1879" i="1"/>
  <c r="F1879" i="1"/>
  <c r="G1878" i="1"/>
  <c r="F1878" i="1"/>
  <c r="G1877" i="1"/>
  <c r="F1877" i="1"/>
  <c r="G1876" i="1"/>
  <c r="F1876" i="1"/>
  <c r="G1875" i="1"/>
  <c r="F1875" i="1"/>
  <c r="G1874" i="1"/>
  <c r="F1874" i="1"/>
  <c r="G1873" i="1"/>
  <c r="F1873" i="1"/>
  <c r="G1872" i="1"/>
  <c r="F1872" i="1"/>
  <c r="G1871" i="1"/>
  <c r="F1871" i="1"/>
  <c r="G1870" i="1"/>
  <c r="F1870" i="1"/>
  <c r="G1869" i="1"/>
  <c r="F1869" i="1"/>
  <c r="G1868" i="1"/>
  <c r="F1868" i="1"/>
  <c r="G1867" i="1"/>
  <c r="F1867" i="1"/>
  <c r="G1866" i="1"/>
  <c r="F1866" i="1"/>
  <c r="G1865" i="1"/>
  <c r="F1865" i="1"/>
  <c r="G1864" i="1"/>
  <c r="F1864" i="1"/>
  <c r="G1863" i="1"/>
  <c r="F1863" i="1"/>
  <c r="G1862" i="1"/>
  <c r="F1862" i="1"/>
  <c r="G1861" i="1"/>
  <c r="F1861" i="1"/>
  <c r="G1860" i="1"/>
  <c r="F1860" i="1"/>
  <c r="G1859" i="1"/>
  <c r="F1859" i="1"/>
  <c r="G1858" i="1"/>
  <c r="F1858" i="1"/>
  <c r="G1857" i="1"/>
  <c r="F1857" i="1"/>
  <c r="G1856" i="1"/>
  <c r="F1856" i="1"/>
  <c r="G1855" i="1"/>
  <c r="F1855" i="1"/>
  <c r="G1854" i="1"/>
  <c r="F1854" i="1"/>
  <c r="G1853" i="1"/>
  <c r="F1853" i="1"/>
  <c r="G1852" i="1"/>
  <c r="F1852" i="1"/>
  <c r="G1851" i="1"/>
  <c r="F1851" i="1"/>
  <c r="G1850" i="1"/>
  <c r="F1850" i="1"/>
  <c r="G1849" i="1"/>
  <c r="F1849" i="1"/>
  <c r="G1848" i="1"/>
  <c r="F1848" i="1"/>
  <c r="G1847" i="1"/>
  <c r="F1847" i="1"/>
  <c r="G1846" i="1"/>
  <c r="F1846" i="1"/>
  <c r="G1845" i="1"/>
  <c r="F1845" i="1"/>
  <c r="G1844" i="1"/>
  <c r="F1844" i="1"/>
  <c r="G1843" i="1"/>
  <c r="F1843" i="1"/>
  <c r="G1842" i="1"/>
  <c r="F1842" i="1"/>
  <c r="G1841" i="1"/>
  <c r="F1841" i="1"/>
  <c r="G1840" i="1"/>
  <c r="F1840" i="1"/>
  <c r="G1839" i="1"/>
  <c r="F1839" i="1"/>
  <c r="G1838" i="1"/>
  <c r="F1838" i="1"/>
  <c r="G1837" i="1"/>
  <c r="F1837" i="1"/>
  <c r="G1836" i="1"/>
  <c r="F1836" i="1"/>
  <c r="G1835" i="1"/>
  <c r="F1835" i="1"/>
  <c r="G1834" i="1"/>
  <c r="F1834" i="1"/>
  <c r="G1833" i="1"/>
  <c r="F1833" i="1"/>
  <c r="G1832" i="1"/>
  <c r="F1832" i="1"/>
  <c r="G1831" i="1"/>
  <c r="F1831" i="1"/>
  <c r="G1830" i="1"/>
  <c r="F1830" i="1"/>
  <c r="G1829" i="1"/>
  <c r="F1829" i="1"/>
  <c r="G1828" i="1"/>
  <c r="F1828" i="1"/>
  <c r="G1827" i="1"/>
  <c r="F1827" i="1"/>
  <c r="G1826" i="1"/>
  <c r="F1826" i="1"/>
  <c r="G1825" i="1"/>
  <c r="F1825" i="1"/>
  <c r="G1824" i="1"/>
  <c r="F1824" i="1"/>
  <c r="G1823" i="1"/>
  <c r="F1823" i="1"/>
  <c r="G1822" i="1"/>
  <c r="F1822" i="1"/>
  <c r="G1821" i="1"/>
  <c r="F1821" i="1"/>
  <c r="G1820" i="1"/>
  <c r="F1820" i="1"/>
  <c r="G1819" i="1"/>
  <c r="F1819" i="1"/>
  <c r="G1818" i="1"/>
  <c r="F1818" i="1"/>
  <c r="G1817" i="1"/>
  <c r="F1817" i="1"/>
  <c r="G1816" i="1"/>
  <c r="F1816" i="1"/>
  <c r="G1815" i="1"/>
  <c r="F1815" i="1"/>
  <c r="G1814" i="1"/>
  <c r="F1814" i="1"/>
  <c r="G1813" i="1"/>
  <c r="F1813" i="1"/>
  <c r="G1812" i="1"/>
  <c r="F1812" i="1"/>
  <c r="G1811" i="1"/>
  <c r="F1811" i="1"/>
  <c r="G1810" i="1"/>
  <c r="F1810" i="1"/>
  <c r="G1809" i="1"/>
  <c r="F1809" i="1"/>
  <c r="G1808" i="1"/>
  <c r="F1808" i="1"/>
  <c r="G1807" i="1"/>
  <c r="F1807" i="1"/>
  <c r="G1806" i="1"/>
  <c r="F1806" i="1"/>
  <c r="G1805" i="1"/>
  <c r="F1805" i="1"/>
  <c r="G1804" i="1"/>
  <c r="F1804" i="1"/>
  <c r="G1803" i="1"/>
  <c r="F1803" i="1"/>
  <c r="G1802" i="1"/>
  <c r="F1802" i="1"/>
  <c r="G1801" i="1"/>
  <c r="F1801" i="1"/>
  <c r="G1800" i="1"/>
  <c r="F1800" i="1"/>
  <c r="G1799" i="1"/>
  <c r="F1799" i="1"/>
  <c r="G1798" i="1"/>
  <c r="F1798" i="1"/>
  <c r="G1797" i="1"/>
  <c r="F1797" i="1"/>
  <c r="G1796" i="1"/>
  <c r="F1796" i="1"/>
  <c r="G1795" i="1"/>
  <c r="F1795" i="1"/>
  <c r="G1794" i="1"/>
  <c r="F1794" i="1"/>
  <c r="G1793" i="1"/>
  <c r="F1793" i="1"/>
  <c r="G1792" i="1"/>
  <c r="F1792" i="1"/>
  <c r="G1791" i="1"/>
  <c r="F1791" i="1"/>
  <c r="G1790" i="1"/>
  <c r="F1790" i="1"/>
  <c r="G1789" i="1"/>
  <c r="F1789" i="1"/>
  <c r="G1788" i="1"/>
  <c r="F1788" i="1"/>
  <c r="G1787" i="1"/>
  <c r="F1787" i="1"/>
  <c r="G1786" i="1"/>
  <c r="F1786" i="1"/>
  <c r="G1785" i="1"/>
  <c r="F1785" i="1"/>
  <c r="G1784" i="1"/>
  <c r="F1784" i="1"/>
  <c r="G1783" i="1"/>
  <c r="F1783" i="1"/>
  <c r="G1782" i="1"/>
  <c r="F1782" i="1"/>
  <c r="G1781" i="1"/>
  <c r="F1781" i="1"/>
  <c r="G1780" i="1"/>
  <c r="F1780" i="1"/>
  <c r="G1779" i="1"/>
  <c r="F1779" i="1"/>
  <c r="G1778" i="1"/>
  <c r="F1778" i="1"/>
  <c r="G1777" i="1"/>
  <c r="F1777" i="1"/>
  <c r="G1776" i="1"/>
  <c r="F1776" i="1"/>
  <c r="G1775" i="1"/>
  <c r="F1775" i="1"/>
  <c r="G1774" i="1"/>
  <c r="F1774" i="1"/>
  <c r="G1773" i="1"/>
  <c r="F1773" i="1"/>
  <c r="G1772" i="1"/>
  <c r="F1772" i="1"/>
  <c r="G1771" i="1"/>
  <c r="F1771" i="1"/>
  <c r="G1770" i="1"/>
  <c r="F1770" i="1"/>
  <c r="G1769" i="1"/>
  <c r="F1769" i="1"/>
  <c r="G1768" i="1"/>
  <c r="F1768" i="1"/>
  <c r="G1767" i="1"/>
  <c r="F1767" i="1"/>
  <c r="G1766" i="1"/>
  <c r="F1766" i="1"/>
  <c r="G1765" i="1"/>
  <c r="F1765" i="1"/>
  <c r="G1764" i="1"/>
  <c r="F1764" i="1"/>
  <c r="G1763" i="1"/>
  <c r="F1763" i="1"/>
  <c r="G1762" i="1"/>
  <c r="F1762" i="1"/>
  <c r="G1761" i="1"/>
  <c r="F1761" i="1"/>
  <c r="G1760" i="1"/>
  <c r="F1760" i="1"/>
  <c r="G1759" i="1"/>
  <c r="F1759" i="1"/>
  <c r="G1758" i="1"/>
  <c r="F1758" i="1"/>
  <c r="G1757" i="1"/>
  <c r="F1757" i="1"/>
  <c r="G1756" i="1"/>
  <c r="F1756" i="1"/>
  <c r="G1755" i="1"/>
  <c r="F1755" i="1"/>
  <c r="G1754" i="1"/>
  <c r="F1754" i="1"/>
  <c r="G1753" i="1"/>
  <c r="F1753" i="1"/>
  <c r="G1752" i="1"/>
  <c r="F1752" i="1"/>
  <c r="G1751" i="1"/>
  <c r="F1751" i="1"/>
  <c r="G1750" i="1"/>
  <c r="F1750" i="1"/>
  <c r="G1749" i="1"/>
  <c r="F1749" i="1"/>
  <c r="G1748" i="1"/>
  <c r="F1748" i="1"/>
  <c r="G1747" i="1"/>
  <c r="F1747" i="1"/>
  <c r="G1746" i="1"/>
  <c r="F1746" i="1"/>
  <c r="G1745" i="1"/>
  <c r="F1745" i="1"/>
  <c r="G1744" i="1"/>
  <c r="F1744" i="1"/>
  <c r="G1743" i="1"/>
  <c r="F1743" i="1"/>
  <c r="G1742" i="1"/>
  <c r="F1742" i="1"/>
  <c r="G1741" i="1"/>
  <c r="F1741" i="1"/>
  <c r="G1740" i="1"/>
  <c r="F1740" i="1"/>
  <c r="G1739" i="1"/>
  <c r="F1739" i="1"/>
  <c r="G1738" i="1"/>
  <c r="F1738" i="1"/>
  <c r="G1737" i="1"/>
  <c r="F1737" i="1"/>
  <c r="G1736" i="1"/>
  <c r="F1736" i="1"/>
  <c r="G1735" i="1"/>
  <c r="F1735" i="1"/>
  <c r="G1734" i="1"/>
  <c r="F1734" i="1"/>
  <c r="G1733" i="1"/>
  <c r="F1733" i="1"/>
  <c r="G1732" i="1"/>
  <c r="F1732" i="1"/>
  <c r="G1731" i="1"/>
  <c r="F1731" i="1"/>
  <c r="G1730" i="1"/>
  <c r="F1730" i="1"/>
  <c r="G1729" i="1"/>
  <c r="F1729" i="1"/>
  <c r="G1728" i="1"/>
  <c r="F1728" i="1"/>
  <c r="G1727" i="1"/>
  <c r="F1727" i="1"/>
  <c r="G1726" i="1"/>
  <c r="F1726" i="1"/>
  <c r="G1725" i="1"/>
  <c r="F1725" i="1"/>
  <c r="G1724" i="1"/>
  <c r="F1724" i="1"/>
  <c r="G1723" i="1"/>
  <c r="F1723" i="1"/>
  <c r="G1722" i="1"/>
  <c r="F1722" i="1"/>
  <c r="G1721" i="1"/>
  <c r="F1721" i="1"/>
  <c r="G1720" i="1"/>
  <c r="F1720" i="1"/>
  <c r="G1719" i="1"/>
  <c r="F1719" i="1"/>
  <c r="G1718" i="1"/>
  <c r="F1718" i="1"/>
  <c r="G1717" i="1"/>
  <c r="F1717" i="1"/>
  <c r="G1716" i="1"/>
  <c r="F1716" i="1"/>
  <c r="G1715" i="1"/>
  <c r="F1715" i="1"/>
  <c r="G1714" i="1"/>
  <c r="F1714" i="1"/>
  <c r="G1713" i="1"/>
  <c r="F1713" i="1"/>
  <c r="G1712" i="1"/>
  <c r="F1712" i="1"/>
  <c r="G1711" i="1"/>
  <c r="F1711" i="1"/>
  <c r="G1710" i="1"/>
  <c r="F1710" i="1"/>
  <c r="G1709" i="1"/>
  <c r="F1709" i="1"/>
  <c r="G1708" i="1"/>
  <c r="F1708" i="1"/>
  <c r="G1707" i="1"/>
  <c r="F1707" i="1"/>
  <c r="G1706" i="1"/>
  <c r="F1706" i="1"/>
  <c r="G1705" i="1"/>
  <c r="F1705" i="1"/>
  <c r="G1704" i="1"/>
  <c r="F1704" i="1"/>
  <c r="G1703" i="1"/>
  <c r="F1703" i="1"/>
  <c r="G1702" i="1"/>
  <c r="F1702" i="1"/>
  <c r="G1701" i="1"/>
  <c r="F1701" i="1"/>
  <c r="G1700" i="1"/>
  <c r="F1700" i="1"/>
  <c r="G1699" i="1"/>
  <c r="F1699" i="1"/>
  <c r="G1698" i="1"/>
  <c r="F1698" i="1"/>
  <c r="G1697" i="1"/>
  <c r="F1697" i="1"/>
  <c r="G1696" i="1"/>
  <c r="F1696" i="1"/>
  <c r="G1695" i="1"/>
  <c r="F1695" i="1"/>
  <c r="G1694" i="1"/>
  <c r="F1694" i="1"/>
  <c r="G1693" i="1"/>
  <c r="F1693" i="1"/>
  <c r="G1692" i="1"/>
  <c r="F1692" i="1"/>
  <c r="G1691" i="1"/>
  <c r="F1691" i="1"/>
  <c r="G1690" i="1"/>
  <c r="F1690" i="1"/>
  <c r="G1689" i="1"/>
  <c r="F1689" i="1"/>
  <c r="G1688" i="1"/>
  <c r="F1688" i="1"/>
  <c r="G1687" i="1"/>
  <c r="F1687" i="1"/>
  <c r="G1686" i="1"/>
  <c r="F1686" i="1"/>
  <c r="G1685" i="1"/>
  <c r="F1685" i="1"/>
  <c r="G1684" i="1"/>
  <c r="F1684" i="1"/>
  <c r="G1683" i="1"/>
  <c r="F1683" i="1"/>
  <c r="G1682" i="1"/>
  <c r="F1682" i="1"/>
  <c r="G1681" i="1"/>
  <c r="F1681" i="1"/>
  <c r="G1680" i="1"/>
  <c r="F1680" i="1"/>
  <c r="G1679" i="1"/>
  <c r="F1679" i="1"/>
  <c r="G1678" i="1"/>
  <c r="F1678" i="1"/>
  <c r="G1677" i="1"/>
  <c r="F1677" i="1"/>
  <c r="G1676" i="1"/>
  <c r="F1676" i="1"/>
  <c r="G1675" i="1"/>
  <c r="F1675" i="1"/>
  <c r="G1674" i="1"/>
  <c r="F1674" i="1"/>
  <c r="G1673" i="1"/>
  <c r="F1673" i="1"/>
  <c r="G1672" i="1"/>
  <c r="F1672" i="1"/>
  <c r="G1671" i="1"/>
  <c r="F1671" i="1"/>
  <c r="G1670" i="1"/>
  <c r="F1670" i="1"/>
  <c r="G1669" i="1"/>
  <c r="F1669" i="1"/>
  <c r="G1668" i="1"/>
  <c r="F1668" i="1"/>
  <c r="G1667" i="1"/>
  <c r="F1667" i="1"/>
  <c r="G1666" i="1"/>
  <c r="F1666" i="1"/>
  <c r="G1665" i="1"/>
  <c r="F1665" i="1"/>
  <c r="G1664" i="1"/>
  <c r="F1664" i="1"/>
  <c r="G1663" i="1"/>
  <c r="F1663" i="1"/>
  <c r="G1662" i="1"/>
  <c r="F1662" i="1"/>
  <c r="G1661" i="1"/>
  <c r="F1661" i="1"/>
  <c r="G1660" i="1"/>
  <c r="F1660" i="1"/>
  <c r="G1659" i="1"/>
  <c r="F1659" i="1"/>
  <c r="G1658" i="1"/>
  <c r="F1658" i="1"/>
  <c r="G1657" i="1"/>
  <c r="F1657" i="1"/>
  <c r="G1656" i="1"/>
  <c r="F1656" i="1"/>
  <c r="G1655" i="1"/>
  <c r="F1655" i="1"/>
  <c r="G1654" i="1"/>
  <c r="F1654" i="1"/>
  <c r="G1653" i="1"/>
  <c r="F1653" i="1"/>
  <c r="G1652" i="1"/>
  <c r="F1652" i="1"/>
  <c r="G1651" i="1"/>
  <c r="F1651" i="1"/>
  <c r="G1650" i="1"/>
  <c r="F1650" i="1"/>
  <c r="G1649" i="1"/>
  <c r="F1649" i="1"/>
  <c r="G1648" i="1"/>
  <c r="F1648" i="1"/>
  <c r="G1647" i="1"/>
  <c r="F1647" i="1"/>
  <c r="G1646" i="1"/>
  <c r="F1646" i="1"/>
  <c r="G1645" i="1"/>
  <c r="F1645" i="1"/>
  <c r="G1644" i="1"/>
  <c r="F1644" i="1"/>
  <c r="G1643" i="1"/>
  <c r="F1643" i="1"/>
  <c r="G1642" i="1"/>
  <c r="F1642" i="1"/>
  <c r="G1641" i="1"/>
  <c r="F1641" i="1"/>
  <c r="G1640" i="1"/>
  <c r="F1640" i="1"/>
  <c r="G1639" i="1"/>
  <c r="F1639" i="1"/>
  <c r="G1638" i="1"/>
  <c r="F1638" i="1"/>
  <c r="G1637" i="1"/>
  <c r="F1637" i="1"/>
  <c r="G1636" i="1"/>
  <c r="F1636" i="1"/>
  <c r="G1635" i="1"/>
  <c r="F1635" i="1"/>
  <c r="G1634" i="1"/>
  <c r="F1634" i="1"/>
  <c r="G1633" i="1"/>
  <c r="F1633" i="1"/>
  <c r="G1632" i="1"/>
  <c r="F1632" i="1"/>
  <c r="G1631" i="1"/>
  <c r="F1631" i="1"/>
  <c r="G1630" i="1"/>
  <c r="F1630" i="1"/>
  <c r="G1629" i="1"/>
  <c r="F1629" i="1"/>
  <c r="G1628" i="1"/>
  <c r="F1628" i="1"/>
  <c r="G1627" i="1"/>
  <c r="F1627" i="1"/>
  <c r="G1626" i="1"/>
  <c r="F1626" i="1"/>
  <c r="G1625" i="1"/>
  <c r="F1625" i="1"/>
  <c r="G1624" i="1"/>
  <c r="F1624" i="1"/>
  <c r="G1623" i="1"/>
  <c r="F1623" i="1"/>
  <c r="G1622" i="1"/>
  <c r="F1622" i="1"/>
  <c r="G1621" i="1"/>
  <c r="F1621" i="1"/>
  <c r="G1620" i="1"/>
  <c r="F1620" i="1"/>
  <c r="G1619" i="1"/>
  <c r="F1619" i="1"/>
  <c r="G1618" i="1"/>
  <c r="F1618" i="1"/>
  <c r="G1617" i="1"/>
  <c r="F1617" i="1"/>
  <c r="G1616" i="1"/>
  <c r="F1616" i="1"/>
  <c r="G1615" i="1"/>
  <c r="F1615" i="1"/>
  <c r="G1614" i="1"/>
  <c r="F1614" i="1"/>
  <c r="G1613" i="1"/>
  <c r="F1613" i="1"/>
  <c r="G1612" i="1"/>
  <c r="F1612" i="1"/>
  <c r="G1611" i="1"/>
  <c r="F1611" i="1"/>
  <c r="G1610" i="1"/>
  <c r="F1610" i="1"/>
  <c r="G1609" i="1"/>
  <c r="F1609" i="1"/>
  <c r="G1608" i="1"/>
  <c r="F1608" i="1"/>
  <c r="G1607" i="1"/>
  <c r="F1607" i="1"/>
  <c r="G1606" i="1"/>
  <c r="F1606" i="1"/>
  <c r="G1605" i="1"/>
  <c r="F1605" i="1"/>
  <c r="G1604" i="1"/>
  <c r="F1604" i="1"/>
  <c r="G1603" i="1"/>
  <c r="F1603" i="1"/>
  <c r="G1602" i="1"/>
  <c r="F1602" i="1"/>
  <c r="G1601" i="1"/>
  <c r="F1601" i="1"/>
  <c r="G1600" i="1"/>
  <c r="F1600" i="1"/>
  <c r="G1599" i="1"/>
  <c r="F1599" i="1"/>
  <c r="G1598" i="1"/>
  <c r="F1598" i="1"/>
  <c r="G1597" i="1"/>
  <c r="F1597" i="1"/>
  <c r="G1596" i="1"/>
  <c r="F1596" i="1"/>
  <c r="G1595" i="1"/>
  <c r="F1595" i="1"/>
  <c r="G1594" i="1"/>
  <c r="F1594" i="1"/>
  <c r="G1593" i="1"/>
  <c r="F1593" i="1"/>
  <c r="G1592" i="1"/>
  <c r="F1592" i="1"/>
  <c r="G1591" i="1"/>
  <c r="F1591" i="1"/>
  <c r="G1590" i="1"/>
  <c r="F1590" i="1"/>
  <c r="G1589" i="1"/>
  <c r="F1589" i="1"/>
  <c r="G1588" i="1"/>
  <c r="F1588" i="1"/>
  <c r="G1587" i="1"/>
  <c r="F1587" i="1"/>
  <c r="G1586" i="1"/>
  <c r="F1586" i="1"/>
  <c r="G1585" i="1"/>
  <c r="F1585" i="1"/>
  <c r="G1584" i="1"/>
  <c r="F1584" i="1"/>
  <c r="G1583" i="1"/>
  <c r="F1583" i="1"/>
  <c r="G1582" i="1"/>
  <c r="F1582" i="1"/>
  <c r="G1581" i="1"/>
  <c r="F1581" i="1"/>
  <c r="G1580" i="1"/>
  <c r="F1580" i="1"/>
  <c r="G1579" i="1"/>
  <c r="F1579" i="1"/>
  <c r="G1578" i="1"/>
  <c r="F1578" i="1"/>
  <c r="G1577" i="1"/>
  <c r="F1577" i="1"/>
  <c r="G1576" i="1"/>
  <c r="F1576" i="1"/>
  <c r="G1575" i="1"/>
  <c r="F1575" i="1"/>
  <c r="G1574" i="1"/>
  <c r="F1574" i="1"/>
  <c r="G1573" i="1"/>
  <c r="F1573" i="1"/>
  <c r="G1572" i="1"/>
  <c r="F1572" i="1"/>
  <c r="G1571" i="1"/>
  <c r="F1571" i="1"/>
  <c r="G1570" i="1"/>
  <c r="F1570" i="1"/>
  <c r="G1569" i="1"/>
  <c r="F1569" i="1"/>
  <c r="G1568" i="1"/>
  <c r="F1568" i="1"/>
  <c r="G1567" i="1"/>
  <c r="F1567" i="1"/>
  <c r="G1566" i="1"/>
  <c r="F1566" i="1"/>
  <c r="G1565" i="1"/>
  <c r="F1565" i="1"/>
  <c r="G1564" i="1"/>
  <c r="F1564" i="1"/>
  <c r="G1563" i="1"/>
  <c r="F1563" i="1"/>
  <c r="G1562" i="1"/>
  <c r="F1562" i="1"/>
  <c r="G1561" i="1"/>
  <c r="F1561" i="1"/>
  <c r="G1560" i="1"/>
  <c r="F1560" i="1"/>
  <c r="G1559" i="1"/>
  <c r="F1559" i="1"/>
  <c r="G1558" i="1"/>
  <c r="F1558" i="1"/>
  <c r="G1557" i="1"/>
  <c r="F1557" i="1"/>
  <c r="G1556" i="1"/>
  <c r="F1556" i="1"/>
  <c r="G1555" i="1"/>
  <c r="F1555" i="1"/>
  <c r="G1554" i="1"/>
  <c r="F1554" i="1"/>
  <c r="G1553" i="1"/>
  <c r="F1553" i="1"/>
  <c r="G1552" i="1"/>
  <c r="F1552" i="1"/>
  <c r="G1551" i="1"/>
  <c r="F1551" i="1"/>
  <c r="G1550" i="1"/>
  <c r="F1550" i="1"/>
  <c r="G1549" i="1"/>
  <c r="F1549" i="1"/>
  <c r="G1548" i="1"/>
  <c r="F1548" i="1"/>
  <c r="G1547" i="1"/>
  <c r="F1547" i="1"/>
  <c r="G1546" i="1"/>
  <c r="F1546" i="1"/>
  <c r="G1545" i="1"/>
  <c r="F1545" i="1"/>
  <c r="G1544" i="1"/>
  <c r="F1544" i="1"/>
  <c r="G1543" i="1"/>
  <c r="F1543" i="1"/>
  <c r="G1542" i="1"/>
  <c r="F1542" i="1"/>
  <c r="G1541" i="1"/>
  <c r="F1541" i="1"/>
  <c r="G1540" i="1"/>
  <c r="F1540" i="1"/>
  <c r="G1539" i="1"/>
  <c r="F1539" i="1"/>
  <c r="G1538" i="1"/>
  <c r="F1538" i="1"/>
  <c r="G1537" i="1"/>
  <c r="F1537" i="1"/>
  <c r="G1536" i="1"/>
  <c r="F1536" i="1"/>
  <c r="G1535" i="1"/>
  <c r="F1535" i="1"/>
  <c r="G1534" i="1"/>
  <c r="F1534" i="1"/>
  <c r="G1533" i="1"/>
  <c r="F1533" i="1"/>
  <c r="G1532" i="1"/>
  <c r="F1532" i="1"/>
  <c r="G1531" i="1"/>
  <c r="F1531" i="1"/>
  <c r="G1530" i="1"/>
  <c r="F1530" i="1"/>
  <c r="G1529" i="1"/>
  <c r="F1529" i="1"/>
  <c r="G1528" i="1"/>
  <c r="F1528" i="1"/>
  <c r="G1527" i="1"/>
  <c r="F1527" i="1"/>
  <c r="G1526" i="1"/>
  <c r="F1526" i="1"/>
  <c r="G1525" i="1"/>
  <c r="F1525" i="1"/>
  <c r="G1524" i="1"/>
  <c r="F1524" i="1"/>
  <c r="G1523" i="1"/>
  <c r="F1523" i="1"/>
  <c r="G1522" i="1"/>
  <c r="F1522" i="1"/>
  <c r="G1521" i="1"/>
  <c r="F1521" i="1"/>
  <c r="G1520" i="1"/>
  <c r="F1520" i="1"/>
  <c r="G1519" i="1"/>
  <c r="F1519" i="1"/>
  <c r="G1518" i="1"/>
  <c r="F1518" i="1"/>
  <c r="G1517" i="1"/>
  <c r="F1517" i="1"/>
  <c r="G1516" i="1"/>
  <c r="F1516" i="1"/>
  <c r="G1515" i="1"/>
  <c r="F1515" i="1"/>
  <c r="G1514" i="1"/>
  <c r="F1514" i="1"/>
  <c r="G1513" i="1"/>
  <c r="F1513" i="1"/>
  <c r="G1512" i="1"/>
  <c r="F1512" i="1"/>
  <c r="G1511" i="1"/>
  <c r="F1511" i="1"/>
  <c r="G1510" i="1"/>
  <c r="F1510" i="1"/>
  <c r="G1509" i="1"/>
  <c r="F1509" i="1"/>
  <c r="G1508" i="1"/>
  <c r="F1508" i="1"/>
  <c r="G1507" i="1"/>
  <c r="F1507" i="1"/>
  <c r="G1506" i="1"/>
  <c r="F1506" i="1"/>
  <c r="G1505" i="1"/>
  <c r="F1505" i="1"/>
  <c r="G1504" i="1"/>
  <c r="F1504" i="1"/>
  <c r="G1503" i="1"/>
  <c r="F1503" i="1"/>
  <c r="G1502" i="1"/>
  <c r="F1502" i="1"/>
  <c r="G1501" i="1"/>
  <c r="F1501" i="1"/>
  <c r="G1500" i="1"/>
  <c r="F1500" i="1"/>
  <c r="G1499" i="1"/>
  <c r="F1499" i="1"/>
  <c r="G1498" i="1"/>
  <c r="F1498" i="1"/>
  <c r="G1497" i="1"/>
  <c r="F1497" i="1"/>
  <c r="G1496" i="1"/>
  <c r="F1496" i="1"/>
  <c r="G1495" i="1"/>
  <c r="F1495" i="1"/>
  <c r="G1494" i="1"/>
  <c r="F1494" i="1"/>
  <c r="G1493" i="1"/>
  <c r="F1493" i="1"/>
  <c r="G1492" i="1"/>
  <c r="F1492" i="1"/>
  <c r="G1491" i="1"/>
  <c r="F1491" i="1"/>
  <c r="G1490" i="1"/>
  <c r="F1490" i="1"/>
  <c r="G1489" i="1"/>
  <c r="F1489" i="1"/>
  <c r="G1488" i="1"/>
  <c r="F1488" i="1"/>
  <c r="G1487" i="1"/>
  <c r="F1487" i="1"/>
  <c r="G1486" i="1"/>
  <c r="F1486" i="1"/>
  <c r="G1485" i="1"/>
  <c r="F1485" i="1"/>
  <c r="G1484" i="1"/>
  <c r="F1484" i="1"/>
  <c r="G1483" i="1"/>
  <c r="F1483" i="1"/>
  <c r="G1482" i="1"/>
  <c r="F1482" i="1"/>
  <c r="G1481" i="1"/>
  <c r="F1481" i="1"/>
  <c r="G1480" i="1"/>
  <c r="F1480" i="1"/>
  <c r="G1479" i="1"/>
  <c r="F1479" i="1"/>
  <c r="G1478" i="1"/>
  <c r="F1478" i="1"/>
  <c r="G1477" i="1"/>
  <c r="F1477" i="1"/>
  <c r="G1476" i="1"/>
  <c r="F1476" i="1"/>
  <c r="G1475" i="1"/>
  <c r="F1475" i="1"/>
  <c r="G1474" i="1"/>
  <c r="F1474" i="1"/>
  <c r="G1473" i="1"/>
  <c r="F1473" i="1"/>
  <c r="G1472" i="1"/>
  <c r="F1472" i="1"/>
  <c r="G1471" i="1"/>
  <c r="F1471" i="1"/>
  <c r="G1470" i="1"/>
  <c r="F1470" i="1"/>
  <c r="G1469" i="1"/>
  <c r="F1469" i="1"/>
  <c r="G1468" i="1"/>
  <c r="F1468" i="1"/>
  <c r="G1467" i="1"/>
  <c r="F1467" i="1"/>
  <c r="G1466" i="1"/>
  <c r="F1466" i="1"/>
  <c r="G1465" i="1"/>
  <c r="F1465" i="1"/>
  <c r="G1464" i="1"/>
  <c r="F1464" i="1"/>
  <c r="G1463" i="1"/>
  <c r="F1463" i="1"/>
  <c r="G1462" i="1"/>
  <c r="F1462" i="1"/>
  <c r="G1461" i="1"/>
  <c r="F1461" i="1"/>
  <c r="G1460" i="1"/>
  <c r="F1460" i="1"/>
  <c r="G1459" i="1"/>
  <c r="F1459" i="1"/>
  <c r="G1458" i="1"/>
  <c r="F1458" i="1"/>
  <c r="G1457" i="1"/>
  <c r="F1457" i="1"/>
  <c r="G1456" i="1"/>
  <c r="F1456" i="1"/>
  <c r="G1455" i="1"/>
  <c r="F1455" i="1"/>
  <c r="G1454" i="1"/>
  <c r="F1454" i="1"/>
  <c r="G1453" i="1"/>
  <c r="F1453" i="1"/>
  <c r="G1452" i="1"/>
  <c r="F1452" i="1"/>
  <c r="G1451" i="1"/>
  <c r="F1451" i="1"/>
  <c r="G1450" i="1"/>
  <c r="F1450" i="1"/>
  <c r="G1449" i="1"/>
  <c r="F1449" i="1"/>
  <c r="G1448" i="1"/>
  <c r="F1448" i="1"/>
  <c r="G1447" i="1"/>
  <c r="F1447" i="1"/>
  <c r="G1446" i="1"/>
  <c r="F1446" i="1"/>
  <c r="G1445" i="1"/>
  <c r="F1445" i="1"/>
  <c r="G1444" i="1"/>
  <c r="F1444" i="1"/>
  <c r="G1443" i="1"/>
  <c r="F1443" i="1"/>
  <c r="G1442" i="1"/>
  <c r="F1442" i="1"/>
  <c r="G1441" i="1"/>
  <c r="F1441" i="1"/>
  <c r="G1440" i="1"/>
  <c r="F1440" i="1"/>
  <c r="G1439" i="1"/>
  <c r="F1439" i="1"/>
  <c r="G1438" i="1"/>
  <c r="F1438" i="1"/>
  <c r="G1437" i="1"/>
  <c r="F1437" i="1"/>
  <c r="G1436" i="1"/>
  <c r="F1436" i="1"/>
  <c r="G1435" i="1"/>
  <c r="F1435" i="1"/>
  <c r="G1434" i="1"/>
  <c r="F1434" i="1"/>
  <c r="G1433" i="1"/>
  <c r="F1433" i="1"/>
  <c r="G1432" i="1"/>
  <c r="F1432" i="1"/>
  <c r="G1431" i="1"/>
  <c r="F1431" i="1"/>
  <c r="G1430" i="1"/>
  <c r="F1430" i="1"/>
  <c r="G1429" i="1"/>
  <c r="F1429" i="1"/>
  <c r="G1428" i="1"/>
  <c r="F1428" i="1"/>
  <c r="G1427" i="1"/>
  <c r="F1427" i="1"/>
  <c r="G1426" i="1"/>
  <c r="F1426" i="1"/>
  <c r="G1425" i="1"/>
  <c r="F1425" i="1"/>
  <c r="G1424" i="1"/>
  <c r="F1424" i="1"/>
  <c r="G1423" i="1"/>
  <c r="F1423" i="1"/>
  <c r="G1422" i="1"/>
  <c r="F1422" i="1"/>
  <c r="G1421" i="1"/>
  <c r="F1421" i="1"/>
  <c r="G1420" i="1"/>
  <c r="F1420" i="1"/>
  <c r="G1419" i="1"/>
  <c r="F1419" i="1"/>
  <c r="G1418" i="1"/>
  <c r="F1418" i="1"/>
  <c r="G1417" i="1"/>
  <c r="F1417" i="1"/>
  <c r="G1416" i="1"/>
  <c r="F1416" i="1"/>
  <c r="G1415" i="1"/>
  <c r="F1415" i="1"/>
  <c r="G1414" i="1"/>
  <c r="F1414" i="1"/>
  <c r="G1413" i="1"/>
  <c r="F1413" i="1"/>
  <c r="G1412" i="1"/>
  <c r="F1412" i="1"/>
  <c r="G1411" i="1"/>
  <c r="F1411" i="1"/>
  <c r="G1410" i="1"/>
  <c r="F1410" i="1"/>
  <c r="G1409" i="1"/>
  <c r="F1409" i="1"/>
  <c r="G1408" i="1"/>
  <c r="F1408" i="1"/>
  <c r="G1407" i="1"/>
  <c r="F1407" i="1"/>
  <c r="G1406" i="1"/>
  <c r="F1406" i="1"/>
  <c r="G1405" i="1"/>
  <c r="F1405" i="1"/>
  <c r="G1404" i="1"/>
  <c r="F1404" i="1"/>
  <c r="G1403" i="1"/>
  <c r="F1403" i="1"/>
  <c r="G1402" i="1"/>
  <c r="F1402" i="1"/>
  <c r="G1401" i="1"/>
  <c r="F1401" i="1"/>
  <c r="G1400" i="1"/>
  <c r="F1400" i="1"/>
  <c r="G1399" i="1"/>
  <c r="F1399" i="1"/>
  <c r="G1398" i="1"/>
  <c r="F1398" i="1"/>
  <c r="G1397" i="1"/>
  <c r="F1397" i="1"/>
  <c r="G1396" i="1"/>
  <c r="F1396" i="1"/>
  <c r="G1395" i="1"/>
  <c r="F1395" i="1"/>
  <c r="G1394" i="1"/>
  <c r="F1394" i="1"/>
  <c r="G1393" i="1"/>
  <c r="F1393" i="1"/>
  <c r="G1392" i="1"/>
  <c r="F1392" i="1"/>
  <c r="G1391" i="1"/>
  <c r="F1391" i="1"/>
  <c r="G1390" i="1"/>
  <c r="F1390" i="1"/>
  <c r="G1389" i="1"/>
  <c r="F1389" i="1"/>
  <c r="G1388" i="1"/>
  <c r="F1388" i="1"/>
  <c r="G1387" i="1"/>
  <c r="F1387" i="1"/>
  <c r="G1386" i="1"/>
  <c r="F1386" i="1"/>
  <c r="G1385" i="1"/>
  <c r="F1385" i="1"/>
  <c r="G1384" i="1"/>
  <c r="F1384" i="1"/>
  <c r="G1383" i="1"/>
  <c r="F1383" i="1"/>
  <c r="G1382" i="1"/>
  <c r="F1382" i="1"/>
  <c r="G1381" i="1"/>
  <c r="F1381" i="1"/>
  <c r="G1380" i="1"/>
  <c r="F1380" i="1"/>
  <c r="G1379" i="1"/>
  <c r="F1379" i="1"/>
  <c r="G1378" i="1"/>
  <c r="F1378" i="1"/>
  <c r="G1377" i="1"/>
  <c r="F1377" i="1"/>
  <c r="G1376" i="1"/>
  <c r="F1376" i="1"/>
  <c r="G1375" i="1"/>
  <c r="F1375" i="1"/>
  <c r="G1374" i="1"/>
  <c r="F1374" i="1"/>
  <c r="G1373" i="1"/>
  <c r="F1373" i="1"/>
  <c r="G1372" i="1"/>
  <c r="F1372" i="1"/>
  <c r="G1371" i="1"/>
  <c r="F1371" i="1"/>
  <c r="G1370" i="1"/>
  <c r="F1370" i="1"/>
  <c r="G1369" i="1"/>
  <c r="F1369" i="1"/>
  <c r="G1368" i="1"/>
  <c r="F1368" i="1"/>
  <c r="G1367" i="1"/>
  <c r="F1367" i="1"/>
  <c r="G1366" i="1"/>
  <c r="F1366" i="1"/>
  <c r="G1365" i="1"/>
  <c r="F1365" i="1"/>
  <c r="G1364" i="1"/>
  <c r="F1364" i="1"/>
  <c r="G1363" i="1"/>
  <c r="F1363" i="1"/>
  <c r="G1362" i="1"/>
  <c r="F1362" i="1"/>
  <c r="G1361" i="1"/>
  <c r="F1361" i="1"/>
  <c r="G1360" i="1"/>
  <c r="F1360" i="1"/>
  <c r="G1359" i="1"/>
  <c r="F1359" i="1"/>
  <c r="G1358" i="1"/>
  <c r="F1358" i="1"/>
  <c r="G1357" i="1"/>
  <c r="F1357" i="1"/>
  <c r="G1356" i="1"/>
  <c r="F1356" i="1"/>
  <c r="G1355" i="1"/>
  <c r="F1355" i="1"/>
  <c r="G1354" i="1"/>
  <c r="F1354" i="1"/>
  <c r="G1353" i="1"/>
  <c r="F1353" i="1"/>
  <c r="G1352" i="1"/>
  <c r="F1352" i="1"/>
  <c r="G1351" i="1"/>
  <c r="F1351" i="1"/>
  <c r="G1350" i="1"/>
  <c r="F1350" i="1"/>
  <c r="G1349" i="1"/>
  <c r="F1349" i="1"/>
  <c r="G1348" i="1"/>
  <c r="F1348" i="1"/>
  <c r="G1347" i="1"/>
  <c r="F1347" i="1"/>
  <c r="G1346" i="1"/>
  <c r="F1346" i="1"/>
  <c r="G1345" i="1"/>
  <c r="F1345" i="1"/>
  <c r="G1344" i="1"/>
  <c r="F1344" i="1"/>
  <c r="G1343" i="1"/>
  <c r="F1343" i="1"/>
  <c r="G1342" i="1"/>
  <c r="F1342" i="1"/>
  <c r="G1341" i="1"/>
  <c r="F1341" i="1"/>
  <c r="G1340" i="1"/>
  <c r="F1340" i="1"/>
  <c r="G1339" i="1"/>
  <c r="F1339" i="1"/>
  <c r="G1338" i="1"/>
  <c r="F1338" i="1"/>
  <c r="G1337" i="1"/>
  <c r="F1337" i="1"/>
  <c r="G1336" i="1"/>
  <c r="F1336" i="1"/>
  <c r="G1335" i="1"/>
  <c r="F1335" i="1"/>
  <c r="G1334" i="1"/>
  <c r="F1334" i="1"/>
  <c r="G1333" i="1"/>
  <c r="F1333" i="1"/>
  <c r="G1332" i="1"/>
  <c r="F1332" i="1"/>
  <c r="G1331" i="1"/>
  <c r="F1331" i="1"/>
  <c r="G1330" i="1"/>
  <c r="F1330" i="1"/>
  <c r="G1329" i="1"/>
  <c r="F1329" i="1"/>
  <c r="G1328" i="1"/>
  <c r="F1328" i="1"/>
  <c r="G1327" i="1"/>
  <c r="F1327" i="1"/>
  <c r="G1326" i="1"/>
  <c r="F1326" i="1"/>
  <c r="G1325" i="1"/>
  <c r="F1325" i="1"/>
  <c r="G1324" i="1"/>
  <c r="F1324" i="1"/>
  <c r="G1323" i="1"/>
  <c r="F1323" i="1"/>
  <c r="G1322" i="1"/>
  <c r="F1322" i="1"/>
  <c r="G1321" i="1"/>
  <c r="F1321" i="1"/>
  <c r="G1320" i="1"/>
  <c r="F1320" i="1"/>
  <c r="G1319" i="1"/>
  <c r="F1319" i="1"/>
  <c r="G1318" i="1"/>
  <c r="F1318" i="1"/>
  <c r="G1317" i="1"/>
  <c r="F1317" i="1"/>
  <c r="G1316" i="1"/>
  <c r="F1316" i="1"/>
  <c r="G1315" i="1"/>
  <c r="F1315" i="1"/>
  <c r="G1314" i="1"/>
  <c r="F1314" i="1"/>
  <c r="G1313" i="1"/>
  <c r="F1313" i="1"/>
  <c r="G1312" i="1"/>
  <c r="F1312" i="1"/>
  <c r="G1311" i="1"/>
  <c r="F1311" i="1"/>
  <c r="G1310" i="1"/>
  <c r="F1310" i="1"/>
  <c r="G1309" i="1"/>
  <c r="F1309" i="1"/>
  <c r="G1308" i="1"/>
  <c r="F1308" i="1"/>
  <c r="G1307" i="1"/>
  <c r="F1307" i="1"/>
  <c r="G1306" i="1"/>
  <c r="F1306" i="1"/>
  <c r="G1305" i="1"/>
  <c r="F1305" i="1"/>
  <c r="G1304" i="1"/>
  <c r="F1304" i="1"/>
  <c r="G1303" i="1"/>
  <c r="F1303" i="1"/>
  <c r="G1302" i="1"/>
  <c r="F1302" i="1"/>
  <c r="G1301" i="1"/>
  <c r="F1301" i="1"/>
  <c r="G1300" i="1"/>
  <c r="F1300" i="1"/>
  <c r="G1299" i="1"/>
  <c r="F1299" i="1"/>
  <c r="G1298" i="1"/>
  <c r="F1298" i="1"/>
  <c r="G1297" i="1"/>
  <c r="F1297" i="1"/>
  <c r="G1296" i="1"/>
  <c r="F1296" i="1"/>
  <c r="G1295" i="1"/>
  <c r="F1295" i="1"/>
  <c r="G1294" i="1"/>
  <c r="F1294" i="1"/>
  <c r="G1293" i="1"/>
  <c r="F1293" i="1"/>
  <c r="G1292" i="1"/>
  <c r="F1292" i="1"/>
  <c r="G1291" i="1"/>
  <c r="F1291" i="1"/>
  <c r="G1290" i="1"/>
  <c r="F1290" i="1"/>
  <c r="G1289" i="1"/>
  <c r="F1289" i="1"/>
  <c r="G1288" i="1"/>
  <c r="F1288" i="1"/>
  <c r="G1287" i="1"/>
  <c r="F1287" i="1"/>
  <c r="G1286" i="1"/>
  <c r="F1286" i="1"/>
  <c r="G1285" i="1"/>
  <c r="F1285" i="1"/>
  <c r="G1284" i="1"/>
  <c r="F1284" i="1"/>
  <c r="G1283" i="1"/>
  <c r="F1283" i="1"/>
  <c r="G1282" i="1"/>
  <c r="F1282" i="1"/>
  <c r="G1281" i="1"/>
  <c r="F1281" i="1"/>
  <c r="G1280" i="1"/>
  <c r="F1280" i="1"/>
  <c r="G1279" i="1"/>
  <c r="F1279" i="1"/>
  <c r="G1278" i="1"/>
  <c r="F1278" i="1"/>
  <c r="G1277" i="1"/>
  <c r="F1277" i="1"/>
  <c r="G1276" i="1"/>
  <c r="F1276" i="1"/>
  <c r="G1275" i="1"/>
  <c r="F1275" i="1"/>
  <c r="G1274" i="1"/>
  <c r="F1274" i="1"/>
  <c r="G1273" i="1"/>
  <c r="F1273" i="1"/>
  <c r="G1272" i="1"/>
  <c r="F1272" i="1"/>
  <c r="G1271" i="1"/>
  <c r="F1271" i="1"/>
  <c r="G1270" i="1"/>
  <c r="F1270" i="1"/>
  <c r="G1269" i="1"/>
  <c r="F1269" i="1"/>
  <c r="G1268" i="1"/>
  <c r="F1268" i="1"/>
  <c r="G1267" i="1"/>
  <c r="F1267" i="1"/>
  <c r="G1266" i="1"/>
  <c r="F1266" i="1"/>
  <c r="G1265" i="1"/>
  <c r="F1265" i="1"/>
  <c r="G1264" i="1"/>
  <c r="F1264" i="1"/>
  <c r="G1263" i="1"/>
  <c r="F1263" i="1"/>
  <c r="G1262" i="1"/>
  <c r="F1262" i="1"/>
  <c r="G1261" i="1"/>
  <c r="F1261" i="1"/>
  <c r="G1260" i="1"/>
  <c r="F1260" i="1"/>
  <c r="G1259" i="1"/>
  <c r="F1259" i="1"/>
  <c r="G1258" i="1"/>
  <c r="F1258" i="1"/>
  <c r="G1257" i="1"/>
  <c r="F1257" i="1"/>
  <c r="G1256" i="1"/>
  <c r="F1256" i="1"/>
  <c r="G1255" i="1"/>
  <c r="F1255" i="1"/>
  <c r="G1254" i="1"/>
  <c r="F1254" i="1"/>
  <c r="G1253" i="1"/>
  <c r="F1253" i="1"/>
  <c r="G1252" i="1"/>
  <c r="F1252" i="1"/>
  <c r="G1251" i="1"/>
  <c r="F1251" i="1"/>
  <c r="G1250" i="1"/>
  <c r="F1250" i="1"/>
  <c r="G1249" i="1"/>
  <c r="F1249" i="1"/>
  <c r="G1248" i="1"/>
  <c r="F1248" i="1"/>
  <c r="G1247" i="1"/>
  <c r="F1247" i="1"/>
  <c r="G1246" i="1"/>
  <c r="F1246" i="1"/>
  <c r="G1245" i="1"/>
  <c r="F1245" i="1"/>
  <c r="G1244" i="1"/>
  <c r="F1244" i="1"/>
  <c r="G1243" i="1"/>
  <c r="F1243" i="1"/>
  <c r="G1242" i="1"/>
  <c r="F1242" i="1"/>
  <c r="G1241" i="1"/>
  <c r="F1241" i="1"/>
  <c r="G1240" i="1"/>
  <c r="F1240" i="1"/>
  <c r="G1239" i="1"/>
  <c r="F1239" i="1"/>
  <c r="G1238" i="1"/>
  <c r="F1238" i="1"/>
  <c r="G1237" i="1"/>
  <c r="F1237" i="1"/>
  <c r="G1236" i="1"/>
  <c r="F1236" i="1"/>
  <c r="G1235" i="1"/>
  <c r="F1235" i="1"/>
  <c r="G1234" i="1"/>
  <c r="F1234" i="1"/>
  <c r="G1233" i="1"/>
  <c r="F1233" i="1"/>
  <c r="G1232" i="1"/>
  <c r="F1232" i="1"/>
  <c r="G1231" i="1"/>
  <c r="F1231" i="1"/>
  <c r="G1230" i="1"/>
  <c r="F1230" i="1"/>
  <c r="G1229" i="1"/>
  <c r="F1229" i="1"/>
  <c r="G1228" i="1"/>
  <c r="F1228" i="1"/>
  <c r="G1227" i="1"/>
  <c r="F1227" i="1"/>
  <c r="G1226" i="1"/>
  <c r="F1226" i="1"/>
  <c r="G1225" i="1"/>
  <c r="F1225" i="1"/>
  <c r="G1224" i="1"/>
  <c r="F1224" i="1"/>
  <c r="G1223" i="1"/>
  <c r="F1223" i="1"/>
  <c r="G1222" i="1"/>
  <c r="F1222" i="1"/>
  <c r="G1221" i="1"/>
  <c r="F1221" i="1"/>
  <c r="G1220" i="1"/>
  <c r="F1220" i="1"/>
  <c r="G1219" i="1"/>
  <c r="F1219" i="1"/>
  <c r="G1218" i="1"/>
  <c r="F1218" i="1"/>
  <c r="G1217" i="1"/>
  <c r="F1217" i="1"/>
  <c r="G1216" i="1"/>
  <c r="F1216" i="1"/>
  <c r="G1215" i="1"/>
  <c r="F1215" i="1"/>
  <c r="G1214" i="1"/>
  <c r="F1214" i="1"/>
  <c r="G1213" i="1"/>
  <c r="F1213" i="1"/>
  <c r="G1212" i="1"/>
  <c r="F1212" i="1"/>
  <c r="G1211" i="1"/>
  <c r="F1211" i="1"/>
  <c r="G1210" i="1"/>
  <c r="F1210" i="1"/>
  <c r="G1209" i="1"/>
  <c r="F1209" i="1"/>
  <c r="G1208" i="1"/>
  <c r="F1208" i="1"/>
  <c r="G1207" i="1"/>
  <c r="F1207" i="1"/>
  <c r="G1206" i="1"/>
  <c r="F1206" i="1"/>
  <c r="G1205" i="1"/>
  <c r="F1205" i="1"/>
  <c r="G1204" i="1"/>
  <c r="F1204" i="1"/>
  <c r="G1203" i="1"/>
  <c r="F1203" i="1"/>
  <c r="G1202" i="1"/>
  <c r="F1202" i="1"/>
  <c r="G1201" i="1"/>
  <c r="F1201" i="1"/>
  <c r="G1200" i="1"/>
  <c r="F1200" i="1"/>
  <c r="G1199" i="1"/>
  <c r="F1199" i="1"/>
  <c r="G1198" i="1"/>
  <c r="F1198" i="1"/>
  <c r="G1197" i="1"/>
  <c r="F1197" i="1"/>
  <c r="G1196" i="1"/>
  <c r="F1196" i="1"/>
  <c r="G1195" i="1"/>
  <c r="F1195" i="1"/>
  <c r="G1194" i="1"/>
  <c r="F1194" i="1"/>
  <c r="G1193" i="1"/>
  <c r="F1193" i="1"/>
  <c r="G1192" i="1"/>
  <c r="F1192" i="1"/>
  <c r="G1191" i="1"/>
  <c r="F1191" i="1"/>
  <c r="G1190" i="1"/>
  <c r="F1190" i="1"/>
  <c r="G1189" i="1"/>
  <c r="F1189" i="1"/>
  <c r="G1188" i="1"/>
  <c r="F1188" i="1"/>
  <c r="G1187" i="1"/>
  <c r="F1187" i="1"/>
  <c r="G1186" i="1"/>
  <c r="F1186" i="1"/>
  <c r="G1185" i="1"/>
  <c r="F1185" i="1"/>
  <c r="G1184" i="1"/>
  <c r="F1184" i="1"/>
  <c r="G1183" i="1"/>
  <c r="F1183" i="1"/>
  <c r="G1182" i="1"/>
  <c r="F1182" i="1"/>
  <c r="G1181" i="1"/>
  <c r="F1181" i="1"/>
  <c r="G1180" i="1"/>
  <c r="F1180" i="1"/>
  <c r="G1179" i="1"/>
  <c r="F1179" i="1"/>
  <c r="G1178" i="1"/>
  <c r="F1178" i="1"/>
  <c r="G1177" i="1"/>
  <c r="F1177" i="1"/>
  <c r="G1176" i="1"/>
  <c r="F1176" i="1"/>
  <c r="G1175" i="1"/>
  <c r="F1175" i="1"/>
  <c r="G1174" i="1"/>
  <c r="F1174" i="1"/>
  <c r="G1173" i="1"/>
  <c r="F1173" i="1"/>
  <c r="G1172" i="1"/>
  <c r="F1172" i="1"/>
  <c r="G1171" i="1"/>
  <c r="F1171" i="1"/>
  <c r="G1170" i="1"/>
  <c r="F1170" i="1"/>
  <c r="G1169" i="1"/>
  <c r="F1169" i="1"/>
  <c r="G1168" i="1"/>
  <c r="F1168" i="1"/>
  <c r="G1167" i="1"/>
  <c r="F1167" i="1"/>
  <c r="G1166" i="1"/>
  <c r="F1166" i="1"/>
  <c r="G1165" i="1"/>
  <c r="F1165" i="1"/>
  <c r="G1164" i="1"/>
  <c r="F1164" i="1"/>
  <c r="G1163" i="1"/>
  <c r="F1163" i="1"/>
  <c r="G1162" i="1"/>
  <c r="F1162" i="1"/>
  <c r="G1161" i="1"/>
  <c r="F1161" i="1"/>
  <c r="G1160" i="1"/>
  <c r="F1160" i="1"/>
  <c r="G1159" i="1"/>
  <c r="F1159" i="1"/>
  <c r="G1158" i="1"/>
  <c r="F1158" i="1"/>
  <c r="G1157" i="1"/>
  <c r="F1157" i="1"/>
  <c r="G1156" i="1"/>
  <c r="F1156" i="1"/>
  <c r="G1155" i="1"/>
  <c r="F1155" i="1"/>
  <c r="G1154" i="1"/>
  <c r="F1154" i="1"/>
  <c r="G1153" i="1"/>
  <c r="F1153" i="1"/>
  <c r="G1152" i="1"/>
  <c r="F1152" i="1"/>
  <c r="G1151" i="1"/>
  <c r="F1151" i="1"/>
  <c r="G1150" i="1"/>
  <c r="F1150" i="1"/>
  <c r="G1149" i="1"/>
  <c r="F1149" i="1"/>
  <c r="G1148" i="1"/>
  <c r="F1148" i="1"/>
  <c r="G1147" i="1"/>
  <c r="F1147" i="1"/>
  <c r="G1146" i="1"/>
  <c r="F1146" i="1"/>
  <c r="G1145" i="1"/>
  <c r="F1145" i="1"/>
  <c r="G1144" i="1"/>
  <c r="F1144" i="1"/>
  <c r="G1143" i="1"/>
  <c r="F1143" i="1"/>
  <c r="G1142" i="1"/>
  <c r="F1142" i="1"/>
  <c r="G1141" i="1"/>
  <c r="F1141" i="1"/>
  <c r="G1140" i="1"/>
  <c r="F1140" i="1"/>
  <c r="G1139" i="1"/>
  <c r="F1139" i="1"/>
  <c r="G1138" i="1"/>
  <c r="F1138" i="1"/>
  <c r="G1137" i="1"/>
  <c r="F1137" i="1"/>
  <c r="G1136" i="1"/>
  <c r="F1136" i="1"/>
  <c r="G1135" i="1"/>
  <c r="F1135" i="1"/>
  <c r="G1134" i="1"/>
  <c r="F1134" i="1"/>
  <c r="G1133" i="1"/>
  <c r="F1133" i="1"/>
  <c r="G1132" i="1"/>
  <c r="F1132" i="1"/>
  <c r="G1131" i="1"/>
  <c r="F1131" i="1"/>
  <c r="G1130" i="1"/>
  <c r="F1130" i="1"/>
  <c r="G1129" i="1"/>
  <c r="F1129" i="1"/>
  <c r="G1128" i="1"/>
  <c r="F1128" i="1"/>
  <c r="G1127" i="1"/>
  <c r="F1127" i="1"/>
  <c r="G1126" i="1"/>
  <c r="F1126" i="1"/>
  <c r="G1125" i="1"/>
  <c r="F1125" i="1"/>
  <c r="G1124" i="1"/>
  <c r="F1124" i="1"/>
  <c r="G1123" i="1"/>
  <c r="F1123" i="1"/>
  <c r="G1122" i="1"/>
  <c r="F1122" i="1"/>
  <c r="G1121" i="1"/>
  <c r="F1121" i="1"/>
  <c r="G1120" i="1"/>
  <c r="F1120" i="1"/>
  <c r="G1119" i="1"/>
  <c r="F1119" i="1"/>
  <c r="G1118" i="1"/>
  <c r="F1118" i="1"/>
  <c r="G1117" i="1"/>
  <c r="F1117" i="1"/>
  <c r="G1116" i="1"/>
  <c r="F1116" i="1"/>
  <c r="G1115" i="1"/>
  <c r="F1115" i="1"/>
  <c r="G1114" i="1"/>
  <c r="F1114" i="1"/>
  <c r="G1113" i="1"/>
  <c r="F1113" i="1"/>
  <c r="G1112" i="1"/>
  <c r="F1112" i="1"/>
  <c r="G1111" i="1"/>
  <c r="F1111" i="1"/>
  <c r="G1110" i="1"/>
  <c r="F1110" i="1"/>
  <c r="G1109" i="1"/>
  <c r="F1109" i="1"/>
  <c r="G1108" i="1"/>
  <c r="F1108" i="1"/>
  <c r="G1107" i="1"/>
  <c r="F1107" i="1"/>
  <c r="G1106" i="1"/>
  <c r="F1106" i="1"/>
  <c r="G1105" i="1"/>
  <c r="F1105" i="1"/>
  <c r="G1104" i="1"/>
  <c r="F1104" i="1"/>
  <c r="G1103" i="1"/>
  <c r="F1103" i="1"/>
  <c r="G1102" i="1"/>
  <c r="F1102" i="1"/>
  <c r="G1101" i="1"/>
  <c r="F1101" i="1"/>
  <c r="G1100" i="1"/>
  <c r="F1100" i="1"/>
  <c r="G1099" i="1"/>
  <c r="F1099" i="1"/>
  <c r="G1098" i="1"/>
  <c r="F1098" i="1"/>
  <c r="G1097" i="1"/>
  <c r="F1097" i="1"/>
  <c r="G1096" i="1"/>
  <c r="F1096" i="1"/>
  <c r="G1095" i="1"/>
  <c r="F1095" i="1"/>
  <c r="G1094" i="1"/>
  <c r="F1094" i="1"/>
  <c r="G1093" i="1"/>
  <c r="F1093" i="1"/>
  <c r="G1092" i="1"/>
  <c r="F1092" i="1"/>
  <c r="G1091" i="1"/>
  <c r="F1091" i="1"/>
  <c r="G1090" i="1"/>
  <c r="F1090" i="1"/>
  <c r="G1089" i="1"/>
  <c r="F1089" i="1"/>
  <c r="G1088" i="1"/>
  <c r="F1088" i="1"/>
  <c r="G1087" i="1"/>
  <c r="F1087" i="1"/>
  <c r="G1086" i="1"/>
  <c r="F1086" i="1"/>
  <c r="G1085" i="1"/>
  <c r="F1085" i="1"/>
  <c r="G1084" i="1"/>
  <c r="F1084" i="1"/>
  <c r="G1083" i="1"/>
  <c r="F1083" i="1"/>
  <c r="G1082" i="1"/>
  <c r="F1082" i="1"/>
  <c r="G1081" i="1"/>
  <c r="F1081" i="1"/>
  <c r="G1080" i="1"/>
  <c r="F1080" i="1"/>
  <c r="G1079" i="1"/>
  <c r="F1079" i="1"/>
  <c r="G1078" i="1"/>
  <c r="F1078" i="1"/>
  <c r="G1077" i="1"/>
  <c r="F1077" i="1"/>
  <c r="G1076" i="1"/>
  <c r="F1076" i="1"/>
  <c r="G1075" i="1"/>
  <c r="F1075" i="1"/>
  <c r="G1074" i="1"/>
  <c r="F1074" i="1"/>
  <c r="G1073" i="1"/>
  <c r="F1073" i="1"/>
  <c r="G1072" i="1"/>
  <c r="F1072" i="1"/>
  <c r="G1071" i="1"/>
  <c r="F1071" i="1"/>
  <c r="G1070" i="1"/>
  <c r="F1070" i="1"/>
  <c r="G1069" i="1"/>
  <c r="F1069" i="1"/>
  <c r="G1068" i="1"/>
  <c r="F1068" i="1"/>
  <c r="G1067" i="1"/>
  <c r="F1067" i="1"/>
  <c r="G1066" i="1"/>
  <c r="F1066" i="1"/>
  <c r="G1065" i="1"/>
  <c r="F1065" i="1"/>
  <c r="G1064" i="1"/>
  <c r="F1064" i="1"/>
  <c r="G1063" i="1"/>
  <c r="F1063" i="1"/>
  <c r="G1062" i="1"/>
  <c r="F1062" i="1"/>
  <c r="G1061" i="1"/>
  <c r="F1061" i="1"/>
  <c r="G1060" i="1"/>
  <c r="F1060" i="1"/>
  <c r="G1059" i="1"/>
  <c r="F1059" i="1"/>
  <c r="G1058" i="1"/>
  <c r="F1058" i="1"/>
  <c r="G1057" i="1"/>
  <c r="F1057" i="1"/>
  <c r="G1056" i="1"/>
  <c r="F1056" i="1"/>
  <c r="G1055" i="1"/>
  <c r="F1055" i="1"/>
  <c r="G1054" i="1"/>
  <c r="F1054" i="1"/>
  <c r="G1053" i="1"/>
  <c r="F1053" i="1"/>
  <c r="G1052" i="1"/>
  <c r="F1052" i="1"/>
  <c r="G1051" i="1"/>
  <c r="F1051" i="1"/>
  <c r="G1050" i="1"/>
  <c r="F1050" i="1"/>
  <c r="G1049" i="1"/>
  <c r="F1049" i="1"/>
  <c r="G1048" i="1"/>
  <c r="F1048" i="1"/>
  <c r="G1047" i="1"/>
  <c r="F1047" i="1"/>
  <c r="G1046" i="1"/>
  <c r="F1046" i="1"/>
  <c r="G1045" i="1"/>
  <c r="F1045" i="1"/>
  <c r="G1044" i="1"/>
  <c r="F1044" i="1"/>
  <c r="G1043" i="1"/>
  <c r="F1043" i="1"/>
  <c r="G1042" i="1"/>
  <c r="F1042" i="1"/>
  <c r="G1041" i="1"/>
  <c r="F1041" i="1"/>
  <c r="G1040" i="1"/>
  <c r="F1040" i="1"/>
  <c r="G1039" i="1"/>
  <c r="F1039" i="1"/>
  <c r="G1038" i="1"/>
  <c r="F1038" i="1"/>
  <c r="G1037" i="1"/>
  <c r="F1037" i="1"/>
  <c r="G1036" i="1"/>
  <c r="F1036" i="1"/>
  <c r="G1035" i="1"/>
  <c r="F1035" i="1"/>
  <c r="G1034" i="1"/>
  <c r="F1034" i="1"/>
  <c r="G1033" i="1"/>
  <c r="F1033" i="1"/>
  <c r="G1032" i="1"/>
  <c r="F1032" i="1"/>
  <c r="G1031" i="1"/>
  <c r="F1031" i="1"/>
  <c r="G1030" i="1"/>
  <c r="F1030" i="1"/>
  <c r="G1029" i="1"/>
  <c r="F1029" i="1"/>
  <c r="G1028" i="1"/>
  <c r="F1028" i="1"/>
  <c r="G1027" i="1"/>
  <c r="F1027" i="1"/>
  <c r="G1026" i="1"/>
  <c r="F1026" i="1"/>
  <c r="G1025" i="1"/>
  <c r="F1025" i="1"/>
  <c r="G1024" i="1"/>
  <c r="F1024" i="1"/>
  <c r="G1023" i="1"/>
  <c r="F1023" i="1"/>
  <c r="G1022" i="1"/>
  <c r="F1022" i="1"/>
  <c r="G1021" i="1"/>
  <c r="F1021" i="1"/>
  <c r="G1020" i="1"/>
  <c r="F1020" i="1"/>
  <c r="G1019" i="1"/>
  <c r="F1019" i="1"/>
  <c r="G1018" i="1"/>
  <c r="F1018" i="1"/>
  <c r="G1017" i="1"/>
  <c r="F1017" i="1"/>
  <c r="G1016" i="1"/>
  <c r="F1016" i="1"/>
  <c r="G1015" i="1"/>
  <c r="F1015" i="1"/>
  <c r="G1014" i="1"/>
  <c r="F1014" i="1"/>
  <c r="G1013" i="1"/>
  <c r="F1013" i="1"/>
  <c r="G1012" i="1"/>
  <c r="F1012" i="1"/>
  <c r="G1011" i="1"/>
  <c r="F1011" i="1"/>
  <c r="G1010" i="1"/>
  <c r="F1010" i="1"/>
  <c r="G1009" i="1"/>
  <c r="F1009" i="1"/>
  <c r="G1008" i="1"/>
  <c r="F1008" i="1"/>
  <c r="G1007" i="1"/>
  <c r="F1007" i="1"/>
  <c r="G1006" i="1"/>
  <c r="F1006" i="1"/>
  <c r="G1005" i="1"/>
  <c r="F1005" i="1"/>
  <c r="G1004" i="1"/>
  <c r="F1004" i="1"/>
  <c r="G1003" i="1"/>
  <c r="F1003" i="1"/>
  <c r="G1002" i="1"/>
  <c r="F1002" i="1"/>
  <c r="G1001" i="1"/>
  <c r="F1001" i="1"/>
  <c r="G1000" i="1"/>
  <c r="F1000" i="1"/>
  <c r="G999" i="1"/>
  <c r="F999" i="1"/>
  <c r="G998" i="1"/>
  <c r="F998" i="1"/>
  <c r="G997" i="1"/>
  <c r="F997" i="1"/>
  <c r="G996" i="1"/>
  <c r="F996" i="1"/>
  <c r="G995" i="1"/>
  <c r="F995" i="1"/>
  <c r="G994" i="1"/>
  <c r="F994" i="1"/>
  <c r="G993" i="1"/>
  <c r="F993" i="1"/>
  <c r="G992" i="1"/>
  <c r="F992" i="1"/>
  <c r="G991" i="1"/>
  <c r="F991" i="1"/>
  <c r="G990" i="1"/>
  <c r="F990" i="1"/>
  <c r="G989" i="1"/>
  <c r="F989" i="1"/>
  <c r="G988" i="1"/>
  <c r="F988" i="1"/>
  <c r="G987" i="1"/>
  <c r="F987" i="1"/>
  <c r="G986" i="1"/>
  <c r="F986" i="1"/>
  <c r="G985" i="1"/>
  <c r="F985" i="1"/>
  <c r="G984" i="1"/>
  <c r="F984" i="1"/>
  <c r="G983" i="1"/>
  <c r="F983" i="1"/>
  <c r="G982" i="1"/>
  <c r="F982" i="1"/>
  <c r="G981" i="1"/>
  <c r="F981" i="1"/>
  <c r="G980" i="1"/>
  <c r="F980" i="1"/>
  <c r="G979" i="1"/>
  <c r="F979" i="1"/>
  <c r="G978" i="1"/>
  <c r="F978" i="1"/>
  <c r="G977" i="1"/>
  <c r="F977" i="1"/>
  <c r="G976" i="1"/>
  <c r="F976" i="1"/>
  <c r="G975" i="1"/>
  <c r="F975" i="1"/>
  <c r="G974" i="1"/>
  <c r="F974" i="1"/>
  <c r="G973" i="1"/>
  <c r="F973" i="1"/>
  <c r="G972" i="1"/>
  <c r="F972" i="1"/>
  <c r="G971" i="1"/>
  <c r="F971" i="1"/>
  <c r="G970" i="1"/>
  <c r="F970" i="1"/>
  <c r="G969" i="1"/>
  <c r="F969" i="1"/>
  <c r="G968" i="1"/>
  <c r="F968" i="1"/>
  <c r="G967" i="1"/>
  <c r="F967" i="1"/>
  <c r="G966" i="1"/>
  <c r="F966" i="1"/>
  <c r="G965" i="1"/>
  <c r="F965" i="1"/>
  <c r="G964" i="1"/>
  <c r="F964" i="1"/>
  <c r="G963" i="1"/>
  <c r="F963" i="1"/>
  <c r="G962" i="1"/>
  <c r="F962" i="1"/>
  <c r="G961" i="1"/>
  <c r="F961" i="1"/>
  <c r="G960" i="1"/>
  <c r="F960" i="1"/>
  <c r="G959" i="1"/>
  <c r="F959" i="1"/>
  <c r="G958" i="1"/>
  <c r="F958" i="1"/>
  <c r="G957" i="1"/>
  <c r="F957" i="1"/>
  <c r="G956" i="1"/>
  <c r="F956" i="1"/>
  <c r="G955" i="1"/>
  <c r="F955" i="1"/>
  <c r="G954" i="1"/>
  <c r="F954" i="1"/>
  <c r="G953" i="1"/>
  <c r="F953" i="1"/>
  <c r="G952" i="1"/>
  <c r="F952" i="1"/>
  <c r="G951" i="1"/>
  <c r="F951" i="1"/>
  <c r="G950" i="1"/>
  <c r="F950" i="1"/>
  <c r="G949" i="1"/>
  <c r="F949" i="1"/>
  <c r="G948" i="1"/>
  <c r="F948" i="1"/>
  <c r="G947" i="1"/>
  <c r="F947" i="1"/>
  <c r="G946" i="1"/>
  <c r="F946" i="1"/>
  <c r="G945" i="1"/>
  <c r="F945" i="1"/>
  <c r="G944" i="1"/>
  <c r="F944" i="1"/>
  <c r="G943" i="1"/>
  <c r="F943" i="1"/>
  <c r="G942" i="1"/>
  <c r="F942" i="1"/>
  <c r="G941" i="1"/>
  <c r="F941" i="1"/>
  <c r="G940" i="1"/>
  <c r="F940" i="1"/>
  <c r="G939" i="1"/>
  <c r="F939" i="1"/>
  <c r="G938" i="1"/>
  <c r="F938" i="1"/>
  <c r="G937" i="1"/>
  <c r="F937" i="1"/>
  <c r="G936" i="1"/>
  <c r="F936" i="1"/>
  <c r="G935" i="1"/>
  <c r="F935" i="1"/>
  <c r="G934" i="1"/>
  <c r="F934" i="1"/>
  <c r="G933" i="1"/>
  <c r="F933" i="1"/>
  <c r="G932" i="1"/>
  <c r="F932" i="1"/>
  <c r="G931" i="1"/>
  <c r="F931" i="1"/>
  <c r="G930" i="1"/>
  <c r="F930" i="1"/>
  <c r="G929" i="1"/>
  <c r="F929" i="1"/>
  <c r="G928" i="1"/>
  <c r="F928" i="1"/>
  <c r="G927" i="1"/>
  <c r="F927" i="1"/>
  <c r="G926" i="1"/>
  <c r="F926" i="1"/>
  <c r="G925" i="1"/>
  <c r="F925" i="1"/>
  <c r="G924" i="1"/>
  <c r="F924" i="1"/>
  <c r="G923" i="1"/>
  <c r="F923" i="1"/>
  <c r="G922" i="1"/>
  <c r="F922" i="1"/>
  <c r="G921" i="1"/>
  <c r="F921" i="1"/>
  <c r="G920" i="1"/>
  <c r="F920" i="1"/>
  <c r="G919" i="1"/>
  <c r="F919" i="1"/>
  <c r="G918" i="1"/>
  <c r="F918" i="1"/>
  <c r="G917" i="1"/>
  <c r="F917" i="1"/>
  <c r="G916" i="1"/>
  <c r="F916" i="1"/>
  <c r="G915" i="1"/>
  <c r="F915" i="1"/>
  <c r="G914" i="1"/>
  <c r="F914" i="1"/>
  <c r="G913" i="1"/>
  <c r="F913" i="1"/>
  <c r="G912" i="1"/>
  <c r="F912" i="1"/>
  <c r="G911" i="1"/>
  <c r="F911" i="1"/>
  <c r="G910" i="1"/>
  <c r="F910" i="1"/>
  <c r="G909" i="1"/>
  <c r="F909" i="1"/>
  <c r="G908" i="1"/>
  <c r="F908" i="1"/>
  <c r="G907" i="1"/>
  <c r="F907" i="1"/>
  <c r="G906" i="1"/>
  <c r="F906" i="1"/>
  <c r="G905" i="1"/>
  <c r="F905" i="1"/>
  <c r="G904" i="1"/>
  <c r="F904" i="1"/>
  <c r="G903" i="1"/>
  <c r="F903" i="1"/>
  <c r="G902" i="1"/>
  <c r="F902" i="1"/>
  <c r="G901" i="1"/>
  <c r="F901" i="1"/>
  <c r="G900" i="1"/>
  <c r="F900" i="1"/>
  <c r="G899" i="1"/>
  <c r="F899" i="1"/>
  <c r="G898" i="1"/>
  <c r="F898" i="1"/>
  <c r="G897" i="1"/>
  <c r="F897" i="1"/>
  <c r="G896" i="1"/>
  <c r="F896" i="1"/>
  <c r="G895" i="1"/>
  <c r="F895" i="1"/>
  <c r="G894" i="1"/>
  <c r="F894" i="1"/>
  <c r="G893" i="1"/>
  <c r="F893" i="1"/>
  <c r="G892" i="1"/>
  <c r="F892" i="1"/>
  <c r="G891" i="1"/>
  <c r="F891" i="1"/>
  <c r="G890" i="1"/>
  <c r="F890" i="1"/>
  <c r="G889" i="1"/>
  <c r="F889" i="1"/>
  <c r="G888" i="1"/>
  <c r="F888" i="1"/>
  <c r="G887" i="1"/>
  <c r="F887" i="1"/>
  <c r="G886" i="1"/>
  <c r="F886" i="1"/>
  <c r="G885" i="1"/>
  <c r="F885" i="1"/>
  <c r="G884" i="1"/>
  <c r="F884" i="1"/>
  <c r="G883" i="1"/>
  <c r="F883" i="1"/>
  <c r="G882" i="1"/>
  <c r="F882" i="1"/>
  <c r="G881" i="1"/>
  <c r="F881" i="1"/>
  <c r="G880" i="1"/>
  <c r="F880" i="1"/>
  <c r="G879" i="1"/>
  <c r="F879" i="1"/>
  <c r="G878" i="1"/>
  <c r="F878" i="1"/>
  <c r="G877" i="1"/>
  <c r="F877" i="1"/>
  <c r="G876" i="1"/>
  <c r="F876" i="1"/>
  <c r="G875" i="1"/>
  <c r="F875" i="1"/>
  <c r="G874" i="1"/>
  <c r="F874" i="1"/>
  <c r="G873" i="1"/>
  <c r="F873" i="1"/>
  <c r="G872" i="1"/>
  <c r="F872" i="1"/>
  <c r="G871" i="1"/>
  <c r="F871" i="1"/>
  <c r="G870" i="1"/>
  <c r="F870" i="1"/>
  <c r="G869" i="1"/>
  <c r="F869" i="1"/>
  <c r="G868" i="1"/>
  <c r="F868" i="1"/>
  <c r="G867" i="1"/>
  <c r="F867" i="1"/>
  <c r="G866" i="1"/>
  <c r="F866" i="1"/>
  <c r="G865" i="1"/>
  <c r="F865" i="1"/>
  <c r="G864" i="1"/>
  <c r="F864" i="1"/>
  <c r="G863" i="1"/>
  <c r="F863" i="1"/>
  <c r="G862" i="1"/>
  <c r="F862" i="1"/>
  <c r="G861" i="1"/>
  <c r="F861" i="1"/>
  <c r="G860" i="1"/>
  <c r="F860" i="1"/>
  <c r="G859" i="1"/>
  <c r="F859" i="1"/>
  <c r="G858" i="1"/>
  <c r="F858" i="1"/>
  <c r="G857" i="1"/>
  <c r="F857" i="1"/>
  <c r="G856" i="1"/>
  <c r="F856" i="1"/>
  <c r="G855" i="1"/>
  <c r="F855" i="1"/>
  <c r="G854" i="1"/>
  <c r="F854" i="1"/>
  <c r="G853" i="1"/>
  <c r="F853" i="1"/>
  <c r="G852" i="1"/>
  <c r="F852" i="1"/>
  <c r="G851" i="1"/>
  <c r="F851" i="1"/>
  <c r="G850" i="1"/>
  <c r="F850" i="1"/>
  <c r="G849" i="1"/>
  <c r="F849" i="1"/>
  <c r="G848" i="1"/>
  <c r="F848" i="1"/>
  <c r="G847" i="1"/>
  <c r="F847" i="1"/>
  <c r="G846" i="1"/>
  <c r="F846" i="1"/>
  <c r="G845" i="1"/>
  <c r="F845" i="1"/>
  <c r="G844" i="1"/>
  <c r="F844" i="1"/>
  <c r="G843" i="1"/>
  <c r="F843" i="1"/>
  <c r="G842" i="1"/>
  <c r="F842" i="1"/>
  <c r="G841" i="1"/>
  <c r="F841" i="1"/>
  <c r="G840" i="1"/>
  <c r="F840" i="1"/>
  <c r="G839" i="1"/>
  <c r="F839" i="1"/>
  <c r="G838" i="1"/>
  <c r="F838" i="1"/>
  <c r="G837" i="1"/>
  <c r="F837" i="1"/>
  <c r="G836" i="1"/>
  <c r="F836" i="1"/>
  <c r="G835" i="1"/>
  <c r="F835" i="1"/>
  <c r="G834" i="1"/>
  <c r="F834" i="1"/>
  <c r="G833" i="1"/>
  <c r="F833" i="1"/>
  <c r="G832" i="1"/>
  <c r="F832" i="1"/>
  <c r="G831" i="1"/>
  <c r="F831" i="1"/>
  <c r="G830" i="1"/>
  <c r="F830" i="1"/>
  <c r="G829" i="1"/>
  <c r="F829" i="1"/>
  <c r="G828" i="1"/>
  <c r="F828" i="1"/>
  <c r="G827" i="1"/>
  <c r="F827" i="1"/>
  <c r="G826" i="1"/>
  <c r="F826" i="1"/>
  <c r="G825" i="1"/>
  <c r="F825" i="1"/>
  <c r="G824" i="1"/>
  <c r="F824" i="1"/>
  <c r="G823" i="1"/>
  <c r="F823" i="1"/>
  <c r="G822" i="1"/>
  <c r="F822" i="1"/>
  <c r="G821" i="1"/>
  <c r="F821" i="1"/>
  <c r="G820" i="1"/>
  <c r="F820" i="1"/>
  <c r="G819" i="1"/>
  <c r="F819" i="1"/>
  <c r="G818" i="1"/>
  <c r="F818" i="1"/>
  <c r="G817" i="1"/>
  <c r="F817" i="1"/>
  <c r="G816" i="1"/>
  <c r="F816" i="1"/>
  <c r="G815" i="1"/>
  <c r="F815" i="1"/>
  <c r="G814" i="1"/>
  <c r="F814" i="1"/>
  <c r="G813" i="1"/>
  <c r="F813" i="1"/>
  <c r="G812" i="1"/>
  <c r="F812" i="1"/>
  <c r="G811" i="1"/>
  <c r="F811" i="1"/>
  <c r="G810" i="1"/>
  <c r="F810" i="1"/>
  <c r="G809" i="1"/>
  <c r="F809" i="1"/>
  <c r="G808" i="1"/>
  <c r="F808" i="1"/>
  <c r="G807" i="1"/>
  <c r="F807" i="1"/>
  <c r="G806" i="1"/>
  <c r="F806" i="1"/>
  <c r="G805" i="1"/>
  <c r="F805" i="1"/>
  <c r="G804" i="1"/>
  <c r="F804" i="1"/>
  <c r="G803" i="1"/>
  <c r="F803" i="1"/>
  <c r="G802" i="1"/>
  <c r="F802" i="1"/>
  <c r="G801" i="1"/>
  <c r="F801" i="1"/>
  <c r="G800" i="1"/>
  <c r="F800" i="1"/>
  <c r="G799" i="1"/>
  <c r="F799" i="1"/>
  <c r="G798" i="1"/>
  <c r="F798" i="1"/>
  <c r="G797" i="1"/>
  <c r="F797" i="1"/>
  <c r="G796" i="1"/>
  <c r="F796" i="1"/>
  <c r="G795" i="1"/>
  <c r="F795" i="1"/>
  <c r="G794" i="1"/>
  <c r="F794" i="1"/>
  <c r="G793" i="1"/>
  <c r="F793" i="1"/>
  <c r="G792" i="1"/>
  <c r="F792" i="1"/>
  <c r="G791" i="1"/>
  <c r="F791" i="1"/>
  <c r="G790" i="1"/>
  <c r="F790" i="1"/>
  <c r="G789" i="1"/>
  <c r="F789" i="1"/>
  <c r="G788" i="1"/>
  <c r="F788" i="1"/>
  <c r="G787" i="1"/>
  <c r="F787" i="1"/>
  <c r="G786" i="1"/>
  <c r="F786" i="1"/>
  <c r="G785" i="1"/>
  <c r="F785" i="1"/>
  <c r="G784" i="1"/>
  <c r="F784" i="1"/>
  <c r="G783" i="1"/>
  <c r="F783" i="1"/>
  <c r="G782" i="1"/>
  <c r="F782" i="1"/>
  <c r="G781" i="1"/>
  <c r="F781" i="1"/>
  <c r="G780" i="1"/>
  <c r="F780" i="1"/>
  <c r="G779" i="1"/>
  <c r="F779" i="1"/>
  <c r="G778" i="1"/>
  <c r="F778" i="1"/>
  <c r="G777" i="1"/>
  <c r="F777" i="1"/>
  <c r="G776" i="1"/>
  <c r="F776" i="1"/>
  <c r="G775" i="1"/>
  <c r="F775" i="1"/>
  <c r="G774" i="1"/>
  <c r="F774" i="1"/>
  <c r="G773" i="1"/>
  <c r="F773" i="1"/>
  <c r="G772" i="1"/>
  <c r="F772" i="1"/>
  <c r="G771" i="1"/>
  <c r="F771" i="1"/>
  <c r="G770" i="1"/>
  <c r="F770" i="1"/>
  <c r="G769" i="1"/>
  <c r="F769" i="1"/>
  <c r="G768" i="1"/>
  <c r="F768" i="1"/>
  <c r="G767" i="1"/>
  <c r="F767" i="1"/>
  <c r="G766" i="1"/>
  <c r="F766" i="1"/>
  <c r="G765" i="1"/>
  <c r="F765" i="1"/>
  <c r="G764" i="1"/>
  <c r="F764" i="1"/>
  <c r="G763" i="1"/>
  <c r="F763" i="1"/>
  <c r="G762" i="1"/>
  <c r="F762" i="1"/>
  <c r="G761" i="1"/>
  <c r="F761" i="1"/>
  <c r="G760" i="1"/>
  <c r="F760" i="1"/>
  <c r="G759" i="1"/>
  <c r="F759" i="1"/>
  <c r="G758" i="1"/>
  <c r="F758" i="1"/>
  <c r="G757" i="1"/>
  <c r="F757" i="1"/>
  <c r="G756" i="1"/>
  <c r="F756" i="1"/>
  <c r="G755" i="1"/>
  <c r="F755" i="1"/>
  <c r="G754" i="1"/>
  <c r="F754" i="1"/>
  <c r="G753" i="1"/>
  <c r="F753" i="1"/>
  <c r="G752" i="1"/>
  <c r="F752" i="1"/>
  <c r="G751" i="1"/>
  <c r="F751" i="1"/>
  <c r="G750" i="1"/>
  <c r="F750" i="1"/>
  <c r="G749" i="1"/>
  <c r="F749" i="1"/>
  <c r="G748" i="1"/>
  <c r="F748" i="1"/>
  <c r="G747" i="1"/>
  <c r="F747" i="1"/>
  <c r="G746" i="1"/>
  <c r="F746" i="1"/>
  <c r="G745" i="1"/>
  <c r="F745" i="1"/>
  <c r="G744" i="1"/>
  <c r="F744" i="1"/>
  <c r="G743" i="1"/>
  <c r="F743" i="1"/>
  <c r="G742" i="1"/>
  <c r="F742" i="1"/>
  <c r="G741" i="1"/>
  <c r="F741" i="1"/>
  <c r="G740" i="1"/>
  <c r="F740" i="1"/>
  <c r="G739" i="1"/>
  <c r="F739" i="1"/>
  <c r="G738" i="1"/>
  <c r="F738" i="1"/>
  <c r="G737" i="1"/>
  <c r="F737" i="1"/>
  <c r="G736" i="1"/>
  <c r="F736" i="1"/>
  <c r="G735" i="1"/>
  <c r="F735" i="1"/>
  <c r="G734" i="1"/>
  <c r="F734" i="1"/>
  <c r="G733" i="1"/>
  <c r="F733" i="1"/>
  <c r="G732" i="1"/>
  <c r="F732" i="1"/>
  <c r="G731" i="1"/>
  <c r="F731" i="1"/>
  <c r="G730" i="1"/>
  <c r="F730" i="1"/>
  <c r="G729" i="1"/>
  <c r="F729" i="1"/>
  <c r="G728" i="1"/>
  <c r="F728" i="1"/>
  <c r="G727" i="1"/>
  <c r="F727" i="1"/>
  <c r="G726" i="1"/>
  <c r="F726" i="1"/>
  <c r="G725" i="1"/>
  <c r="F725" i="1"/>
  <c r="G724" i="1"/>
  <c r="F724" i="1"/>
  <c r="G723" i="1"/>
  <c r="F723" i="1"/>
  <c r="G722" i="1"/>
  <c r="F722" i="1"/>
  <c r="G721" i="1"/>
  <c r="F721" i="1"/>
  <c r="G720" i="1"/>
  <c r="F720" i="1"/>
  <c r="G719" i="1"/>
  <c r="F719" i="1"/>
  <c r="G718" i="1"/>
  <c r="F718" i="1"/>
  <c r="G717" i="1"/>
  <c r="F717" i="1"/>
  <c r="G716" i="1"/>
  <c r="F716" i="1"/>
  <c r="G715" i="1"/>
  <c r="F715" i="1"/>
  <c r="G714" i="1"/>
  <c r="F714" i="1"/>
  <c r="G713" i="1"/>
  <c r="F713" i="1"/>
  <c r="G712" i="1"/>
  <c r="F712" i="1"/>
  <c r="G711" i="1"/>
  <c r="F711" i="1"/>
  <c r="G710" i="1"/>
  <c r="F710" i="1"/>
  <c r="G709" i="1"/>
  <c r="F709" i="1"/>
  <c r="G708" i="1"/>
  <c r="F708" i="1"/>
  <c r="G707" i="1"/>
  <c r="F707" i="1"/>
  <c r="G706" i="1"/>
  <c r="F706" i="1"/>
  <c r="G705" i="1"/>
  <c r="F705" i="1"/>
  <c r="G704" i="1"/>
  <c r="F704" i="1"/>
  <c r="G703" i="1"/>
  <c r="F703" i="1"/>
  <c r="G702" i="1"/>
  <c r="F702" i="1"/>
  <c r="G701" i="1"/>
  <c r="F701" i="1"/>
  <c r="G700" i="1"/>
  <c r="F700" i="1"/>
  <c r="G699" i="1"/>
  <c r="F699" i="1"/>
  <c r="G698" i="1"/>
  <c r="F698" i="1"/>
  <c r="G697" i="1"/>
  <c r="F697" i="1"/>
  <c r="G696" i="1"/>
  <c r="F696" i="1"/>
  <c r="G695" i="1"/>
  <c r="F695" i="1"/>
  <c r="G694" i="1"/>
  <c r="F694" i="1"/>
  <c r="G693" i="1"/>
  <c r="F693" i="1"/>
  <c r="G692" i="1"/>
  <c r="F692" i="1"/>
  <c r="G691" i="1"/>
  <c r="F691" i="1"/>
  <c r="G690" i="1"/>
  <c r="F690" i="1"/>
  <c r="G689" i="1"/>
  <c r="F689" i="1"/>
  <c r="G688" i="1"/>
  <c r="F688" i="1"/>
  <c r="G687" i="1"/>
  <c r="F687" i="1"/>
  <c r="G686" i="1"/>
  <c r="F686" i="1"/>
  <c r="G685" i="1"/>
  <c r="F685" i="1"/>
  <c r="G684" i="1"/>
  <c r="F684" i="1"/>
  <c r="G683" i="1"/>
  <c r="F683" i="1"/>
  <c r="G682" i="1"/>
  <c r="F682" i="1"/>
  <c r="G681" i="1"/>
  <c r="F681" i="1"/>
  <c r="G680" i="1"/>
  <c r="F680" i="1"/>
  <c r="G679" i="1"/>
  <c r="F679" i="1"/>
  <c r="G678" i="1"/>
  <c r="F678" i="1"/>
  <c r="G677" i="1"/>
  <c r="F677" i="1"/>
  <c r="G676" i="1"/>
  <c r="F676" i="1"/>
  <c r="G675" i="1"/>
  <c r="F675" i="1"/>
  <c r="G674" i="1"/>
  <c r="F674" i="1"/>
  <c r="G673" i="1"/>
  <c r="F673" i="1"/>
  <c r="G672" i="1"/>
  <c r="F672" i="1"/>
  <c r="G671" i="1"/>
  <c r="F671" i="1"/>
  <c r="G670" i="1"/>
  <c r="F670" i="1"/>
  <c r="G669" i="1"/>
  <c r="F669" i="1"/>
  <c r="G668" i="1"/>
  <c r="F668" i="1"/>
  <c r="G667" i="1"/>
  <c r="F667" i="1"/>
  <c r="G666" i="1"/>
  <c r="F666" i="1"/>
  <c r="G665" i="1"/>
  <c r="F665" i="1"/>
  <c r="G664" i="1"/>
  <c r="F664" i="1"/>
  <c r="G663" i="1"/>
  <c r="F663" i="1"/>
  <c r="G662" i="1"/>
  <c r="F662" i="1"/>
  <c r="G661" i="1"/>
  <c r="F661" i="1"/>
  <c r="G660" i="1"/>
  <c r="F660" i="1"/>
  <c r="G659" i="1"/>
  <c r="F659" i="1"/>
  <c r="G658" i="1"/>
  <c r="F658" i="1"/>
  <c r="G657" i="1"/>
  <c r="F657" i="1"/>
  <c r="G656" i="1"/>
  <c r="F656" i="1"/>
  <c r="G655" i="1"/>
  <c r="F655" i="1"/>
  <c r="G654" i="1"/>
  <c r="F654" i="1"/>
  <c r="G653" i="1"/>
  <c r="F653" i="1"/>
  <c r="G652" i="1"/>
  <c r="F652" i="1"/>
  <c r="G651" i="1"/>
  <c r="F651" i="1"/>
  <c r="G650" i="1"/>
  <c r="F650" i="1"/>
  <c r="G649" i="1"/>
  <c r="F649" i="1"/>
  <c r="G648" i="1"/>
  <c r="F648" i="1"/>
  <c r="G647" i="1"/>
  <c r="F647" i="1"/>
  <c r="G646" i="1"/>
  <c r="F646" i="1"/>
  <c r="G645" i="1"/>
  <c r="F645" i="1"/>
  <c r="G644" i="1"/>
  <c r="F644" i="1"/>
  <c r="G643" i="1"/>
  <c r="F643" i="1"/>
  <c r="G642" i="1"/>
  <c r="F642" i="1"/>
  <c r="G641" i="1"/>
  <c r="F641" i="1"/>
  <c r="G640" i="1"/>
  <c r="F640" i="1"/>
  <c r="G639" i="1"/>
  <c r="F639" i="1"/>
  <c r="G638" i="1"/>
  <c r="F638" i="1"/>
  <c r="G637" i="1"/>
  <c r="F637" i="1"/>
  <c r="G636" i="1"/>
  <c r="F636" i="1"/>
  <c r="G635" i="1"/>
  <c r="F635" i="1"/>
  <c r="G634" i="1"/>
  <c r="F634" i="1"/>
  <c r="G633" i="1"/>
  <c r="F633" i="1"/>
  <c r="G632" i="1"/>
  <c r="F632" i="1"/>
  <c r="G631" i="1"/>
  <c r="F631" i="1"/>
  <c r="G630" i="1"/>
  <c r="F630" i="1"/>
  <c r="G629" i="1"/>
  <c r="F629" i="1"/>
  <c r="G628" i="1"/>
  <c r="F628" i="1"/>
  <c r="G627" i="1"/>
  <c r="F627" i="1"/>
  <c r="G626" i="1"/>
  <c r="F626" i="1"/>
  <c r="G625" i="1"/>
  <c r="F625" i="1"/>
  <c r="G624" i="1"/>
  <c r="F624" i="1"/>
  <c r="G623" i="1"/>
  <c r="F623" i="1"/>
  <c r="G622" i="1"/>
  <c r="F622" i="1"/>
  <c r="G621" i="1"/>
  <c r="F621" i="1"/>
  <c r="G620" i="1"/>
  <c r="F620" i="1"/>
  <c r="G619" i="1"/>
  <c r="F619" i="1"/>
  <c r="G618" i="1"/>
  <c r="F618" i="1"/>
  <c r="G617" i="1"/>
  <c r="F617" i="1"/>
  <c r="G616" i="1"/>
  <c r="F616" i="1"/>
  <c r="G615" i="1"/>
  <c r="F615" i="1"/>
  <c r="G614" i="1"/>
  <c r="F614" i="1"/>
  <c r="G613" i="1"/>
  <c r="F613" i="1"/>
  <c r="G612" i="1"/>
  <c r="F612" i="1"/>
  <c r="G611" i="1"/>
  <c r="F611" i="1"/>
  <c r="G610" i="1"/>
  <c r="F610" i="1"/>
  <c r="G609" i="1"/>
  <c r="F609" i="1"/>
  <c r="G608" i="1"/>
  <c r="F608" i="1"/>
  <c r="G607" i="1"/>
  <c r="F607" i="1"/>
  <c r="G606" i="1"/>
  <c r="F606" i="1"/>
  <c r="G605" i="1"/>
  <c r="F605" i="1"/>
  <c r="G604" i="1"/>
  <c r="F604" i="1"/>
  <c r="G603" i="1"/>
  <c r="F603" i="1"/>
  <c r="G602" i="1"/>
  <c r="F602" i="1"/>
  <c r="G601" i="1"/>
  <c r="F601" i="1"/>
  <c r="G600" i="1"/>
  <c r="F600" i="1"/>
  <c r="G599" i="1"/>
  <c r="F599" i="1"/>
  <c r="G598" i="1"/>
  <c r="F598" i="1"/>
  <c r="G597" i="1"/>
  <c r="F597" i="1"/>
  <c r="G596" i="1"/>
  <c r="F596" i="1"/>
  <c r="G595" i="1"/>
  <c r="F595" i="1"/>
  <c r="G594" i="1"/>
  <c r="F594" i="1"/>
  <c r="G593" i="1"/>
  <c r="F593" i="1"/>
  <c r="G592" i="1"/>
  <c r="F592" i="1"/>
  <c r="G591" i="1"/>
  <c r="F591" i="1"/>
  <c r="G590" i="1"/>
  <c r="F590" i="1"/>
  <c r="G589" i="1"/>
  <c r="F589" i="1"/>
  <c r="G588" i="1"/>
  <c r="F588" i="1"/>
  <c r="G587" i="1"/>
  <c r="F587" i="1"/>
  <c r="G586" i="1"/>
  <c r="F586" i="1"/>
  <c r="G585" i="1"/>
  <c r="F585" i="1"/>
  <c r="G584" i="1"/>
  <c r="F584" i="1"/>
  <c r="G583" i="1"/>
  <c r="F583" i="1"/>
  <c r="G582" i="1"/>
  <c r="F582" i="1"/>
  <c r="G581" i="1"/>
  <c r="F581" i="1"/>
  <c r="G580" i="1"/>
  <c r="F580" i="1"/>
  <c r="G579" i="1"/>
  <c r="F579" i="1"/>
  <c r="G578" i="1"/>
  <c r="F578" i="1"/>
  <c r="G577" i="1"/>
  <c r="F577" i="1"/>
  <c r="G576" i="1"/>
  <c r="F576" i="1"/>
  <c r="G575" i="1"/>
  <c r="F575" i="1"/>
  <c r="G574" i="1"/>
  <c r="F574" i="1"/>
  <c r="G573" i="1"/>
  <c r="F573" i="1"/>
  <c r="G572" i="1"/>
  <c r="F572" i="1"/>
  <c r="G571" i="1"/>
  <c r="F571" i="1"/>
  <c r="G570" i="1"/>
  <c r="F570" i="1"/>
  <c r="G569" i="1"/>
  <c r="F569" i="1"/>
  <c r="G568" i="1"/>
  <c r="F568" i="1"/>
  <c r="G567" i="1"/>
  <c r="F567" i="1"/>
  <c r="G566" i="1"/>
  <c r="F566" i="1"/>
  <c r="G565" i="1"/>
  <c r="F565" i="1"/>
  <c r="G564" i="1"/>
  <c r="F564" i="1"/>
  <c r="G563" i="1"/>
  <c r="F563" i="1"/>
  <c r="G562" i="1"/>
  <c r="F562" i="1"/>
  <c r="G561" i="1"/>
  <c r="F561" i="1"/>
  <c r="G560" i="1"/>
  <c r="F560" i="1"/>
  <c r="G559" i="1"/>
  <c r="F559" i="1"/>
  <c r="G558" i="1"/>
  <c r="F558" i="1"/>
  <c r="G557" i="1"/>
  <c r="F557" i="1"/>
  <c r="G556" i="1"/>
  <c r="F556" i="1"/>
  <c r="G555" i="1"/>
  <c r="F555" i="1"/>
  <c r="G554" i="1"/>
  <c r="F554" i="1"/>
  <c r="G553" i="1"/>
  <c r="F553" i="1"/>
  <c r="G552" i="1"/>
  <c r="F552" i="1"/>
  <c r="G551" i="1"/>
  <c r="F551" i="1"/>
  <c r="G550" i="1"/>
  <c r="F550" i="1"/>
  <c r="G549" i="1"/>
  <c r="F549" i="1"/>
  <c r="G548" i="1"/>
  <c r="F548" i="1"/>
  <c r="G547" i="1"/>
  <c r="F547" i="1"/>
  <c r="G546" i="1"/>
  <c r="F546" i="1"/>
  <c r="G545" i="1"/>
  <c r="F545" i="1"/>
  <c r="G544" i="1"/>
  <c r="F544" i="1"/>
  <c r="G543" i="1"/>
  <c r="F543" i="1"/>
  <c r="G542" i="1"/>
  <c r="F542" i="1"/>
  <c r="G541" i="1"/>
  <c r="F541" i="1"/>
  <c r="G540" i="1"/>
  <c r="F540" i="1"/>
  <c r="G539" i="1"/>
  <c r="F539" i="1"/>
  <c r="G538" i="1"/>
  <c r="F538" i="1"/>
  <c r="G537" i="1"/>
  <c r="F537" i="1"/>
  <c r="G536" i="1"/>
  <c r="F536" i="1"/>
  <c r="G535" i="1"/>
  <c r="F535" i="1"/>
  <c r="G534" i="1"/>
  <c r="F534" i="1"/>
  <c r="G533" i="1"/>
  <c r="F533" i="1"/>
  <c r="G532" i="1"/>
  <c r="F532" i="1"/>
  <c r="G531" i="1"/>
  <c r="F531" i="1"/>
  <c r="G530" i="1"/>
  <c r="F530" i="1"/>
  <c r="G529" i="1"/>
  <c r="F529" i="1"/>
  <c r="G528" i="1"/>
  <c r="F528" i="1"/>
  <c r="G527" i="1"/>
  <c r="F527" i="1"/>
  <c r="G526" i="1"/>
  <c r="F526" i="1"/>
  <c r="G525" i="1"/>
  <c r="F525" i="1"/>
  <c r="G524" i="1"/>
  <c r="F524" i="1"/>
  <c r="G523" i="1"/>
  <c r="F523" i="1"/>
  <c r="G522" i="1"/>
  <c r="F522" i="1"/>
  <c r="G521" i="1"/>
  <c r="F521" i="1"/>
  <c r="G520" i="1"/>
  <c r="F520" i="1"/>
  <c r="G519" i="1"/>
  <c r="F519" i="1"/>
  <c r="G518" i="1"/>
  <c r="F518" i="1"/>
  <c r="G517" i="1"/>
  <c r="F517" i="1"/>
  <c r="G516" i="1"/>
  <c r="F516" i="1"/>
  <c r="G515" i="1"/>
  <c r="F515" i="1"/>
  <c r="G514" i="1"/>
  <c r="F514" i="1"/>
  <c r="G513" i="1"/>
  <c r="F513" i="1"/>
  <c r="G512" i="1"/>
  <c r="F512" i="1"/>
  <c r="G511" i="1"/>
  <c r="F511" i="1"/>
  <c r="G510" i="1"/>
  <c r="F510" i="1"/>
  <c r="G509" i="1"/>
  <c r="F509" i="1"/>
  <c r="G508" i="1"/>
  <c r="F508" i="1"/>
  <c r="G507" i="1"/>
  <c r="F507" i="1"/>
  <c r="G506" i="1"/>
  <c r="F506" i="1"/>
  <c r="G505" i="1"/>
  <c r="F505" i="1"/>
  <c r="G504" i="1"/>
  <c r="F504" i="1"/>
  <c r="G503" i="1"/>
  <c r="F503" i="1"/>
  <c r="G502" i="1"/>
  <c r="F502" i="1"/>
  <c r="G501" i="1"/>
  <c r="F501" i="1"/>
  <c r="G500" i="1"/>
  <c r="F500" i="1"/>
  <c r="G499" i="1"/>
  <c r="F499" i="1"/>
  <c r="G498" i="1"/>
  <c r="F498" i="1"/>
  <c r="G497" i="1"/>
  <c r="F497" i="1"/>
  <c r="G496" i="1"/>
  <c r="F496" i="1"/>
  <c r="G495" i="1"/>
  <c r="F495" i="1"/>
  <c r="G494" i="1"/>
  <c r="F494" i="1"/>
  <c r="G493" i="1"/>
  <c r="F493" i="1"/>
  <c r="G492" i="1"/>
  <c r="F492" i="1"/>
  <c r="G491" i="1"/>
  <c r="F491" i="1"/>
  <c r="G490" i="1"/>
  <c r="F490" i="1"/>
  <c r="G489" i="1"/>
  <c r="F489" i="1"/>
  <c r="G488" i="1"/>
  <c r="F488" i="1"/>
  <c r="G487" i="1"/>
  <c r="F487" i="1"/>
  <c r="G486" i="1"/>
  <c r="F486" i="1"/>
  <c r="G485" i="1"/>
  <c r="F485" i="1"/>
  <c r="G484" i="1"/>
  <c r="F484" i="1"/>
  <c r="G483" i="1"/>
  <c r="F483" i="1"/>
  <c r="G482" i="1"/>
  <c r="F482" i="1"/>
  <c r="G481" i="1"/>
  <c r="F481" i="1"/>
  <c r="G480" i="1"/>
  <c r="F480" i="1"/>
  <c r="G479" i="1"/>
  <c r="F479" i="1"/>
  <c r="G478" i="1"/>
  <c r="F478" i="1"/>
  <c r="G477" i="1"/>
  <c r="F477" i="1"/>
  <c r="G476" i="1"/>
  <c r="F476" i="1"/>
  <c r="G475" i="1"/>
  <c r="F475" i="1"/>
  <c r="G474" i="1"/>
  <c r="F474" i="1"/>
  <c r="G473" i="1"/>
  <c r="F473" i="1"/>
  <c r="G472" i="1"/>
  <c r="F472" i="1"/>
  <c r="G471" i="1"/>
  <c r="F471" i="1"/>
  <c r="G470" i="1"/>
  <c r="F470" i="1"/>
  <c r="G469" i="1"/>
  <c r="F469" i="1"/>
  <c r="G468" i="1"/>
  <c r="F468" i="1"/>
  <c r="G467" i="1"/>
  <c r="F467" i="1"/>
  <c r="G466" i="1"/>
  <c r="F466" i="1"/>
  <c r="G465" i="1"/>
  <c r="F465" i="1"/>
  <c r="G464" i="1"/>
  <c r="F464" i="1"/>
  <c r="G463" i="1"/>
  <c r="F463" i="1"/>
  <c r="G462" i="1"/>
  <c r="F462" i="1"/>
  <c r="G461" i="1"/>
  <c r="F461" i="1"/>
  <c r="G460" i="1"/>
  <c r="F460" i="1"/>
  <c r="G459" i="1"/>
  <c r="F459" i="1"/>
  <c r="G458" i="1"/>
  <c r="F458" i="1"/>
  <c r="G457" i="1"/>
  <c r="F457" i="1"/>
  <c r="G456" i="1"/>
  <c r="F456" i="1"/>
  <c r="G455" i="1"/>
  <c r="F455" i="1"/>
  <c r="G454" i="1"/>
  <c r="F454" i="1"/>
  <c r="G453" i="1"/>
  <c r="F453" i="1"/>
  <c r="G452" i="1"/>
  <c r="F452" i="1"/>
  <c r="G451" i="1"/>
  <c r="F451" i="1"/>
  <c r="G450" i="1"/>
  <c r="F450" i="1"/>
  <c r="G449" i="1"/>
  <c r="F449" i="1"/>
  <c r="G448" i="1"/>
  <c r="F448" i="1"/>
  <c r="G447" i="1"/>
  <c r="F447" i="1"/>
  <c r="G446" i="1"/>
  <c r="F446" i="1"/>
  <c r="G445" i="1"/>
  <c r="F445" i="1"/>
  <c r="G444" i="1"/>
  <c r="F444" i="1"/>
  <c r="G443" i="1"/>
  <c r="F443" i="1"/>
  <c r="G442" i="1"/>
  <c r="F442" i="1"/>
  <c r="G441" i="1"/>
  <c r="F441" i="1"/>
  <c r="G440" i="1"/>
  <c r="F440" i="1"/>
  <c r="G439" i="1"/>
  <c r="F439" i="1"/>
  <c r="G438" i="1"/>
  <c r="F438" i="1"/>
  <c r="G437" i="1"/>
  <c r="F437" i="1"/>
  <c r="G436" i="1"/>
  <c r="F436" i="1"/>
  <c r="G435" i="1"/>
  <c r="F435" i="1"/>
  <c r="G434" i="1"/>
  <c r="F434" i="1"/>
  <c r="G433" i="1"/>
  <c r="F433" i="1"/>
  <c r="G432" i="1"/>
  <c r="F432" i="1"/>
  <c r="G431" i="1"/>
  <c r="F431" i="1"/>
  <c r="G430" i="1"/>
  <c r="F430" i="1"/>
  <c r="G429" i="1"/>
  <c r="F429" i="1"/>
  <c r="G428" i="1"/>
  <c r="F428" i="1"/>
  <c r="G427" i="1"/>
  <c r="F427" i="1"/>
  <c r="G426" i="1"/>
  <c r="F426" i="1"/>
  <c r="G425" i="1"/>
  <c r="F425" i="1"/>
  <c r="G424" i="1"/>
  <c r="F424" i="1"/>
  <c r="G423" i="1"/>
  <c r="F423" i="1"/>
  <c r="G422" i="1"/>
  <c r="F422" i="1"/>
  <c r="G421" i="1"/>
  <c r="F421" i="1"/>
  <c r="G420" i="1"/>
  <c r="F420" i="1"/>
  <c r="G419" i="1"/>
  <c r="F419" i="1"/>
  <c r="G418" i="1"/>
  <c r="F418" i="1"/>
  <c r="G417" i="1"/>
  <c r="F417" i="1"/>
  <c r="G416" i="1"/>
  <c r="F416" i="1"/>
  <c r="G415" i="1"/>
  <c r="F415" i="1"/>
  <c r="G414" i="1"/>
  <c r="F414" i="1"/>
  <c r="G413" i="1"/>
  <c r="F413" i="1"/>
  <c r="G412" i="1"/>
  <c r="F412" i="1"/>
  <c r="G411" i="1"/>
  <c r="F411" i="1"/>
  <c r="G410" i="1"/>
  <c r="F410" i="1"/>
  <c r="G409" i="1"/>
  <c r="F409" i="1"/>
  <c r="G408" i="1"/>
  <c r="F408" i="1"/>
  <c r="G407" i="1"/>
  <c r="F407" i="1"/>
  <c r="G406" i="1"/>
  <c r="F406" i="1"/>
  <c r="G405" i="1"/>
  <c r="F405" i="1"/>
  <c r="G404" i="1"/>
  <c r="F404" i="1"/>
  <c r="G403" i="1"/>
  <c r="F403" i="1"/>
  <c r="G402" i="1"/>
  <c r="F402" i="1"/>
  <c r="G401" i="1"/>
  <c r="F401" i="1"/>
  <c r="G400" i="1"/>
  <c r="F400" i="1"/>
  <c r="G399" i="1"/>
  <c r="F399" i="1"/>
  <c r="G398" i="1"/>
  <c r="F398" i="1"/>
  <c r="G397" i="1"/>
  <c r="F397" i="1"/>
  <c r="G396" i="1"/>
  <c r="F396" i="1"/>
  <c r="G395" i="1"/>
  <c r="F395" i="1"/>
  <c r="G394" i="1"/>
  <c r="F394" i="1"/>
  <c r="G393" i="1"/>
  <c r="F393" i="1"/>
  <c r="G392" i="1"/>
  <c r="F392" i="1"/>
  <c r="G391" i="1"/>
  <c r="F391" i="1"/>
  <c r="G390" i="1"/>
  <c r="F390" i="1"/>
  <c r="G389" i="1"/>
  <c r="F389" i="1"/>
  <c r="G388" i="1"/>
  <c r="F388" i="1"/>
  <c r="G387" i="1"/>
  <c r="F387" i="1"/>
  <c r="G386" i="1"/>
  <c r="F386" i="1"/>
  <c r="G385" i="1"/>
  <c r="F385" i="1"/>
  <c r="G384" i="1"/>
  <c r="F384" i="1"/>
  <c r="G383" i="1"/>
  <c r="F383" i="1"/>
  <c r="G382" i="1"/>
  <c r="F382" i="1"/>
  <c r="G381" i="1"/>
  <c r="F381" i="1"/>
  <c r="G380" i="1"/>
  <c r="F380" i="1"/>
  <c r="G379" i="1"/>
  <c r="F379" i="1"/>
  <c r="G378" i="1"/>
  <c r="F378" i="1"/>
  <c r="G377" i="1"/>
  <c r="F377" i="1"/>
  <c r="G376" i="1"/>
  <c r="F376" i="1"/>
  <c r="G375" i="1"/>
  <c r="F375" i="1"/>
  <c r="G374" i="1"/>
  <c r="F374" i="1"/>
  <c r="G373" i="1"/>
  <c r="F373" i="1"/>
  <c r="G372" i="1"/>
  <c r="F372" i="1"/>
  <c r="G371" i="1"/>
  <c r="F371" i="1"/>
  <c r="G370" i="1"/>
  <c r="F370" i="1"/>
  <c r="G369" i="1"/>
  <c r="F369" i="1"/>
  <c r="G368" i="1"/>
  <c r="F368" i="1"/>
  <c r="G367" i="1"/>
  <c r="F367" i="1"/>
  <c r="G366" i="1"/>
  <c r="F366" i="1"/>
  <c r="G365" i="1"/>
  <c r="F365" i="1"/>
  <c r="G364" i="1"/>
  <c r="F364" i="1"/>
  <c r="G363" i="1"/>
  <c r="F363" i="1"/>
  <c r="G362" i="1"/>
  <c r="F362" i="1"/>
  <c r="G361" i="1"/>
  <c r="F361" i="1"/>
  <c r="G360" i="1"/>
  <c r="F360" i="1"/>
  <c r="G359" i="1"/>
  <c r="F359" i="1"/>
  <c r="G358" i="1"/>
  <c r="F358" i="1"/>
  <c r="G357" i="1"/>
  <c r="F357" i="1"/>
  <c r="G356" i="1"/>
  <c r="F356" i="1"/>
  <c r="G355" i="1"/>
  <c r="F355" i="1"/>
  <c r="G354" i="1"/>
  <c r="F354" i="1"/>
  <c r="G353" i="1"/>
  <c r="F353" i="1"/>
  <c r="G352" i="1"/>
  <c r="F352" i="1"/>
  <c r="G351" i="1"/>
  <c r="F351" i="1"/>
  <c r="G350" i="1"/>
  <c r="F350" i="1"/>
  <c r="G349" i="1"/>
  <c r="F349" i="1"/>
  <c r="G348" i="1"/>
  <c r="F348" i="1"/>
  <c r="G347" i="1"/>
  <c r="F347" i="1"/>
  <c r="G346" i="1"/>
  <c r="F346" i="1"/>
  <c r="G345" i="1"/>
  <c r="F345" i="1"/>
  <c r="G344" i="1"/>
  <c r="F344" i="1"/>
  <c r="G343" i="1"/>
  <c r="F343" i="1"/>
  <c r="G342" i="1"/>
  <c r="F342" i="1"/>
  <c r="G341" i="1"/>
  <c r="F341" i="1"/>
  <c r="G340" i="1"/>
  <c r="F340" i="1"/>
  <c r="G339" i="1"/>
  <c r="F339" i="1"/>
  <c r="G338" i="1"/>
  <c r="F338" i="1"/>
  <c r="G337" i="1"/>
  <c r="F337" i="1"/>
  <c r="G336" i="1"/>
  <c r="F336" i="1"/>
  <c r="G335" i="1"/>
  <c r="F335" i="1"/>
  <c r="G334" i="1"/>
  <c r="F334" i="1"/>
  <c r="G333" i="1"/>
  <c r="F333" i="1"/>
  <c r="G332" i="1"/>
  <c r="F332" i="1"/>
  <c r="G331" i="1"/>
  <c r="F331" i="1"/>
  <c r="G330" i="1"/>
  <c r="F330" i="1"/>
  <c r="G329" i="1"/>
  <c r="F329" i="1"/>
  <c r="G328" i="1"/>
  <c r="F328" i="1"/>
  <c r="G327" i="1"/>
  <c r="F327" i="1"/>
  <c r="G326" i="1"/>
  <c r="F326" i="1"/>
  <c r="G325" i="1"/>
  <c r="F325" i="1"/>
  <c r="G324" i="1"/>
  <c r="F324" i="1"/>
  <c r="G323" i="1"/>
  <c r="F323" i="1"/>
  <c r="G322" i="1"/>
  <c r="F322" i="1"/>
  <c r="G321" i="1"/>
  <c r="F321" i="1"/>
  <c r="G320" i="1"/>
  <c r="F320" i="1"/>
  <c r="G319" i="1"/>
  <c r="F319" i="1"/>
  <c r="G318" i="1"/>
  <c r="F318" i="1"/>
  <c r="G317" i="1"/>
  <c r="F317" i="1"/>
  <c r="G316" i="1"/>
  <c r="F316" i="1"/>
  <c r="G315" i="1"/>
  <c r="F315" i="1"/>
  <c r="G314" i="1"/>
  <c r="F314" i="1"/>
  <c r="G313" i="1"/>
  <c r="F313" i="1"/>
  <c r="G312" i="1"/>
  <c r="F312" i="1"/>
  <c r="G311" i="1"/>
  <c r="F311" i="1"/>
  <c r="G310" i="1"/>
  <c r="F310" i="1"/>
  <c r="G309" i="1"/>
  <c r="F309" i="1"/>
  <c r="G308" i="1"/>
  <c r="F308" i="1"/>
  <c r="G307" i="1"/>
  <c r="F307" i="1"/>
  <c r="G306" i="1"/>
  <c r="F306" i="1"/>
  <c r="G305" i="1"/>
  <c r="F305" i="1"/>
  <c r="G304" i="1"/>
  <c r="F304" i="1"/>
  <c r="G303" i="1"/>
  <c r="F303" i="1"/>
  <c r="G302" i="1"/>
  <c r="F302" i="1"/>
  <c r="G301" i="1"/>
  <c r="F301" i="1"/>
  <c r="G300" i="1"/>
  <c r="F300" i="1"/>
  <c r="G299" i="1"/>
  <c r="F299" i="1"/>
  <c r="G298" i="1"/>
  <c r="F298" i="1"/>
  <c r="G297" i="1"/>
  <c r="F297" i="1"/>
  <c r="G296" i="1"/>
  <c r="F296" i="1"/>
  <c r="G295" i="1"/>
  <c r="F295" i="1"/>
  <c r="G294" i="1"/>
  <c r="F294" i="1"/>
  <c r="G293" i="1"/>
  <c r="F293" i="1"/>
  <c r="G292" i="1"/>
  <c r="F292" i="1"/>
  <c r="G291" i="1"/>
  <c r="F291" i="1"/>
  <c r="G290" i="1"/>
  <c r="F290" i="1"/>
  <c r="G289" i="1"/>
  <c r="F289" i="1"/>
  <c r="G288" i="1"/>
  <c r="F288" i="1"/>
  <c r="G287" i="1"/>
  <c r="F287" i="1"/>
  <c r="G286" i="1"/>
  <c r="F286" i="1"/>
  <c r="G285" i="1"/>
  <c r="F285" i="1"/>
  <c r="G284" i="1"/>
  <c r="F284" i="1"/>
  <c r="G283" i="1"/>
  <c r="F283" i="1"/>
  <c r="G282" i="1"/>
  <c r="F282" i="1"/>
  <c r="G281" i="1"/>
  <c r="F281" i="1"/>
  <c r="G280" i="1"/>
  <c r="F280" i="1"/>
  <c r="G279" i="1"/>
  <c r="F279" i="1"/>
  <c r="G278" i="1"/>
  <c r="F278" i="1"/>
  <c r="G277" i="1"/>
  <c r="F277" i="1"/>
  <c r="G276" i="1"/>
  <c r="F276" i="1"/>
  <c r="G275" i="1"/>
  <c r="F275" i="1"/>
  <c r="G274" i="1"/>
  <c r="F274" i="1"/>
  <c r="G273" i="1"/>
  <c r="F273" i="1"/>
  <c r="G272" i="1"/>
  <c r="F272" i="1"/>
  <c r="G271" i="1"/>
  <c r="F271" i="1"/>
  <c r="G270" i="1"/>
  <c r="F270" i="1"/>
  <c r="G269" i="1"/>
  <c r="F269" i="1"/>
  <c r="G268" i="1"/>
  <c r="F268" i="1"/>
  <c r="G267" i="1"/>
  <c r="F267" i="1"/>
  <c r="G266" i="1"/>
  <c r="F266" i="1"/>
  <c r="G265" i="1"/>
  <c r="F265" i="1"/>
  <c r="G264" i="1"/>
  <c r="F264" i="1"/>
  <c r="G263" i="1"/>
  <c r="F263" i="1"/>
  <c r="G262" i="1"/>
  <c r="F262" i="1"/>
  <c r="G261" i="1"/>
  <c r="F261" i="1"/>
  <c r="G260" i="1"/>
  <c r="F260" i="1"/>
  <c r="G259" i="1"/>
  <c r="F259" i="1"/>
  <c r="G258" i="1"/>
  <c r="F258" i="1"/>
  <c r="G257" i="1"/>
  <c r="F257" i="1"/>
  <c r="G256" i="1"/>
  <c r="F256" i="1"/>
  <c r="G255" i="1"/>
  <c r="F255" i="1"/>
  <c r="G254" i="1"/>
  <c r="F254" i="1"/>
  <c r="G253" i="1"/>
  <c r="F253" i="1"/>
  <c r="G252" i="1"/>
  <c r="F252" i="1"/>
  <c r="G251" i="1"/>
  <c r="F251" i="1"/>
  <c r="G250" i="1"/>
  <c r="F250" i="1"/>
  <c r="G249" i="1"/>
  <c r="F249" i="1"/>
  <c r="G248" i="1"/>
  <c r="F248" i="1"/>
  <c r="G247" i="1"/>
  <c r="F247" i="1"/>
  <c r="G246" i="1"/>
  <c r="F246" i="1"/>
  <c r="G245" i="1"/>
  <c r="F245" i="1"/>
  <c r="G244" i="1"/>
  <c r="F244" i="1"/>
  <c r="G243" i="1"/>
  <c r="F243" i="1"/>
  <c r="G242" i="1"/>
  <c r="F242" i="1"/>
  <c r="G241" i="1"/>
  <c r="F241" i="1"/>
  <c r="G240" i="1"/>
  <c r="F240" i="1"/>
  <c r="G239" i="1"/>
  <c r="F239" i="1"/>
  <c r="G238" i="1"/>
  <c r="F238" i="1"/>
  <c r="G237" i="1"/>
  <c r="F237" i="1"/>
  <c r="G236" i="1"/>
  <c r="F236" i="1"/>
  <c r="G235" i="1"/>
  <c r="F235" i="1"/>
  <c r="G234" i="1"/>
  <c r="F234" i="1"/>
  <c r="G233" i="1"/>
  <c r="F233" i="1"/>
  <c r="G232" i="1"/>
  <c r="F232" i="1"/>
  <c r="G231" i="1"/>
  <c r="F231" i="1"/>
  <c r="G230" i="1"/>
  <c r="F230" i="1"/>
  <c r="G229" i="1"/>
  <c r="F229" i="1"/>
  <c r="G228" i="1"/>
  <c r="F228" i="1"/>
  <c r="G227" i="1"/>
  <c r="F227" i="1"/>
  <c r="G226" i="1"/>
  <c r="F226" i="1"/>
  <c r="G225" i="1"/>
  <c r="F225" i="1"/>
  <c r="G224" i="1"/>
  <c r="F224" i="1"/>
  <c r="G223" i="1"/>
  <c r="F223" i="1"/>
  <c r="G222" i="1"/>
  <c r="F222" i="1"/>
  <c r="G221" i="1"/>
  <c r="F221" i="1"/>
  <c r="G220" i="1"/>
  <c r="F220" i="1"/>
  <c r="G219" i="1"/>
  <c r="F219" i="1"/>
  <c r="G218" i="1"/>
  <c r="F218" i="1"/>
  <c r="G217" i="1"/>
  <c r="F217" i="1"/>
  <c r="G216" i="1"/>
  <c r="F216" i="1"/>
  <c r="G215" i="1"/>
  <c r="F215" i="1"/>
  <c r="G214" i="1"/>
  <c r="F214" i="1"/>
  <c r="G213" i="1"/>
  <c r="F213" i="1"/>
  <c r="G212" i="1"/>
  <c r="F212" i="1"/>
  <c r="G211" i="1"/>
  <c r="F211" i="1"/>
  <c r="G210" i="1"/>
  <c r="F210" i="1"/>
  <c r="G209" i="1"/>
  <c r="F209" i="1"/>
  <c r="G208" i="1"/>
  <c r="F208" i="1"/>
  <c r="G207" i="1"/>
  <c r="F207" i="1"/>
  <c r="G206" i="1"/>
  <c r="F206" i="1"/>
  <c r="G205" i="1"/>
  <c r="F205" i="1"/>
  <c r="G204" i="1"/>
  <c r="F204" i="1"/>
  <c r="G203" i="1"/>
  <c r="F203" i="1"/>
  <c r="G202" i="1"/>
  <c r="F202" i="1"/>
  <c r="G201" i="1"/>
  <c r="F201" i="1"/>
  <c r="G200" i="1"/>
  <c r="F200" i="1"/>
  <c r="G199" i="1"/>
  <c r="F199" i="1"/>
  <c r="G198" i="1"/>
  <c r="F198" i="1"/>
  <c r="G197" i="1"/>
  <c r="F197" i="1"/>
  <c r="G196" i="1"/>
  <c r="F196" i="1"/>
  <c r="G195" i="1"/>
  <c r="F195" i="1"/>
  <c r="G194" i="1"/>
  <c r="F194" i="1"/>
  <c r="G193" i="1"/>
  <c r="F193" i="1"/>
  <c r="G192" i="1"/>
  <c r="F192" i="1"/>
  <c r="G191" i="1"/>
  <c r="F191" i="1"/>
  <c r="G190" i="1"/>
  <c r="F190" i="1"/>
  <c r="G189" i="1"/>
  <c r="F189" i="1"/>
  <c r="G188" i="1"/>
  <c r="F188" i="1"/>
  <c r="G187" i="1"/>
  <c r="F187" i="1"/>
  <c r="G186" i="1"/>
  <c r="F186" i="1"/>
  <c r="G185" i="1"/>
  <c r="F185" i="1"/>
  <c r="G184" i="1"/>
  <c r="F184" i="1"/>
  <c r="G183" i="1"/>
  <c r="F183" i="1"/>
  <c r="G182" i="1"/>
  <c r="F182" i="1"/>
  <c r="G181" i="1"/>
  <c r="F181" i="1"/>
  <c r="G180" i="1"/>
  <c r="F180" i="1"/>
  <c r="G179" i="1"/>
  <c r="F179" i="1"/>
  <c r="G178" i="1"/>
  <c r="F178" i="1"/>
  <c r="G177" i="1"/>
  <c r="F177" i="1"/>
  <c r="G176" i="1"/>
  <c r="F176" i="1"/>
  <c r="G175" i="1"/>
  <c r="F175" i="1"/>
  <c r="G174" i="1"/>
  <c r="F174" i="1"/>
  <c r="G173" i="1"/>
  <c r="F173" i="1"/>
  <c r="G172" i="1"/>
  <c r="F172" i="1"/>
  <c r="G171" i="1"/>
  <c r="F171" i="1"/>
  <c r="G170" i="1"/>
  <c r="F170" i="1"/>
  <c r="G169" i="1"/>
  <c r="F169" i="1"/>
  <c r="G168" i="1"/>
  <c r="F168" i="1"/>
  <c r="G167" i="1"/>
  <c r="F167" i="1"/>
  <c r="G166" i="1"/>
  <c r="F166" i="1"/>
  <c r="G165" i="1"/>
  <c r="F165" i="1"/>
  <c r="G164" i="1"/>
  <c r="F164" i="1"/>
  <c r="G163" i="1"/>
  <c r="F163" i="1"/>
  <c r="G162" i="1"/>
  <c r="F162" i="1"/>
  <c r="G161" i="1"/>
  <c r="F161" i="1"/>
  <c r="G160" i="1"/>
  <c r="F160" i="1"/>
  <c r="G159" i="1"/>
  <c r="F159" i="1"/>
  <c r="G158" i="1"/>
  <c r="F158" i="1"/>
  <c r="G157" i="1"/>
  <c r="F157" i="1"/>
  <c r="G156" i="1"/>
  <c r="F156" i="1"/>
  <c r="G155" i="1"/>
  <c r="F155" i="1"/>
  <c r="G154" i="1"/>
  <c r="F154" i="1"/>
  <c r="G153" i="1"/>
  <c r="F153" i="1"/>
  <c r="G152" i="1"/>
  <c r="F152" i="1"/>
  <c r="G151" i="1"/>
  <c r="F151" i="1"/>
  <c r="G150" i="1"/>
  <c r="F150" i="1"/>
  <c r="G149" i="1"/>
  <c r="F149" i="1"/>
  <c r="G148" i="1"/>
  <c r="F148" i="1"/>
  <c r="G147" i="1"/>
  <c r="F147" i="1"/>
  <c r="G146" i="1"/>
  <c r="F146" i="1"/>
  <c r="G145" i="1"/>
  <c r="F145" i="1"/>
  <c r="G144" i="1"/>
  <c r="F144" i="1"/>
  <c r="G143" i="1"/>
  <c r="F143" i="1"/>
  <c r="G142" i="1"/>
  <c r="F142" i="1"/>
  <c r="G141" i="1"/>
  <c r="F141" i="1"/>
  <c r="G140" i="1"/>
  <c r="F140" i="1"/>
  <c r="G139" i="1"/>
  <c r="F139" i="1"/>
  <c r="G138" i="1"/>
  <c r="F138" i="1"/>
  <c r="G137" i="1"/>
  <c r="F137" i="1"/>
  <c r="G136" i="1"/>
  <c r="F136" i="1"/>
  <c r="G135" i="1"/>
  <c r="F135" i="1"/>
  <c r="G134" i="1"/>
  <c r="F134" i="1"/>
  <c r="G133" i="1"/>
  <c r="F133" i="1"/>
  <c r="G132" i="1"/>
  <c r="F132" i="1"/>
  <c r="G131" i="1"/>
  <c r="F131" i="1"/>
  <c r="G130" i="1"/>
  <c r="F130" i="1"/>
  <c r="G129" i="1"/>
  <c r="F129" i="1"/>
  <c r="G128" i="1"/>
  <c r="F128" i="1"/>
  <c r="G127" i="1"/>
  <c r="F127" i="1"/>
  <c r="G126" i="1"/>
  <c r="F126" i="1"/>
  <c r="G125" i="1"/>
  <c r="F125" i="1"/>
  <c r="G124" i="1"/>
  <c r="F124" i="1"/>
  <c r="G123" i="1"/>
  <c r="F123" i="1"/>
  <c r="G122" i="1"/>
  <c r="F122" i="1"/>
  <c r="G121" i="1"/>
  <c r="F121" i="1"/>
  <c r="G120" i="1"/>
  <c r="F120" i="1"/>
  <c r="G119" i="1"/>
  <c r="F119" i="1"/>
  <c r="G118" i="1"/>
  <c r="F118" i="1"/>
  <c r="G117" i="1"/>
  <c r="F117" i="1"/>
  <c r="G116" i="1"/>
  <c r="F116" i="1"/>
  <c r="G115" i="1"/>
  <c r="F115" i="1"/>
  <c r="G114" i="1"/>
  <c r="F114" i="1"/>
  <c r="G113" i="1"/>
  <c r="F113" i="1"/>
  <c r="G112" i="1"/>
  <c r="F112" i="1"/>
  <c r="G111" i="1"/>
  <c r="F111" i="1"/>
  <c r="G110" i="1"/>
  <c r="F110" i="1"/>
  <c r="G109" i="1"/>
  <c r="F109" i="1"/>
  <c r="G108" i="1"/>
  <c r="F108" i="1"/>
  <c r="G107" i="1"/>
  <c r="F107" i="1"/>
  <c r="G106" i="1"/>
  <c r="F106" i="1"/>
  <c r="G105" i="1"/>
  <c r="F105" i="1"/>
  <c r="G104" i="1"/>
  <c r="F104" i="1"/>
  <c r="G103" i="1"/>
  <c r="F103" i="1"/>
  <c r="G102" i="1"/>
  <c r="F102" i="1"/>
  <c r="G101" i="1"/>
  <c r="F101" i="1"/>
  <c r="G100" i="1"/>
  <c r="F100" i="1"/>
  <c r="G99" i="1"/>
  <c r="F99" i="1"/>
  <c r="G98" i="1"/>
  <c r="F98" i="1"/>
  <c r="G97" i="1"/>
  <c r="F97" i="1"/>
  <c r="G96" i="1"/>
  <c r="F96" i="1"/>
  <c r="G95" i="1"/>
  <c r="F95" i="1"/>
  <c r="G94" i="1"/>
  <c r="F94" i="1"/>
  <c r="G93" i="1"/>
  <c r="F93" i="1"/>
  <c r="G92" i="1"/>
  <c r="F92" i="1"/>
  <c r="G91" i="1"/>
  <c r="F91" i="1"/>
  <c r="G90" i="1"/>
  <c r="F90" i="1"/>
  <c r="G89" i="1"/>
  <c r="F89" i="1"/>
  <c r="G88" i="1"/>
  <c r="F88" i="1"/>
  <c r="G87" i="1"/>
  <c r="F87" i="1"/>
  <c r="G86" i="1"/>
  <c r="F86" i="1"/>
  <c r="G85" i="1"/>
  <c r="F85" i="1"/>
  <c r="G84" i="1"/>
  <c r="F84" i="1"/>
  <c r="G83" i="1"/>
  <c r="F83" i="1"/>
  <c r="G82" i="1"/>
  <c r="F82" i="1"/>
  <c r="G81" i="1"/>
  <c r="F81" i="1"/>
  <c r="G80" i="1"/>
  <c r="F80" i="1"/>
  <c r="G79" i="1"/>
  <c r="F79" i="1"/>
  <c r="G78" i="1"/>
  <c r="F78" i="1"/>
  <c r="G77" i="1"/>
  <c r="F77" i="1"/>
  <c r="G76" i="1"/>
  <c r="F76" i="1"/>
  <c r="G75" i="1"/>
  <c r="F75" i="1"/>
  <c r="G74" i="1"/>
  <c r="F74" i="1"/>
  <c r="G73" i="1"/>
  <c r="F73" i="1"/>
  <c r="G72" i="1"/>
  <c r="F72" i="1"/>
  <c r="G71" i="1"/>
  <c r="F71" i="1"/>
  <c r="G70" i="1"/>
  <c r="F70" i="1"/>
  <c r="G69" i="1"/>
  <c r="F69" i="1"/>
  <c r="G68" i="1"/>
  <c r="F68" i="1"/>
  <c r="G67" i="1"/>
  <c r="F67" i="1"/>
  <c r="G66" i="1"/>
  <c r="F66" i="1"/>
  <c r="G65" i="1"/>
  <c r="F65" i="1"/>
  <c r="G64" i="1"/>
  <c r="F64" i="1"/>
  <c r="G63" i="1"/>
  <c r="F63" i="1"/>
  <c r="G62" i="1"/>
  <c r="F62" i="1"/>
  <c r="G61" i="1"/>
  <c r="F61" i="1"/>
  <c r="G60" i="1"/>
  <c r="F60" i="1"/>
  <c r="G59" i="1"/>
  <c r="F59" i="1"/>
  <c r="G58" i="1"/>
  <c r="F58" i="1"/>
  <c r="G57" i="1"/>
  <c r="F57" i="1"/>
  <c r="G56" i="1"/>
  <c r="F56" i="1"/>
  <c r="G55" i="1"/>
  <c r="F55" i="1"/>
  <c r="G54" i="1"/>
  <c r="F54" i="1"/>
  <c r="G53" i="1"/>
  <c r="F53" i="1"/>
  <c r="G52" i="1"/>
  <c r="F52" i="1"/>
  <c r="G51" i="1"/>
  <c r="F51" i="1"/>
  <c r="G50" i="1"/>
  <c r="F50" i="1"/>
  <c r="G49" i="1"/>
  <c r="F49" i="1"/>
  <c r="G48" i="1"/>
  <c r="F48" i="1"/>
  <c r="G47" i="1"/>
  <c r="F47" i="1"/>
  <c r="G46" i="1"/>
  <c r="F46" i="1"/>
  <c r="G45" i="1"/>
  <c r="F45" i="1"/>
  <c r="G44" i="1"/>
  <c r="F44" i="1"/>
  <c r="G43" i="1"/>
  <c r="F43" i="1"/>
  <c r="G42" i="1"/>
  <c r="F42" i="1"/>
  <c r="G41" i="1"/>
  <c r="F41" i="1"/>
  <c r="G40" i="1"/>
  <c r="F40" i="1"/>
  <c r="G39" i="1"/>
  <c r="F39" i="1"/>
  <c r="G38" i="1"/>
  <c r="F38" i="1"/>
  <c r="G37" i="1"/>
  <c r="F37" i="1"/>
  <c r="G36" i="1"/>
  <c r="F36" i="1"/>
  <c r="G35" i="1"/>
  <c r="F35" i="1"/>
  <c r="G34" i="1"/>
  <c r="F34" i="1"/>
  <c r="G33" i="1"/>
  <c r="F33" i="1"/>
  <c r="G32" i="1"/>
  <c r="F32" i="1"/>
  <c r="G31" i="1"/>
  <c r="F31" i="1"/>
  <c r="G30" i="1"/>
  <c r="F30" i="1"/>
  <c r="G29" i="1"/>
  <c r="F29" i="1"/>
  <c r="G28" i="1"/>
  <c r="F28" i="1"/>
  <c r="G27" i="1"/>
  <c r="F27" i="1"/>
  <c r="G26" i="1"/>
  <c r="F26" i="1"/>
  <c r="G25" i="1"/>
  <c r="F25" i="1"/>
  <c r="G24" i="1"/>
  <c r="F24" i="1"/>
  <c r="G23" i="1"/>
  <c r="F23" i="1"/>
  <c r="G22" i="1"/>
  <c r="F22" i="1"/>
  <c r="G21" i="1"/>
  <c r="F21" i="1"/>
  <c r="G20" i="1"/>
  <c r="F20" i="1"/>
  <c r="G19" i="1"/>
  <c r="F19" i="1"/>
  <c r="G18" i="1"/>
  <c r="F18" i="1"/>
  <c r="G17" i="1"/>
  <c r="F17" i="1"/>
  <c r="G16" i="1"/>
  <c r="F16" i="1"/>
  <c r="G15" i="1"/>
  <c r="F15" i="1"/>
  <c r="G14" i="1"/>
  <c r="F14" i="1"/>
  <c r="G13" i="1"/>
  <c r="F13" i="1"/>
  <c r="G12" i="1"/>
  <c r="F12" i="1"/>
  <c r="G11" i="1"/>
  <c r="F11" i="1"/>
  <c r="G10" i="1"/>
  <c r="F10" i="1"/>
  <c r="G9" i="1"/>
  <c r="F9" i="1"/>
  <c r="G8" i="1"/>
  <c r="F8" i="1"/>
  <c r="G7" i="1"/>
  <c r="F7" i="1"/>
  <c r="G6" i="1"/>
  <c r="F6" i="1"/>
  <c r="G5" i="1"/>
  <c r="F5" i="1"/>
  <c r="G4" i="1"/>
  <c r="F4" i="1"/>
  <c r="G3" i="1"/>
  <c r="F3" i="1"/>
  <c r="G2" i="1"/>
  <c r="F2" i="1"/>
</calcChain>
</file>

<file path=xl/sharedStrings.xml><?xml version="1.0" encoding="utf-8"?>
<sst xmlns="http://schemas.openxmlformats.org/spreadsheetml/2006/main" count="37294" uniqueCount="3465">
  <si>
    <t>Rental ID</t>
  </si>
  <si>
    <t>Rental Date</t>
  </si>
  <si>
    <t>Month</t>
  </si>
  <si>
    <t>Day of Week</t>
  </si>
  <si>
    <t>Week Number</t>
  </si>
  <si>
    <t>EO Month</t>
  </si>
  <si>
    <t>Season</t>
  </si>
  <si>
    <t>Customer Type</t>
  </si>
  <si>
    <t>Rental Item</t>
  </si>
  <si>
    <t>Rental Duration</t>
  </si>
  <si>
    <t>Quantity</t>
  </si>
  <si>
    <t>Unit Price</t>
  </si>
  <si>
    <t>Add-on</t>
  </si>
  <si>
    <t>Add-on Revenue</t>
  </si>
  <si>
    <t>Discount Amount</t>
  </si>
  <si>
    <t>Total Revenue</t>
  </si>
  <si>
    <t>Team Member</t>
  </si>
  <si>
    <t>Launch Site</t>
  </si>
  <si>
    <t>Payment Method</t>
  </si>
  <si>
    <t>Weather</t>
  </si>
  <si>
    <t>WSR-2026-0001</t>
  </si>
  <si>
    <t>Thursday</t>
  </si>
  <si>
    <t>Winter</t>
  </si>
  <si>
    <t>Resort Guest</t>
  </si>
  <si>
    <t>Fishing Kayak</t>
  </si>
  <si>
    <t>2 Hours</t>
  </si>
  <si>
    <t>None</t>
  </si>
  <si>
    <t>Isaac Patel</t>
  </si>
  <si>
    <t>Lagoon Launch</t>
  </si>
  <si>
    <t>Credit Card</t>
  </si>
  <si>
    <t>Sunny</t>
  </si>
  <si>
    <t>WSR-2026-0002</t>
  </si>
  <si>
    <t>Group/Event</t>
  </si>
  <si>
    <t>Single Kayak</t>
  </si>
  <si>
    <t>Finn Johnson</t>
  </si>
  <si>
    <t>Harbor Dock</t>
  </si>
  <si>
    <t>Rainy</t>
  </si>
  <si>
    <t>WSR-2026-0003</t>
  </si>
  <si>
    <t>Friday</t>
  </si>
  <si>
    <t>Online Booking</t>
  </si>
  <si>
    <t>Half Day</t>
  </si>
  <si>
    <t>Phone Pouch</t>
  </si>
  <si>
    <t>Emma Wilson</t>
  </si>
  <si>
    <t>WSR-2026-0004</t>
  </si>
  <si>
    <t>Tandem Kayak</t>
  </si>
  <si>
    <t>Chloe Nguyen</t>
  </si>
  <si>
    <t>Beachfront Hut</t>
  </si>
  <si>
    <t>WSR-2026-0005</t>
  </si>
  <si>
    <t>Walk-in</t>
  </si>
  <si>
    <t>Surfboard</t>
  </si>
  <si>
    <t>Resort Pier</t>
  </si>
  <si>
    <t>Debit Card</t>
  </si>
  <si>
    <t>WSR-2026-0006</t>
  </si>
  <si>
    <t>Member</t>
  </si>
  <si>
    <t>Marina Kiosk</t>
  </si>
  <si>
    <t>WSR-2026-0007</t>
  </si>
  <si>
    <t>Saturday</t>
  </si>
  <si>
    <t>Ben Carter</t>
  </si>
  <si>
    <t>Cloudy</t>
  </si>
  <si>
    <t>WSR-2026-0008</t>
  </si>
  <si>
    <t>1 Hour</t>
  </si>
  <si>
    <t>GoPro Mount</t>
  </si>
  <si>
    <t>Ava Martinez</t>
  </si>
  <si>
    <t>Cash</t>
  </si>
  <si>
    <t>WSR-2026-0009</t>
  </si>
  <si>
    <t>Snorkel Set</t>
  </si>
  <si>
    <t>Mia Thompson</t>
  </si>
  <si>
    <t>WSR-2026-0010</t>
  </si>
  <si>
    <t>Sunday</t>
  </si>
  <si>
    <t>WSR-2026-0011</t>
  </si>
  <si>
    <t>Premium Life Jacket</t>
  </si>
  <si>
    <t>Hannah Brooks</t>
  </si>
  <si>
    <t>WSR-2026-0012</t>
  </si>
  <si>
    <t>WSR-2026-0013</t>
  </si>
  <si>
    <t>Monday</t>
  </si>
  <si>
    <t>Waterproof Speaker</t>
  </si>
  <si>
    <t>Grace Lee</t>
  </si>
  <si>
    <t>WSR-2026-0014</t>
  </si>
  <si>
    <t>Stand-Up Paddle Board</t>
  </si>
  <si>
    <t>Windy</t>
  </si>
  <si>
    <t>WSR-2026-0015</t>
  </si>
  <si>
    <t>WSR-2026-0016</t>
  </si>
  <si>
    <t>WSR-2026-0017</t>
  </si>
  <si>
    <t>Gift Card</t>
  </si>
  <si>
    <t>WSR-2026-0018</t>
  </si>
  <si>
    <t>WSR-2026-0019</t>
  </si>
  <si>
    <t>Pedal Boat</t>
  </si>
  <si>
    <t>Cooler Rental</t>
  </si>
  <si>
    <t>WSR-2026-0020</t>
  </si>
  <si>
    <t>Dry Bag</t>
  </si>
  <si>
    <t>Mobile Pay</t>
  </si>
  <si>
    <t>WSR-2026-0021</t>
  </si>
  <si>
    <t>Full Day</t>
  </si>
  <si>
    <t>WSR-2026-0022</t>
  </si>
  <si>
    <t>Diego Ramirez</t>
  </si>
  <si>
    <t>WSR-2026-0023</t>
  </si>
  <si>
    <t>WSR-2026-0024</t>
  </si>
  <si>
    <t>WSR-2026-0025</t>
  </si>
  <si>
    <t>WSR-2026-0026</t>
  </si>
  <si>
    <t>WSR-2026-0027</t>
  </si>
  <si>
    <t>WSR-2026-0028</t>
  </si>
  <si>
    <t>WSR-2026-0029</t>
  </si>
  <si>
    <t>Tuesday</t>
  </si>
  <si>
    <t>WSR-2026-0030</t>
  </si>
  <si>
    <t>WSR-2026-0031</t>
  </si>
  <si>
    <t>WSR-2026-0032</t>
  </si>
  <si>
    <t>WSR-2026-0033</t>
  </si>
  <si>
    <t>WSR-2026-0034</t>
  </si>
  <si>
    <t>WSR-2026-0035</t>
  </si>
  <si>
    <t>Wednesday</t>
  </si>
  <si>
    <t>WSR-2026-0036</t>
  </si>
  <si>
    <t>Bodyboard</t>
  </si>
  <si>
    <t>WSR-2026-0037</t>
  </si>
  <si>
    <t>WSR-2026-0038</t>
  </si>
  <si>
    <t>WSR-2026-0039</t>
  </si>
  <si>
    <t>WSR-2026-0040</t>
  </si>
  <si>
    <t>WSR-2026-0041</t>
  </si>
  <si>
    <t>WSR-2026-0042</t>
  </si>
  <si>
    <t>WSR-2026-0043</t>
  </si>
  <si>
    <t>WSR-2026-0044</t>
  </si>
  <si>
    <t>WSR-2026-0045</t>
  </si>
  <si>
    <t>WSR-2026-0046</t>
  </si>
  <si>
    <t>WSR-2026-0047</t>
  </si>
  <si>
    <t>WSR-2026-0048</t>
  </si>
  <si>
    <t>WSR-2026-0049</t>
  </si>
  <si>
    <t>WSR-2026-0050</t>
  </si>
  <si>
    <t>WSR-2026-0051</t>
  </si>
  <si>
    <t>Wetsuit Rental</t>
  </si>
  <si>
    <t>WSR-2026-0052</t>
  </si>
  <si>
    <t>WSR-2026-0053</t>
  </si>
  <si>
    <t>WSR-2026-0054</t>
  </si>
  <si>
    <t>WSR-2026-0055</t>
  </si>
  <si>
    <t>WSR-2026-0056</t>
  </si>
  <si>
    <t>WSR-2026-0057</t>
  </si>
  <si>
    <t>WSR-2026-0058</t>
  </si>
  <si>
    <t>WSR-2026-0059</t>
  </si>
  <si>
    <t>WSR-2026-0060</t>
  </si>
  <si>
    <t>WSR-2026-0061</t>
  </si>
  <si>
    <t>Hydro Bike</t>
  </si>
  <si>
    <t>WSR-2026-0062</t>
  </si>
  <si>
    <t>WSR-2026-0063</t>
  </si>
  <si>
    <t>WSR-2026-0064</t>
  </si>
  <si>
    <t>WSR-2026-0065</t>
  </si>
  <si>
    <t>WSR-2026-0066</t>
  </si>
  <si>
    <t>WSR-2026-0067</t>
  </si>
  <si>
    <t>WSR-2026-0068</t>
  </si>
  <si>
    <t>WSR-2026-0069</t>
  </si>
  <si>
    <t>WSR-2026-0070</t>
  </si>
  <si>
    <t>WSR-2026-0071</t>
  </si>
  <si>
    <t>WSR-2026-0072</t>
  </si>
  <si>
    <t>WSR-2026-0073</t>
  </si>
  <si>
    <t>WSR-2026-0074</t>
  </si>
  <si>
    <t>WSR-2026-0075</t>
  </si>
  <si>
    <t>WSR-2026-0076</t>
  </si>
  <si>
    <t>WSR-2026-0077</t>
  </si>
  <si>
    <t>WSR-2026-0078</t>
  </si>
  <si>
    <t>WSR-2026-0079</t>
  </si>
  <si>
    <t>WSR-2026-0080</t>
  </si>
  <si>
    <t>WSR-2026-0081</t>
  </si>
  <si>
    <t>WSR-2026-0082</t>
  </si>
  <si>
    <t>WSR-2026-0083</t>
  </si>
  <si>
    <t>WSR-2026-0084</t>
  </si>
  <si>
    <t>WSR-2026-0085</t>
  </si>
  <si>
    <t>WSR-2026-0086</t>
  </si>
  <si>
    <t>WSR-2026-0087</t>
  </si>
  <si>
    <t>WSR-2026-0088</t>
  </si>
  <si>
    <t>WSR-2026-0089</t>
  </si>
  <si>
    <t>WSR-2026-0090</t>
  </si>
  <si>
    <t>WSR-2026-0091</t>
  </si>
  <si>
    <t>WSR-2026-0092</t>
  </si>
  <si>
    <t>WSR-2026-0093</t>
  </si>
  <si>
    <t>WSR-2026-0094</t>
  </si>
  <si>
    <t>WSR-2026-0095</t>
  </si>
  <si>
    <t>WSR-2026-0096</t>
  </si>
  <si>
    <t>WSR-2026-0097</t>
  </si>
  <si>
    <t>WSR-2026-0098</t>
  </si>
  <si>
    <t>WSR-2026-0099</t>
  </si>
  <si>
    <t>WSR-2026-0100</t>
  </si>
  <si>
    <t>WSR-2026-0101</t>
  </si>
  <si>
    <t>WSR-2026-0102</t>
  </si>
  <si>
    <t>WSR-2026-0103</t>
  </si>
  <si>
    <t>WSR-2026-0104</t>
  </si>
  <si>
    <t>WSR-2026-0105</t>
  </si>
  <si>
    <t>WSR-2026-0106</t>
  </si>
  <si>
    <t>WSR-2026-0107</t>
  </si>
  <si>
    <t>WSR-2026-0108</t>
  </si>
  <si>
    <t>WSR-2026-0109</t>
  </si>
  <si>
    <t>WSR-2026-0110</t>
  </si>
  <si>
    <t>WSR-2026-0111</t>
  </si>
  <si>
    <t>WSR-2026-0112</t>
  </si>
  <si>
    <t>WSR-2026-0113</t>
  </si>
  <si>
    <t>WSR-2026-0114</t>
  </si>
  <si>
    <t>WSR-2026-0115</t>
  </si>
  <si>
    <t>WSR-2026-0116</t>
  </si>
  <si>
    <t>WSR-2026-0117</t>
  </si>
  <si>
    <t>WSR-2026-0118</t>
  </si>
  <si>
    <t>WSR-2026-0119</t>
  </si>
  <si>
    <t>WSR-2026-0120</t>
  </si>
  <si>
    <t>WSR-2026-0121</t>
  </si>
  <si>
    <t>WSR-2026-0122</t>
  </si>
  <si>
    <t>WSR-2026-0123</t>
  </si>
  <si>
    <t>WSR-2026-0124</t>
  </si>
  <si>
    <t>WSR-2026-0125</t>
  </si>
  <si>
    <t>WSR-2026-0126</t>
  </si>
  <si>
    <t>Spring</t>
  </si>
  <si>
    <t>WSR-2026-0127</t>
  </si>
  <si>
    <t>WSR-2026-0128</t>
  </si>
  <si>
    <t>WSR-2026-0129</t>
  </si>
  <si>
    <t>WSR-2026-0130</t>
  </si>
  <si>
    <t>WSR-2026-0131</t>
  </si>
  <si>
    <t>WSR-2026-0132</t>
  </si>
  <si>
    <t>WSR-2026-0133</t>
  </si>
  <si>
    <t>WSR-2026-0134</t>
  </si>
  <si>
    <t>WSR-2026-0135</t>
  </si>
  <si>
    <t>WSR-2026-0136</t>
  </si>
  <si>
    <t>WSR-2026-0137</t>
  </si>
  <si>
    <t>WSR-2026-0138</t>
  </si>
  <si>
    <t>WSR-2026-0139</t>
  </si>
  <si>
    <t>WSR-2026-0140</t>
  </si>
  <si>
    <t>WSR-2026-0141</t>
  </si>
  <si>
    <t>WSR-2026-0142</t>
  </si>
  <si>
    <t>WSR-2026-0143</t>
  </si>
  <si>
    <t>WSR-2026-0144</t>
  </si>
  <si>
    <t>WSR-2026-0145</t>
  </si>
  <si>
    <t>WSR-2026-0146</t>
  </si>
  <si>
    <t>WSR-2026-0147</t>
  </si>
  <si>
    <t>WSR-2026-0148</t>
  </si>
  <si>
    <t>WSR-2026-0149</t>
  </si>
  <si>
    <t>WSR-2026-0150</t>
  </si>
  <si>
    <t>WSR-2026-0151</t>
  </si>
  <si>
    <t>WSR-2026-0152</t>
  </si>
  <si>
    <t>WSR-2026-0153</t>
  </si>
  <si>
    <t>WSR-2026-0154</t>
  </si>
  <si>
    <t>WSR-2026-0155</t>
  </si>
  <si>
    <t>WSR-2026-0156</t>
  </si>
  <si>
    <t>WSR-2026-0157</t>
  </si>
  <si>
    <t>WSR-2026-0158</t>
  </si>
  <si>
    <t>WSR-2026-0159</t>
  </si>
  <si>
    <t>WSR-2026-0160</t>
  </si>
  <si>
    <t>WSR-2026-0161</t>
  </si>
  <si>
    <t>WSR-2026-0162</t>
  </si>
  <si>
    <t>WSR-2026-0163</t>
  </si>
  <si>
    <t>WSR-2026-0164</t>
  </si>
  <si>
    <t>WSR-2026-0165</t>
  </si>
  <si>
    <t>WSR-2026-0166</t>
  </si>
  <si>
    <t>WSR-2026-0167</t>
  </si>
  <si>
    <t>WSR-2026-0168</t>
  </si>
  <si>
    <t>WSR-2026-0169</t>
  </si>
  <si>
    <t>WSR-2026-0170</t>
  </si>
  <si>
    <t>WSR-2026-0171</t>
  </si>
  <si>
    <t>WSR-2026-0172</t>
  </si>
  <si>
    <t>WSR-2026-0173</t>
  </si>
  <si>
    <t>WSR-2026-0174</t>
  </si>
  <si>
    <t>WSR-2026-0175</t>
  </si>
  <si>
    <t>WSR-2026-0176</t>
  </si>
  <si>
    <t>WSR-2026-0177</t>
  </si>
  <si>
    <t>WSR-2026-0178</t>
  </si>
  <si>
    <t>WSR-2026-0179</t>
  </si>
  <si>
    <t>WSR-2026-0180</t>
  </si>
  <si>
    <t>WSR-2026-0181</t>
  </si>
  <si>
    <t>WSR-2026-0182</t>
  </si>
  <si>
    <t>WSR-2026-0183</t>
  </si>
  <si>
    <t>WSR-2026-0184</t>
  </si>
  <si>
    <t>WSR-2026-0185</t>
  </si>
  <si>
    <t>WSR-2026-0186</t>
  </si>
  <si>
    <t>WSR-2026-0187</t>
  </si>
  <si>
    <t>WSR-2026-0188</t>
  </si>
  <si>
    <t>WSR-2026-0189</t>
  </si>
  <si>
    <t>WSR-2026-0190</t>
  </si>
  <si>
    <t>WSR-2026-0191</t>
  </si>
  <si>
    <t>WSR-2026-0192</t>
  </si>
  <si>
    <t>WSR-2026-0193</t>
  </si>
  <si>
    <t>WSR-2026-0194</t>
  </si>
  <si>
    <t>WSR-2026-0195</t>
  </si>
  <si>
    <t>WSR-2026-0196</t>
  </si>
  <si>
    <t>WSR-2026-0197</t>
  </si>
  <si>
    <t>WSR-2026-0198</t>
  </si>
  <si>
    <t>WSR-2026-0199</t>
  </si>
  <si>
    <t>WSR-2026-0200</t>
  </si>
  <si>
    <t>WSR-2026-0201</t>
  </si>
  <si>
    <t>WSR-2026-0202</t>
  </si>
  <si>
    <t>WSR-2026-0203</t>
  </si>
  <si>
    <t>WSR-2026-0204</t>
  </si>
  <si>
    <t>WSR-2026-0205</t>
  </si>
  <si>
    <t>WSR-2026-0206</t>
  </si>
  <si>
    <t>WSR-2026-0207</t>
  </si>
  <si>
    <t>WSR-2026-0208</t>
  </si>
  <si>
    <t>WSR-2026-0209</t>
  </si>
  <si>
    <t>WSR-2026-0210</t>
  </si>
  <si>
    <t>WSR-2026-0211</t>
  </si>
  <si>
    <t>WSR-2026-0212</t>
  </si>
  <si>
    <t>WSR-2026-0213</t>
  </si>
  <si>
    <t>WSR-2026-0214</t>
  </si>
  <si>
    <t>WSR-2026-0215</t>
  </si>
  <si>
    <t>WSR-2026-0216</t>
  </si>
  <si>
    <t>WSR-2026-0217</t>
  </si>
  <si>
    <t>WSR-2026-0218</t>
  </si>
  <si>
    <t>WSR-2026-0219</t>
  </si>
  <si>
    <t>WSR-2026-0220</t>
  </si>
  <si>
    <t>WSR-2026-0221</t>
  </si>
  <si>
    <t>WSR-2026-0222</t>
  </si>
  <si>
    <t>WSR-2026-0223</t>
  </si>
  <si>
    <t>WSR-2026-0224</t>
  </si>
  <si>
    <t>WSR-2026-0225</t>
  </si>
  <si>
    <t>WSR-2026-0226</t>
  </si>
  <si>
    <t>WSR-2026-0227</t>
  </si>
  <si>
    <t>WSR-2026-0228</t>
  </si>
  <si>
    <t>WSR-2026-0229</t>
  </si>
  <si>
    <t>WSR-2026-0230</t>
  </si>
  <si>
    <t>WSR-2026-0231</t>
  </si>
  <si>
    <t>WSR-2026-0232</t>
  </si>
  <si>
    <t>WSR-2026-0233</t>
  </si>
  <si>
    <t>WSR-2026-0234</t>
  </si>
  <si>
    <t>WSR-2026-0235</t>
  </si>
  <si>
    <t>WSR-2026-0236</t>
  </si>
  <si>
    <t>WSR-2026-0237</t>
  </si>
  <si>
    <t>WSR-2026-0238</t>
  </si>
  <si>
    <t>WSR-2026-0239</t>
  </si>
  <si>
    <t>WSR-2026-0240</t>
  </si>
  <si>
    <t>WSR-2026-0241</t>
  </si>
  <si>
    <t>WSR-2026-0242</t>
  </si>
  <si>
    <t>WSR-2026-0243</t>
  </si>
  <si>
    <t>WSR-2026-0244</t>
  </si>
  <si>
    <t>WSR-2026-0245</t>
  </si>
  <si>
    <t>WSR-2026-0246</t>
  </si>
  <si>
    <t>WSR-2026-0247</t>
  </si>
  <si>
    <t>WSR-2026-0248</t>
  </si>
  <si>
    <t>WSR-2026-0249</t>
  </si>
  <si>
    <t>WSR-2026-0250</t>
  </si>
  <si>
    <t>WSR-2026-0251</t>
  </si>
  <si>
    <t>WSR-2026-0252</t>
  </si>
  <si>
    <t>WSR-2026-0253</t>
  </si>
  <si>
    <t>WSR-2026-0254</t>
  </si>
  <si>
    <t>WSR-2026-0255</t>
  </si>
  <si>
    <t>WSR-2026-0256</t>
  </si>
  <si>
    <t>WSR-2026-0257</t>
  </si>
  <si>
    <t>WSR-2026-0258</t>
  </si>
  <si>
    <t>WSR-2026-0259</t>
  </si>
  <si>
    <t>WSR-2026-0260</t>
  </si>
  <si>
    <t>WSR-2026-0261</t>
  </si>
  <si>
    <t>WSR-2026-0262</t>
  </si>
  <si>
    <t>WSR-2026-0263</t>
  </si>
  <si>
    <t>WSR-2026-0264</t>
  </si>
  <si>
    <t>WSR-2026-0265</t>
  </si>
  <si>
    <t>WSR-2026-0266</t>
  </si>
  <si>
    <t>WSR-2026-0267</t>
  </si>
  <si>
    <t>WSR-2026-0268</t>
  </si>
  <si>
    <t>WSR-2026-0269</t>
  </si>
  <si>
    <t>WSR-2026-0270</t>
  </si>
  <si>
    <t>WSR-2026-0271</t>
  </si>
  <si>
    <t>WSR-2026-0272</t>
  </si>
  <si>
    <t>WSR-2026-0273</t>
  </si>
  <si>
    <t>WSR-2026-0274</t>
  </si>
  <si>
    <t>WSR-2026-0275</t>
  </si>
  <si>
    <t>WSR-2026-0276</t>
  </si>
  <si>
    <t>WSR-2026-0277</t>
  </si>
  <si>
    <t>WSR-2026-0278</t>
  </si>
  <si>
    <t>WSR-2026-0279</t>
  </si>
  <si>
    <t>WSR-2026-0280</t>
  </si>
  <si>
    <t>WSR-2026-0281</t>
  </si>
  <si>
    <t>WSR-2026-0282</t>
  </si>
  <si>
    <t>WSR-2026-0283</t>
  </si>
  <si>
    <t>WSR-2026-0284</t>
  </si>
  <si>
    <t>WSR-2026-0285</t>
  </si>
  <si>
    <t>WSR-2026-0286</t>
  </si>
  <si>
    <t>WSR-2026-0287</t>
  </si>
  <si>
    <t>WSR-2026-0288</t>
  </si>
  <si>
    <t>WSR-2026-0289</t>
  </si>
  <si>
    <t>WSR-2026-0290</t>
  </si>
  <si>
    <t>WSR-2026-0291</t>
  </si>
  <si>
    <t>WSR-2026-0292</t>
  </si>
  <si>
    <t>WSR-2026-0293</t>
  </si>
  <si>
    <t>WSR-2026-0294</t>
  </si>
  <si>
    <t>WSR-2026-0295</t>
  </si>
  <si>
    <t>WSR-2026-0296</t>
  </si>
  <si>
    <t>WSR-2026-0297</t>
  </si>
  <si>
    <t>WSR-2026-0298</t>
  </si>
  <si>
    <t>WSR-2026-0299</t>
  </si>
  <si>
    <t>WSR-2026-0300</t>
  </si>
  <si>
    <t>WSR-2026-0301</t>
  </si>
  <si>
    <t>WSR-2026-0302</t>
  </si>
  <si>
    <t>WSR-2026-0303</t>
  </si>
  <si>
    <t>WSR-2026-0304</t>
  </si>
  <si>
    <t>WSR-2026-0305</t>
  </si>
  <si>
    <t>WSR-2026-0306</t>
  </si>
  <si>
    <t>WSR-2026-0307</t>
  </si>
  <si>
    <t>WSR-2026-0308</t>
  </si>
  <si>
    <t>WSR-2026-0309</t>
  </si>
  <si>
    <t>WSR-2026-0310</t>
  </si>
  <si>
    <t>WSR-2026-0311</t>
  </si>
  <si>
    <t>WSR-2026-0312</t>
  </si>
  <si>
    <t>WSR-2026-0313</t>
  </si>
  <si>
    <t>WSR-2026-0314</t>
  </si>
  <si>
    <t>WSR-2026-0315</t>
  </si>
  <si>
    <t>WSR-2026-0316</t>
  </si>
  <si>
    <t>WSR-2026-0317</t>
  </si>
  <si>
    <t>WSR-2026-0318</t>
  </si>
  <si>
    <t>WSR-2026-0319</t>
  </si>
  <si>
    <t>WSR-2026-0320</t>
  </si>
  <si>
    <t>WSR-2026-0321</t>
  </si>
  <si>
    <t>WSR-2026-0322</t>
  </si>
  <si>
    <t>WSR-2026-0323</t>
  </si>
  <si>
    <t>WSR-2026-0324</t>
  </si>
  <si>
    <t>WSR-2026-0325</t>
  </si>
  <si>
    <t>WSR-2026-0326</t>
  </si>
  <si>
    <t>WSR-2026-0327</t>
  </si>
  <si>
    <t>WSR-2026-0328</t>
  </si>
  <si>
    <t>WSR-2026-0329</t>
  </si>
  <si>
    <t>WSR-2026-0330</t>
  </si>
  <si>
    <t>WSR-2026-0331</t>
  </si>
  <si>
    <t>WSR-2026-0332</t>
  </si>
  <si>
    <t>WSR-2026-0333</t>
  </si>
  <si>
    <t>WSR-2026-0334</t>
  </si>
  <si>
    <t>WSR-2026-0335</t>
  </si>
  <si>
    <t>WSR-2026-0336</t>
  </si>
  <si>
    <t>WSR-2026-0337</t>
  </si>
  <si>
    <t>WSR-2026-0338</t>
  </si>
  <si>
    <t>WSR-2026-0339</t>
  </si>
  <si>
    <t>WSR-2026-0340</t>
  </si>
  <si>
    <t>WSR-2026-0341</t>
  </si>
  <si>
    <t>WSR-2026-0342</t>
  </si>
  <si>
    <t>WSR-2026-0343</t>
  </si>
  <si>
    <t>WSR-2026-0344</t>
  </si>
  <si>
    <t>WSR-2026-0345</t>
  </si>
  <si>
    <t>WSR-2026-0346</t>
  </si>
  <si>
    <t>WSR-2026-0347</t>
  </si>
  <si>
    <t>WSR-2026-0348</t>
  </si>
  <si>
    <t>WSR-2026-0349</t>
  </si>
  <si>
    <t>WSR-2026-0350</t>
  </si>
  <si>
    <t>WSR-2026-0351</t>
  </si>
  <si>
    <t>WSR-2026-0352</t>
  </si>
  <si>
    <t>WSR-2026-0353</t>
  </si>
  <si>
    <t>WSR-2026-0354</t>
  </si>
  <si>
    <t>WSR-2026-0355</t>
  </si>
  <si>
    <t>WSR-2026-0356</t>
  </si>
  <si>
    <t>WSR-2026-0357</t>
  </si>
  <si>
    <t>WSR-2026-0358</t>
  </si>
  <si>
    <t>WSR-2026-0359</t>
  </si>
  <si>
    <t>WSR-2026-0360</t>
  </si>
  <si>
    <t>WSR-2026-0361</t>
  </si>
  <si>
    <t>WSR-2026-0362</t>
  </si>
  <si>
    <t>WSR-2026-0363</t>
  </si>
  <si>
    <t>WSR-2026-0364</t>
  </si>
  <si>
    <t>WSR-2026-0365</t>
  </si>
  <si>
    <t>WSR-2026-0366</t>
  </si>
  <si>
    <t>WSR-2026-0367</t>
  </si>
  <si>
    <t>WSR-2026-0368</t>
  </si>
  <si>
    <t>WSR-2026-0369</t>
  </si>
  <si>
    <t>WSR-2026-0370</t>
  </si>
  <si>
    <t>WSR-2026-0371</t>
  </si>
  <si>
    <t>WSR-2026-0372</t>
  </si>
  <si>
    <t>WSR-2026-0373</t>
  </si>
  <si>
    <t>WSR-2026-0374</t>
  </si>
  <si>
    <t>WSR-2026-0375</t>
  </si>
  <si>
    <t>WSR-2026-0376</t>
  </si>
  <si>
    <t>WSR-2026-0377</t>
  </si>
  <si>
    <t>WSR-2026-0378</t>
  </si>
  <si>
    <t>WSR-2026-0379</t>
  </si>
  <si>
    <t>WSR-2026-0380</t>
  </si>
  <si>
    <t>WSR-2026-0381</t>
  </si>
  <si>
    <t>WSR-2026-0382</t>
  </si>
  <si>
    <t>WSR-2026-0383</t>
  </si>
  <si>
    <t>WSR-2026-0384</t>
  </si>
  <si>
    <t>WSR-2026-0385</t>
  </si>
  <si>
    <t>WSR-2026-0386</t>
  </si>
  <si>
    <t>WSR-2026-0387</t>
  </si>
  <si>
    <t>WSR-2026-0388</t>
  </si>
  <si>
    <t>WSR-2026-0389</t>
  </si>
  <si>
    <t>WSR-2026-0390</t>
  </si>
  <si>
    <t>WSR-2026-0391</t>
  </si>
  <si>
    <t>WSR-2026-0392</t>
  </si>
  <si>
    <t>WSR-2026-0393</t>
  </si>
  <si>
    <t>WSR-2026-0394</t>
  </si>
  <si>
    <t>WSR-2026-0395</t>
  </si>
  <si>
    <t>WSR-2026-0396</t>
  </si>
  <si>
    <t>WSR-2026-0397</t>
  </si>
  <si>
    <t>WSR-2026-0398</t>
  </si>
  <si>
    <t>WSR-2026-0399</t>
  </si>
  <si>
    <t>WSR-2026-0400</t>
  </si>
  <si>
    <t>WSR-2026-0401</t>
  </si>
  <si>
    <t>WSR-2026-0402</t>
  </si>
  <si>
    <t>WSR-2026-0403</t>
  </si>
  <si>
    <t>WSR-2026-0404</t>
  </si>
  <si>
    <t>WSR-2026-0405</t>
  </si>
  <si>
    <t>WSR-2026-0406</t>
  </si>
  <si>
    <t>WSR-2026-0407</t>
  </si>
  <si>
    <t>WSR-2026-0408</t>
  </si>
  <si>
    <t>WSR-2026-0409</t>
  </si>
  <si>
    <t>WSR-2026-0410</t>
  </si>
  <si>
    <t>WSR-2026-0411</t>
  </si>
  <si>
    <t>WSR-2026-0412</t>
  </si>
  <si>
    <t>WSR-2026-0413</t>
  </si>
  <si>
    <t>WSR-2026-0414</t>
  </si>
  <si>
    <t>WSR-2026-0415</t>
  </si>
  <si>
    <t>WSR-2026-0416</t>
  </si>
  <si>
    <t>WSR-2026-0417</t>
  </si>
  <si>
    <t>WSR-2026-0418</t>
  </si>
  <si>
    <t>WSR-2026-0419</t>
  </si>
  <si>
    <t>WSR-2026-0420</t>
  </si>
  <si>
    <t>WSR-2026-0421</t>
  </si>
  <si>
    <t>WSR-2026-0422</t>
  </si>
  <si>
    <t>WSR-2026-0423</t>
  </si>
  <si>
    <t>WSR-2026-0424</t>
  </si>
  <si>
    <t>WSR-2026-0425</t>
  </si>
  <si>
    <t>WSR-2026-0426</t>
  </si>
  <si>
    <t>WSR-2026-0427</t>
  </si>
  <si>
    <t>WSR-2026-0428</t>
  </si>
  <si>
    <t>WSR-2026-0429</t>
  </si>
  <si>
    <t>WSR-2026-0430</t>
  </si>
  <si>
    <t>WSR-2026-0431</t>
  </si>
  <si>
    <t>WSR-2026-0432</t>
  </si>
  <si>
    <t>WSR-2026-0433</t>
  </si>
  <si>
    <t>WSR-2026-0434</t>
  </si>
  <si>
    <t>WSR-2026-0435</t>
  </si>
  <si>
    <t>WSR-2026-0436</t>
  </si>
  <si>
    <t>WSR-2026-0437</t>
  </si>
  <si>
    <t>WSR-2026-0438</t>
  </si>
  <si>
    <t>May</t>
  </si>
  <si>
    <t>WSR-2026-0439</t>
  </si>
  <si>
    <t>WSR-2026-0440</t>
  </si>
  <si>
    <t>WSR-2026-0441</t>
  </si>
  <si>
    <t>WSR-2026-0442</t>
  </si>
  <si>
    <t>WSR-2026-0443</t>
  </si>
  <si>
    <t>WSR-2026-0444</t>
  </si>
  <si>
    <t>WSR-2026-0445</t>
  </si>
  <si>
    <t>WSR-2026-0446</t>
  </si>
  <si>
    <t>WSR-2026-0447</t>
  </si>
  <si>
    <t>WSR-2026-0448</t>
  </si>
  <si>
    <t>WSR-2026-0449</t>
  </si>
  <si>
    <t>WSR-2026-0450</t>
  </si>
  <si>
    <t>WSR-2026-0451</t>
  </si>
  <si>
    <t>WSR-2026-0452</t>
  </si>
  <si>
    <t>WSR-2026-0453</t>
  </si>
  <si>
    <t>WSR-2026-0454</t>
  </si>
  <si>
    <t>WSR-2026-0455</t>
  </si>
  <si>
    <t>WSR-2026-0456</t>
  </si>
  <si>
    <t>WSR-2026-0457</t>
  </si>
  <si>
    <t>WSR-2026-0458</t>
  </si>
  <si>
    <t>WSR-2026-0459</t>
  </si>
  <si>
    <t>WSR-2026-0460</t>
  </si>
  <si>
    <t>WSR-2026-0461</t>
  </si>
  <si>
    <t>WSR-2026-0462</t>
  </si>
  <si>
    <t>WSR-2026-0463</t>
  </si>
  <si>
    <t>WSR-2026-0464</t>
  </si>
  <si>
    <t>WSR-2026-0465</t>
  </si>
  <si>
    <t>WSR-2026-0466</t>
  </si>
  <si>
    <t>WSR-2026-0467</t>
  </si>
  <si>
    <t>WSR-2026-0468</t>
  </si>
  <si>
    <t>WSR-2026-0469</t>
  </si>
  <si>
    <t>WSR-2026-0470</t>
  </si>
  <si>
    <t>WSR-2026-0471</t>
  </si>
  <si>
    <t>WSR-2026-0472</t>
  </si>
  <si>
    <t>WSR-2026-0473</t>
  </si>
  <si>
    <t>WSR-2026-0474</t>
  </si>
  <si>
    <t>WSR-2026-0475</t>
  </si>
  <si>
    <t>WSR-2026-0476</t>
  </si>
  <si>
    <t>WSR-2026-0477</t>
  </si>
  <si>
    <t>WSR-2026-0478</t>
  </si>
  <si>
    <t>WSR-2026-0479</t>
  </si>
  <si>
    <t>WSR-2026-0480</t>
  </si>
  <si>
    <t>WSR-2026-0481</t>
  </si>
  <si>
    <t>WSR-2026-0482</t>
  </si>
  <si>
    <t>WSR-2026-0483</t>
  </si>
  <si>
    <t>WSR-2026-0484</t>
  </si>
  <si>
    <t>WSR-2026-0485</t>
  </si>
  <si>
    <t>WSR-2026-0486</t>
  </si>
  <si>
    <t>WSR-2026-0487</t>
  </si>
  <si>
    <t>WSR-2026-0488</t>
  </si>
  <si>
    <t>WSR-2026-0489</t>
  </si>
  <si>
    <t>WSR-2026-0490</t>
  </si>
  <si>
    <t>WSR-2026-0491</t>
  </si>
  <si>
    <t>WSR-2026-0492</t>
  </si>
  <si>
    <t>WSR-2026-0493</t>
  </si>
  <si>
    <t>WSR-2026-0494</t>
  </si>
  <si>
    <t>WSR-2026-0495</t>
  </si>
  <si>
    <t>WSR-2026-0496</t>
  </si>
  <si>
    <t>WSR-2026-0497</t>
  </si>
  <si>
    <t>WSR-2026-0498</t>
  </si>
  <si>
    <t>WSR-2026-0499</t>
  </si>
  <si>
    <t>WSR-2026-0500</t>
  </si>
  <si>
    <t>WSR-2026-0501</t>
  </si>
  <si>
    <t>WSR-2026-0502</t>
  </si>
  <si>
    <t>WSR-2026-0503</t>
  </si>
  <si>
    <t>WSR-2026-0504</t>
  </si>
  <si>
    <t>WSR-2026-0505</t>
  </si>
  <si>
    <t>WSR-2026-0506</t>
  </si>
  <si>
    <t>WSR-2026-0507</t>
  </si>
  <si>
    <t>WSR-2026-0508</t>
  </si>
  <si>
    <t>WSR-2026-0509</t>
  </si>
  <si>
    <t>WSR-2026-0510</t>
  </si>
  <si>
    <t>WSR-2026-0511</t>
  </si>
  <si>
    <t>WSR-2026-0512</t>
  </si>
  <si>
    <t>WSR-2026-0513</t>
  </si>
  <si>
    <t>WSR-2026-0514</t>
  </si>
  <si>
    <t>WSR-2026-0515</t>
  </si>
  <si>
    <t>WSR-2026-0516</t>
  </si>
  <si>
    <t>WSR-2026-0517</t>
  </si>
  <si>
    <t>WSR-2026-0518</t>
  </si>
  <si>
    <t>WSR-2026-0519</t>
  </si>
  <si>
    <t>WSR-2026-0520</t>
  </si>
  <si>
    <t>WSR-2026-0521</t>
  </si>
  <si>
    <t>WSR-2026-0522</t>
  </si>
  <si>
    <t>WSR-2026-0523</t>
  </si>
  <si>
    <t>WSR-2026-0524</t>
  </si>
  <si>
    <t>WSR-2026-0525</t>
  </si>
  <si>
    <t>WSR-2026-0526</t>
  </si>
  <si>
    <t>WSR-2026-0527</t>
  </si>
  <si>
    <t>WSR-2026-0528</t>
  </si>
  <si>
    <t>WSR-2026-0529</t>
  </si>
  <si>
    <t>WSR-2026-0530</t>
  </si>
  <si>
    <t>WSR-2026-0531</t>
  </si>
  <si>
    <t>WSR-2026-0532</t>
  </si>
  <si>
    <t>WSR-2026-0533</t>
  </si>
  <si>
    <t>WSR-2026-0534</t>
  </si>
  <si>
    <t>WSR-2026-0535</t>
  </si>
  <si>
    <t>WSR-2026-0536</t>
  </si>
  <si>
    <t>WSR-2026-0537</t>
  </si>
  <si>
    <t>WSR-2026-0538</t>
  </si>
  <si>
    <t>WSR-2026-0539</t>
  </si>
  <si>
    <t>WSR-2026-0540</t>
  </si>
  <si>
    <t>WSR-2026-0541</t>
  </si>
  <si>
    <t>WSR-2026-0542</t>
  </si>
  <si>
    <t>WSR-2026-0543</t>
  </si>
  <si>
    <t>WSR-2026-0544</t>
  </si>
  <si>
    <t>WSR-2026-0545</t>
  </si>
  <si>
    <t>WSR-2026-0546</t>
  </si>
  <si>
    <t>WSR-2026-0547</t>
  </si>
  <si>
    <t>WSR-2026-0548</t>
  </si>
  <si>
    <t>WSR-2026-0549</t>
  </si>
  <si>
    <t>WSR-2026-0550</t>
  </si>
  <si>
    <t>WSR-2026-0551</t>
  </si>
  <si>
    <t>WSR-2026-0552</t>
  </si>
  <si>
    <t>WSR-2026-0553</t>
  </si>
  <si>
    <t>WSR-2026-0554</t>
  </si>
  <si>
    <t>WSR-2026-0555</t>
  </si>
  <si>
    <t>WSR-2026-0556</t>
  </si>
  <si>
    <t>WSR-2026-0557</t>
  </si>
  <si>
    <t>WSR-2026-0558</t>
  </si>
  <si>
    <t>WSR-2026-0559</t>
  </si>
  <si>
    <t>WSR-2026-0560</t>
  </si>
  <si>
    <t>WSR-2026-0561</t>
  </si>
  <si>
    <t>WSR-2026-0562</t>
  </si>
  <si>
    <t>WSR-2026-0563</t>
  </si>
  <si>
    <t>WSR-2026-0564</t>
  </si>
  <si>
    <t>WSR-2026-0565</t>
  </si>
  <si>
    <t>WSR-2026-0566</t>
  </si>
  <si>
    <t>WSR-2026-0567</t>
  </si>
  <si>
    <t>WSR-2026-0568</t>
  </si>
  <si>
    <t>WSR-2026-0569</t>
  </si>
  <si>
    <t>WSR-2026-0570</t>
  </si>
  <si>
    <t>WSR-2026-0571</t>
  </si>
  <si>
    <t>WSR-2026-0572</t>
  </si>
  <si>
    <t>WSR-2026-0573</t>
  </si>
  <si>
    <t>WSR-2026-0574</t>
  </si>
  <si>
    <t>WSR-2026-0575</t>
  </si>
  <si>
    <t>WSR-2026-0576</t>
  </si>
  <si>
    <t>WSR-2026-0577</t>
  </si>
  <si>
    <t>WSR-2026-0578</t>
  </si>
  <si>
    <t>WSR-2026-0579</t>
  </si>
  <si>
    <t>WSR-2026-0580</t>
  </si>
  <si>
    <t>WSR-2026-0581</t>
  </si>
  <si>
    <t>WSR-2026-0582</t>
  </si>
  <si>
    <t>WSR-2026-0583</t>
  </si>
  <si>
    <t>WSR-2026-0584</t>
  </si>
  <si>
    <t>WSR-2026-0585</t>
  </si>
  <si>
    <t>WSR-2026-0586</t>
  </si>
  <si>
    <t>WSR-2026-0587</t>
  </si>
  <si>
    <t>WSR-2026-0588</t>
  </si>
  <si>
    <t>WSR-2026-0589</t>
  </si>
  <si>
    <t>WSR-2026-0590</t>
  </si>
  <si>
    <t>WSR-2026-0591</t>
  </si>
  <si>
    <t>WSR-2026-0592</t>
  </si>
  <si>
    <t>WSR-2026-0593</t>
  </si>
  <si>
    <t>WSR-2026-0594</t>
  </si>
  <si>
    <t>WSR-2026-0595</t>
  </si>
  <si>
    <t>WSR-2026-0596</t>
  </si>
  <si>
    <t>WSR-2026-0597</t>
  </si>
  <si>
    <t>WSR-2026-0598</t>
  </si>
  <si>
    <t>WSR-2026-0599</t>
  </si>
  <si>
    <t>WSR-2026-0600</t>
  </si>
  <si>
    <t>WSR-2026-0601</t>
  </si>
  <si>
    <t>WSR-2026-0602</t>
  </si>
  <si>
    <t>WSR-2026-0603</t>
  </si>
  <si>
    <t>WSR-2026-0604</t>
  </si>
  <si>
    <t>WSR-2026-0605</t>
  </si>
  <si>
    <t>WSR-2026-0606</t>
  </si>
  <si>
    <t>WSR-2026-0607</t>
  </si>
  <si>
    <t>WSR-2026-0608</t>
  </si>
  <si>
    <t>WSR-2026-0609</t>
  </si>
  <si>
    <t>WSR-2026-0610</t>
  </si>
  <si>
    <t>WSR-2026-0611</t>
  </si>
  <si>
    <t>WSR-2026-0612</t>
  </si>
  <si>
    <t>WSR-2026-0613</t>
  </si>
  <si>
    <t>WSR-2026-0614</t>
  </si>
  <si>
    <t>WSR-2026-0615</t>
  </si>
  <si>
    <t>WSR-2026-0616</t>
  </si>
  <si>
    <t>WSR-2026-0617</t>
  </si>
  <si>
    <t>WSR-2026-0618</t>
  </si>
  <si>
    <t>WSR-2026-0619</t>
  </si>
  <si>
    <t>WSR-2026-0620</t>
  </si>
  <si>
    <t>WSR-2026-0621</t>
  </si>
  <si>
    <t>WSR-2026-0622</t>
  </si>
  <si>
    <t>WSR-2026-0623</t>
  </si>
  <si>
    <t>WSR-2026-0624</t>
  </si>
  <si>
    <t>WSR-2026-0625</t>
  </si>
  <si>
    <t>WSR-2026-0626</t>
  </si>
  <si>
    <t>WSR-2026-0627</t>
  </si>
  <si>
    <t>WSR-2026-0628</t>
  </si>
  <si>
    <t>WSR-2026-0629</t>
  </si>
  <si>
    <t>WSR-2026-0630</t>
  </si>
  <si>
    <t>WSR-2026-0631</t>
  </si>
  <si>
    <t>WSR-2026-0632</t>
  </si>
  <si>
    <t>WSR-2026-0633</t>
  </si>
  <si>
    <t>WSR-2026-0634</t>
  </si>
  <si>
    <t>WSR-2026-0635</t>
  </si>
  <si>
    <t>WSR-2026-0636</t>
  </si>
  <si>
    <t>WSR-2026-0637</t>
  </si>
  <si>
    <t>WSR-2026-0638</t>
  </si>
  <si>
    <t>WSR-2026-0639</t>
  </si>
  <si>
    <t>WSR-2026-0640</t>
  </si>
  <si>
    <t>WSR-2026-0641</t>
  </si>
  <si>
    <t>WSR-2026-0642</t>
  </si>
  <si>
    <t>WSR-2026-0643</t>
  </si>
  <si>
    <t>WSR-2026-0644</t>
  </si>
  <si>
    <t>WSR-2026-0645</t>
  </si>
  <si>
    <t>WSR-2026-0646</t>
  </si>
  <si>
    <t>WSR-2026-0647</t>
  </si>
  <si>
    <t>WSR-2026-0648</t>
  </si>
  <si>
    <t>WSR-2026-0649</t>
  </si>
  <si>
    <t>WSR-2026-0650</t>
  </si>
  <si>
    <t>WSR-2026-0651</t>
  </si>
  <si>
    <t>WSR-2026-0652</t>
  </si>
  <si>
    <t>WSR-2026-0653</t>
  </si>
  <si>
    <t>WSR-2026-0654</t>
  </si>
  <si>
    <t>WSR-2026-0655</t>
  </si>
  <si>
    <t>WSR-2026-0656</t>
  </si>
  <si>
    <t>WSR-2026-0657</t>
  </si>
  <si>
    <t>WSR-2026-0658</t>
  </si>
  <si>
    <t>WSR-2026-0659</t>
  </si>
  <si>
    <t>WSR-2026-0660</t>
  </si>
  <si>
    <t>WSR-2026-0661</t>
  </si>
  <si>
    <t>WSR-2026-0662</t>
  </si>
  <si>
    <t>WSR-2026-0663</t>
  </si>
  <si>
    <t>WSR-2026-0664</t>
  </si>
  <si>
    <t>WSR-2026-0665</t>
  </si>
  <si>
    <t>WSR-2026-0666</t>
  </si>
  <si>
    <t>WSR-2026-0667</t>
  </si>
  <si>
    <t>WSR-2026-0668</t>
  </si>
  <si>
    <t>WSR-2026-0669</t>
  </si>
  <si>
    <t>Summer</t>
  </si>
  <si>
    <t>WSR-2026-0670</t>
  </si>
  <si>
    <t>WSR-2026-0671</t>
  </si>
  <si>
    <t>WSR-2026-0672</t>
  </si>
  <si>
    <t>WSR-2026-0673</t>
  </si>
  <si>
    <t>WSR-2026-0674</t>
  </si>
  <si>
    <t>WSR-2026-0675</t>
  </si>
  <si>
    <t>WSR-2026-0676</t>
  </si>
  <si>
    <t>WSR-2026-0677</t>
  </si>
  <si>
    <t>WSR-2026-0678</t>
  </si>
  <si>
    <t>WSR-2026-0679</t>
  </si>
  <si>
    <t>WSR-2026-0680</t>
  </si>
  <si>
    <t>WSR-2026-0681</t>
  </si>
  <si>
    <t>WSR-2026-0682</t>
  </si>
  <si>
    <t>WSR-2026-0683</t>
  </si>
  <si>
    <t>WSR-2026-0684</t>
  </si>
  <si>
    <t>WSR-2026-0685</t>
  </si>
  <si>
    <t>WSR-2026-0686</t>
  </si>
  <si>
    <t>WSR-2026-0687</t>
  </si>
  <si>
    <t>WSR-2026-0688</t>
  </si>
  <si>
    <t>WSR-2026-0689</t>
  </si>
  <si>
    <t>WSR-2026-0690</t>
  </si>
  <si>
    <t>WSR-2026-0691</t>
  </si>
  <si>
    <t>WSR-2026-0692</t>
  </si>
  <si>
    <t>WSR-2026-0693</t>
  </si>
  <si>
    <t>WSR-2026-0694</t>
  </si>
  <si>
    <t>WSR-2026-0695</t>
  </si>
  <si>
    <t>WSR-2026-0696</t>
  </si>
  <si>
    <t>WSR-2026-0697</t>
  </si>
  <si>
    <t>WSR-2026-0698</t>
  </si>
  <si>
    <t>WSR-2026-0699</t>
  </si>
  <si>
    <t>WSR-2026-0700</t>
  </si>
  <si>
    <t>WSR-2026-0701</t>
  </si>
  <si>
    <t>WSR-2026-0702</t>
  </si>
  <si>
    <t>WSR-2026-0703</t>
  </si>
  <si>
    <t>WSR-2026-0704</t>
  </si>
  <si>
    <t>WSR-2026-0705</t>
  </si>
  <si>
    <t>WSR-2026-0706</t>
  </si>
  <si>
    <t>WSR-2026-0707</t>
  </si>
  <si>
    <t>WSR-2026-0708</t>
  </si>
  <si>
    <t>WSR-2026-0709</t>
  </si>
  <si>
    <t>WSR-2026-0710</t>
  </si>
  <si>
    <t>WSR-2026-0711</t>
  </si>
  <si>
    <t>WSR-2026-0712</t>
  </si>
  <si>
    <t>WSR-2026-0713</t>
  </si>
  <si>
    <t>WSR-2026-0714</t>
  </si>
  <si>
    <t>WSR-2026-0715</t>
  </si>
  <si>
    <t>WSR-2026-0716</t>
  </si>
  <si>
    <t>WSR-2026-0717</t>
  </si>
  <si>
    <t>WSR-2026-0718</t>
  </si>
  <si>
    <t>WSR-2026-0719</t>
  </si>
  <si>
    <t>WSR-2026-0720</t>
  </si>
  <si>
    <t>WSR-2026-0721</t>
  </si>
  <si>
    <t>WSR-2026-0722</t>
  </si>
  <si>
    <t>WSR-2026-0723</t>
  </si>
  <si>
    <t>WSR-2026-0724</t>
  </si>
  <si>
    <t>WSR-2026-0725</t>
  </si>
  <si>
    <t>WSR-2026-0726</t>
  </si>
  <si>
    <t>WSR-2026-0727</t>
  </si>
  <si>
    <t>WSR-2026-0728</t>
  </si>
  <si>
    <t>WSR-2026-0729</t>
  </si>
  <si>
    <t>WSR-2026-0730</t>
  </si>
  <si>
    <t>WSR-2026-0731</t>
  </si>
  <si>
    <t>WSR-2026-0732</t>
  </si>
  <si>
    <t>WSR-2026-0733</t>
  </si>
  <si>
    <t>WSR-2026-0734</t>
  </si>
  <si>
    <t>WSR-2026-0735</t>
  </si>
  <si>
    <t>WSR-2026-0736</t>
  </si>
  <si>
    <t>WSR-2026-0737</t>
  </si>
  <si>
    <t>WSR-2026-0738</t>
  </si>
  <si>
    <t>WSR-2026-0739</t>
  </si>
  <si>
    <t>WSR-2026-0740</t>
  </si>
  <si>
    <t>WSR-2026-0741</t>
  </si>
  <si>
    <t>WSR-2026-0742</t>
  </si>
  <si>
    <t>WSR-2026-0743</t>
  </si>
  <si>
    <t>WSR-2026-0744</t>
  </si>
  <si>
    <t>WSR-2026-0745</t>
  </si>
  <si>
    <t>WSR-2026-0746</t>
  </si>
  <si>
    <t>WSR-2026-0747</t>
  </si>
  <si>
    <t>WSR-2026-0748</t>
  </si>
  <si>
    <t>WSR-2026-0749</t>
  </si>
  <si>
    <t>WSR-2026-0750</t>
  </si>
  <si>
    <t>WSR-2026-0751</t>
  </si>
  <si>
    <t>WSR-2026-0752</t>
  </si>
  <si>
    <t>WSR-2026-0753</t>
  </si>
  <si>
    <t>WSR-2026-0754</t>
  </si>
  <si>
    <t>WSR-2026-0755</t>
  </si>
  <si>
    <t>WSR-2026-0756</t>
  </si>
  <si>
    <t>WSR-2026-0757</t>
  </si>
  <si>
    <t>WSR-2026-0758</t>
  </si>
  <si>
    <t>WSR-2026-0759</t>
  </si>
  <si>
    <t>WSR-2026-0760</t>
  </si>
  <si>
    <t>WSR-2026-0761</t>
  </si>
  <si>
    <t>WSR-2026-0762</t>
  </si>
  <si>
    <t>WSR-2026-0763</t>
  </si>
  <si>
    <t>WSR-2026-0764</t>
  </si>
  <si>
    <t>WSR-2026-0765</t>
  </si>
  <si>
    <t>WSR-2026-0766</t>
  </si>
  <si>
    <t>WSR-2026-0767</t>
  </si>
  <si>
    <t>WSR-2026-0768</t>
  </si>
  <si>
    <t>WSR-2026-0769</t>
  </si>
  <si>
    <t>WSR-2026-0770</t>
  </si>
  <si>
    <t>WSR-2026-0771</t>
  </si>
  <si>
    <t>WSR-2026-0772</t>
  </si>
  <si>
    <t>WSR-2026-0773</t>
  </si>
  <si>
    <t>WSR-2026-0774</t>
  </si>
  <si>
    <t>WSR-2026-0775</t>
  </si>
  <si>
    <t>WSR-2026-0776</t>
  </si>
  <si>
    <t>WSR-2026-0777</t>
  </si>
  <si>
    <t>WSR-2026-0778</t>
  </si>
  <si>
    <t>WSR-2026-0779</t>
  </si>
  <si>
    <t>WSR-2026-0780</t>
  </si>
  <si>
    <t>WSR-2026-0781</t>
  </si>
  <si>
    <t>WSR-2026-0782</t>
  </si>
  <si>
    <t>WSR-2026-0783</t>
  </si>
  <si>
    <t>WSR-2026-0784</t>
  </si>
  <si>
    <t>WSR-2026-0785</t>
  </si>
  <si>
    <t>WSR-2026-0786</t>
  </si>
  <si>
    <t>WSR-2026-0787</t>
  </si>
  <si>
    <t>WSR-2026-0788</t>
  </si>
  <si>
    <t>WSR-2026-0789</t>
  </si>
  <si>
    <t>WSR-2026-0790</t>
  </si>
  <si>
    <t>WSR-2026-0791</t>
  </si>
  <si>
    <t>WSR-2026-0792</t>
  </si>
  <si>
    <t>WSR-2026-0793</t>
  </si>
  <si>
    <t>WSR-2026-0794</t>
  </si>
  <si>
    <t>WSR-2026-0795</t>
  </si>
  <si>
    <t>WSR-2026-0796</t>
  </si>
  <si>
    <t>WSR-2026-0797</t>
  </si>
  <si>
    <t>WSR-2026-0798</t>
  </si>
  <si>
    <t>WSR-2026-0799</t>
  </si>
  <si>
    <t>WSR-2026-0800</t>
  </si>
  <si>
    <t>WSR-2026-0801</t>
  </si>
  <si>
    <t>WSR-2026-0802</t>
  </si>
  <si>
    <t>WSR-2026-0803</t>
  </si>
  <si>
    <t>WSR-2026-0804</t>
  </si>
  <si>
    <t>WSR-2026-0805</t>
  </si>
  <si>
    <t>WSR-2026-0806</t>
  </si>
  <si>
    <t>WSR-2026-0807</t>
  </si>
  <si>
    <t>WSR-2026-0808</t>
  </si>
  <si>
    <t>WSR-2026-0809</t>
  </si>
  <si>
    <t>WSR-2026-0810</t>
  </si>
  <si>
    <t>WSR-2026-0811</t>
  </si>
  <si>
    <t>WSR-2026-0812</t>
  </si>
  <si>
    <t>WSR-2026-0813</t>
  </si>
  <si>
    <t>WSR-2026-0814</t>
  </si>
  <si>
    <t>WSR-2026-0815</t>
  </si>
  <si>
    <t>WSR-2026-0816</t>
  </si>
  <si>
    <t>WSR-2026-0817</t>
  </si>
  <si>
    <t>WSR-2026-0818</t>
  </si>
  <si>
    <t>WSR-2026-0819</t>
  </si>
  <si>
    <t>WSR-2026-0820</t>
  </si>
  <si>
    <t>WSR-2026-0821</t>
  </si>
  <si>
    <t>WSR-2026-0822</t>
  </si>
  <si>
    <t>WSR-2026-0823</t>
  </si>
  <si>
    <t>WSR-2026-0824</t>
  </si>
  <si>
    <t>WSR-2026-0825</t>
  </si>
  <si>
    <t>WSR-2026-0826</t>
  </si>
  <si>
    <t>WSR-2026-0827</t>
  </si>
  <si>
    <t>WSR-2026-0828</t>
  </si>
  <si>
    <t>WSR-2026-0829</t>
  </si>
  <si>
    <t>WSR-2026-0830</t>
  </si>
  <si>
    <t>WSR-2026-0831</t>
  </si>
  <si>
    <t>WSR-2026-0832</t>
  </si>
  <si>
    <t>WSR-2026-0833</t>
  </si>
  <si>
    <t>WSR-2026-0834</t>
  </si>
  <si>
    <t>WSR-2026-0835</t>
  </si>
  <si>
    <t>WSR-2026-0836</t>
  </si>
  <si>
    <t>WSR-2026-0837</t>
  </si>
  <si>
    <t>WSR-2026-0838</t>
  </si>
  <si>
    <t>WSR-2026-0839</t>
  </si>
  <si>
    <t>WSR-2026-0840</t>
  </si>
  <si>
    <t>WSR-2026-0841</t>
  </si>
  <si>
    <t>WSR-2026-0842</t>
  </si>
  <si>
    <t>WSR-2026-0843</t>
  </si>
  <si>
    <t>WSR-2026-0844</t>
  </si>
  <si>
    <t>WSR-2026-0845</t>
  </si>
  <si>
    <t>WSR-2026-0846</t>
  </si>
  <si>
    <t>WSR-2026-0847</t>
  </si>
  <si>
    <t>WSR-2026-0848</t>
  </si>
  <si>
    <t>WSR-2026-0849</t>
  </si>
  <si>
    <t>WSR-2026-0850</t>
  </si>
  <si>
    <t>WSR-2026-0851</t>
  </si>
  <si>
    <t>WSR-2026-0852</t>
  </si>
  <si>
    <t>WSR-2026-0853</t>
  </si>
  <si>
    <t>WSR-2026-0854</t>
  </si>
  <si>
    <t>WSR-2026-0855</t>
  </si>
  <si>
    <t>WSR-2026-0856</t>
  </si>
  <si>
    <t>WSR-2026-0857</t>
  </si>
  <si>
    <t>WSR-2026-0858</t>
  </si>
  <si>
    <t>WSR-2026-0859</t>
  </si>
  <si>
    <t>WSR-2026-0860</t>
  </si>
  <si>
    <t>WSR-2026-0861</t>
  </si>
  <si>
    <t>WSR-2026-0862</t>
  </si>
  <si>
    <t>WSR-2026-0863</t>
  </si>
  <si>
    <t>WSR-2026-0864</t>
  </si>
  <si>
    <t>WSR-2026-0865</t>
  </si>
  <si>
    <t>WSR-2026-0866</t>
  </si>
  <si>
    <t>WSR-2026-0867</t>
  </si>
  <si>
    <t>WSR-2026-0868</t>
  </si>
  <si>
    <t>WSR-2026-0869</t>
  </si>
  <si>
    <t>WSR-2026-0870</t>
  </si>
  <si>
    <t>WSR-2026-0871</t>
  </si>
  <si>
    <t>WSR-2026-0872</t>
  </si>
  <si>
    <t>WSR-2026-0873</t>
  </si>
  <si>
    <t>WSR-2026-0874</t>
  </si>
  <si>
    <t>WSR-2026-0875</t>
  </si>
  <si>
    <t>WSR-2026-0876</t>
  </si>
  <si>
    <t>WSR-2026-0877</t>
  </si>
  <si>
    <t>WSR-2026-0878</t>
  </si>
  <si>
    <t>WSR-2026-0879</t>
  </si>
  <si>
    <t>WSR-2026-0880</t>
  </si>
  <si>
    <t>WSR-2026-0881</t>
  </si>
  <si>
    <t>WSR-2026-0882</t>
  </si>
  <si>
    <t>WSR-2026-0883</t>
  </si>
  <si>
    <t>WSR-2026-0884</t>
  </si>
  <si>
    <t>WSR-2026-0885</t>
  </si>
  <si>
    <t>WSR-2026-0886</t>
  </si>
  <si>
    <t>WSR-2026-0887</t>
  </si>
  <si>
    <t>WSR-2026-0888</t>
  </si>
  <si>
    <t>WSR-2026-0889</t>
  </si>
  <si>
    <t>WSR-2026-0890</t>
  </si>
  <si>
    <t>WSR-2026-0891</t>
  </si>
  <si>
    <t>WSR-2026-0892</t>
  </si>
  <si>
    <t>WSR-2026-0893</t>
  </si>
  <si>
    <t>WSR-2026-0894</t>
  </si>
  <si>
    <t>WSR-2026-0895</t>
  </si>
  <si>
    <t>WSR-2026-0896</t>
  </si>
  <si>
    <t>WSR-2026-0897</t>
  </si>
  <si>
    <t>WSR-2026-0898</t>
  </si>
  <si>
    <t>WSR-2026-0899</t>
  </si>
  <si>
    <t>WSR-2026-0900</t>
  </si>
  <si>
    <t>WSR-2026-0901</t>
  </si>
  <si>
    <t>WSR-2026-0902</t>
  </si>
  <si>
    <t>WSR-2026-0903</t>
  </si>
  <si>
    <t>WSR-2026-0904</t>
  </si>
  <si>
    <t>WSR-2026-0905</t>
  </si>
  <si>
    <t>WSR-2026-0906</t>
  </si>
  <si>
    <t>WSR-2026-0907</t>
  </si>
  <si>
    <t>WSR-2026-0908</t>
  </si>
  <si>
    <t>WSR-2026-0909</t>
  </si>
  <si>
    <t>WSR-2026-0910</t>
  </si>
  <si>
    <t>WSR-2026-0911</t>
  </si>
  <si>
    <t>WSR-2026-0912</t>
  </si>
  <si>
    <t>WSR-2026-0913</t>
  </si>
  <si>
    <t>WSR-2026-0914</t>
  </si>
  <si>
    <t>WSR-2026-0915</t>
  </si>
  <si>
    <t>WSR-2026-0916</t>
  </si>
  <si>
    <t>WSR-2026-0917</t>
  </si>
  <si>
    <t>WSR-2026-0918</t>
  </si>
  <si>
    <t>WSR-2026-0919</t>
  </si>
  <si>
    <t>WSR-2026-0920</t>
  </si>
  <si>
    <t>WSR-2026-0921</t>
  </si>
  <si>
    <t>WSR-2026-0922</t>
  </si>
  <si>
    <t>WSR-2026-0923</t>
  </si>
  <si>
    <t>WSR-2026-0924</t>
  </si>
  <si>
    <t>WSR-2026-0925</t>
  </si>
  <si>
    <t>WSR-2026-0926</t>
  </si>
  <si>
    <t>WSR-2026-0927</t>
  </si>
  <si>
    <t>WSR-2026-0928</t>
  </si>
  <si>
    <t>WSR-2026-0929</t>
  </si>
  <si>
    <t>WSR-2026-0930</t>
  </si>
  <si>
    <t>WSR-2026-0931</t>
  </si>
  <si>
    <t>WSR-2026-0932</t>
  </si>
  <si>
    <t>WSR-2026-0933</t>
  </si>
  <si>
    <t>WSR-2026-0934</t>
  </si>
  <si>
    <t>WSR-2026-0935</t>
  </si>
  <si>
    <t>WSR-2026-0936</t>
  </si>
  <si>
    <t>WSR-2026-0937</t>
  </si>
  <si>
    <t>WSR-2026-0938</t>
  </si>
  <si>
    <t>WSR-2026-0939</t>
  </si>
  <si>
    <t>WSR-2026-0940</t>
  </si>
  <si>
    <t>WSR-2026-0941</t>
  </si>
  <si>
    <t>WSR-2026-0942</t>
  </si>
  <si>
    <t>WSR-2026-0943</t>
  </si>
  <si>
    <t>WSR-2026-0944</t>
  </si>
  <si>
    <t>WSR-2026-0945</t>
  </si>
  <si>
    <t>WSR-2026-0946</t>
  </si>
  <si>
    <t>WSR-2026-0947</t>
  </si>
  <si>
    <t>WSR-2026-0948</t>
  </si>
  <si>
    <t>WSR-2026-0949</t>
  </si>
  <si>
    <t>WSR-2026-0950</t>
  </si>
  <si>
    <t>WSR-2026-0951</t>
  </si>
  <si>
    <t>WSR-2026-0952</t>
  </si>
  <si>
    <t>WSR-2026-0953</t>
  </si>
  <si>
    <t>WSR-2026-0954</t>
  </si>
  <si>
    <t>WSR-2026-0955</t>
  </si>
  <si>
    <t>WSR-2026-0956</t>
  </si>
  <si>
    <t>WSR-2026-0957</t>
  </si>
  <si>
    <t>WSR-2026-0958</t>
  </si>
  <si>
    <t>WSR-2026-0959</t>
  </si>
  <si>
    <t>WSR-2026-0960</t>
  </si>
  <si>
    <t>WSR-2026-0961</t>
  </si>
  <si>
    <t>WSR-2026-0962</t>
  </si>
  <si>
    <t>WSR-2026-0963</t>
  </si>
  <si>
    <t>WSR-2026-0964</t>
  </si>
  <si>
    <t>WSR-2026-0965</t>
  </si>
  <si>
    <t>WSR-2026-0966</t>
  </si>
  <si>
    <t>WSR-2026-0967</t>
  </si>
  <si>
    <t>WSR-2026-0968</t>
  </si>
  <si>
    <t>WSR-2026-0969</t>
  </si>
  <si>
    <t>WSR-2026-0970</t>
  </si>
  <si>
    <t>WSR-2026-0971</t>
  </si>
  <si>
    <t>WSR-2026-0972</t>
  </si>
  <si>
    <t>WSR-2026-0973</t>
  </si>
  <si>
    <t>WSR-2026-0974</t>
  </si>
  <si>
    <t>WSR-2026-0975</t>
  </si>
  <si>
    <t>WSR-2026-0976</t>
  </si>
  <si>
    <t>WSR-2026-0977</t>
  </si>
  <si>
    <t>WSR-2026-0978</t>
  </si>
  <si>
    <t>WSR-2026-0979</t>
  </si>
  <si>
    <t>WSR-2026-0980</t>
  </si>
  <si>
    <t>WSR-2026-0981</t>
  </si>
  <si>
    <t>WSR-2026-0982</t>
  </si>
  <si>
    <t>WSR-2026-0983</t>
  </si>
  <si>
    <t>WSR-2026-0984</t>
  </si>
  <si>
    <t>WSR-2026-0985</t>
  </si>
  <si>
    <t>WSR-2026-0986</t>
  </si>
  <si>
    <t>WSR-2026-0987</t>
  </si>
  <si>
    <t>WSR-2026-0988</t>
  </si>
  <si>
    <t>WSR-2026-0989</t>
  </si>
  <si>
    <t>WSR-2026-0990</t>
  </si>
  <si>
    <t>WSR-2026-0991</t>
  </si>
  <si>
    <t>WSR-2026-0992</t>
  </si>
  <si>
    <t>WSR-2026-0993</t>
  </si>
  <si>
    <t>WSR-2026-0994</t>
  </si>
  <si>
    <t>WSR-2026-0995</t>
  </si>
  <si>
    <t>WSR-2026-0996</t>
  </si>
  <si>
    <t>WSR-2026-0997</t>
  </si>
  <si>
    <t>WSR-2026-0998</t>
  </si>
  <si>
    <t>WSR-2026-0999</t>
  </si>
  <si>
    <t>WSR-2026-1000</t>
  </si>
  <si>
    <t>WSR-2026-1001</t>
  </si>
  <si>
    <t>WSR-2026-1002</t>
  </si>
  <si>
    <t>WSR-2026-1003</t>
  </si>
  <si>
    <t>WSR-2026-1004</t>
  </si>
  <si>
    <t>WSR-2026-1005</t>
  </si>
  <si>
    <t>WSR-2026-1006</t>
  </si>
  <si>
    <t>WSR-2026-1007</t>
  </si>
  <si>
    <t>WSR-2026-1008</t>
  </si>
  <si>
    <t>WSR-2026-1009</t>
  </si>
  <si>
    <t>WSR-2026-1010</t>
  </si>
  <si>
    <t>WSR-2026-1011</t>
  </si>
  <si>
    <t>WSR-2026-1012</t>
  </si>
  <si>
    <t>WSR-2026-1013</t>
  </si>
  <si>
    <t>WSR-2026-1014</t>
  </si>
  <si>
    <t>WSR-2026-1015</t>
  </si>
  <si>
    <t>WSR-2026-1016</t>
  </si>
  <si>
    <t>WSR-2026-1017</t>
  </si>
  <si>
    <t>WSR-2026-1018</t>
  </si>
  <si>
    <t>WSR-2026-1019</t>
  </si>
  <si>
    <t>WSR-2026-1020</t>
  </si>
  <si>
    <t>WSR-2026-1021</t>
  </si>
  <si>
    <t>WSR-2026-1022</t>
  </si>
  <si>
    <t>WSR-2026-1023</t>
  </si>
  <si>
    <t>WSR-2026-1024</t>
  </si>
  <si>
    <t>WSR-2026-1025</t>
  </si>
  <si>
    <t>WSR-2026-1026</t>
  </si>
  <si>
    <t>WSR-2026-1027</t>
  </si>
  <si>
    <t>WSR-2026-1028</t>
  </si>
  <si>
    <t>WSR-2026-1029</t>
  </si>
  <si>
    <t>WSR-2026-1030</t>
  </si>
  <si>
    <t>WSR-2026-1031</t>
  </si>
  <si>
    <t>WSR-2026-1032</t>
  </si>
  <si>
    <t>WSR-2026-1033</t>
  </si>
  <si>
    <t>WSR-2026-1034</t>
  </si>
  <si>
    <t>WSR-2026-1035</t>
  </si>
  <si>
    <t>WSR-2026-1036</t>
  </si>
  <si>
    <t>WSR-2026-1037</t>
  </si>
  <si>
    <t>WSR-2026-1038</t>
  </si>
  <si>
    <t>WSR-2026-1039</t>
  </si>
  <si>
    <t>WSR-2026-1040</t>
  </si>
  <si>
    <t>WSR-2026-1041</t>
  </si>
  <si>
    <t>WSR-2026-1042</t>
  </si>
  <si>
    <t>WSR-2026-1043</t>
  </si>
  <si>
    <t>WSR-2026-1044</t>
  </si>
  <si>
    <t>WSR-2026-1045</t>
  </si>
  <si>
    <t>WSR-2026-1046</t>
  </si>
  <si>
    <t>WSR-2026-1047</t>
  </si>
  <si>
    <t>WSR-2026-1048</t>
  </si>
  <si>
    <t>WSR-2026-1049</t>
  </si>
  <si>
    <t>WSR-2026-1050</t>
  </si>
  <si>
    <t>WSR-2026-1051</t>
  </si>
  <si>
    <t>WSR-2026-1052</t>
  </si>
  <si>
    <t>WSR-2026-1053</t>
  </si>
  <si>
    <t>WSR-2026-1054</t>
  </si>
  <si>
    <t>WSR-2026-1055</t>
  </si>
  <si>
    <t>WSR-2026-1056</t>
  </si>
  <si>
    <t>WSR-2026-1057</t>
  </si>
  <si>
    <t>WSR-2026-1058</t>
  </si>
  <si>
    <t>WSR-2026-1059</t>
  </si>
  <si>
    <t>WSR-2026-1060</t>
  </si>
  <si>
    <t>WSR-2026-1061</t>
  </si>
  <si>
    <t>WSR-2026-1062</t>
  </si>
  <si>
    <t>WSR-2026-1063</t>
  </si>
  <si>
    <t>WSR-2026-1064</t>
  </si>
  <si>
    <t>WSR-2026-1065</t>
  </si>
  <si>
    <t>WSR-2026-1066</t>
  </si>
  <si>
    <t>WSR-2026-1067</t>
  </si>
  <si>
    <t>WSR-2026-1068</t>
  </si>
  <si>
    <t>WSR-2026-1069</t>
  </si>
  <si>
    <t>WSR-2026-1070</t>
  </si>
  <si>
    <t>WSR-2026-1071</t>
  </si>
  <si>
    <t>WSR-2026-1072</t>
  </si>
  <si>
    <t>WSR-2026-1073</t>
  </si>
  <si>
    <t>WSR-2026-1074</t>
  </si>
  <si>
    <t>WSR-2026-1075</t>
  </si>
  <si>
    <t>WSR-2026-1076</t>
  </si>
  <si>
    <t>WSR-2026-1077</t>
  </si>
  <si>
    <t>WSR-2026-1078</t>
  </si>
  <si>
    <t>WSR-2026-1079</t>
  </si>
  <si>
    <t>WSR-2026-1080</t>
  </si>
  <si>
    <t>WSR-2026-1081</t>
  </si>
  <si>
    <t>WSR-2026-1082</t>
  </si>
  <si>
    <t>WSR-2026-1083</t>
  </si>
  <si>
    <t>WSR-2026-1084</t>
  </si>
  <si>
    <t>WSR-2026-1085</t>
  </si>
  <si>
    <t>WSR-2026-1086</t>
  </si>
  <si>
    <t>WSR-2026-1087</t>
  </si>
  <si>
    <t>WSR-2026-1088</t>
  </si>
  <si>
    <t>WSR-2026-1089</t>
  </si>
  <si>
    <t>WSR-2026-1090</t>
  </si>
  <si>
    <t>WSR-2026-1091</t>
  </si>
  <si>
    <t>WSR-2026-1092</t>
  </si>
  <si>
    <t>WSR-2026-1093</t>
  </si>
  <si>
    <t>WSR-2026-1094</t>
  </si>
  <si>
    <t>WSR-2026-1095</t>
  </si>
  <si>
    <t>WSR-2026-1096</t>
  </si>
  <si>
    <t>WSR-2026-1097</t>
  </si>
  <si>
    <t>WSR-2026-1098</t>
  </si>
  <si>
    <t>WSR-2026-1099</t>
  </si>
  <si>
    <t>WSR-2026-1100</t>
  </si>
  <si>
    <t>WSR-2026-1101</t>
  </si>
  <si>
    <t>WSR-2026-1102</t>
  </si>
  <si>
    <t>WSR-2026-1103</t>
  </si>
  <si>
    <t>WSR-2026-1104</t>
  </si>
  <si>
    <t>WSR-2026-1105</t>
  </si>
  <si>
    <t>WSR-2026-1106</t>
  </si>
  <si>
    <t>WSR-2026-1107</t>
  </si>
  <si>
    <t>WSR-2026-1108</t>
  </si>
  <si>
    <t>WSR-2026-1109</t>
  </si>
  <si>
    <t>WSR-2026-1110</t>
  </si>
  <si>
    <t>WSR-2026-1111</t>
  </si>
  <si>
    <t>WSR-2026-1112</t>
  </si>
  <si>
    <t>WSR-2026-1113</t>
  </si>
  <si>
    <t>WSR-2026-1114</t>
  </si>
  <si>
    <t>WSR-2026-1115</t>
  </si>
  <si>
    <t>WSR-2026-1116</t>
  </si>
  <si>
    <t>WSR-2026-1117</t>
  </si>
  <si>
    <t>WSR-2026-1118</t>
  </si>
  <si>
    <t>WSR-2026-1119</t>
  </si>
  <si>
    <t>WSR-2026-1120</t>
  </si>
  <si>
    <t>WSR-2026-1121</t>
  </si>
  <si>
    <t>WSR-2026-1122</t>
  </si>
  <si>
    <t>WSR-2026-1123</t>
  </si>
  <si>
    <t>WSR-2026-1124</t>
  </si>
  <si>
    <t>WSR-2026-1125</t>
  </si>
  <si>
    <t>WSR-2026-1126</t>
  </si>
  <si>
    <t>WSR-2026-1127</t>
  </si>
  <si>
    <t>WSR-2026-1128</t>
  </si>
  <si>
    <t>WSR-2026-1129</t>
  </si>
  <si>
    <t>WSR-2026-1130</t>
  </si>
  <si>
    <t>WSR-2026-1131</t>
  </si>
  <si>
    <t>WSR-2026-1132</t>
  </si>
  <si>
    <t>WSR-2026-1133</t>
  </si>
  <si>
    <t>WSR-2026-1134</t>
  </si>
  <si>
    <t>WSR-2026-1135</t>
  </si>
  <si>
    <t>WSR-2026-1136</t>
  </si>
  <si>
    <t>WSR-2026-1137</t>
  </si>
  <si>
    <t>WSR-2026-1138</t>
  </si>
  <si>
    <t>WSR-2026-1139</t>
  </si>
  <si>
    <t>WSR-2026-1140</t>
  </si>
  <si>
    <t>WSR-2026-1141</t>
  </si>
  <si>
    <t>WSR-2026-1142</t>
  </si>
  <si>
    <t>WSR-2026-1143</t>
  </si>
  <si>
    <t>WSR-2026-1144</t>
  </si>
  <si>
    <t>WSR-2026-1145</t>
  </si>
  <si>
    <t>WSR-2026-1146</t>
  </si>
  <si>
    <t>WSR-2026-1147</t>
  </si>
  <si>
    <t>WSR-2026-1148</t>
  </si>
  <si>
    <t>WSR-2026-1149</t>
  </si>
  <si>
    <t>WSR-2026-1150</t>
  </si>
  <si>
    <t>WSR-2026-1151</t>
  </si>
  <si>
    <t>WSR-2026-1152</t>
  </si>
  <si>
    <t>WSR-2026-1153</t>
  </si>
  <si>
    <t>WSR-2026-1154</t>
  </si>
  <si>
    <t>WSR-2026-1155</t>
  </si>
  <si>
    <t>WSR-2026-1156</t>
  </si>
  <si>
    <t>WSR-2026-1157</t>
  </si>
  <si>
    <t>WSR-2026-1158</t>
  </si>
  <si>
    <t>WSR-2026-1159</t>
  </si>
  <si>
    <t>WSR-2026-1160</t>
  </si>
  <si>
    <t>WSR-2026-1161</t>
  </si>
  <si>
    <t>WSR-2026-1162</t>
  </si>
  <si>
    <t>WSR-2026-1163</t>
  </si>
  <si>
    <t>WSR-2026-1164</t>
  </si>
  <si>
    <t>WSR-2026-1165</t>
  </si>
  <si>
    <t>WSR-2026-1166</t>
  </si>
  <si>
    <t>WSR-2026-1167</t>
  </si>
  <si>
    <t>WSR-2026-1168</t>
  </si>
  <si>
    <t>WSR-2026-1169</t>
  </si>
  <si>
    <t>WSR-2026-1170</t>
  </si>
  <si>
    <t>WSR-2026-1171</t>
  </si>
  <si>
    <t>WSR-2026-1172</t>
  </si>
  <si>
    <t>WSR-2026-1173</t>
  </si>
  <si>
    <t>WSR-2026-1174</t>
  </si>
  <si>
    <t>WSR-2026-1175</t>
  </si>
  <si>
    <t>WSR-2026-1176</t>
  </si>
  <si>
    <t>WSR-2026-1177</t>
  </si>
  <si>
    <t>WSR-2026-1178</t>
  </si>
  <si>
    <t>WSR-2026-1179</t>
  </si>
  <si>
    <t>WSR-2026-1180</t>
  </si>
  <si>
    <t>WSR-2026-1181</t>
  </si>
  <si>
    <t>WSR-2026-1182</t>
  </si>
  <si>
    <t>WSR-2026-1183</t>
  </si>
  <si>
    <t>WSR-2026-1184</t>
  </si>
  <si>
    <t>WSR-2026-1185</t>
  </si>
  <si>
    <t>WSR-2026-1186</t>
  </si>
  <si>
    <t>WSR-2026-1187</t>
  </si>
  <si>
    <t>WSR-2026-1188</t>
  </si>
  <si>
    <t>WSR-2026-1189</t>
  </si>
  <si>
    <t>WSR-2026-1190</t>
  </si>
  <si>
    <t>WSR-2026-1191</t>
  </si>
  <si>
    <t>WSR-2026-1192</t>
  </si>
  <si>
    <t>WSR-2026-1193</t>
  </si>
  <si>
    <t>WSR-2026-1194</t>
  </si>
  <si>
    <t>WSR-2026-1195</t>
  </si>
  <si>
    <t>WSR-2026-1196</t>
  </si>
  <si>
    <t>WSR-2026-1197</t>
  </si>
  <si>
    <t>WSR-2026-1198</t>
  </si>
  <si>
    <t>WSR-2026-1199</t>
  </si>
  <si>
    <t>WSR-2026-1200</t>
  </si>
  <si>
    <t>WSR-2026-1201</t>
  </si>
  <si>
    <t>WSR-2026-1202</t>
  </si>
  <si>
    <t>WSR-2026-1203</t>
  </si>
  <si>
    <t>WSR-2026-1204</t>
  </si>
  <si>
    <t>WSR-2026-1205</t>
  </si>
  <si>
    <t>WSR-2026-1206</t>
  </si>
  <si>
    <t>WSR-2026-1207</t>
  </si>
  <si>
    <t>WSR-2026-1208</t>
  </si>
  <si>
    <t>WSR-2026-1209</t>
  </si>
  <si>
    <t>WSR-2026-1210</t>
  </si>
  <si>
    <t>WSR-2026-1211</t>
  </si>
  <si>
    <t>WSR-2026-1212</t>
  </si>
  <si>
    <t>WSR-2026-1213</t>
  </si>
  <si>
    <t>WSR-2026-1214</t>
  </si>
  <si>
    <t>WSR-2026-1215</t>
  </si>
  <si>
    <t>WSR-2026-1216</t>
  </si>
  <si>
    <t>WSR-2026-1217</t>
  </si>
  <si>
    <t>WSR-2026-1218</t>
  </si>
  <si>
    <t>WSR-2026-1219</t>
  </si>
  <si>
    <t>WSR-2026-1220</t>
  </si>
  <si>
    <t>WSR-2026-1221</t>
  </si>
  <si>
    <t>WSR-2026-1222</t>
  </si>
  <si>
    <t>WSR-2026-1223</t>
  </si>
  <si>
    <t>WSR-2026-1224</t>
  </si>
  <si>
    <t>WSR-2026-1225</t>
  </si>
  <si>
    <t>WSR-2026-1226</t>
  </si>
  <si>
    <t>WSR-2026-1227</t>
  </si>
  <si>
    <t>WSR-2026-1228</t>
  </si>
  <si>
    <t>WSR-2026-1229</t>
  </si>
  <si>
    <t>WSR-2026-1230</t>
  </si>
  <si>
    <t>WSR-2026-1231</t>
  </si>
  <si>
    <t>WSR-2026-1232</t>
  </si>
  <si>
    <t>WSR-2026-1233</t>
  </si>
  <si>
    <t>WSR-2026-1234</t>
  </si>
  <si>
    <t>WSR-2026-1235</t>
  </si>
  <si>
    <t>WSR-2026-1236</t>
  </si>
  <si>
    <t>WSR-2026-1237</t>
  </si>
  <si>
    <t>WSR-2026-1238</t>
  </si>
  <si>
    <t>WSR-2026-1239</t>
  </si>
  <si>
    <t>WSR-2026-1240</t>
  </si>
  <si>
    <t>WSR-2026-1241</t>
  </si>
  <si>
    <t>WSR-2026-1242</t>
  </si>
  <si>
    <t>WSR-2026-1243</t>
  </si>
  <si>
    <t>WSR-2026-1244</t>
  </si>
  <si>
    <t>WSR-2026-1245</t>
  </si>
  <si>
    <t>WSR-2026-1246</t>
  </si>
  <si>
    <t>WSR-2026-1247</t>
  </si>
  <si>
    <t>WSR-2026-1248</t>
  </si>
  <si>
    <t>WSR-2026-1249</t>
  </si>
  <si>
    <t>WSR-2026-1250</t>
  </si>
  <si>
    <t>WSR-2026-1251</t>
  </si>
  <si>
    <t>WSR-2026-1252</t>
  </si>
  <si>
    <t>WSR-2026-1253</t>
  </si>
  <si>
    <t>WSR-2026-1254</t>
  </si>
  <si>
    <t>WSR-2026-1255</t>
  </si>
  <si>
    <t>WSR-2026-1256</t>
  </si>
  <si>
    <t>WSR-2026-1257</t>
  </si>
  <si>
    <t>WSR-2026-1258</t>
  </si>
  <si>
    <t>WSR-2026-1259</t>
  </si>
  <si>
    <t>WSR-2026-1260</t>
  </si>
  <si>
    <t>WSR-2026-1261</t>
  </si>
  <si>
    <t>WSR-2026-1262</t>
  </si>
  <si>
    <t>WSR-2026-1263</t>
  </si>
  <si>
    <t>WSR-2026-1264</t>
  </si>
  <si>
    <t>WSR-2026-1265</t>
  </si>
  <si>
    <t>WSR-2026-1266</t>
  </si>
  <si>
    <t>WSR-2026-1267</t>
  </si>
  <si>
    <t>WSR-2026-1268</t>
  </si>
  <si>
    <t>WSR-2026-1269</t>
  </si>
  <si>
    <t>WSR-2026-1270</t>
  </si>
  <si>
    <t>WSR-2026-1271</t>
  </si>
  <si>
    <t>WSR-2026-1272</t>
  </si>
  <si>
    <t>WSR-2026-1273</t>
  </si>
  <si>
    <t>WSR-2026-1274</t>
  </si>
  <si>
    <t>WSR-2026-1275</t>
  </si>
  <si>
    <t>WSR-2026-1276</t>
  </si>
  <si>
    <t>WSR-2026-1277</t>
  </si>
  <si>
    <t>WSR-2026-1278</t>
  </si>
  <si>
    <t>WSR-2026-1279</t>
  </si>
  <si>
    <t>WSR-2026-1280</t>
  </si>
  <si>
    <t>WSR-2026-1281</t>
  </si>
  <si>
    <t>WSR-2026-1282</t>
  </si>
  <si>
    <t>WSR-2026-1283</t>
  </si>
  <si>
    <t>WSR-2026-1284</t>
  </si>
  <si>
    <t>WSR-2026-1285</t>
  </si>
  <si>
    <t>WSR-2026-1286</t>
  </si>
  <si>
    <t>WSR-2026-1287</t>
  </si>
  <si>
    <t>WSR-2026-1288</t>
  </si>
  <si>
    <t>WSR-2026-1289</t>
  </si>
  <si>
    <t>WSR-2026-1290</t>
  </si>
  <si>
    <t>WSR-2026-1291</t>
  </si>
  <si>
    <t>WSR-2026-1292</t>
  </si>
  <si>
    <t>WSR-2026-1293</t>
  </si>
  <si>
    <t>WSR-2026-1294</t>
  </si>
  <si>
    <t>WSR-2026-1295</t>
  </si>
  <si>
    <t>WSR-2026-1296</t>
  </si>
  <si>
    <t>WSR-2026-1297</t>
  </si>
  <si>
    <t>WSR-2026-1298</t>
  </si>
  <si>
    <t>WSR-2026-1299</t>
  </si>
  <si>
    <t>WSR-2026-1300</t>
  </si>
  <si>
    <t>WSR-2026-1301</t>
  </si>
  <si>
    <t>WSR-2026-1302</t>
  </si>
  <si>
    <t>WSR-2026-1303</t>
  </si>
  <si>
    <t>WSR-2026-1304</t>
  </si>
  <si>
    <t>WSR-2026-1305</t>
  </si>
  <si>
    <t>WSR-2026-1306</t>
  </si>
  <si>
    <t>WSR-2026-1307</t>
  </si>
  <si>
    <t>WSR-2026-1308</t>
  </si>
  <si>
    <t>WSR-2026-1309</t>
  </si>
  <si>
    <t>WSR-2026-1310</t>
  </si>
  <si>
    <t>WSR-2026-1311</t>
  </si>
  <si>
    <t>WSR-2026-1312</t>
  </si>
  <si>
    <t>WSR-2026-1313</t>
  </si>
  <si>
    <t>WSR-2026-1314</t>
  </si>
  <si>
    <t>WSR-2026-1315</t>
  </si>
  <si>
    <t>WSR-2026-1316</t>
  </si>
  <si>
    <t>WSR-2026-1317</t>
  </si>
  <si>
    <t>WSR-2026-1318</t>
  </si>
  <si>
    <t>WSR-2026-1319</t>
  </si>
  <si>
    <t>WSR-2026-1320</t>
  </si>
  <si>
    <t>WSR-2026-1321</t>
  </si>
  <si>
    <t>WSR-2026-1322</t>
  </si>
  <si>
    <t>WSR-2026-1323</t>
  </si>
  <si>
    <t>WSR-2026-1324</t>
  </si>
  <si>
    <t>WSR-2026-1325</t>
  </si>
  <si>
    <t>WSR-2026-1326</t>
  </si>
  <si>
    <t>WSR-2026-1327</t>
  </si>
  <si>
    <t>WSR-2026-1328</t>
  </si>
  <si>
    <t>WSR-2026-1329</t>
  </si>
  <si>
    <t>WSR-2026-1330</t>
  </si>
  <si>
    <t>WSR-2026-1331</t>
  </si>
  <si>
    <t>WSR-2026-1332</t>
  </si>
  <si>
    <t>WSR-2026-1333</t>
  </si>
  <si>
    <t>WSR-2026-1334</t>
  </si>
  <si>
    <t>WSR-2026-1335</t>
  </si>
  <si>
    <t>WSR-2026-1336</t>
  </si>
  <si>
    <t>WSR-2026-1337</t>
  </si>
  <si>
    <t>WSR-2026-1338</t>
  </si>
  <si>
    <t>WSR-2026-1339</t>
  </si>
  <si>
    <t>WSR-2026-1340</t>
  </si>
  <si>
    <t>WSR-2026-1341</t>
  </si>
  <si>
    <t>WSR-2026-1342</t>
  </si>
  <si>
    <t>WSR-2026-1343</t>
  </si>
  <si>
    <t>WSR-2026-1344</t>
  </si>
  <si>
    <t>WSR-2026-1345</t>
  </si>
  <si>
    <t>WSR-2026-1346</t>
  </si>
  <si>
    <t>WSR-2026-1347</t>
  </si>
  <si>
    <t>WSR-2026-1348</t>
  </si>
  <si>
    <t>WSR-2026-1349</t>
  </si>
  <si>
    <t>WSR-2026-1350</t>
  </si>
  <si>
    <t>WSR-2026-1351</t>
  </si>
  <si>
    <t>WSR-2026-1352</t>
  </si>
  <si>
    <t>WSR-2026-1353</t>
  </si>
  <si>
    <t>WSR-2026-1354</t>
  </si>
  <si>
    <t>WSR-2026-1355</t>
  </si>
  <si>
    <t>WSR-2026-1356</t>
  </si>
  <si>
    <t>WSR-2026-1357</t>
  </si>
  <si>
    <t>WSR-2026-1358</t>
  </si>
  <si>
    <t>WSR-2026-1359</t>
  </si>
  <si>
    <t>WSR-2026-1360</t>
  </si>
  <si>
    <t>WSR-2026-1361</t>
  </si>
  <si>
    <t>WSR-2026-1362</t>
  </si>
  <si>
    <t>WSR-2026-1363</t>
  </si>
  <si>
    <t>WSR-2026-1364</t>
  </si>
  <si>
    <t>WSR-2026-1365</t>
  </si>
  <si>
    <t>WSR-2026-1366</t>
  </si>
  <si>
    <t>WSR-2026-1367</t>
  </si>
  <si>
    <t>WSR-2026-1368</t>
  </si>
  <si>
    <t>WSR-2026-1369</t>
  </si>
  <si>
    <t>WSR-2026-1370</t>
  </si>
  <si>
    <t>WSR-2026-1371</t>
  </si>
  <si>
    <t>WSR-2026-1372</t>
  </si>
  <si>
    <t>WSR-2026-1373</t>
  </si>
  <si>
    <t>WSR-2026-1374</t>
  </si>
  <si>
    <t>WSR-2026-1375</t>
  </si>
  <si>
    <t>WSR-2026-1376</t>
  </si>
  <si>
    <t>WSR-2026-1377</t>
  </si>
  <si>
    <t>WSR-2026-1378</t>
  </si>
  <si>
    <t>WSR-2026-1379</t>
  </si>
  <si>
    <t>WSR-2026-1380</t>
  </si>
  <si>
    <t>WSR-2026-1381</t>
  </si>
  <si>
    <t>WSR-2026-1382</t>
  </si>
  <si>
    <t>WSR-2026-1383</t>
  </si>
  <si>
    <t>WSR-2026-1384</t>
  </si>
  <si>
    <t>WSR-2026-1385</t>
  </si>
  <si>
    <t>WSR-2026-1386</t>
  </si>
  <si>
    <t>WSR-2026-1387</t>
  </si>
  <si>
    <t>WSR-2026-1388</t>
  </si>
  <si>
    <t>WSR-2026-1389</t>
  </si>
  <si>
    <t>WSR-2026-1390</t>
  </si>
  <si>
    <t>WSR-2026-1391</t>
  </si>
  <si>
    <t>WSR-2026-1392</t>
  </si>
  <si>
    <t>WSR-2026-1393</t>
  </si>
  <si>
    <t>WSR-2026-1394</t>
  </si>
  <si>
    <t>WSR-2026-1395</t>
  </si>
  <si>
    <t>WSR-2026-1396</t>
  </si>
  <si>
    <t>WSR-2026-1397</t>
  </si>
  <si>
    <t>WSR-2026-1398</t>
  </si>
  <si>
    <t>WSR-2026-1399</t>
  </si>
  <si>
    <t>WSR-2026-1400</t>
  </si>
  <si>
    <t>WSR-2026-1401</t>
  </si>
  <si>
    <t>WSR-2026-1402</t>
  </si>
  <si>
    <t>WSR-2026-1403</t>
  </si>
  <si>
    <t>WSR-2026-1404</t>
  </si>
  <si>
    <t>WSR-2026-1405</t>
  </si>
  <si>
    <t>WSR-2026-1406</t>
  </si>
  <si>
    <t>WSR-2026-1407</t>
  </si>
  <si>
    <t>WSR-2026-1408</t>
  </si>
  <si>
    <t>WSR-2026-1409</t>
  </si>
  <si>
    <t>WSR-2026-1410</t>
  </si>
  <si>
    <t>WSR-2026-1411</t>
  </si>
  <si>
    <t>WSR-2026-1412</t>
  </si>
  <si>
    <t>WSR-2026-1413</t>
  </si>
  <si>
    <t>WSR-2026-1414</t>
  </si>
  <si>
    <t>WSR-2026-1415</t>
  </si>
  <si>
    <t>WSR-2026-1416</t>
  </si>
  <si>
    <t>WSR-2026-1417</t>
  </si>
  <si>
    <t>WSR-2026-1418</t>
  </si>
  <si>
    <t>WSR-2026-1419</t>
  </si>
  <si>
    <t>WSR-2026-1420</t>
  </si>
  <si>
    <t>WSR-2026-1421</t>
  </si>
  <si>
    <t>WSR-2026-1422</t>
  </si>
  <si>
    <t>WSR-2026-1423</t>
  </si>
  <si>
    <t>WSR-2026-1424</t>
  </si>
  <si>
    <t>WSR-2026-1425</t>
  </si>
  <si>
    <t>WSR-2026-1426</t>
  </si>
  <si>
    <t>WSR-2026-1427</t>
  </si>
  <si>
    <t>WSR-2026-1428</t>
  </si>
  <si>
    <t>WSR-2026-1429</t>
  </si>
  <si>
    <t>WSR-2026-1430</t>
  </si>
  <si>
    <t>WSR-2026-1431</t>
  </si>
  <si>
    <t>WSR-2026-1432</t>
  </si>
  <si>
    <t>WSR-2026-1433</t>
  </si>
  <si>
    <t>WSR-2026-1434</t>
  </si>
  <si>
    <t>WSR-2026-1435</t>
  </si>
  <si>
    <t>WSR-2026-1436</t>
  </si>
  <si>
    <t>WSR-2026-1437</t>
  </si>
  <si>
    <t>WSR-2026-1438</t>
  </si>
  <si>
    <t>WSR-2026-1439</t>
  </si>
  <si>
    <t>WSR-2026-1440</t>
  </si>
  <si>
    <t>WSR-2026-1441</t>
  </si>
  <si>
    <t>WSR-2026-1442</t>
  </si>
  <si>
    <t>WSR-2026-1443</t>
  </si>
  <si>
    <t>WSR-2026-1444</t>
  </si>
  <si>
    <t>WSR-2026-1445</t>
  </si>
  <si>
    <t>WSR-2026-1446</t>
  </si>
  <si>
    <t>WSR-2026-1447</t>
  </si>
  <si>
    <t>WSR-2026-1448</t>
  </si>
  <si>
    <t>WSR-2026-1449</t>
  </si>
  <si>
    <t>WSR-2026-1450</t>
  </si>
  <si>
    <t>WSR-2026-1451</t>
  </si>
  <si>
    <t>WSR-2026-1452</t>
  </si>
  <si>
    <t>WSR-2026-1453</t>
  </si>
  <si>
    <t>WSR-2026-1454</t>
  </si>
  <si>
    <t>WSR-2026-1455</t>
  </si>
  <si>
    <t>WSR-2026-1456</t>
  </si>
  <si>
    <t>WSR-2026-1457</t>
  </si>
  <si>
    <t>WSR-2026-1458</t>
  </si>
  <si>
    <t>WSR-2026-1459</t>
  </si>
  <si>
    <t>WSR-2026-1460</t>
  </si>
  <si>
    <t>WSR-2026-1461</t>
  </si>
  <si>
    <t>WSR-2026-1462</t>
  </si>
  <si>
    <t>WSR-2026-1463</t>
  </si>
  <si>
    <t>WSR-2026-1464</t>
  </si>
  <si>
    <t>WSR-2026-1465</t>
  </si>
  <si>
    <t>WSR-2026-1466</t>
  </si>
  <si>
    <t>WSR-2026-1467</t>
  </si>
  <si>
    <t>WSR-2026-1468</t>
  </si>
  <si>
    <t>WSR-2026-1469</t>
  </si>
  <si>
    <t>WSR-2026-1470</t>
  </si>
  <si>
    <t>WSR-2026-1471</t>
  </si>
  <si>
    <t>WSR-2026-1472</t>
  </si>
  <si>
    <t>WSR-2026-1473</t>
  </si>
  <si>
    <t>WSR-2026-1474</t>
  </si>
  <si>
    <t>WSR-2026-1475</t>
  </si>
  <si>
    <t>WSR-2026-1476</t>
  </si>
  <si>
    <t>WSR-2026-1477</t>
  </si>
  <si>
    <t>WSR-2026-1478</t>
  </si>
  <si>
    <t>WSR-2026-1479</t>
  </si>
  <si>
    <t>WSR-2026-1480</t>
  </si>
  <si>
    <t>WSR-2026-1481</t>
  </si>
  <si>
    <t>WSR-2026-1482</t>
  </si>
  <si>
    <t>WSR-2026-1483</t>
  </si>
  <si>
    <t>WSR-2026-1484</t>
  </si>
  <si>
    <t>WSR-2026-1485</t>
  </si>
  <si>
    <t>WSR-2026-1486</t>
  </si>
  <si>
    <t>WSR-2026-1487</t>
  </si>
  <si>
    <t>WSR-2026-1488</t>
  </si>
  <si>
    <t>WSR-2026-1489</t>
  </si>
  <si>
    <t>WSR-2026-1490</t>
  </si>
  <si>
    <t>WSR-2026-1491</t>
  </si>
  <si>
    <t>WSR-2026-1492</t>
  </si>
  <si>
    <t>WSR-2026-1493</t>
  </si>
  <si>
    <t>WSR-2026-1494</t>
  </si>
  <si>
    <t>WSR-2026-1495</t>
  </si>
  <si>
    <t>WSR-2026-1496</t>
  </si>
  <si>
    <t>WSR-2026-1497</t>
  </si>
  <si>
    <t>WSR-2026-1498</t>
  </si>
  <si>
    <t>WSR-2026-1499</t>
  </si>
  <si>
    <t>WSR-2026-1500</t>
  </si>
  <si>
    <t>WSR-2026-1501</t>
  </si>
  <si>
    <t>WSR-2026-1502</t>
  </si>
  <si>
    <t>WSR-2026-1503</t>
  </si>
  <si>
    <t>WSR-2026-1504</t>
  </si>
  <si>
    <t>WSR-2026-1505</t>
  </si>
  <si>
    <t>WSR-2026-1506</t>
  </si>
  <si>
    <t>WSR-2026-1507</t>
  </si>
  <si>
    <t>WSR-2026-1508</t>
  </si>
  <si>
    <t>WSR-2026-1509</t>
  </si>
  <si>
    <t>WSR-2026-1510</t>
  </si>
  <si>
    <t>WSR-2026-1511</t>
  </si>
  <si>
    <t>WSR-2026-1512</t>
  </si>
  <si>
    <t>WSR-2026-1513</t>
  </si>
  <si>
    <t>WSR-2026-1514</t>
  </si>
  <si>
    <t>WSR-2026-1515</t>
  </si>
  <si>
    <t>WSR-2026-1516</t>
  </si>
  <si>
    <t>WSR-2026-1517</t>
  </si>
  <si>
    <t>WSR-2026-1518</t>
  </si>
  <si>
    <t>WSR-2026-1519</t>
  </si>
  <si>
    <t>WSR-2026-1520</t>
  </si>
  <si>
    <t>WSR-2026-1521</t>
  </si>
  <si>
    <t>WSR-2026-1522</t>
  </si>
  <si>
    <t>WSR-2026-1523</t>
  </si>
  <si>
    <t>WSR-2026-1524</t>
  </si>
  <si>
    <t>WSR-2026-1525</t>
  </si>
  <si>
    <t>WSR-2026-1526</t>
  </si>
  <si>
    <t>WSR-2026-1527</t>
  </si>
  <si>
    <t>WSR-2026-1528</t>
  </si>
  <si>
    <t>WSR-2026-1529</t>
  </si>
  <si>
    <t>WSR-2026-1530</t>
  </si>
  <si>
    <t>WSR-2026-1531</t>
  </si>
  <si>
    <t>WSR-2026-1532</t>
  </si>
  <si>
    <t>WSR-2026-1533</t>
  </si>
  <si>
    <t>WSR-2026-1534</t>
  </si>
  <si>
    <t>WSR-2026-1535</t>
  </si>
  <si>
    <t>WSR-2026-1536</t>
  </si>
  <si>
    <t>WSR-2026-1537</t>
  </si>
  <si>
    <t>WSR-2026-1538</t>
  </si>
  <si>
    <t>WSR-2026-1539</t>
  </si>
  <si>
    <t>WSR-2026-1540</t>
  </si>
  <si>
    <t>WSR-2026-1541</t>
  </si>
  <si>
    <t>WSR-2026-1542</t>
  </si>
  <si>
    <t>WSR-2026-1543</t>
  </si>
  <si>
    <t>WSR-2026-1544</t>
  </si>
  <si>
    <t>WSR-2026-1545</t>
  </si>
  <si>
    <t>WSR-2026-1546</t>
  </si>
  <si>
    <t>WSR-2026-1547</t>
  </si>
  <si>
    <t>WSR-2026-1548</t>
  </si>
  <si>
    <t>WSR-2026-1549</t>
  </si>
  <si>
    <t>WSR-2026-1550</t>
  </si>
  <si>
    <t>WSR-2026-1551</t>
  </si>
  <si>
    <t>WSR-2026-1552</t>
  </si>
  <si>
    <t>WSR-2026-1553</t>
  </si>
  <si>
    <t>WSR-2026-1554</t>
  </si>
  <si>
    <t>WSR-2026-1555</t>
  </si>
  <si>
    <t>WSR-2026-1556</t>
  </si>
  <si>
    <t>WSR-2026-1557</t>
  </si>
  <si>
    <t>WSR-2026-1558</t>
  </si>
  <si>
    <t>WSR-2026-1559</t>
  </si>
  <si>
    <t>WSR-2026-1560</t>
  </si>
  <si>
    <t>WSR-2026-1561</t>
  </si>
  <si>
    <t>WSR-2026-1562</t>
  </si>
  <si>
    <t>WSR-2026-1563</t>
  </si>
  <si>
    <t>WSR-2026-1564</t>
  </si>
  <si>
    <t>WSR-2026-1565</t>
  </si>
  <si>
    <t>WSR-2026-1566</t>
  </si>
  <si>
    <t>WSR-2026-1567</t>
  </si>
  <si>
    <t>WSR-2026-1568</t>
  </si>
  <si>
    <t>WSR-2026-1569</t>
  </si>
  <si>
    <t>WSR-2026-1570</t>
  </si>
  <si>
    <t>WSR-2026-1571</t>
  </si>
  <si>
    <t>WSR-2026-1572</t>
  </si>
  <si>
    <t>WSR-2026-1573</t>
  </si>
  <si>
    <t>WSR-2026-1574</t>
  </si>
  <si>
    <t>WSR-2026-1575</t>
  </si>
  <si>
    <t>WSR-2026-1576</t>
  </si>
  <si>
    <t>WSR-2026-1577</t>
  </si>
  <si>
    <t>WSR-2026-1578</t>
  </si>
  <si>
    <t>WSR-2026-1579</t>
  </si>
  <si>
    <t>WSR-2026-1580</t>
  </si>
  <si>
    <t>WSR-2026-1581</t>
  </si>
  <si>
    <t>WSR-2026-1582</t>
  </si>
  <si>
    <t>WSR-2026-1583</t>
  </si>
  <si>
    <t>WSR-2026-1584</t>
  </si>
  <si>
    <t>WSR-2026-1585</t>
  </si>
  <si>
    <t>WSR-2026-1586</t>
  </si>
  <si>
    <t>WSR-2026-1587</t>
  </si>
  <si>
    <t>WSR-2026-1588</t>
  </si>
  <si>
    <t>WSR-2026-1589</t>
  </si>
  <si>
    <t>WSR-2026-1590</t>
  </si>
  <si>
    <t>WSR-2026-1591</t>
  </si>
  <si>
    <t>WSR-2026-1592</t>
  </si>
  <si>
    <t>WSR-2026-1593</t>
  </si>
  <si>
    <t>WSR-2026-1594</t>
  </si>
  <si>
    <t>WSR-2026-1595</t>
  </si>
  <si>
    <t>WSR-2026-1596</t>
  </si>
  <si>
    <t>WSR-2026-1597</t>
  </si>
  <si>
    <t>WSR-2026-1598</t>
  </si>
  <si>
    <t>WSR-2026-1599</t>
  </si>
  <si>
    <t>WSR-2026-1600</t>
  </si>
  <si>
    <t>WSR-2026-1601</t>
  </si>
  <si>
    <t>WSR-2026-1602</t>
  </si>
  <si>
    <t>WSR-2026-1603</t>
  </si>
  <si>
    <t>WSR-2026-1604</t>
  </si>
  <si>
    <t>WSR-2026-1605</t>
  </si>
  <si>
    <t>WSR-2026-1606</t>
  </si>
  <si>
    <t>WSR-2026-1607</t>
  </si>
  <si>
    <t>WSR-2026-1608</t>
  </si>
  <si>
    <t>WSR-2026-1609</t>
  </si>
  <si>
    <t>WSR-2026-1610</t>
  </si>
  <si>
    <t>WSR-2026-1611</t>
  </si>
  <si>
    <t>WSR-2026-1612</t>
  </si>
  <si>
    <t>WSR-2026-1613</t>
  </si>
  <si>
    <t>WSR-2026-1614</t>
  </si>
  <si>
    <t>WSR-2026-1615</t>
  </si>
  <si>
    <t>WSR-2026-1616</t>
  </si>
  <si>
    <t>WSR-2026-1617</t>
  </si>
  <si>
    <t>WSR-2026-1618</t>
  </si>
  <si>
    <t>WSR-2026-1619</t>
  </si>
  <si>
    <t>WSR-2026-1620</t>
  </si>
  <si>
    <t>WSR-2026-1621</t>
  </si>
  <si>
    <t>WSR-2026-1622</t>
  </si>
  <si>
    <t>WSR-2026-1623</t>
  </si>
  <si>
    <t>WSR-2026-1624</t>
  </si>
  <si>
    <t>WSR-2026-1625</t>
  </si>
  <si>
    <t>WSR-2026-1626</t>
  </si>
  <si>
    <t>WSR-2026-1627</t>
  </si>
  <si>
    <t>WSR-2026-1628</t>
  </si>
  <si>
    <t>WSR-2026-1629</t>
  </si>
  <si>
    <t>WSR-2026-1630</t>
  </si>
  <si>
    <t>WSR-2026-1631</t>
  </si>
  <si>
    <t>WSR-2026-1632</t>
  </si>
  <si>
    <t>WSR-2026-1633</t>
  </si>
  <si>
    <t>WSR-2026-1634</t>
  </si>
  <si>
    <t>WSR-2026-1635</t>
  </si>
  <si>
    <t>WSR-2026-1636</t>
  </si>
  <si>
    <t>WSR-2026-1637</t>
  </si>
  <si>
    <t>WSR-2026-1638</t>
  </si>
  <si>
    <t>WSR-2026-1639</t>
  </si>
  <si>
    <t>WSR-2026-1640</t>
  </si>
  <si>
    <t>WSR-2026-1641</t>
  </si>
  <si>
    <t>WSR-2026-1642</t>
  </si>
  <si>
    <t>WSR-2026-1643</t>
  </si>
  <si>
    <t>WSR-2026-1644</t>
  </si>
  <si>
    <t>WSR-2026-1645</t>
  </si>
  <si>
    <t>WSR-2026-1646</t>
  </si>
  <si>
    <t>WSR-2026-1647</t>
  </si>
  <si>
    <t>WSR-2026-1648</t>
  </si>
  <si>
    <t>WSR-2026-1649</t>
  </si>
  <si>
    <t>WSR-2026-1650</t>
  </si>
  <si>
    <t>WSR-2026-1651</t>
  </si>
  <si>
    <t>WSR-2026-1652</t>
  </si>
  <si>
    <t>WSR-2026-1653</t>
  </si>
  <si>
    <t>WSR-2026-1654</t>
  </si>
  <si>
    <t>WSR-2026-1655</t>
  </si>
  <si>
    <t>WSR-2026-1656</t>
  </si>
  <si>
    <t>WSR-2026-1657</t>
  </si>
  <si>
    <t>WSR-2026-1658</t>
  </si>
  <si>
    <t>WSR-2026-1659</t>
  </si>
  <si>
    <t>WSR-2026-1660</t>
  </si>
  <si>
    <t>WSR-2026-1661</t>
  </si>
  <si>
    <t>WSR-2026-1662</t>
  </si>
  <si>
    <t>WSR-2026-1663</t>
  </si>
  <si>
    <t>WSR-2026-1664</t>
  </si>
  <si>
    <t>WSR-2026-1665</t>
  </si>
  <si>
    <t>WSR-2026-1666</t>
  </si>
  <si>
    <t>WSR-2026-1667</t>
  </si>
  <si>
    <t>WSR-2026-1668</t>
  </si>
  <si>
    <t>WSR-2026-1669</t>
  </si>
  <si>
    <t>WSR-2026-1670</t>
  </si>
  <si>
    <t>WSR-2026-1671</t>
  </si>
  <si>
    <t>WSR-2026-1672</t>
  </si>
  <si>
    <t>WSR-2026-1673</t>
  </si>
  <si>
    <t>WSR-2026-1674</t>
  </si>
  <si>
    <t>WSR-2026-1675</t>
  </si>
  <si>
    <t>WSR-2026-1676</t>
  </si>
  <si>
    <t>WSR-2026-1677</t>
  </si>
  <si>
    <t>WSR-2026-1678</t>
  </si>
  <si>
    <t>WSR-2026-1679</t>
  </si>
  <si>
    <t>WSR-2026-1680</t>
  </si>
  <si>
    <t>WSR-2026-1681</t>
  </si>
  <si>
    <t>WSR-2026-1682</t>
  </si>
  <si>
    <t>WSR-2026-1683</t>
  </si>
  <si>
    <t>WSR-2026-1684</t>
  </si>
  <si>
    <t>WSR-2026-1685</t>
  </si>
  <si>
    <t>WSR-2026-1686</t>
  </si>
  <si>
    <t>WSR-2026-1687</t>
  </si>
  <si>
    <t>WSR-2026-1688</t>
  </si>
  <si>
    <t>WSR-2026-1689</t>
  </si>
  <si>
    <t>WSR-2026-1690</t>
  </si>
  <si>
    <t>WSR-2026-1691</t>
  </si>
  <si>
    <t>WSR-2026-1692</t>
  </si>
  <si>
    <t>WSR-2026-1693</t>
  </si>
  <si>
    <t>WSR-2026-1694</t>
  </si>
  <si>
    <t>WSR-2026-1695</t>
  </si>
  <si>
    <t>WSR-2026-1696</t>
  </si>
  <si>
    <t>WSR-2026-1697</t>
  </si>
  <si>
    <t>WSR-2026-1698</t>
  </si>
  <si>
    <t>WSR-2026-1699</t>
  </si>
  <si>
    <t>WSR-2026-1700</t>
  </si>
  <si>
    <t>WSR-2026-1701</t>
  </si>
  <si>
    <t>WSR-2026-1702</t>
  </si>
  <si>
    <t>WSR-2026-1703</t>
  </si>
  <si>
    <t>WSR-2026-1704</t>
  </si>
  <si>
    <t>WSR-2026-1705</t>
  </si>
  <si>
    <t>WSR-2026-1706</t>
  </si>
  <si>
    <t>WSR-2026-1707</t>
  </si>
  <si>
    <t>WSR-2026-1708</t>
  </si>
  <si>
    <t>WSR-2026-1709</t>
  </si>
  <si>
    <t>WSR-2026-1710</t>
  </si>
  <si>
    <t>WSR-2026-1711</t>
  </si>
  <si>
    <t>WSR-2026-1712</t>
  </si>
  <si>
    <t>WSR-2026-1713</t>
  </si>
  <si>
    <t>WSR-2026-1714</t>
  </si>
  <si>
    <t>WSR-2026-1715</t>
  </si>
  <si>
    <t>WSR-2026-1716</t>
  </si>
  <si>
    <t>WSR-2026-1717</t>
  </si>
  <si>
    <t>WSR-2026-1718</t>
  </si>
  <si>
    <t>WSR-2026-1719</t>
  </si>
  <si>
    <t>WSR-2026-1720</t>
  </si>
  <si>
    <t>WSR-2026-1721</t>
  </si>
  <si>
    <t>WSR-2026-1722</t>
  </si>
  <si>
    <t>WSR-2026-1723</t>
  </si>
  <si>
    <t>WSR-2026-1724</t>
  </si>
  <si>
    <t>WSR-2026-1725</t>
  </si>
  <si>
    <t>WSR-2026-1726</t>
  </si>
  <si>
    <t>WSR-2026-1727</t>
  </si>
  <si>
    <t>WSR-2026-1728</t>
  </si>
  <si>
    <t>WSR-2026-1729</t>
  </si>
  <si>
    <t>WSR-2026-1730</t>
  </si>
  <si>
    <t>WSR-2026-1731</t>
  </si>
  <si>
    <t>WSR-2026-1732</t>
  </si>
  <si>
    <t>WSR-2026-1733</t>
  </si>
  <si>
    <t>WSR-2026-1734</t>
  </si>
  <si>
    <t>WSR-2026-1735</t>
  </si>
  <si>
    <t>WSR-2026-1736</t>
  </si>
  <si>
    <t>WSR-2026-1737</t>
  </si>
  <si>
    <t>WSR-2026-1738</t>
  </si>
  <si>
    <t>WSR-2026-1739</t>
  </si>
  <si>
    <t>WSR-2026-1740</t>
  </si>
  <si>
    <t>WSR-2026-1741</t>
  </si>
  <si>
    <t>WSR-2026-1742</t>
  </si>
  <si>
    <t>WSR-2026-1743</t>
  </si>
  <si>
    <t>WSR-2026-1744</t>
  </si>
  <si>
    <t>WSR-2026-1745</t>
  </si>
  <si>
    <t>WSR-2026-1746</t>
  </si>
  <si>
    <t>WSR-2026-1747</t>
  </si>
  <si>
    <t>WSR-2026-1748</t>
  </si>
  <si>
    <t>WSR-2026-1749</t>
  </si>
  <si>
    <t>WSR-2026-1750</t>
  </si>
  <si>
    <t>WSR-2026-1751</t>
  </si>
  <si>
    <t>WSR-2026-1752</t>
  </si>
  <si>
    <t>WSR-2026-1753</t>
  </si>
  <si>
    <t>WSR-2026-1754</t>
  </si>
  <si>
    <t>WSR-2026-1755</t>
  </si>
  <si>
    <t>WSR-2026-1756</t>
  </si>
  <si>
    <t>WSR-2026-1757</t>
  </si>
  <si>
    <t>WSR-2026-1758</t>
  </si>
  <si>
    <t>WSR-2026-1759</t>
  </si>
  <si>
    <t>WSR-2026-1760</t>
  </si>
  <si>
    <t>WSR-2026-1761</t>
  </si>
  <si>
    <t>WSR-2026-1762</t>
  </si>
  <si>
    <t>WSR-2026-1763</t>
  </si>
  <si>
    <t>WSR-2026-1764</t>
  </si>
  <si>
    <t>WSR-2026-1765</t>
  </si>
  <si>
    <t>WSR-2026-1766</t>
  </si>
  <si>
    <t>WSR-2026-1767</t>
  </si>
  <si>
    <t>WSR-2026-1768</t>
  </si>
  <si>
    <t>WSR-2026-1769</t>
  </si>
  <si>
    <t>WSR-2026-1770</t>
  </si>
  <si>
    <t>WSR-2026-1771</t>
  </si>
  <si>
    <t>WSR-2026-1772</t>
  </si>
  <si>
    <t>WSR-2026-1773</t>
  </si>
  <si>
    <t>WSR-2026-1774</t>
  </si>
  <si>
    <t>WSR-2026-1775</t>
  </si>
  <si>
    <t>WSR-2026-1776</t>
  </si>
  <si>
    <t>WSR-2026-1777</t>
  </si>
  <si>
    <t>WSR-2026-1778</t>
  </si>
  <si>
    <t>WSR-2026-1779</t>
  </si>
  <si>
    <t>WSR-2026-1780</t>
  </si>
  <si>
    <t>WSR-2026-1781</t>
  </si>
  <si>
    <t>WSR-2026-1782</t>
  </si>
  <si>
    <t>WSR-2026-1783</t>
  </si>
  <si>
    <t>WSR-2026-1784</t>
  </si>
  <si>
    <t>WSR-2026-1785</t>
  </si>
  <si>
    <t>WSR-2026-1786</t>
  </si>
  <si>
    <t>WSR-2026-1787</t>
  </si>
  <si>
    <t>WSR-2026-1788</t>
  </si>
  <si>
    <t>WSR-2026-1789</t>
  </si>
  <si>
    <t>WSR-2026-1790</t>
  </si>
  <si>
    <t>WSR-2026-1791</t>
  </si>
  <si>
    <t>WSR-2026-1792</t>
  </si>
  <si>
    <t>WSR-2026-1793</t>
  </si>
  <si>
    <t>WSR-2026-1794</t>
  </si>
  <si>
    <t>WSR-2026-1795</t>
  </si>
  <si>
    <t>WSR-2026-1796</t>
  </si>
  <si>
    <t>WSR-2026-1797</t>
  </si>
  <si>
    <t>WSR-2026-1798</t>
  </si>
  <si>
    <t>WSR-2026-1799</t>
  </si>
  <si>
    <t>WSR-2026-1800</t>
  </si>
  <si>
    <t>WSR-2026-1801</t>
  </si>
  <si>
    <t>WSR-2026-1802</t>
  </si>
  <si>
    <t>WSR-2026-1803</t>
  </si>
  <si>
    <t>WSR-2026-1804</t>
  </si>
  <si>
    <t>WSR-2026-1805</t>
  </si>
  <si>
    <t>WSR-2026-1806</t>
  </si>
  <si>
    <t>WSR-2026-1807</t>
  </si>
  <si>
    <t>WSR-2026-1808</t>
  </si>
  <si>
    <t>WSR-2026-1809</t>
  </si>
  <si>
    <t>WSR-2026-1810</t>
  </si>
  <si>
    <t>WSR-2026-1811</t>
  </si>
  <si>
    <t>WSR-2026-1812</t>
  </si>
  <si>
    <t>WSR-2026-1813</t>
  </si>
  <si>
    <t>WSR-2026-1814</t>
  </si>
  <si>
    <t>WSR-2026-1815</t>
  </si>
  <si>
    <t>WSR-2026-1816</t>
  </si>
  <si>
    <t>WSR-2026-1817</t>
  </si>
  <si>
    <t>WSR-2026-1818</t>
  </si>
  <si>
    <t>WSR-2026-1819</t>
  </si>
  <si>
    <t>WSR-2026-1820</t>
  </si>
  <si>
    <t>WSR-2026-1821</t>
  </si>
  <si>
    <t>WSR-2026-1822</t>
  </si>
  <si>
    <t>WSR-2026-1823</t>
  </si>
  <si>
    <t>WSR-2026-1824</t>
  </si>
  <si>
    <t>WSR-2026-1825</t>
  </si>
  <si>
    <t>WSR-2026-1826</t>
  </si>
  <si>
    <t>WSR-2026-1827</t>
  </si>
  <si>
    <t>WSR-2026-1828</t>
  </si>
  <si>
    <t>WSR-2026-1829</t>
  </si>
  <si>
    <t>WSR-2026-1830</t>
  </si>
  <si>
    <t>WSR-2026-1831</t>
  </si>
  <si>
    <t>WSR-2026-1832</t>
  </si>
  <si>
    <t>WSR-2026-1833</t>
  </si>
  <si>
    <t>WSR-2026-1834</t>
  </si>
  <si>
    <t>WSR-2026-1835</t>
  </si>
  <si>
    <t>WSR-2026-1836</t>
  </si>
  <si>
    <t>WSR-2026-1837</t>
  </si>
  <si>
    <t>WSR-2026-1838</t>
  </si>
  <si>
    <t>WSR-2026-1839</t>
  </si>
  <si>
    <t>WSR-2026-1840</t>
  </si>
  <si>
    <t>WSR-2026-1841</t>
  </si>
  <si>
    <t>WSR-2026-1842</t>
  </si>
  <si>
    <t>WSR-2026-1843</t>
  </si>
  <si>
    <t>WSR-2026-1844</t>
  </si>
  <si>
    <t>WSR-2026-1845</t>
  </si>
  <si>
    <t>WSR-2026-1846</t>
  </si>
  <si>
    <t>WSR-2026-1847</t>
  </si>
  <si>
    <t>WSR-2026-1848</t>
  </si>
  <si>
    <t>WSR-2026-1849</t>
  </si>
  <si>
    <t>WSR-2026-1850</t>
  </si>
  <si>
    <t>WSR-2026-1851</t>
  </si>
  <si>
    <t>WSR-2026-1852</t>
  </si>
  <si>
    <t>WSR-2026-1853</t>
  </si>
  <si>
    <t>WSR-2026-1854</t>
  </si>
  <si>
    <t>WSR-2026-1855</t>
  </si>
  <si>
    <t>WSR-2026-1856</t>
  </si>
  <si>
    <t>WSR-2026-1857</t>
  </si>
  <si>
    <t>WSR-2026-1858</t>
  </si>
  <si>
    <t>WSR-2026-1859</t>
  </si>
  <si>
    <t>WSR-2026-1860</t>
  </si>
  <si>
    <t>WSR-2026-1861</t>
  </si>
  <si>
    <t>WSR-2026-1862</t>
  </si>
  <si>
    <t>WSR-2026-1863</t>
  </si>
  <si>
    <t>WSR-2026-1864</t>
  </si>
  <si>
    <t>WSR-2026-1865</t>
  </si>
  <si>
    <t>WSR-2026-1866</t>
  </si>
  <si>
    <t>WSR-2026-1867</t>
  </si>
  <si>
    <t>WSR-2026-1868</t>
  </si>
  <si>
    <t>WSR-2026-1869</t>
  </si>
  <si>
    <t>WSR-2026-1870</t>
  </si>
  <si>
    <t>WSR-2026-1871</t>
  </si>
  <si>
    <t>WSR-2026-1872</t>
  </si>
  <si>
    <t>WSR-2026-1873</t>
  </si>
  <si>
    <t>WSR-2026-1874</t>
  </si>
  <si>
    <t>WSR-2026-1875</t>
  </si>
  <si>
    <t>WSR-2026-1876</t>
  </si>
  <si>
    <t>WSR-2026-1877</t>
  </si>
  <si>
    <t>WSR-2026-1878</t>
  </si>
  <si>
    <t>WSR-2026-1879</t>
  </si>
  <si>
    <t>WSR-2026-1880</t>
  </si>
  <si>
    <t>WSR-2026-1881</t>
  </si>
  <si>
    <t>WSR-2026-1882</t>
  </si>
  <si>
    <t>WSR-2026-1883</t>
  </si>
  <si>
    <t>WSR-2026-1884</t>
  </si>
  <si>
    <t>WSR-2026-1885</t>
  </si>
  <si>
    <t>WSR-2026-1886</t>
  </si>
  <si>
    <t>WSR-2026-1887</t>
  </si>
  <si>
    <t>WSR-2026-1888</t>
  </si>
  <si>
    <t>WSR-2026-1889</t>
  </si>
  <si>
    <t>WSR-2026-1890</t>
  </si>
  <si>
    <t>WSR-2026-1891</t>
  </si>
  <si>
    <t>WSR-2026-1892</t>
  </si>
  <si>
    <t>WSR-2026-1893</t>
  </si>
  <si>
    <t>WSR-2026-1894</t>
  </si>
  <si>
    <t>WSR-2026-1895</t>
  </si>
  <si>
    <t>WSR-2026-1896</t>
  </si>
  <si>
    <t>WSR-2026-1897</t>
  </si>
  <si>
    <t>WSR-2026-1898</t>
  </si>
  <si>
    <t>WSR-2026-1899</t>
  </si>
  <si>
    <t>WSR-2026-1900</t>
  </si>
  <si>
    <t>WSR-2026-1901</t>
  </si>
  <si>
    <t>WSR-2026-1902</t>
  </si>
  <si>
    <t>WSR-2026-1903</t>
  </si>
  <si>
    <t>WSR-2026-1904</t>
  </si>
  <si>
    <t>WSR-2026-1905</t>
  </si>
  <si>
    <t>WSR-2026-1906</t>
  </si>
  <si>
    <t>WSR-2026-1907</t>
  </si>
  <si>
    <t>WSR-2026-1908</t>
  </si>
  <si>
    <t>WSR-2026-1909</t>
  </si>
  <si>
    <t>WSR-2026-1910</t>
  </si>
  <si>
    <t>WSR-2026-1911</t>
  </si>
  <si>
    <t>WSR-2026-1912</t>
  </si>
  <si>
    <t>WSR-2026-1913</t>
  </si>
  <si>
    <t>WSR-2026-1914</t>
  </si>
  <si>
    <t>WSR-2026-1915</t>
  </si>
  <si>
    <t>WSR-2026-1916</t>
  </si>
  <si>
    <t>WSR-2026-1917</t>
  </si>
  <si>
    <t>WSR-2026-1918</t>
  </si>
  <si>
    <t>WSR-2026-1919</t>
  </si>
  <si>
    <t>WSR-2026-1920</t>
  </si>
  <si>
    <t>WSR-2026-1921</t>
  </si>
  <si>
    <t>WSR-2026-1922</t>
  </si>
  <si>
    <t>WSR-2026-1923</t>
  </si>
  <si>
    <t>WSR-2026-1924</t>
  </si>
  <si>
    <t>WSR-2026-1925</t>
  </si>
  <si>
    <t>WSR-2026-1926</t>
  </si>
  <si>
    <t>WSR-2026-1927</t>
  </si>
  <si>
    <t>WSR-2026-1928</t>
  </si>
  <si>
    <t>WSR-2026-1929</t>
  </si>
  <si>
    <t>WSR-2026-1930</t>
  </si>
  <si>
    <t>WSR-2026-1931</t>
  </si>
  <si>
    <t>WSR-2026-1932</t>
  </si>
  <si>
    <t>WSR-2026-1933</t>
  </si>
  <si>
    <t>WSR-2026-1934</t>
  </si>
  <si>
    <t>WSR-2026-1935</t>
  </si>
  <si>
    <t>WSR-2026-1936</t>
  </si>
  <si>
    <t>WSR-2026-1937</t>
  </si>
  <si>
    <t>WSR-2026-1938</t>
  </si>
  <si>
    <t>WSR-2026-1939</t>
  </si>
  <si>
    <t>WSR-2026-1940</t>
  </si>
  <si>
    <t>WSR-2026-1941</t>
  </si>
  <si>
    <t>WSR-2026-1942</t>
  </si>
  <si>
    <t>WSR-2026-1943</t>
  </si>
  <si>
    <t>WSR-2026-1944</t>
  </si>
  <si>
    <t>WSR-2026-1945</t>
  </si>
  <si>
    <t>WSR-2026-1946</t>
  </si>
  <si>
    <t>WSR-2026-1947</t>
  </si>
  <si>
    <t>WSR-2026-1948</t>
  </si>
  <si>
    <t>WSR-2026-1949</t>
  </si>
  <si>
    <t>WSR-2026-1950</t>
  </si>
  <si>
    <t>WSR-2026-1951</t>
  </si>
  <si>
    <t>WSR-2026-1952</t>
  </si>
  <si>
    <t>WSR-2026-1953</t>
  </si>
  <si>
    <t>WSR-2026-1954</t>
  </si>
  <si>
    <t>WSR-2026-1955</t>
  </si>
  <si>
    <t>WSR-2026-1956</t>
  </si>
  <si>
    <t>WSR-2026-1957</t>
  </si>
  <si>
    <t>WSR-2026-1958</t>
  </si>
  <si>
    <t>WSR-2026-1959</t>
  </si>
  <si>
    <t>WSR-2026-1960</t>
  </si>
  <si>
    <t>WSR-2026-1961</t>
  </si>
  <si>
    <t>WSR-2026-1962</t>
  </si>
  <si>
    <t>WSR-2026-1963</t>
  </si>
  <si>
    <t>WSR-2026-1964</t>
  </si>
  <si>
    <t>WSR-2026-1965</t>
  </si>
  <si>
    <t>WSR-2026-1966</t>
  </si>
  <si>
    <t>WSR-2026-1967</t>
  </si>
  <si>
    <t>WSR-2026-1968</t>
  </si>
  <si>
    <t>WSR-2026-1969</t>
  </si>
  <si>
    <t>WSR-2026-1970</t>
  </si>
  <si>
    <t>WSR-2026-1971</t>
  </si>
  <si>
    <t>WSR-2026-1972</t>
  </si>
  <si>
    <t>WSR-2026-1973</t>
  </si>
  <si>
    <t>WSR-2026-1974</t>
  </si>
  <si>
    <t>WSR-2026-1975</t>
  </si>
  <si>
    <t>WSR-2026-1976</t>
  </si>
  <si>
    <t>WSR-2026-1977</t>
  </si>
  <si>
    <t>WSR-2026-1978</t>
  </si>
  <si>
    <t>WSR-2026-1979</t>
  </si>
  <si>
    <t>WSR-2026-1980</t>
  </si>
  <si>
    <t>WSR-2026-1981</t>
  </si>
  <si>
    <t>WSR-2026-1982</t>
  </si>
  <si>
    <t>WSR-2026-1983</t>
  </si>
  <si>
    <t>WSR-2026-1984</t>
  </si>
  <si>
    <t>WSR-2026-1985</t>
  </si>
  <si>
    <t>WSR-2026-1986</t>
  </si>
  <si>
    <t>WSR-2026-1987</t>
  </si>
  <si>
    <t>WSR-2026-1988</t>
  </si>
  <si>
    <t>WSR-2026-1989</t>
  </si>
  <si>
    <t>WSR-2026-1990</t>
  </si>
  <si>
    <t>WSR-2026-1991</t>
  </si>
  <si>
    <t>WSR-2026-1992</t>
  </si>
  <si>
    <t>WSR-2026-1993</t>
  </si>
  <si>
    <t>WSR-2026-1994</t>
  </si>
  <si>
    <t>WSR-2026-1995</t>
  </si>
  <si>
    <t>WSR-2026-1996</t>
  </si>
  <si>
    <t>WSR-2026-1997</t>
  </si>
  <si>
    <t>WSR-2026-1998</t>
  </si>
  <si>
    <t>WSR-2026-1999</t>
  </si>
  <si>
    <t>WSR-2026-2000</t>
  </si>
  <si>
    <t>WSR-2026-2001</t>
  </si>
  <si>
    <t>WSR-2026-2002</t>
  </si>
  <si>
    <t>WSR-2026-2003</t>
  </si>
  <si>
    <t>WSR-2026-2004</t>
  </si>
  <si>
    <t>WSR-2026-2005</t>
  </si>
  <si>
    <t>WSR-2026-2006</t>
  </si>
  <si>
    <t>WSR-2026-2007</t>
  </si>
  <si>
    <t>WSR-2026-2008</t>
  </si>
  <si>
    <t>WSR-2026-2009</t>
  </si>
  <si>
    <t>WSR-2026-2010</t>
  </si>
  <si>
    <t>WSR-2026-2011</t>
  </si>
  <si>
    <t>WSR-2026-2012</t>
  </si>
  <si>
    <t>WSR-2026-2013</t>
  </si>
  <si>
    <t>WSR-2026-2014</t>
  </si>
  <si>
    <t>WSR-2026-2015</t>
  </si>
  <si>
    <t>WSR-2026-2016</t>
  </si>
  <si>
    <t>WSR-2026-2017</t>
  </si>
  <si>
    <t>WSR-2026-2018</t>
  </si>
  <si>
    <t>WSR-2026-2019</t>
  </si>
  <si>
    <t>WSR-2026-2020</t>
  </si>
  <si>
    <t>WSR-2026-2021</t>
  </si>
  <si>
    <t>WSR-2026-2022</t>
  </si>
  <si>
    <t>WSR-2026-2023</t>
  </si>
  <si>
    <t>WSR-2026-2024</t>
  </si>
  <si>
    <t>WSR-2026-2025</t>
  </si>
  <si>
    <t>WSR-2026-2026</t>
  </si>
  <si>
    <t>WSR-2026-2027</t>
  </si>
  <si>
    <t>WSR-2026-2028</t>
  </si>
  <si>
    <t>WSR-2026-2029</t>
  </si>
  <si>
    <t>WSR-2026-2030</t>
  </si>
  <si>
    <t>WSR-2026-2031</t>
  </si>
  <si>
    <t>WSR-2026-2032</t>
  </si>
  <si>
    <t>WSR-2026-2033</t>
  </si>
  <si>
    <t>WSR-2026-2034</t>
  </si>
  <si>
    <t>WSR-2026-2035</t>
  </si>
  <si>
    <t>WSR-2026-2036</t>
  </si>
  <si>
    <t>WSR-2026-2037</t>
  </si>
  <si>
    <t>WSR-2026-2038</t>
  </si>
  <si>
    <t>WSR-2026-2039</t>
  </si>
  <si>
    <t>WSR-2026-2040</t>
  </si>
  <si>
    <t>WSR-2026-2041</t>
  </si>
  <si>
    <t>WSR-2026-2042</t>
  </si>
  <si>
    <t>WSR-2026-2043</t>
  </si>
  <si>
    <t>WSR-2026-2044</t>
  </si>
  <si>
    <t>WSR-2026-2045</t>
  </si>
  <si>
    <t>WSR-2026-2046</t>
  </si>
  <si>
    <t>WSR-2026-2047</t>
  </si>
  <si>
    <t>WSR-2026-2048</t>
  </si>
  <si>
    <t>WSR-2026-2049</t>
  </si>
  <si>
    <t>WSR-2026-2050</t>
  </si>
  <si>
    <t>WSR-2026-2051</t>
  </si>
  <si>
    <t>WSR-2026-2052</t>
  </si>
  <si>
    <t>WSR-2026-2053</t>
  </si>
  <si>
    <t>WSR-2026-2054</t>
  </si>
  <si>
    <t>WSR-2026-2055</t>
  </si>
  <si>
    <t>WSR-2026-2056</t>
  </si>
  <si>
    <t>WSR-2026-2057</t>
  </si>
  <si>
    <t>WSR-2026-2058</t>
  </si>
  <si>
    <t>WSR-2026-2059</t>
  </si>
  <si>
    <t>WSR-2026-2060</t>
  </si>
  <si>
    <t>WSR-2026-2061</t>
  </si>
  <si>
    <t>WSR-2026-2062</t>
  </si>
  <si>
    <t>WSR-2026-2063</t>
  </si>
  <si>
    <t>WSR-2026-2064</t>
  </si>
  <si>
    <t>WSR-2026-2065</t>
  </si>
  <si>
    <t>WSR-2026-2066</t>
  </si>
  <si>
    <t>WSR-2026-2067</t>
  </si>
  <si>
    <t>WSR-2026-2068</t>
  </si>
  <si>
    <t>WSR-2026-2069</t>
  </si>
  <si>
    <t>WSR-2026-2070</t>
  </si>
  <si>
    <t>WSR-2026-2071</t>
  </si>
  <si>
    <t>WSR-2026-2072</t>
  </si>
  <si>
    <t>WSR-2026-2073</t>
  </si>
  <si>
    <t>WSR-2026-2074</t>
  </si>
  <si>
    <t>WSR-2026-2075</t>
  </si>
  <si>
    <t>WSR-2026-2076</t>
  </si>
  <si>
    <t>WSR-2026-2077</t>
  </si>
  <si>
    <t>WSR-2026-2078</t>
  </si>
  <si>
    <t>WSR-2026-2079</t>
  </si>
  <si>
    <t>WSR-2026-2080</t>
  </si>
  <si>
    <t>WSR-2026-2081</t>
  </si>
  <si>
    <t>WSR-2026-2082</t>
  </si>
  <si>
    <t>WSR-2026-2083</t>
  </si>
  <si>
    <t>WSR-2026-2084</t>
  </si>
  <si>
    <t>WSR-2026-2085</t>
  </si>
  <si>
    <t>WSR-2026-2086</t>
  </si>
  <si>
    <t>WSR-2026-2087</t>
  </si>
  <si>
    <t>WSR-2026-2088</t>
  </si>
  <si>
    <t>WSR-2026-2089</t>
  </si>
  <si>
    <t>WSR-2026-2090</t>
  </si>
  <si>
    <t>WSR-2026-2091</t>
  </si>
  <si>
    <t>WSR-2026-2092</t>
  </si>
  <si>
    <t>WSR-2026-2093</t>
  </si>
  <si>
    <t>WSR-2026-2094</t>
  </si>
  <si>
    <t>WSR-2026-2095</t>
  </si>
  <si>
    <t>WSR-2026-2096</t>
  </si>
  <si>
    <t>WSR-2026-2097</t>
  </si>
  <si>
    <t>WSR-2026-2098</t>
  </si>
  <si>
    <t>WSR-2026-2099</t>
  </si>
  <si>
    <t>WSR-2026-2100</t>
  </si>
  <si>
    <t>WSR-2026-2101</t>
  </si>
  <si>
    <t>WSR-2026-2102</t>
  </si>
  <si>
    <t>WSR-2026-2103</t>
  </si>
  <si>
    <t>WSR-2026-2104</t>
  </si>
  <si>
    <t>WSR-2026-2105</t>
  </si>
  <si>
    <t>WSR-2026-2106</t>
  </si>
  <si>
    <t>WSR-2026-2107</t>
  </si>
  <si>
    <t>WSR-2026-2108</t>
  </si>
  <si>
    <t>WSR-2026-2109</t>
  </si>
  <si>
    <t>WSR-2026-2110</t>
  </si>
  <si>
    <t>WSR-2026-2111</t>
  </si>
  <si>
    <t>WSR-2026-2112</t>
  </si>
  <si>
    <t>WSR-2026-2113</t>
  </si>
  <si>
    <t>WSR-2026-2114</t>
  </si>
  <si>
    <t>WSR-2026-2115</t>
  </si>
  <si>
    <t>WSR-2026-2116</t>
  </si>
  <si>
    <t>WSR-2026-2117</t>
  </si>
  <si>
    <t>WSR-2026-2118</t>
  </si>
  <si>
    <t>WSR-2026-2119</t>
  </si>
  <si>
    <t>WSR-2026-2120</t>
  </si>
  <si>
    <t>WSR-2026-2121</t>
  </si>
  <si>
    <t>WSR-2026-2122</t>
  </si>
  <si>
    <t>WSR-2026-2123</t>
  </si>
  <si>
    <t>WSR-2026-2124</t>
  </si>
  <si>
    <t>WSR-2026-2125</t>
  </si>
  <si>
    <t>WSR-2026-2126</t>
  </si>
  <si>
    <t>WSR-2026-2127</t>
  </si>
  <si>
    <t>WSR-2026-2128</t>
  </si>
  <si>
    <t>WSR-2026-2129</t>
  </si>
  <si>
    <t>WSR-2026-2130</t>
  </si>
  <si>
    <t>WSR-2026-2131</t>
  </si>
  <si>
    <t>WSR-2026-2132</t>
  </si>
  <si>
    <t>WSR-2026-2133</t>
  </si>
  <si>
    <t>WSR-2026-2134</t>
  </si>
  <si>
    <t>WSR-2026-2135</t>
  </si>
  <si>
    <t>WSR-2026-2136</t>
  </si>
  <si>
    <t>WSR-2026-2137</t>
  </si>
  <si>
    <t>WSR-2026-2138</t>
  </si>
  <si>
    <t>WSR-2026-2139</t>
  </si>
  <si>
    <t>WSR-2026-2140</t>
  </si>
  <si>
    <t>WSR-2026-2141</t>
  </si>
  <si>
    <t>WSR-2026-2142</t>
  </si>
  <si>
    <t>WSR-2026-2143</t>
  </si>
  <si>
    <t>WSR-2026-2144</t>
  </si>
  <si>
    <t>WSR-2026-2145</t>
  </si>
  <si>
    <t>WSR-2026-2146</t>
  </si>
  <si>
    <t>WSR-2026-2147</t>
  </si>
  <si>
    <t>WSR-2026-2148</t>
  </si>
  <si>
    <t>WSR-2026-2149</t>
  </si>
  <si>
    <t>WSR-2026-2150</t>
  </si>
  <si>
    <t>WSR-2026-2151</t>
  </si>
  <si>
    <t>WSR-2026-2152</t>
  </si>
  <si>
    <t>WSR-2026-2153</t>
  </si>
  <si>
    <t>WSR-2026-2154</t>
  </si>
  <si>
    <t>WSR-2026-2155</t>
  </si>
  <si>
    <t>WSR-2026-2156</t>
  </si>
  <si>
    <t>WSR-2026-2157</t>
  </si>
  <si>
    <t>WSR-2026-2158</t>
  </si>
  <si>
    <t>WSR-2026-2159</t>
  </si>
  <si>
    <t>WSR-2026-2160</t>
  </si>
  <si>
    <t>WSR-2026-2161</t>
  </si>
  <si>
    <t>WSR-2026-2162</t>
  </si>
  <si>
    <t>WSR-2026-2163</t>
  </si>
  <si>
    <t>WSR-2026-2164</t>
  </si>
  <si>
    <t>WSR-2026-2165</t>
  </si>
  <si>
    <t>WSR-2026-2166</t>
  </si>
  <si>
    <t>WSR-2026-2167</t>
  </si>
  <si>
    <t>WSR-2026-2168</t>
  </si>
  <si>
    <t>WSR-2026-2169</t>
  </si>
  <si>
    <t>WSR-2026-2170</t>
  </si>
  <si>
    <t>WSR-2026-2171</t>
  </si>
  <si>
    <t>WSR-2026-2172</t>
  </si>
  <si>
    <t>WSR-2026-2173</t>
  </si>
  <si>
    <t>WSR-2026-2174</t>
  </si>
  <si>
    <t>WSR-2026-2175</t>
  </si>
  <si>
    <t>WSR-2026-2176</t>
  </si>
  <si>
    <t>WSR-2026-2177</t>
  </si>
  <si>
    <t>WSR-2026-2178</t>
  </si>
  <si>
    <t>WSR-2026-2179</t>
  </si>
  <si>
    <t>WSR-2026-2180</t>
  </si>
  <si>
    <t>WSR-2026-2181</t>
  </si>
  <si>
    <t>WSR-2026-2182</t>
  </si>
  <si>
    <t>WSR-2026-2183</t>
  </si>
  <si>
    <t>WSR-2026-2184</t>
  </si>
  <si>
    <t>WSR-2026-2185</t>
  </si>
  <si>
    <t>WSR-2026-2186</t>
  </si>
  <si>
    <t>WSR-2026-2187</t>
  </si>
  <si>
    <t>WSR-2026-2188</t>
  </si>
  <si>
    <t>WSR-2026-2189</t>
  </si>
  <si>
    <t>WSR-2026-2190</t>
  </si>
  <si>
    <t>WSR-2026-2191</t>
  </si>
  <si>
    <t>WSR-2026-2192</t>
  </si>
  <si>
    <t>WSR-2026-2193</t>
  </si>
  <si>
    <t>WSR-2026-2194</t>
  </si>
  <si>
    <t>WSR-2026-2195</t>
  </si>
  <si>
    <t>WSR-2026-2196</t>
  </si>
  <si>
    <t>WSR-2026-2197</t>
  </si>
  <si>
    <t>WSR-2026-2198</t>
  </si>
  <si>
    <t>WSR-2026-2199</t>
  </si>
  <si>
    <t>WSR-2026-2200</t>
  </si>
  <si>
    <t>WSR-2026-2201</t>
  </si>
  <si>
    <t>WSR-2026-2202</t>
  </si>
  <si>
    <t>WSR-2026-2203</t>
  </si>
  <si>
    <t>WSR-2026-2204</t>
  </si>
  <si>
    <t>WSR-2026-2205</t>
  </si>
  <si>
    <t>WSR-2026-2206</t>
  </si>
  <si>
    <t>WSR-2026-2207</t>
  </si>
  <si>
    <t>WSR-2026-2208</t>
  </si>
  <si>
    <t>WSR-2026-2209</t>
  </si>
  <si>
    <t>WSR-2026-2210</t>
  </si>
  <si>
    <t>WSR-2026-2211</t>
  </si>
  <si>
    <t>WSR-2026-2212</t>
  </si>
  <si>
    <t>WSR-2026-2213</t>
  </si>
  <si>
    <t>WSR-2026-2214</t>
  </si>
  <si>
    <t>WSR-2026-2215</t>
  </si>
  <si>
    <t>WSR-2026-2216</t>
  </si>
  <si>
    <t>WSR-2026-2217</t>
  </si>
  <si>
    <t>WSR-2026-2218</t>
  </si>
  <si>
    <t>WSR-2026-2219</t>
  </si>
  <si>
    <t>WSR-2026-2220</t>
  </si>
  <si>
    <t>WSR-2026-2221</t>
  </si>
  <si>
    <t>WSR-2026-2222</t>
  </si>
  <si>
    <t>WSR-2026-2223</t>
  </si>
  <si>
    <t>WSR-2026-2224</t>
  </si>
  <si>
    <t>WSR-2026-2225</t>
  </si>
  <si>
    <t>WSR-2026-2226</t>
  </si>
  <si>
    <t>WSR-2026-2227</t>
  </si>
  <si>
    <t>WSR-2026-2228</t>
  </si>
  <si>
    <t>WSR-2026-2229</t>
  </si>
  <si>
    <t>WSR-2026-2230</t>
  </si>
  <si>
    <t>WSR-2026-2231</t>
  </si>
  <si>
    <t>WSR-2026-2232</t>
  </si>
  <si>
    <t>WSR-2026-2233</t>
  </si>
  <si>
    <t>WSR-2026-2234</t>
  </si>
  <si>
    <t>WSR-2026-2235</t>
  </si>
  <si>
    <t>WSR-2026-2236</t>
  </si>
  <si>
    <t>WSR-2026-2237</t>
  </si>
  <si>
    <t>WSR-2026-2238</t>
  </si>
  <si>
    <t>WSR-2026-2239</t>
  </si>
  <si>
    <t>WSR-2026-2240</t>
  </si>
  <si>
    <t>WSR-2026-2241</t>
  </si>
  <si>
    <t>WSR-2026-2242</t>
  </si>
  <si>
    <t>WSR-2026-2243</t>
  </si>
  <si>
    <t>WSR-2026-2244</t>
  </si>
  <si>
    <t>WSR-2026-2245</t>
  </si>
  <si>
    <t>WSR-2026-2246</t>
  </si>
  <si>
    <t>WSR-2026-2247</t>
  </si>
  <si>
    <t>WSR-2026-2248</t>
  </si>
  <si>
    <t>WSR-2026-2249</t>
  </si>
  <si>
    <t>WSR-2026-2250</t>
  </si>
  <si>
    <t>WSR-2026-2251</t>
  </si>
  <si>
    <t>WSR-2026-2252</t>
  </si>
  <si>
    <t>WSR-2026-2253</t>
  </si>
  <si>
    <t>WSR-2026-2254</t>
  </si>
  <si>
    <t>WSR-2026-2255</t>
  </si>
  <si>
    <t>WSR-2026-2256</t>
  </si>
  <si>
    <t>WSR-2026-2257</t>
  </si>
  <si>
    <t>WSR-2026-2258</t>
  </si>
  <si>
    <t>WSR-2026-2259</t>
  </si>
  <si>
    <t>WSR-2026-2260</t>
  </si>
  <si>
    <t>WSR-2026-2261</t>
  </si>
  <si>
    <t>WSR-2026-2262</t>
  </si>
  <si>
    <t>WSR-2026-2263</t>
  </si>
  <si>
    <t>WSR-2026-2264</t>
  </si>
  <si>
    <t>WSR-2026-2265</t>
  </si>
  <si>
    <t>WSR-2026-2266</t>
  </si>
  <si>
    <t>WSR-2026-2267</t>
  </si>
  <si>
    <t>WSR-2026-2268</t>
  </si>
  <si>
    <t>WSR-2026-2269</t>
  </si>
  <si>
    <t>WSR-2026-2270</t>
  </si>
  <si>
    <t>WSR-2026-2271</t>
  </si>
  <si>
    <t>WSR-2026-2272</t>
  </si>
  <si>
    <t>WSR-2026-2273</t>
  </si>
  <si>
    <t>WSR-2026-2274</t>
  </si>
  <si>
    <t>WSR-2026-2275</t>
  </si>
  <si>
    <t>WSR-2026-2276</t>
  </si>
  <si>
    <t>WSR-2026-2277</t>
  </si>
  <si>
    <t>WSR-2026-2278</t>
  </si>
  <si>
    <t>WSR-2026-2279</t>
  </si>
  <si>
    <t>WSR-2026-2280</t>
  </si>
  <si>
    <t>WSR-2026-2281</t>
  </si>
  <si>
    <t>WSR-2026-2282</t>
  </si>
  <si>
    <t>WSR-2026-2283</t>
  </si>
  <si>
    <t>WSR-2026-2284</t>
  </si>
  <si>
    <t>WSR-2026-2285</t>
  </si>
  <si>
    <t>WSR-2026-2286</t>
  </si>
  <si>
    <t>WSR-2026-2287</t>
  </si>
  <si>
    <t>WSR-2026-2288</t>
  </si>
  <si>
    <t>WSR-2026-2289</t>
  </si>
  <si>
    <t>WSR-2026-2290</t>
  </si>
  <si>
    <t>WSR-2026-2291</t>
  </si>
  <si>
    <t>WSR-2026-2292</t>
  </si>
  <si>
    <t>WSR-2026-2293</t>
  </si>
  <si>
    <t>WSR-2026-2294</t>
  </si>
  <si>
    <t>WSR-2026-2295</t>
  </si>
  <si>
    <t>WSR-2026-2296</t>
  </si>
  <si>
    <t>WSR-2026-2297</t>
  </si>
  <si>
    <t>WSR-2026-2298</t>
  </si>
  <si>
    <t>WSR-2026-2299</t>
  </si>
  <si>
    <t>WSR-2026-2300</t>
  </si>
  <si>
    <t>WSR-2026-2301</t>
  </si>
  <si>
    <t>WSR-2026-2302</t>
  </si>
  <si>
    <t>WSR-2026-2303</t>
  </si>
  <si>
    <t>WSR-2026-2304</t>
  </si>
  <si>
    <t>WSR-2026-2305</t>
  </si>
  <si>
    <t>WSR-2026-2306</t>
  </si>
  <si>
    <t>WSR-2026-2307</t>
  </si>
  <si>
    <t>WSR-2026-2308</t>
  </si>
  <si>
    <t>WSR-2026-2309</t>
  </si>
  <si>
    <t>WSR-2026-2310</t>
  </si>
  <si>
    <t>WSR-2026-2311</t>
  </si>
  <si>
    <t>WSR-2026-2312</t>
  </si>
  <si>
    <t>WSR-2026-2313</t>
  </si>
  <si>
    <t>WSR-2026-2314</t>
  </si>
  <si>
    <t>WSR-2026-2315</t>
  </si>
  <si>
    <t>WSR-2026-2316</t>
  </si>
  <si>
    <t>WSR-2026-2317</t>
  </si>
  <si>
    <t>WSR-2026-2318</t>
  </si>
  <si>
    <t>WSR-2026-2319</t>
  </si>
  <si>
    <t>WSR-2026-2320</t>
  </si>
  <si>
    <t>WSR-2026-2321</t>
  </si>
  <si>
    <t>WSR-2026-2322</t>
  </si>
  <si>
    <t>WSR-2026-2323</t>
  </si>
  <si>
    <t>WSR-2026-2324</t>
  </si>
  <si>
    <t>WSR-2026-2325</t>
  </si>
  <si>
    <t>WSR-2026-2326</t>
  </si>
  <si>
    <t>WSR-2026-2327</t>
  </si>
  <si>
    <t>WSR-2026-2328</t>
  </si>
  <si>
    <t>WSR-2026-2329</t>
  </si>
  <si>
    <t>WSR-2026-2330</t>
  </si>
  <si>
    <t>WSR-2026-2331</t>
  </si>
  <si>
    <t>WSR-2026-2332</t>
  </si>
  <si>
    <t>WSR-2026-2333</t>
  </si>
  <si>
    <t>WSR-2026-2334</t>
  </si>
  <si>
    <t>WSR-2026-2335</t>
  </si>
  <si>
    <t>WSR-2026-2336</t>
  </si>
  <si>
    <t>WSR-2026-2337</t>
  </si>
  <si>
    <t>WSR-2026-2338</t>
  </si>
  <si>
    <t>WSR-2026-2339</t>
  </si>
  <si>
    <t>WSR-2026-2340</t>
  </si>
  <si>
    <t>WSR-2026-2341</t>
  </si>
  <si>
    <t>WSR-2026-2342</t>
  </si>
  <si>
    <t>WSR-2026-2343</t>
  </si>
  <si>
    <t>WSR-2026-2344</t>
  </si>
  <si>
    <t>WSR-2026-2345</t>
  </si>
  <si>
    <t>WSR-2026-2346</t>
  </si>
  <si>
    <t>WSR-2026-2347</t>
  </si>
  <si>
    <t>WSR-2026-2348</t>
  </si>
  <si>
    <t>WSR-2026-2349</t>
  </si>
  <si>
    <t>WSR-2026-2350</t>
  </si>
  <si>
    <t>WSR-2026-2351</t>
  </si>
  <si>
    <t>WSR-2026-2352</t>
  </si>
  <si>
    <t>WSR-2026-2353</t>
  </si>
  <si>
    <t>WSR-2026-2354</t>
  </si>
  <si>
    <t>WSR-2026-2355</t>
  </si>
  <si>
    <t>WSR-2026-2356</t>
  </si>
  <si>
    <t>WSR-2026-2357</t>
  </si>
  <si>
    <t>WSR-2026-2358</t>
  </si>
  <si>
    <t>WSR-2026-2359</t>
  </si>
  <si>
    <t>WSR-2026-2360</t>
  </si>
  <si>
    <t>Fall</t>
  </si>
  <si>
    <t>WSR-2026-2361</t>
  </si>
  <si>
    <t>WSR-2026-2362</t>
  </si>
  <si>
    <t>WSR-2026-2363</t>
  </si>
  <si>
    <t>WSR-2026-2364</t>
  </si>
  <si>
    <t>WSR-2026-2365</t>
  </si>
  <si>
    <t>WSR-2026-2366</t>
  </si>
  <si>
    <t>WSR-2026-2367</t>
  </si>
  <si>
    <t>WSR-2026-2368</t>
  </si>
  <si>
    <t>WSR-2026-2369</t>
  </si>
  <si>
    <t>WSR-2026-2370</t>
  </si>
  <si>
    <t>WSR-2026-2371</t>
  </si>
  <si>
    <t>WSR-2026-2372</t>
  </si>
  <si>
    <t>WSR-2026-2373</t>
  </si>
  <si>
    <t>WSR-2026-2374</t>
  </si>
  <si>
    <t>WSR-2026-2375</t>
  </si>
  <si>
    <t>WSR-2026-2376</t>
  </si>
  <si>
    <t>WSR-2026-2377</t>
  </si>
  <si>
    <t>WSR-2026-2378</t>
  </si>
  <si>
    <t>WSR-2026-2379</t>
  </si>
  <si>
    <t>WSR-2026-2380</t>
  </si>
  <si>
    <t>WSR-2026-2381</t>
  </si>
  <si>
    <t>WSR-2026-2382</t>
  </si>
  <si>
    <t>WSR-2026-2383</t>
  </si>
  <si>
    <t>WSR-2026-2384</t>
  </si>
  <si>
    <t>WSR-2026-2385</t>
  </si>
  <si>
    <t>WSR-2026-2386</t>
  </si>
  <si>
    <t>WSR-2026-2387</t>
  </si>
  <si>
    <t>WSR-2026-2388</t>
  </si>
  <si>
    <t>WSR-2026-2389</t>
  </si>
  <si>
    <t>WSR-2026-2390</t>
  </si>
  <si>
    <t>WSR-2026-2391</t>
  </si>
  <si>
    <t>WSR-2026-2392</t>
  </si>
  <si>
    <t>WSR-2026-2393</t>
  </si>
  <si>
    <t>WSR-2026-2394</t>
  </si>
  <si>
    <t>WSR-2026-2395</t>
  </si>
  <si>
    <t>WSR-2026-2396</t>
  </si>
  <si>
    <t>WSR-2026-2397</t>
  </si>
  <si>
    <t>WSR-2026-2398</t>
  </si>
  <si>
    <t>WSR-2026-2399</t>
  </si>
  <si>
    <t>WSR-2026-2400</t>
  </si>
  <si>
    <t>WSR-2026-2401</t>
  </si>
  <si>
    <t>WSR-2026-2402</t>
  </si>
  <si>
    <t>WSR-2026-2403</t>
  </si>
  <si>
    <t>WSR-2026-2404</t>
  </si>
  <si>
    <t>WSR-2026-2405</t>
  </si>
  <si>
    <t>WSR-2026-2406</t>
  </si>
  <si>
    <t>WSR-2026-2407</t>
  </si>
  <si>
    <t>WSR-2026-2408</t>
  </si>
  <si>
    <t>WSR-2026-2409</t>
  </si>
  <si>
    <t>WSR-2026-2410</t>
  </si>
  <si>
    <t>WSR-2026-2411</t>
  </si>
  <si>
    <t>WSR-2026-2412</t>
  </si>
  <si>
    <t>WSR-2026-2413</t>
  </si>
  <si>
    <t>WSR-2026-2414</t>
  </si>
  <si>
    <t>WSR-2026-2415</t>
  </si>
  <si>
    <t>WSR-2026-2416</t>
  </si>
  <si>
    <t>WSR-2026-2417</t>
  </si>
  <si>
    <t>WSR-2026-2418</t>
  </si>
  <si>
    <t>WSR-2026-2419</t>
  </si>
  <si>
    <t>WSR-2026-2420</t>
  </si>
  <si>
    <t>WSR-2026-2421</t>
  </si>
  <si>
    <t>WSR-2026-2422</t>
  </si>
  <si>
    <t>WSR-2026-2423</t>
  </si>
  <si>
    <t>WSR-2026-2424</t>
  </si>
  <si>
    <t>WSR-2026-2425</t>
  </si>
  <si>
    <t>WSR-2026-2426</t>
  </si>
  <si>
    <t>WSR-2026-2427</t>
  </si>
  <si>
    <t>WSR-2026-2428</t>
  </si>
  <si>
    <t>WSR-2026-2429</t>
  </si>
  <si>
    <t>WSR-2026-2430</t>
  </si>
  <si>
    <t>WSR-2026-2431</t>
  </si>
  <si>
    <t>WSR-2026-2432</t>
  </si>
  <si>
    <t>WSR-2026-2433</t>
  </si>
  <si>
    <t>WSR-2026-2434</t>
  </si>
  <si>
    <t>WSR-2026-2435</t>
  </si>
  <si>
    <t>WSR-2026-2436</t>
  </si>
  <si>
    <t>WSR-2026-2437</t>
  </si>
  <si>
    <t>WSR-2026-2438</t>
  </si>
  <si>
    <t>WSR-2026-2439</t>
  </si>
  <si>
    <t>WSR-2026-2440</t>
  </si>
  <si>
    <t>WSR-2026-2441</t>
  </si>
  <si>
    <t>WSR-2026-2442</t>
  </si>
  <si>
    <t>WSR-2026-2443</t>
  </si>
  <si>
    <t>WSR-2026-2444</t>
  </si>
  <si>
    <t>WSR-2026-2445</t>
  </si>
  <si>
    <t>WSR-2026-2446</t>
  </si>
  <si>
    <t>WSR-2026-2447</t>
  </si>
  <si>
    <t>WSR-2026-2448</t>
  </si>
  <si>
    <t>WSR-2026-2449</t>
  </si>
  <si>
    <t>WSR-2026-2450</t>
  </si>
  <si>
    <t>WSR-2026-2451</t>
  </si>
  <si>
    <t>WSR-2026-2452</t>
  </si>
  <si>
    <t>WSR-2026-2453</t>
  </si>
  <si>
    <t>WSR-2026-2454</t>
  </si>
  <si>
    <t>WSR-2026-2455</t>
  </si>
  <si>
    <t>WSR-2026-2456</t>
  </si>
  <si>
    <t>WSR-2026-2457</t>
  </si>
  <si>
    <t>WSR-2026-2458</t>
  </si>
  <si>
    <t>WSR-2026-2459</t>
  </si>
  <si>
    <t>WSR-2026-2460</t>
  </si>
  <si>
    <t>WSR-2026-2461</t>
  </si>
  <si>
    <t>WSR-2026-2462</t>
  </si>
  <si>
    <t>WSR-2026-2463</t>
  </si>
  <si>
    <t>WSR-2026-2464</t>
  </si>
  <si>
    <t>WSR-2026-2465</t>
  </si>
  <si>
    <t>WSR-2026-2466</t>
  </si>
  <si>
    <t>WSR-2026-2467</t>
  </si>
  <si>
    <t>WSR-2026-2468</t>
  </si>
  <si>
    <t>WSR-2026-2469</t>
  </si>
  <si>
    <t>WSR-2026-2470</t>
  </si>
  <si>
    <t>WSR-2026-2471</t>
  </si>
  <si>
    <t>WSR-2026-2472</t>
  </si>
  <si>
    <t>WSR-2026-2473</t>
  </si>
  <si>
    <t>WSR-2026-2474</t>
  </si>
  <si>
    <t>WSR-2026-2475</t>
  </si>
  <si>
    <t>WSR-2026-2476</t>
  </si>
  <si>
    <t>WSR-2026-2477</t>
  </si>
  <si>
    <t>WSR-2026-2478</t>
  </si>
  <si>
    <t>WSR-2026-2479</t>
  </si>
  <si>
    <t>WSR-2026-2480</t>
  </si>
  <si>
    <t>WSR-2026-2481</t>
  </si>
  <si>
    <t>WSR-2026-2482</t>
  </si>
  <si>
    <t>WSR-2026-2483</t>
  </si>
  <si>
    <t>WSR-2026-2484</t>
  </si>
  <si>
    <t>WSR-2026-2485</t>
  </si>
  <si>
    <t>WSR-2026-2486</t>
  </si>
  <si>
    <t>WSR-2026-2487</t>
  </si>
  <si>
    <t>WSR-2026-2488</t>
  </si>
  <si>
    <t>WSR-2026-2489</t>
  </si>
  <si>
    <t>WSR-2026-2490</t>
  </si>
  <si>
    <t>WSR-2026-2491</t>
  </si>
  <si>
    <t>WSR-2026-2492</t>
  </si>
  <si>
    <t>WSR-2026-2493</t>
  </si>
  <si>
    <t>WSR-2026-2494</t>
  </si>
  <si>
    <t>WSR-2026-2495</t>
  </si>
  <si>
    <t>WSR-2026-2496</t>
  </si>
  <si>
    <t>WSR-2026-2497</t>
  </si>
  <si>
    <t>WSR-2026-2498</t>
  </si>
  <si>
    <t>WSR-2026-2499</t>
  </si>
  <si>
    <t>WSR-2026-2500</t>
  </si>
  <si>
    <t>WSR-2026-2501</t>
  </si>
  <si>
    <t>WSR-2026-2502</t>
  </si>
  <si>
    <t>WSR-2026-2503</t>
  </si>
  <si>
    <t>WSR-2026-2504</t>
  </si>
  <si>
    <t>WSR-2026-2505</t>
  </si>
  <si>
    <t>WSR-2026-2506</t>
  </si>
  <si>
    <t>WSR-2026-2507</t>
  </si>
  <si>
    <t>WSR-2026-2508</t>
  </si>
  <si>
    <t>WSR-2026-2509</t>
  </si>
  <si>
    <t>WSR-2026-2510</t>
  </si>
  <si>
    <t>WSR-2026-2511</t>
  </si>
  <si>
    <t>WSR-2026-2512</t>
  </si>
  <si>
    <t>WSR-2026-2513</t>
  </si>
  <si>
    <t>WSR-2026-2514</t>
  </si>
  <si>
    <t>WSR-2026-2515</t>
  </si>
  <si>
    <t>WSR-2026-2516</t>
  </si>
  <si>
    <t>WSR-2026-2517</t>
  </si>
  <si>
    <t>WSR-2026-2518</t>
  </si>
  <si>
    <t>WSR-2026-2519</t>
  </si>
  <si>
    <t>WSR-2026-2520</t>
  </si>
  <si>
    <t>WSR-2026-2521</t>
  </si>
  <si>
    <t>WSR-2026-2522</t>
  </si>
  <si>
    <t>WSR-2026-2523</t>
  </si>
  <si>
    <t>WSR-2026-2524</t>
  </si>
  <si>
    <t>WSR-2026-2525</t>
  </si>
  <si>
    <t>WSR-2026-2526</t>
  </si>
  <si>
    <t>WSR-2026-2527</t>
  </si>
  <si>
    <t>WSR-2026-2528</t>
  </si>
  <si>
    <t>WSR-2026-2529</t>
  </si>
  <si>
    <t>WSR-2026-2530</t>
  </si>
  <si>
    <t>WSR-2026-2531</t>
  </si>
  <si>
    <t>WSR-2026-2532</t>
  </si>
  <si>
    <t>WSR-2026-2533</t>
  </si>
  <si>
    <t>WSR-2026-2534</t>
  </si>
  <si>
    <t>WSR-2026-2535</t>
  </si>
  <si>
    <t>WSR-2026-2536</t>
  </si>
  <si>
    <t>WSR-2026-2537</t>
  </si>
  <si>
    <t>WSR-2026-2538</t>
  </si>
  <si>
    <t>WSR-2026-2539</t>
  </si>
  <si>
    <t>WSR-2026-2540</t>
  </si>
  <si>
    <t>WSR-2026-2541</t>
  </si>
  <si>
    <t>WSR-2026-2542</t>
  </si>
  <si>
    <t>WSR-2026-2543</t>
  </si>
  <si>
    <t>WSR-2026-2544</t>
  </si>
  <si>
    <t>WSR-2026-2545</t>
  </si>
  <si>
    <t>WSR-2026-2546</t>
  </si>
  <si>
    <t>WSR-2026-2547</t>
  </si>
  <si>
    <t>WSR-2026-2548</t>
  </si>
  <si>
    <t>WSR-2026-2549</t>
  </si>
  <si>
    <t>WSR-2026-2550</t>
  </si>
  <si>
    <t>WSR-2026-2551</t>
  </si>
  <si>
    <t>WSR-2026-2552</t>
  </si>
  <si>
    <t>WSR-2026-2553</t>
  </si>
  <si>
    <t>WSR-2026-2554</t>
  </si>
  <si>
    <t>WSR-2026-2555</t>
  </si>
  <si>
    <t>WSR-2026-2556</t>
  </si>
  <si>
    <t>WSR-2026-2557</t>
  </si>
  <si>
    <t>WSR-2026-2558</t>
  </si>
  <si>
    <t>WSR-2026-2559</t>
  </si>
  <si>
    <t>WSR-2026-2560</t>
  </si>
  <si>
    <t>WSR-2026-2561</t>
  </si>
  <si>
    <t>WSR-2026-2562</t>
  </si>
  <si>
    <t>WSR-2026-2563</t>
  </si>
  <si>
    <t>WSR-2026-2564</t>
  </si>
  <si>
    <t>WSR-2026-2565</t>
  </si>
  <si>
    <t>WSR-2026-2566</t>
  </si>
  <si>
    <t>WSR-2026-2567</t>
  </si>
  <si>
    <t>WSR-2026-2568</t>
  </si>
  <si>
    <t>WSR-2026-2569</t>
  </si>
  <si>
    <t>WSR-2026-2570</t>
  </si>
  <si>
    <t>WSR-2026-2571</t>
  </si>
  <si>
    <t>WSR-2026-2572</t>
  </si>
  <si>
    <t>WSR-2026-2573</t>
  </si>
  <si>
    <t>WSR-2026-2574</t>
  </si>
  <si>
    <t>WSR-2026-2575</t>
  </si>
  <si>
    <t>WSR-2026-2576</t>
  </si>
  <si>
    <t>WSR-2026-2577</t>
  </si>
  <si>
    <t>WSR-2026-2578</t>
  </si>
  <si>
    <t>WSR-2026-2579</t>
  </si>
  <si>
    <t>WSR-2026-2580</t>
  </si>
  <si>
    <t>WSR-2026-2581</t>
  </si>
  <si>
    <t>WSR-2026-2582</t>
  </si>
  <si>
    <t>WSR-2026-2583</t>
  </si>
  <si>
    <t>WSR-2026-2584</t>
  </si>
  <si>
    <t>WSR-2026-2585</t>
  </si>
  <si>
    <t>WSR-2026-2586</t>
  </si>
  <si>
    <t>WSR-2026-2587</t>
  </si>
  <si>
    <t>WSR-2026-2588</t>
  </si>
  <si>
    <t>WSR-2026-2589</t>
  </si>
  <si>
    <t>WSR-2026-2590</t>
  </si>
  <si>
    <t>WSR-2026-2591</t>
  </si>
  <si>
    <t>WSR-2026-2592</t>
  </si>
  <si>
    <t>WSR-2026-2593</t>
  </si>
  <si>
    <t>WSR-2026-2594</t>
  </si>
  <si>
    <t>WSR-2026-2595</t>
  </si>
  <si>
    <t>WSR-2026-2596</t>
  </si>
  <si>
    <t>WSR-2026-2597</t>
  </si>
  <si>
    <t>WSR-2026-2598</t>
  </si>
  <si>
    <t>WSR-2026-2599</t>
  </si>
  <si>
    <t>WSR-2026-2600</t>
  </si>
  <si>
    <t>WSR-2026-2601</t>
  </si>
  <si>
    <t>WSR-2026-2602</t>
  </si>
  <si>
    <t>WSR-2026-2603</t>
  </si>
  <si>
    <t>WSR-2026-2604</t>
  </si>
  <si>
    <t>WSR-2026-2605</t>
  </si>
  <si>
    <t>WSR-2026-2606</t>
  </si>
  <si>
    <t>WSR-2026-2607</t>
  </si>
  <si>
    <t>WSR-2026-2608</t>
  </si>
  <si>
    <t>WSR-2026-2609</t>
  </si>
  <si>
    <t>WSR-2026-2610</t>
  </si>
  <si>
    <t>WSR-2026-2611</t>
  </si>
  <si>
    <t>WSR-2026-2612</t>
  </si>
  <si>
    <t>WSR-2026-2613</t>
  </si>
  <si>
    <t>WSR-2026-2614</t>
  </si>
  <si>
    <t>WSR-2026-2615</t>
  </si>
  <si>
    <t>WSR-2026-2616</t>
  </si>
  <si>
    <t>WSR-2026-2617</t>
  </si>
  <si>
    <t>WSR-2026-2618</t>
  </si>
  <si>
    <t>WSR-2026-2619</t>
  </si>
  <si>
    <t>WSR-2026-2620</t>
  </si>
  <si>
    <t>WSR-2026-2621</t>
  </si>
  <si>
    <t>WSR-2026-2622</t>
  </si>
  <si>
    <t>WSR-2026-2623</t>
  </si>
  <si>
    <t>WSR-2026-2624</t>
  </si>
  <si>
    <t>WSR-2026-2625</t>
  </si>
  <si>
    <t>WSR-2026-2626</t>
  </si>
  <si>
    <t>WSR-2026-2627</t>
  </si>
  <si>
    <t>WSR-2026-2628</t>
  </si>
  <si>
    <t>WSR-2026-2629</t>
  </si>
  <si>
    <t>WSR-2026-2630</t>
  </si>
  <si>
    <t>WSR-2026-2631</t>
  </si>
  <si>
    <t>WSR-2026-2632</t>
  </si>
  <si>
    <t>WSR-2026-2633</t>
  </si>
  <si>
    <t>WSR-2026-2634</t>
  </si>
  <si>
    <t>WSR-2026-2635</t>
  </si>
  <si>
    <t>WSR-2026-2636</t>
  </si>
  <si>
    <t>WSR-2026-2637</t>
  </si>
  <si>
    <t>WSR-2026-2638</t>
  </si>
  <si>
    <t>WSR-2026-2639</t>
  </si>
  <si>
    <t>WSR-2026-2640</t>
  </si>
  <si>
    <t>WSR-2026-2641</t>
  </si>
  <si>
    <t>WSR-2026-2642</t>
  </si>
  <si>
    <t>WSR-2026-2643</t>
  </si>
  <si>
    <t>WSR-2026-2644</t>
  </si>
  <si>
    <t>WSR-2026-2645</t>
  </si>
  <si>
    <t>WSR-2026-2646</t>
  </si>
  <si>
    <t>WSR-2026-2647</t>
  </si>
  <si>
    <t>WSR-2026-2648</t>
  </si>
  <si>
    <t>WSR-2026-2649</t>
  </si>
  <si>
    <t>WSR-2026-2650</t>
  </si>
  <si>
    <t>WSR-2026-2651</t>
  </si>
  <si>
    <t>WSR-2026-2652</t>
  </si>
  <si>
    <t>WSR-2026-2653</t>
  </si>
  <si>
    <t>WSR-2026-2654</t>
  </si>
  <si>
    <t>WSR-2026-2655</t>
  </si>
  <si>
    <t>WSR-2026-2656</t>
  </si>
  <si>
    <t>WSR-2026-2657</t>
  </si>
  <si>
    <t>WSR-2026-2658</t>
  </si>
  <si>
    <t>WSR-2026-2659</t>
  </si>
  <si>
    <t>WSR-2026-2660</t>
  </si>
  <si>
    <t>WSR-2026-2661</t>
  </si>
  <si>
    <t>WSR-2026-2662</t>
  </si>
  <si>
    <t>WSR-2026-2663</t>
  </si>
  <si>
    <t>WSR-2026-2664</t>
  </si>
  <si>
    <t>WSR-2026-2665</t>
  </si>
  <si>
    <t>WSR-2026-2666</t>
  </si>
  <si>
    <t>WSR-2026-2667</t>
  </si>
  <si>
    <t>WSR-2026-2668</t>
  </si>
  <si>
    <t>WSR-2026-2669</t>
  </si>
  <si>
    <t>WSR-2026-2670</t>
  </si>
  <si>
    <t>WSR-2026-2671</t>
  </si>
  <si>
    <t>WSR-2026-2672</t>
  </si>
  <si>
    <t>WSR-2026-2673</t>
  </si>
  <si>
    <t>WSR-2026-2674</t>
  </si>
  <si>
    <t>WSR-2026-2675</t>
  </si>
  <si>
    <t>WSR-2026-2676</t>
  </si>
  <si>
    <t>WSR-2026-2677</t>
  </si>
  <si>
    <t>WSR-2026-2678</t>
  </si>
  <si>
    <t>WSR-2026-2679</t>
  </si>
  <si>
    <t>WSR-2026-2680</t>
  </si>
  <si>
    <t>WSR-2026-2681</t>
  </si>
  <si>
    <t>WSR-2026-2682</t>
  </si>
  <si>
    <t>WSR-2026-2683</t>
  </si>
  <si>
    <t>WSR-2026-2684</t>
  </si>
  <si>
    <t>WSR-2026-2685</t>
  </si>
  <si>
    <t>WSR-2026-2686</t>
  </si>
  <si>
    <t>WSR-2026-2687</t>
  </si>
  <si>
    <t>WSR-2026-2688</t>
  </si>
  <si>
    <t>WSR-2026-2689</t>
  </si>
  <si>
    <t>WSR-2026-2690</t>
  </si>
  <si>
    <t>WSR-2026-2691</t>
  </si>
  <si>
    <t>WSR-2026-2692</t>
  </si>
  <si>
    <t>WSR-2026-2693</t>
  </si>
  <si>
    <t>WSR-2026-2694</t>
  </si>
  <si>
    <t>WSR-2026-2695</t>
  </si>
  <si>
    <t>WSR-2026-2696</t>
  </si>
  <si>
    <t>WSR-2026-2697</t>
  </si>
  <si>
    <t>WSR-2026-2698</t>
  </si>
  <si>
    <t>WSR-2026-2699</t>
  </si>
  <si>
    <t>WSR-2026-2700</t>
  </si>
  <si>
    <t>WSR-2026-2701</t>
  </si>
  <si>
    <t>WSR-2026-2702</t>
  </si>
  <si>
    <t>WSR-2026-2703</t>
  </si>
  <si>
    <t>WSR-2026-2704</t>
  </si>
  <si>
    <t>WSR-2026-2705</t>
  </si>
  <si>
    <t>WSR-2026-2706</t>
  </si>
  <si>
    <t>WSR-2026-2707</t>
  </si>
  <si>
    <t>WSR-2026-2708</t>
  </si>
  <si>
    <t>WSR-2026-2709</t>
  </si>
  <si>
    <t>WSR-2026-2710</t>
  </si>
  <si>
    <t>WSR-2026-2711</t>
  </si>
  <si>
    <t>WSR-2026-2712</t>
  </si>
  <si>
    <t>WSR-2026-2713</t>
  </si>
  <si>
    <t>WSR-2026-2714</t>
  </si>
  <si>
    <t>WSR-2026-2715</t>
  </si>
  <si>
    <t>WSR-2026-2716</t>
  </si>
  <si>
    <t>WSR-2026-2717</t>
  </si>
  <si>
    <t>WSR-2026-2718</t>
  </si>
  <si>
    <t>WSR-2026-2719</t>
  </si>
  <si>
    <t>WSR-2026-2720</t>
  </si>
  <si>
    <t>WSR-2026-2721</t>
  </si>
  <si>
    <t>WSR-2026-2722</t>
  </si>
  <si>
    <t>WSR-2026-2723</t>
  </si>
  <si>
    <t>WSR-2026-2724</t>
  </si>
  <si>
    <t>WSR-2026-2725</t>
  </si>
  <si>
    <t>WSR-2026-2726</t>
  </si>
  <si>
    <t>WSR-2026-2727</t>
  </si>
  <si>
    <t>WSR-2026-2728</t>
  </si>
  <si>
    <t>WSR-2026-2729</t>
  </si>
  <si>
    <t>WSR-2026-2730</t>
  </si>
  <si>
    <t>WSR-2026-2731</t>
  </si>
  <si>
    <t>WSR-2026-2732</t>
  </si>
  <si>
    <t>WSR-2026-2733</t>
  </si>
  <si>
    <t>WSR-2026-2734</t>
  </si>
  <si>
    <t>WSR-2026-2735</t>
  </si>
  <si>
    <t>WSR-2026-2736</t>
  </si>
  <si>
    <t>WSR-2026-2737</t>
  </si>
  <si>
    <t>WSR-2026-2738</t>
  </si>
  <si>
    <t>WSR-2026-2739</t>
  </si>
  <si>
    <t>WSR-2026-2740</t>
  </si>
  <si>
    <t>WSR-2026-2741</t>
  </si>
  <si>
    <t>WSR-2026-2742</t>
  </si>
  <si>
    <t>WSR-2026-2743</t>
  </si>
  <si>
    <t>WSR-2026-2744</t>
  </si>
  <si>
    <t>WSR-2026-2745</t>
  </si>
  <si>
    <t>WSR-2026-2746</t>
  </si>
  <si>
    <t>WSR-2026-2747</t>
  </si>
  <si>
    <t>WSR-2026-2748</t>
  </si>
  <si>
    <t>WSR-2026-2749</t>
  </si>
  <si>
    <t>WSR-2026-2750</t>
  </si>
  <si>
    <t>WSR-2026-2751</t>
  </si>
  <si>
    <t>WSR-2026-2752</t>
  </si>
  <si>
    <t>WSR-2026-2753</t>
  </si>
  <si>
    <t>WSR-2026-2754</t>
  </si>
  <si>
    <t>WSR-2026-2755</t>
  </si>
  <si>
    <t>WSR-2026-2756</t>
  </si>
  <si>
    <t>WSR-2026-2757</t>
  </si>
  <si>
    <t>WSR-2026-2758</t>
  </si>
  <si>
    <t>WSR-2026-2759</t>
  </si>
  <si>
    <t>WSR-2026-2760</t>
  </si>
  <si>
    <t>WSR-2026-2761</t>
  </si>
  <si>
    <t>WSR-2026-2762</t>
  </si>
  <si>
    <t>WSR-2026-2763</t>
  </si>
  <si>
    <t>WSR-2026-2764</t>
  </si>
  <si>
    <t>WSR-2026-2765</t>
  </si>
  <si>
    <t>WSR-2026-2766</t>
  </si>
  <si>
    <t>WSR-2026-2767</t>
  </si>
  <si>
    <t>WSR-2026-2768</t>
  </si>
  <si>
    <t>WSR-2026-2769</t>
  </si>
  <si>
    <t>WSR-2026-2770</t>
  </si>
  <si>
    <t>WSR-2026-2771</t>
  </si>
  <si>
    <t>WSR-2026-2772</t>
  </si>
  <si>
    <t>WSR-2026-2773</t>
  </si>
  <si>
    <t>WSR-2026-2774</t>
  </si>
  <si>
    <t>WSR-2026-2775</t>
  </si>
  <si>
    <t>WSR-2026-2776</t>
  </si>
  <si>
    <t>WSR-2026-2777</t>
  </si>
  <si>
    <t>WSR-2026-2778</t>
  </si>
  <si>
    <t>WSR-2026-2779</t>
  </si>
  <si>
    <t>WSR-2026-2780</t>
  </si>
  <si>
    <t>WSR-2026-2781</t>
  </si>
  <si>
    <t>WSR-2026-2782</t>
  </si>
  <si>
    <t>WSR-2026-2783</t>
  </si>
  <si>
    <t>WSR-2026-2784</t>
  </si>
  <si>
    <t>WSR-2026-2785</t>
  </si>
  <si>
    <t>WSR-2026-2786</t>
  </si>
  <si>
    <t>WSR-2026-2787</t>
  </si>
  <si>
    <t>WSR-2026-2788</t>
  </si>
  <si>
    <t>WSR-2026-2789</t>
  </si>
  <si>
    <t>WSR-2026-2790</t>
  </si>
  <si>
    <t>WSR-2026-2791</t>
  </si>
  <si>
    <t>WSR-2026-2792</t>
  </si>
  <si>
    <t>WSR-2026-2793</t>
  </si>
  <si>
    <t>WSR-2026-2794</t>
  </si>
  <si>
    <t>WSR-2026-2795</t>
  </si>
  <si>
    <t>WSR-2026-2796</t>
  </si>
  <si>
    <t>WSR-2026-2797</t>
  </si>
  <si>
    <t>WSR-2026-2798</t>
  </si>
  <si>
    <t>WSR-2026-2799</t>
  </si>
  <si>
    <t>WSR-2026-2800</t>
  </si>
  <si>
    <t>WSR-2026-2801</t>
  </si>
  <si>
    <t>WSR-2026-2802</t>
  </si>
  <si>
    <t>WSR-2026-2803</t>
  </si>
  <si>
    <t>WSR-2026-2804</t>
  </si>
  <si>
    <t>WSR-2026-2805</t>
  </si>
  <si>
    <t>WSR-2026-2806</t>
  </si>
  <si>
    <t>WSR-2026-2807</t>
  </si>
  <si>
    <t>WSR-2026-2808</t>
  </si>
  <si>
    <t>WSR-2026-2809</t>
  </si>
  <si>
    <t>WSR-2026-2810</t>
  </si>
  <si>
    <t>WSR-2026-2811</t>
  </si>
  <si>
    <t>WSR-2026-2812</t>
  </si>
  <si>
    <t>WSR-2026-2813</t>
  </si>
  <si>
    <t>WSR-2026-2814</t>
  </si>
  <si>
    <t>WSR-2026-2815</t>
  </si>
  <si>
    <t>WSR-2026-2816</t>
  </si>
  <si>
    <t>WSR-2026-2817</t>
  </si>
  <si>
    <t>WSR-2026-2818</t>
  </si>
  <si>
    <t>WSR-2026-2819</t>
  </si>
  <si>
    <t>WSR-2026-2820</t>
  </si>
  <si>
    <t>WSR-2026-2821</t>
  </si>
  <si>
    <t>WSR-2026-2822</t>
  </si>
  <si>
    <t>WSR-2026-2823</t>
  </si>
  <si>
    <t>WSR-2026-2824</t>
  </si>
  <si>
    <t>WSR-2026-2825</t>
  </si>
  <si>
    <t>WSR-2026-2826</t>
  </si>
  <si>
    <t>WSR-2026-2827</t>
  </si>
  <si>
    <t>WSR-2026-2828</t>
  </si>
  <si>
    <t>WSR-2026-2829</t>
  </si>
  <si>
    <t>WSR-2026-2830</t>
  </si>
  <si>
    <t>WSR-2026-2831</t>
  </si>
  <si>
    <t>WSR-2026-2832</t>
  </si>
  <si>
    <t>WSR-2026-2833</t>
  </si>
  <si>
    <t>WSR-2026-2834</t>
  </si>
  <si>
    <t>WSR-2026-2835</t>
  </si>
  <si>
    <t>WSR-2026-2836</t>
  </si>
  <si>
    <t>WSR-2026-2837</t>
  </si>
  <si>
    <t>WSR-2026-2838</t>
  </si>
  <si>
    <t>WSR-2026-2839</t>
  </si>
  <si>
    <t>WSR-2026-2840</t>
  </si>
  <si>
    <t>WSR-2026-2841</t>
  </si>
  <si>
    <t>WSR-2026-2842</t>
  </si>
  <si>
    <t>WSR-2026-2843</t>
  </si>
  <si>
    <t>WSR-2026-2844</t>
  </si>
  <si>
    <t>WSR-2026-2845</t>
  </si>
  <si>
    <t>WSR-2026-2846</t>
  </si>
  <si>
    <t>WSR-2026-2847</t>
  </si>
  <si>
    <t>WSR-2026-2848</t>
  </si>
  <si>
    <t>WSR-2026-2849</t>
  </si>
  <si>
    <t>WSR-2026-2850</t>
  </si>
  <si>
    <t>WSR-2026-2851</t>
  </si>
  <si>
    <t>WSR-2026-2852</t>
  </si>
  <si>
    <t>WSR-2026-2853</t>
  </si>
  <si>
    <t>WSR-2026-2854</t>
  </si>
  <si>
    <t>WSR-2026-2855</t>
  </si>
  <si>
    <t>WSR-2026-2856</t>
  </si>
  <si>
    <t>WSR-2026-2857</t>
  </si>
  <si>
    <t>WSR-2026-2858</t>
  </si>
  <si>
    <t>WSR-2026-2859</t>
  </si>
  <si>
    <t>WSR-2026-2860</t>
  </si>
  <si>
    <t>WSR-2026-2861</t>
  </si>
  <si>
    <t>WSR-2026-2862</t>
  </si>
  <si>
    <t>WSR-2026-2863</t>
  </si>
  <si>
    <t>WSR-2026-2864</t>
  </si>
  <si>
    <t>WSR-2026-2865</t>
  </si>
  <si>
    <t>WSR-2026-2866</t>
  </si>
  <si>
    <t>WSR-2026-2867</t>
  </si>
  <si>
    <t>WSR-2026-2868</t>
  </si>
  <si>
    <t>WSR-2026-2869</t>
  </si>
  <si>
    <t>WSR-2026-2870</t>
  </si>
  <si>
    <t>WSR-2026-2871</t>
  </si>
  <si>
    <t>WSR-2026-2872</t>
  </si>
  <si>
    <t>WSR-2026-2873</t>
  </si>
  <si>
    <t>WSR-2026-2874</t>
  </si>
  <si>
    <t>WSR-2026-2875</t>
  </si>
  <si>
    <t>WSR-2026-2876</t>
  </si>
  <si>
    <t>WSR-2026-2877</t>
  </si>
  <si>
    <t>WSR-2026-2878</t>
  </si>
  <si>
    <t>WSR-2026-2879</t>
  </si>
  <si>
    <t>WSR-2026-2880</t>
  </si>
  <si>
    <t>WSR-2026-2881</t>
  </si>
  <si>
    <t>WSR-2026-2882</t>
  </si>
  <si>
    <t>WSR-2026-2883</t>
  </si>
  <si>
    <t>WSR-2026-2884</t>
  </si>
  <si>
    <t>WSR-2026-2885</t>
  </si>
  <si>
    <t>WSR-2026-2886</t>
  </si>
  <si>
    <t>WSR-2026-2887</t>
  </si>
  <si>
    <t>WSR-2026-2888</t>
  </si>
  <si>
    <t>WSR-2026-2889</t>
  </si>
  <si>
    <t>WSR-2026-2890</t>
  </si>
  <si>
    <t>WSR-2026-2891</t>
  </si>
  <si>
    <t>WSR-2026-2892</t>
  </si>
  <si>
    <t>WSR-2026-2893</t>
  </si>
  <si>
    <t>WSR-2026-2894</t>
  </si>
  <si>
    <t>WSR-2026-2895</t>
  </si>
  <si>
    <t>WSR-2026-2896</t>
  </si>
  <si>
    <t>WSR-2026-2897</t>
  </si>
  <si>
    <t>WSR-2026-2898</t>
  </si>
  <si>
    <t>WSR-2026-2899</t>
  </si>
  <si>
    <t>WSR-2026-2900</t>
  </si>
  <si>
    <t>WSR-2026-2901</t>
  </si>
  <si>
    <t>WSR-2026-2902</t>
  </si>
  <si>
    <t>WSR-2026-2903</t>
  </si>
  <si>
    <t>WSR-2026-2904</t>
  </si>
  <si>
    <t>WSR-2026-2905</t>
  </si>
  <si>
    <t>WSR-2026-2906</t>
  </si>
  <si>
    <t>WSR-2026-2907</t>
  </si>
  <si>
    <t>WSR-2026-2908</t>
  </si>
  <si>
    <t>WSR-2026-2909</t>
  </si>
  <si>
    <t>WSR-2026-2910</t>
  </si>
  <si>
    <t>WSR-2026-2911</t>
  </si>
  <si>
    <t>WSR-2026-2912</t>
  </si>
  <si>
    <t>WSR-2026-2913</t>
  </si>
  <si>
    <t>WSR-2026-2914</t>
  </si>
  <si>
    <t>WSR-2026-2915</t>
  </si>
  <si>
    <t>WSR-2026-2916</t>
  </si>
  <si>
    <t>WSR-2026-2917</t>
  </si>
  <si>
    <t>WSR-2026-2918</t>
  </si>
  <si>
    <t>WSR-2026-2919</t>
  </si>
  <si>
    <t>WSR-2026-2920</t>
  </si>
  <si>
    <t>WSR-2026-2921</t>
  </si>
  <si>
    <t>WSR-2026-2922</t>
  </si>
  <si>
    <t>WSR-2026-2923</t>
  </si>
  <si>
    <t>WSR-2026-2924</t>
  </si>
  <si>
    <t>WSR-2026-2925</t>
  </si>
  <si>
    <t>WSR-2026-2926</t>
  </si>
  <si>
    <t>WSR-2026-2927</t>
  </si>
  <si>
    <t>WSR-2026-2928</t>
  </si>
  <si>
    <t>WSR-2026-2929</t>
  </si>
  <si>
    <t>WSR-2026-2930</t>
  </si>
  <si>
    <t>WSR-2026-2931</t>
  </si>
  <si>
    <t>WSR-2026-2932</t>
  </si>
  <si>
    <t>WSR-2026-2933</t>
  </si>
  <si>
    <t>WSR-2026-2934</t>
  </si>
  <si>
    <t>WSR-2026-2935</t>
  </si>
  <si>
    <t>WSR-2026-2936</t>
  </si>
  <si>
    <t>WSR-2026-2937</t>
  </si>
  <si>
    <t>WSR-2026-2938</t>
  </si>
  <si>
    <t>WSR-2026-2939</t>
  </si>
  <si>
    <t>WSR-2026-2940</t>
  </si>
  <si>
    <t>WSR-2026-2941</t>
  </si>
  <si>
    <t>WSR-2026-2942</t>
  </si>
  <si>
    <t>WSR-2026-2943</t>
  </si>
  <si>
    <t>WSR-2026-2944</t>
  </si>
  <si>
    <t>WSR-2026-2945</t>
  </si>
  <si>
    <t>WSR-2026-2946</t>
  </si>
  <si>
    <t>WSR-2026-2947</t>
  </si>
  <si>
    <t>WSR-2026-2948</t>
  </si>
  <si>
    <t>WSR-2026-2949</t>
  </si>
  <si>
    <t>WSR-2026-2950</t>
  </si>
  <si>
    <t>WSR-2026-2951</t>
  </si>
  <si>
    <t>WSR-2026-2952</t>
  </si>
  <si>
    <t>WSR-2026-2953</t>
  </si>
  <si>
    <t>WSR-2026-2954</t>
  </si>
  <si>
    <t>WSR-2026-2955</t>
  </si>
  <si>
    <t>WSR-2026-2956</t>
  </si>
  <si>
    <t>WSR-2026-2957</t>
  </si>
  <si>
    <t>WSR-2026-2958</t>
  </si>
  <si>
    <t>WSR-2026-2959</t>
  </si>
  <si>
    <t>WSR-2026-2960</t>
  </si>
  <si>
    <t>WSR-2026-2961</t>
  </si>
  <si>
    <t>WSR-2026-2962</t>
  </si>
  <si>
    <t>WSR-2026-2963</t>
  </si>
  <si>
    <t>WSR-2026-2964</t>
  </si>
  <si>
    <t>WSR-2026-2965</t>
  </si>
  <si>
    <t>WSR-2026-2966</t>
  </si>
  <si>
    <t>WSR-2026-2967</t>
  </si>
  <si>
    <t>WSR-2026-2968</t>
  </si>
  <si>
    <t>WSR-2026-2969</t>
  </si>
  <si>
    <t>WSR-2026-2970</t>
  </si>
  <si>
    <t>WSR-2026-2971</t>
  </si>
  <si>
    <t>WSR-2026-2972</t>
  </si>
  <si>
    <t>WSR-2026-2973</t>
  </si>
  <si>
    <t>WSR-2026-2974</t>
  </si>
  <si>
    <t>WSR-2026-2975</t>
  </si>
  <si>
    <t>WSR-2026-2976</t>
  </si>
  <si>
    <t>WSR-2026-2977</t>
  </si>
  <si>
    <t>WSR-2026-2978</t>
  </si>
  <si>
    <t>WSR-2026-2979</t>
  </si>
  <si>
    <t>WSR-2026-2980</t>
  </si>
  <si>
    <t>WSR-2026-2981</t>
  </si>
  <si>
    <t>WSR-2026-2982</t>
  </si>
  <si>
    <t>WSR-2026-2983</t>
  </si>
  <si>
    <t>WSR-2026-2984</t>
  </si>
  <si>
    <t>WSR-2026-2985</t>
  </si>
  <si>
    <t>WSR-2026-2986</t>
  </si>
  <si>
    <t>WSR-2026-2987</t>
  </si>
  <si>
    <t>WSR-2026-2988</t>
  </si>
  <si>
    <t>WSR-2026-2989</t>
  </si>
  <si>
    <t>WSR-2026-2990</t>
  </si>
  <si>
    <t>WSR-2026-2991</t>
  </si>
  <si>
    <t>WSR-2026-2992</t>
  </si>
  <si>
    <t>WSR-2026-2993</t>
  </si>
  <si>
    <t>WSR-2026-2994</t>
  </si>
  <si>
    <t>WSR-2026-2995</t>
  </si>
  <si>
    <t>WSR-2026-2996</t>
  </si>
  <si>
    <t>WSR-2026-2997</t>
  </si>
  <si>
    <t>WSR-2026-2998</t>
  </si>
  <si>
    <t>WSR-2026-2999</t>
  </si>
  <si>
    <t>WSR-2026-3000</t>
  </si>
  <si>
    <t>Row Labels</t>
  </si>
  <si>
    <t>Grand Total</t>
  </si>
  <si>
    <t>Sum of Total Revenue</t>
  </si>
  <si>
    <t>Sum of Total Revenue2</t>
  </si>
  <si>
    <t>Count of Rental ID</t>
  </si>
  <si>
    <t>Average of Total Revenue</t>
  </si>
  <si>
    <t>Jul</t>
  </si>
  <si>
    <t>Jan</t>
  </si>
  <si>
    <t>Feb</t>
  </si>
  <si>
    <t>Mar</t>
  </si>
  <si>
    <t>Apr</t>
  </si>
  <si>
    <t>Jun</t>
  </si>
  <si>
    <t>Aug</t>
  </si>
  <si>
    <t>Sep</t>
  </si>
  <si>
    <t>Oct</t>
  </si>
  <si>
    <t>Nov</t>
  </si>
  <si>
    <t>Dec</t>
  </si>
  <si>
    <t>Month Name</t>
  </si>
  <si>
    <t>July</t>
  </si>
  <si>
    <t>WSR-2026-3051</t>
  </si>
  <si>
    <t>January</t>
  </si>
  <si>
    <t>01</t>
  </si>
  <si>
    <t>Sunset Cove</t>
  </si>
  <si>
    <t>WSR-2026-3148</t>
  </si>
  <si>
    <t>WSR-2026-3282</t>
  </si>
  <si>
    <t>WSR-2026-3198</t>
  </si>
  <si>
    <t>02</t>
  </si>
  <si>
    <t>WSR-2026-3176</t>
  </si>
  <si>
    <t>WSR-2026-3028</t>
  </si>
  <si>
    <t>WSR-2026-3240</t>
  </si>
  <si>
    <t>WSR-2026-3095</t>
  </si>
  <si>
    <t>03</t>
  </si>
  <si>
    <t>WSR-2026-3076</t>
  </si>
  <si>
    <t>WSR-2026-3087</t>
  </si>
  <si>
    <t>WSR-2026-3027</t>
  </si>
  <si>
    <t>04</t>
  </si>
  <si>
    <t>WSR-2026-3039</t>
  </si>
  <si>
    <t>WSR-2026-3063</t>
  </si>
  <si>
    <t>WSR-2026-3159</t>
  </si>
  <si>
    <t>WSR-2026-3263</t>
  </si>
  <si>
    <t>WSR-2026-3099</t>
  </si>
  <si>
    <t>WSR-2026-3216</t>
  </si>
  <si>
    <t>WSR-2026-3181</t>
  </si>
  <si>
    <t>05</t>
  </si>
  <si>
    <t>WSR-2026-3233</t>
  </si>
  <si>
    <t>WSR-2026-3124</t>
  </si>
  <si>
    <t>WSR-2026-3289</t>
  </si>
  <si>
    <t>WSR-2026-3127</t>
  </si>
  <si>
    <t>WSR-2026-3296</t>
  </si>
  <si>
    <t>WSR-2026-3020</t>
  </si>
  <si>
    <t>WSR-2026-3241</t>
  </si>
  <si>
    <t>WSR-2026-3285</t>
  </si>
  <si>
    <t>WSR-2026-3107</t>
  </si>
  <si>
    <t>February</t>
  </si>
  <si>
    <t>06</t>
  </si>
  <si>
    <t>WSR-2026-3082</t>
  </si>
  <si>
    <t>07</t>
  </si>
  <si>
    <t>WSR-2026-3106</t>
  </si>
  <si>
    <t>WSR-2026-3242</t>
  </si>
  <si>
    <t>WSR-2026-3290</t>
  </si>
  <si>
    <t>WSR-2026-3201</t>
  </si>
  <si>
    <t>08</t>
  </si>
  <si>
    <t>WSR-2026-3042</t>
  </si>
  <si>
    <t>WSR-2026-3110</t>
  </si>
  <si>
    <t>WSR-2026-3224</t>
  </si>
  <si>
    <t>WSR-2026-3038</t>
  </si>
  <si>
    <t>WSR-2026-3122</t>
  </si>
  <si>
    <t>WSR-2026-3142</t>
  </si>
  <si>
    <t>WSR-2026-3186</t>
  </si>
  <si>
    <t>09</t>
  </si>
  <si>
    <t>WSR-2026-3258</t>
  </si>
  <si>
    <t>WSR-2026-3055</t>
  </si>
  <si>
    <t>WSR-2026-3188</t>
  </si>
  <si>
    <t>WSR-2026-3221</t>
  </si>
  <si>
    <t>WSR-2026-3223</t>
  </si>
  <si>
    <t>WSR-2026-3254</t>
  </si>
  <si>
    <t>WSR-2026-3267</t>
  </si>
  <si>
    <t>WSR-2026-3165</t>
  </si>
  <si>
    <t>WSR-2026-3044</t>
  </si>
  <si>
    <t>March</t>
  </si>
  <si>
    <t>10</t>
  </si>
  <si>
    <t>WSR-2026-3016</t>
  </si>
  <si>
    <t>WSR-2026-3300</t>
  </si>
  <si>
    <t>WSR-2026-3119</t>
  </si>
  <si>
    <t>WSR-2026-3183</t>
  </si>
  <si>
    <t>WSR-2026-3140</t>
  </si>
  <si>
    <t>11</t>
  </si>
  <si>
    <t>WSR-2026-3218</t>
  </si>
  <si>
    <t>WSR-2026-3008</t>
  </si>
  <si>
    <t>WSR-2026-3043</t>
  </si>
  <si>
    <t>WSR-2026-3074</t>
  </si>
  <si>
    <t>WSR-2026-3205</t>
  </si>
  <si>
    <t>WSR-2026-3034</t>
  </si>
  <si>
    <t>WSR-2026-3102</t>
  </si>
  <si>
    <t>WSR-2026-3146</t>
  </si>
  <si>
    <t>WSR-2026-3151</t>
  </si>
  <si>
    <t>WSR-2026-3049</t>
  </si>
  <si>
    <t>WSR-2026-3017</t>
  </si>
  <si>
    <t>WSR-2026-3109</t>
  </si>
  <si>
    <t>WSR-2026-3137</t>
  </si>
  <si>
    <t>WSR-2026-3161</t>
  </si>
  <si>
    <t>12</t>
  </si>
  <si>
    <t>WSR-2026-3278</t>
  </si>
  <si>
    <t>WSR-2026-3129</t>
  </si>
  <si>
    <t>WSR-2026-3024</t>
  </si>
  <si>
    <t>WSR-2026-3167</t>
  </si>
  <si>
    <t>WSR-2026-3292</t>
  </si>
  <si>
    <t>WSR-2026-3251</t>
  </si>
  <si>
    <t>WSR-2026-3217</t>
  </si>
  <si>
    <t>WSR-2026-3088</t>
  </si>
  <si>
    <t>13</t>
  </si>
  <si>
    <t>WSR-2026-3158</t>
  </si>
  <si>
    <t>WSR-2026-3084</t>
  </si>
  <si>
    <t>WSR-2026-3281</t>
  </si>
  <si>
    <t>WSR-2026-3206</t>
  </si>
  <si>
    <t>WSR-2026-3062</t>
  </si>
  <si>
    <t>WSR-2026-3168</t>
  </si>
  <si>
    <t>WSR-2026-3094</t>
  </si>
  <si>
    <t>WSR-2026-3073</t>
  </si>
  <si>
    <t>WSR-2026-3156</t>
  </si>
  <si>
    <t>WSR-2026-3025</t>
  </si>
  <si>
    <t>14</t>
  </si>
  <si>
    <t>WSR-2026-3157</t>
  </si>
  <si>
    <t>WSR-2026-3160</t>
  </si>
  <si>
    <t>April</t>
  </si>
  <si>
    <t>WSR-2026-3245</t>
  </si>
  <si>
    <t>WSR-2026-3002</t>
  </si>
  <si>
    <t>WSR-2026-3105</t>
  </si>
  <si>
    <t>15</t>
  </si>
  <si>
    <t>WSR-2026-3052</t>
  </si>
  <si>
    <t>WSR-2026-3013</t>
  </si>
  <si>
    <t>WSR-2026-3268</t>
  </si>
  <si>
    <t>WSR-2026-3046</t>
  </si>
  <si>
    <t>16</t>
  </si>
  <si>
    <t>WSR-2026-3246</t>
  </si>
  <si>
    <t>WSR-2026-3200</t>
  </si>
  <si>
    <t>WSR-2026-3092</t>
  </si>
  <si>
    <t>WSR-2026-3053</t>
  </si>
  <si>
    <t>17</t>
  </si>
  <si>
    <t>WSR-2026-3080</t>
  </si>
  <si>
    <t>WSR-2026-3114</t>
  </si>
  <si>
    <t>WSR-2026-3243</t>
  </si>
  <si>
    <t>WSR-2026-3032</t>
  </si>
  <si>
    <t>18</t>
  </si>
  <si>
    <t>WSR-2026-3238</t>
  </si>
  <si>
    <t>WSR-2026-3280</t>
  </si>
  <si>
    <t>WSR-2026-3023</t>
  </si>
  <si>
    <t>WSR-2026-3170</t>
  </si>
  <si>
    <t>WSR-2026-3207</t>
  </si>
  <si>
    <t>WSR-2026-3177</t>
  </si>
  <si>
    <t>WSR-2026-3262</t>
  </si>
  <si>
    <t>19</t>
  </si>
  <si>
    <t>WSR-2026-3090</t>
  </si>
  <si>
    <t>WSR-2026-3249</t>
  </si>
  <si>
    <t>WSR-2026-3213</t>
  </si>
  <si>
    <t>WSR-2026-3272</t>
  </si>
  <si>
    <t>WSR-2026-3298</t>
  </si>
  <si>
    <t>WSR-2026-3085</t>
  </si>
  <si>
    <t>20</t>
  </si>
  <si>
    <t>WSR-2026-3058</t>
  </si>
  <si>
    <t>WSR-2026-3138</t>
  </si>
  <si>
    <t>WSR-2026-3012</t>
  </si>
  <si>
    <t>WSR-2026-3173</t>
  </si>
  <si>
    <t>WSR-2026-3078</t>
  </si>
  <si>
    <t>WSR-2026-3196</t>
  </si>
  <si>
    <t>WSR-2026-3136</t>
  </si>
  <si>
    <t>21</t>
  </si>
  <si>
    <t>WSR-2026-3230</t>
  </si>
  <si>
    <t>WSR-2026-3153</t>
  </si>
  <si>
    <t>WSR-2026-3291</t>
  </si>
  <si>
    <t>WSR-2026-3071</t>
  </si>
  <si>
    <t>WSR-2026-3081</t>
  </si>
  <si>
    <t>WSR-2026-3111</t>
  </si>
  <si>
    <t>WSR-2026-3252</t>
  </si>
  <si>
    <t>WSR-2026-3041</t>
  </si>
  <si>
    <t>WSR-2026-3193</t>
  </si>
  <si>
    <t>WSR-2026-3192</t>
  </si>
  <si>
    <t>22</t>
  </si>
  <si>
    <t>WSR-2026-3031</t>
  </si>
  <si>
    <t>23</t>
  </si>
  <si>
    <t>WSR-2026-3274</t>
  </si>
  <si>
    <t>WSR-2026-3120</t>
  </si>
  <si>
    <t>June</t>
  </si>
  <si>
    <t>WSR-2026-3208</t>
  </si>
  <si>
    <t>WSR-2026-3214</t>
  </si>
  <si>
    <t>WSR-2026-3271</t>
  </si>
  <si>
    <t>24</t>
  </si>
  <si>
    <t>WSR-2026-3091</t>
  </si>
  <si>
    <t>WSR-2026-3212</t>
  </si>
  <si>
    <t>WSR-2026-3036</t>
  </si>
  <si>
    <t>WSR-2026-3261</t>
  </si>
  <si>
    <t>25</t>
  </si>
  <si>
    <t>WSR-2026-3175</t>
  </si>
  <si>
    <t>WSR-2026-3139</t>
  </si>
  <si>
    <t>WSR-2026-3004</t>
  </si>
  <si>
    <t>26</t>
  </si>
  <si>
    <t>WSR-2026-3234</t>
  </si>
  <si>
    <t>WSR-2026-3097</t>
  </si>
  <si>
    <t>WSR-2026-3143</t>
  </si>
  <si>
    <t>WSR-2026-3141</t>
  </si>
  <si>
    <t>WSR-2026-3225</t>
  </si>
  <si>
    <t>WSR-2026-3228</t>
  </si>
  <si>
    <t>WSR-2026-3022</t>
  </si>
  <si>
    <t>WSR-2026-3006</t>
  </si>
  <si>
    <t>27</t>
  </si>
  <si>
    <t>WSR-2026-3209</t>
  </si>
  <si>
    <t>WSR-2026-3009</t>
  </si>
  <si>
    <t>WSR-2026-3152</t>
  </si>
  <si>
    <t>WSR-2026-3237</t>
  </si>
  <si>
    <t>WSR-2026-3294</t>
  </si>
  <si>
    <t>WSR-2026-3128</t>
  </si>
  <si>
    <t>WSR-2026-3075</t>
  </si>
  <si>
    <t>WSR-2026-3295</t>
  </si>
  <si>
    <t>WSR-2026-3054</t>
  </si>
  <si>
    <t>28</t>
  </si>
  <si>
    <t>WSR-2026-3010</t>
  </si>
  <si>
    <t>WSR-2026-3187</t>
  </si>
  <si>
    <t>WSR-2026-3286</t>
  </si>
  <si>
    <t>29</t>
  </si>
  <si>
    <t>WSR-2026-3068</t>
  </si>
  <si>
    <t>WSR-2026-3015</t>
  </si>
  <si>
    <t>WSR-2026-3229</t>
  </si>
  <si>
    <t>WSR-2026-3117</t>
  </si>
  <si>
    <t>WSR-2026-3179</t>
  </si>
  <si>
    <t>30</t>
  </si>
  <si>
    <t>WSR-2026-3070</t>
  </si>
  <si>
    <t>WSR-2026-3293</t>
  </si>
  <si>
    <t>WSR-2026-3150</t>
  </si>
  <si>
    <t>31</t>
  </si>
  <si>
    <t>WSR-2026-3164</t>
  </si>
  <si>
    <t>WSR-2026-3236</t>
  </si>
  <si>
    <t>WSR-2026-3270</t>
  </si>
  <si>
    <t>WSR-2026-3123</t>
  </si>
  <si>
    <t>WSR-2026-3169</t>
  </si>
  <si>
    <t>August</t>
  </si>
  <si>
    <t>WSR-2026-3155</t>
  </si>
  <si>
    <t>32</t>
  </si>
  <si>
    <t>WSR-2026-3189</t>
  </si>
  <si>
    <t>WSR-2026-3121</t>
  </si>
  <si>
    <t>33</t>
  </si>
  <si>
    <t>WSR-2026-3132</t>
  </si>
  <si>
    <t>WSR-2026-3248</t>
  </si>
  <si>
    <t>WSR-2026-3135</t>
  </si>
  <si>
    <t>WSR-2026-3222</t>
  </si>
  <si>
    <t>WSR-2026-3265</t>
  </si>
  <si>
    <t>34</t>
  </si>
  <si>
    <t>WSR-2026-3247</t>
  </si>
  <si>
    <t>35</t>
  </si>
  <si>
    <t>WSR-2026-3014</t>
  </si>
  <si>
    <t>WSR-2026-3149</t>
  </si>
  <si>
    <t>WSR-2026-3275</t>
  </si>
  <si>
    <t>WSR-2026-3050</t>
  </si>
  <si>
    <t>WSR-2026-3069</t>
  </si>
  <si>
    <t>WSR-2026-3297</t>
  </si>
  <si>
    <t>WSR-2026-3035</t>
  </si>
  <si>
    <t>36</t>
  </si>
  <si>
    <t>WSR-2026-3256</t>
  </si>
  <si>
    <t>WSR-2026-3134</t>
  </si>
  <si>
    <t>September</t>
  </si>
  <si>
    <t>WSR-2026-3276</t>
  </si>
  <si>
    <t>WSR-2026-3108</t>
  </si>
  <si>
    <t>WSR-2026-3257</t>
  </si>
  <si>
    <t>WSR-2026-3210</t>
  </si>
  <si>
    <t>37</t>
  </si>
  <si>
    <t>WSR-2026-3083</t>
  </si>
  <si>
    <t>WSR-2026-3103</t>
  </si>
  <si>
    <t>WSR-2026-3029</t>
  </si>
  <si>
    <t>38</t>
  </si>
  <si>
    <t>WSR-2026-3253</t>
  </si>
  <si>
    <t>WSR-2026-3232</t>
  </si>
  <si>
    <t>WSR-2026-3005</t>
  </si>
  <si>
    <t>WSR-2026-3259</t>
  </si>
  <si>
    <t>39</t>
  </si>
  <si>
    <t>WSR-2026-3007</t>
  </si>
  <si>
    <t>WSR-2026-3235</t>
  </si>
  <si>
    <t>WSR-2026-3162</t>
  </si>
  <si>
    <t>WSR-2026-3021</t>
  </si>
  <si>
    <t>WSR-2026-3026</t>
  </si>
  <si>
    <t>WSR-2026-3048</t>
  </si>
  <si>
    <t>40</t>
  </si>
  <si>
    <t>WSR-2026-3101</t>
  </si>
  <si>
    <t>WSR-2026-3104</t>
  </si>
  <si>
    <t>October</t>
  </si>
  <si>
    <t>WSR-2026-3185</t>
  </si>
  <si>
    <t>WSR-2026-3040</t>
  </si>
  <si>
    <t>WSR-2026-3211</t>
  </si>
  <si>
    <t>WSR-2026-3279</t>
  </si>
  <si>
    <t>41</t>
  </si>
  <si>
    <t>WSR-2026-3037</t>
  </si>
  <si>
    <t>WSR-2026-3190</t>
  </si>
  <si>
    <t>WSR-2026-3250</t>
  </si>
  <si>
    <t>WSR-2026-3244</t>
  </si>
  <si>
    <t>WSR-2026-3215</t>
  </si>
  <si>
    <t>WSR-2026-3266</t>
  </si>
  <si>
    <t>WSR-2026-3172</t>
  </si>
  <si>
    <t>WSR-2026-3220</t>
  </si>
  <si>
    <t>42</t>
  </si>
  <si>
    <t>WSR-2026-3163</t>
  </si>
  <si>
    <t>WSR-2026-3287</t>
  </si>
  <si>
    <t>WSR-2026-3231</t>
  </si>
  <si>
    <t>WSR-2026-3096</t>
  </si>
  <si>
    <t>43</t>
  </si>
  <si>
    <t>WSR-2026-3115</t>
  </si>
  <si>
    <t>WSR-2026-3178</t>
  </si>
  <si>
    <t>WSR-2026-3195</t>
  </si>
  <si>
    <t>WSR-2026-3045</t>
  </si>
  <si>
    <t>WSR-2026-3171</t>
  </si>
  <si>
    <t>WSR-2026-3093</t>
  </si>
  <si>
    <t>44</t>
  </si>
  <si>
    <t>WSR-2026-3182</t>
  </si>
  <si>
    <t>WSR-2026-3180</t>
  </si>
  <si>
    <t>WSR-2026-3264</t>
  </si>
  <si>
    <t>WSR-2026-3269</t>
  </si>
  <si>
    <t>WSR-2026-3219</t>
  </si>
  <si>
    <t>WSR-2026-3273</t>
  </si>
  <si>
    <t>WSR-2026-3079</t>
  </si>
  <si>
    <t>WSR-2026-3154</t>
  </si>
  <si>
    <t>November</t>
  </si>
  <si>
    <t>45</t>
  </si>
  <si>
    <t>WSR-2026-3283</t>
  </si>
  <si>
    <t>WSR-2026-3033</t>
  </si>
  <si>
    <t>WSR-2026-3072</t>
  </si>
  <si>
    <t>WSR-2026-3133</t>
  </si>
  <si>
    <t>WSR-2026-3100</t>
  </si>
  <si>
    <t>WSR-2026-3059</t>
  </si>
  <si>
    <t>46</t>
  </si>
  <si>
    <t>WSR-2026-3118</t>
  </si>
  <si>
    <t>WSR-2026-3255</t>
  </si>
  <si>
    <t>WSR-2026-3011</t>
  </si>
  <si>
    <t>WSR-2026-3056</t>
  </si>
  <si>
    <t>WSR-2026-3113</t>
  </si>
  <si>
    <t>WSR-2026-3001</t>
  </si>
  <si>
    <t>47</t>
  </si>
  <si>
    <t>WSR-2026-3112</t>
  </si>
  <si>
    <t>WSR-2026-3060</t>
  </si>
  <si>
    <t>WSR-2026-3194</t>
  </si>
  <si>
    <t>WSR-2026-3260</t>
  </si>
  <si>
    <t>WSR-2026-3144</t>
  </si>
  <si>
    <t>48</t>
  </si>
  <si>
    <t>WSR-2026-3131</t>
  </si>
  <si>
    <t>WSR-2026-3199</t>
  </si>
  <si>
    <t>WSR-2026-3030</t>
  </si>
  <si>
    <t>WSR-2026-3061</t>
  </si>
  <si>
    <t>WSR-2026-3064</t>
  </si>
  <si>
    <t>WSR-2026-3116</t>
  </si>
  <si>
    <t>WSR-2026-3227</t>
  </si>
  <si>
    <t>WSR-2026-3299</t>
  </si>
  <si>
    <t>WSR-2026-3204</t>
  </si>
  <si>
    <t>WSR-2026-3130</t>
  </si>
  <si>
    <t>49</t>
  </si>
  <si>
    <t>WSR-2026-3284</t>
  </si>
  <si>
    <t>WSR-2026-3145</t>
  </si>
  <si>
    <t>December</t>
  </si>
  <si>
    <t>WSR-2026-3197</t>
  </si>
  <si>
    <t>50</t>
  </si>
  <si>
    <t>WSR-2026-3086</t>
  </si>
  <si>
    <t>WSR-2026-3067</t>
  </si>
  <si>
    <t>51</t>
  </si>
  <si>
    <t>WSR-2026-3098</t>
  </si>
  <si>
    <t>WSR-2026-3202</t>
  </si>
  <si>
    <t>WSR-2026-3226</t>
  </si>
  <si>
    <t>WSR-2026-3018</t>
  </si>
  <si>
    <t>WSR-2026-3019</t>
  </si>
  <si>
    <t>WSR-2026-3125</t>
  </si>
  <si>
    <t>WSR-2026-3184</t>
  </si>
  <si>
    <t>WSR-2026-3288</t>
  </si>
  <si>
    <t>WSR-2026-3147</t>
  </si>
  <si>
    <t>WSR-2026-3191</t>
  </si>
  <si>
    <t>WSR-2026-3077</t>
  </si>
  <si>
    <t>52</t>
  </si>
  <si>
    <t>WSR-2026-3126</t>
  </si>
  <si>
    <t>WSR-2026-3003</t>
  </si>
  <si>
    <t>WSR-2026-3057</t>
  </si>
  <si>
    <t>WSR-2026-3239</t>
  </si>
  <si>
    <t>WSR-2026-3089</t>
  </si>
  <si>
    <t>WSR-2026-3174</t>
  </si>
  <si>
    <t>WSR-2026-3047</t>
  </si>
  <si>
    <t>53</t>
  </si>
  <si>
    <t>WSR-2026-3277</t>
  </si>
  <si>
    <t>WSR-2026-3065</t>
  </si>
  <si>
    <t>WSR-2026-3203</t>
  </si>
  <si>
    <t>WSR-2026-3066</t>
  </si>
  <si>
    <t>WSR-2026-3166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</si>
</sst>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44" formatCode="_(&quot;$&quot;* #,##0.00_);_(&quot;$&quot;* \(#,##0.00\);_(&quot;$&quot;* &quot;-&quot;??_);_(@_)"/>
    <numFmt numFmtId="164" formatCode="&quot;$&quot;#,##0.00"/>
  </numFmts>
  <fonts count="3" x14ac:knownFonts="1">
    <font>
      <sz val="11"/>
      <color theme="1"/>
      <name val="Aptos Narrow"/>
      <family val="2"/>
      <scheme val="minor"/>
    </font>
    <font>
      <sz val="11"/>
      <color theme="1"/>
      <name val="Aptos Narrow"/>
      <family val="2"/>
      <scheme val="minor"/>
    </font>
    <font>
      <b/>
      <sz val="11"/>
      <color theme="1"/>
      <name val="Aptos Narrow"/>
      <family val="2"/>
      <scheme val="minor"/>
    </font>
  </fonts>
  <fills count="3">
    <fill>
      <patternFill patternType="none"/>
    </fill>
    <fill>
      <patternFill patternType="gray125"/>
    </fill>
    <fill>
      <patternFill patternType="solid">
        <fgColor theme="0" tint="-4.9989318521683403E-2"/>
        <bgColor indexed="64"/>
      </patternFill>
    </fill>
  </fills>
  <borders count="1">
    <border>
      <left/>
      <right/>
      <top/>
      <bottom/>
      <diagonal/>
    </border>
  </borders>
  <cellStyleXfs count="2">
    <xf numFmtId="0" fontId="0" fillId="0" borderId="0"/>
    <xf numFmtId="44" fontId="1" fillId="0" borderId="0" applyFont="0" applyFill="0" applyBorder="0" applyAlignment="0" applyProtection="0"/>
  </cellStyleXfs>
  <cellXfs count="10">
    <xf numFmtId="0" fontId="0" fillId="0" borderId="0" xfId="0"/>
    <xf numFmtId="14" fontId="0" fillId="0" borderId="0" xfId="0" applyNumberFormat="1"/>
    <xf numFmtId="164" fontId="0" fillId="0" borderId="0" xfId="1" applyNumberFormat="1" applyFont="1"/>
    <xf numFmtId="164" fontId="0" fillId="0" borderId="0" xfId="0" applyNumberFormat="1"/>
    <xf numFmtId="0" fontId="0" fillId="0" borderId="0" xfId="0" pivotButton="1"/>
    <xf numFmtId="0" fontId="0" fillId="0" borderId="0" xfId="0" applyAlignment="1">
      <alignment horizontal="left"/>
    </xf>
    <xf numFmtId="0" fontId="0" fillId="2" borderId="0" xfId="0" applyFill="1"/>
    <xf numFmtId="3" fontId="0" fillId="0" borderId="0" xfId="0" applyNumberFormat="1"/>
    <xf numFmtId="9" fontId="0" fillId="0" borderId="0" xfId="0" applyNumberFormat="1"/>
    <xf numFmtId="0" fontId="2" fillId="0" borderId="0" xfId="0" applyFont="1"/>
  </cellXfs>
  <cellStyles count="2">
    <cellStyle name="Currency" xfId="1" builtinId="4"/>
    <cellStyle name="Normal" xfId="0" builtinId="0"/>
  </cellStyles>
  <dxfs count="11">
    <dxf>
      <numFmt numFmtId="164" formatCode="&quot;$&quot;#,##0.00"/>
    </dxf>
    <dxf>
      <numFmt numFmtId="164" formatCode="&quot;$&quot;#,##0.00"/>
    </dxf>
    <dxf>
      <numFmt numFmtId="164" formatCode="&quot;$&quot;#,##0.00"/>
    </dxf>
    <dxf>
      <numFmt numFmtId="164" formatCode="&quot;$&quot;#,##0.00"/>
    </dxf>
    <dxf>
      <numFmt numFmtId="19" formatCode="m/d/yyyy"/>
    </dxf>
    <dxf>
      <numFmt numFmtId="0" formatCode="General"/>
    </dxf>
    <dxf>
      <numFmt numFmtId="0" formatCode="General"/>
    </dxf>
    <dxf>
      <numFmt numFmtId="0" formatCode="General"/>
    </dxf>
    <dxf>
      <numFmt numFmtId="19" formatCode="m/d/yyyy"/>
    </dxf>
    <dxf>
      <font>
        <b/>
        <color theme="1"/>
      </font>
      <border>
        <bottom style="thin">
          <color theme="6"/>
        </bottom>
        <vertical/>
        <horizontal/>
      </border>
    </dxf>
    <dxf>
      <font>
        <color theme="1"/>
      </font>
      <border diagonalUp="0" diagonalDown="0">
        <left/>
        <right/>
        <top/>
        <bottom/>
        <vertical/>
        <horizontal/>
      </border>
    </dxf>
  </dxfs>
  <tableStyles count="1" defaultTableStyle="TableStyleMedium2" defaultPivotStyle="PivotStyleLight16">
    <tableStyle name="SlicerStyleLight3 2" pivot="0" table="0" count="10" xr9:uid="{270E6849-D674-4933-B499-8DFDC1BBB53F}">
      <tableStyleElement type="wholeTable" dxfId="10"/>
      <tableStyleElement type="headerRow" dxfId="9"/>
    </tableStyle>
  </tableStyle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6" tint="0.79998168889431442"/>
              <bgColor theme="6"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6" tint="0.59999389629810485"/>
              <bgColor theme="6"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SlicerStyleLight3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mc:AlternateContent xmlns:mc="http://schemas.openxmlformats.org/markup-compatibility/2006">
    <mc:Choice xmlns:c14="http://schemas.microsoft.com/office/drawing/2007/8/2/chart" Requires="c14">
      <c14:style val="102"/>
    </mc:Choice>
    <mc:Fallback>
      <c:style val="2"/>
    </mc:Fallback>
  </mc:AlternateContent>
  <c:pivotSource>
    <c:name>[Water-Sports-Rentals-Sales-Dashboard-FINAL.xlsx]Sales by Week-Month!PivotTable1</c:name>
    <c:fmtId val="12"/>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Sales Over Time</a:t>
            </a:r>
          </a:p>
        </c:rich>
      </c:tx>
      <c:layout>
        <c:manualLayout>
          <c:xMode val="edge"/>
          <c:yMode val="edge"/>
          <c:x val="1.6246851385390448E-2"/>
          <c:y val="1.8726591760299626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2225" cap="rnd">
            <a:solidFill>
              <a:schemeClr val="accent3"/>
            </a:solidFill>
            <a:round/>
          </a:ln>
          <a:effectLst/>
        </c:spPr>
        <c:marker>
          <c:symbol val="circle"/>
          <c:size val="5"/>
          <c:spPr>
            <a:solidFill>
              <a:schemeClr val="accent3"/>
            </a:solidFill>
            <a:ln w="9525">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3"/>
          </a:solidFill>
          <a:ln w="19050">
            <a:solidFill>
              <a:schemeClr val="accent3"/>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3">
              <a:alpha val="24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'Sales by Week-Month'!$B$3</c:f>
              <c:strCache>
                <c:ptCount val="1"/>
                <c:pt idx="0">
                  <c:v>Total</c:v>
                </c:pt>
              </c:strCache>
            </c:strRef>
          </c:tx>
          <c:spPr>
            <a:ln w="22225" cap="rnd">
              <a:solidFill>
                <a:schemeClr val="accent3"/>
              </a:solidFill>
              <a:round/>
            </a:ln>
            <a:effectLst/>
          </c:spPr>
          <c:marker>
            <c:symbol val="circle"/>
            <c:size val="5"/>
            <c:spPr>
              <a:solidFill>
                <a:schemeClr val="accent3"/>
              </a:solidFill>
              <a:ln w="9525">
                <a:noFill/>
              </a:ln>
              <a:effectLst/>
            </c:spPr>
          </c:marker>
          <c:cat>
            <c:strRef>
              <c:f>'Sales by Week-Month'!$A$4:$A$16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'Sales by Week-Month'!$B$4:$B$16</c:f>
              <c:numCache>
                <c:formatCode>"$"#,##0.00</c:formatCode>
                <c:ptCount val="12"/>
                <c:pt idx="0">
                  <c:v>2794.71</c:v>
                </c:pt>
                <c:pt idx="1">
                  <c:v>2977.0699999999997</c:v>
                </c:pt>
                <c:pt idx="2">
                  <c:v>6298.470000000003</c:v>
                </c:pt>
                <c:pt idx="3">
                  <c:v>8405.8200000000033</c:v>
                </c:pt>
                <c:pt idx="4">
                  <c:v>10745.890000000005</c:v>
                </c:pt>
                <c:pt idx="5">
                  <c:v>24265.590000000015</c:v>
                </c:pt>
                <c:pt idx="6">
                  <c:v>36017.40000000006</c:v>
                </c:pt>
                <c:pt idx="7">
                  <c:v>30268.870000000017</c:v>
                </c:pt>
                <c:pt idx="8">
                  <c:v>14350.869999999995</c:v>
                </c:pt>
                <c:pt idx="9">
                  <c:v>6905.5800000000008</c:v>
                </c:pt>
                <c:pt idx="10">
                  <c:v>4032.5599999999995</c:v>
                </c:pt>
                <c:pt idx="11">
                  <c:v>3862.6300000000006</c:v>
                </c:pt>
              </c:numCache>
            </c:numRef>
          </c:val>
          <c:smooth val="0"/>
          <c:extLst>
            <c:ext xmlns:c16="http://schemas.microsoft.com/office/drawing/2014/chart" uri="{C3380CC4-5D6E-409C-BE32-E72D297353CC}">
              <c16:uniqueId val="{00000000-D95B-4611-986C-BFFAE6BEF05F}"/>
            </c:ext>
          </c:extLst>
        </c:ser>
        <c:dLbls>
          <c:showLegendKey val="0"/>
          <c:showVal val="0"/>
          <c:showCatName val="0"/>
          <c:showSerName val="0"/>
          <c:showPercent val="0"/>
          <c:showBubbleSize val="0"/>
        </c:dLbls>
        <c:marker val="1"/>
        <c:smooth val="0"/>
        <c:axId val="2105996383"/>
        <c:axId val="8828976"/>
      </c:lineChart>
      <c:catAx>
        <c:axId val="21059963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828976"/>
        <c:crosses val="autoZero"/>
        <c:auto val="1"/>
        <c:lblAlgn val="ctr"/>
        <c:lblOffset val="100"/>
        <c:noMultiLvlLbl val="0"/>
      </c:catAx>
      <c:valAx>
        <c:axId val="8828976"/>
        <c:scaling>
          <c:orientation val="minMax"/>
        </c:scaling>
        <c:delete val="0"/>
        <c:axPos val="l"/>
        <c:majorGridlines>
          <c:spPr>
            <a:ln w="9525" cap="flat" cmpd="sng" algn="ctr">
              <a:solidFill>
                <a:schemeClr val="tx1">
                  <a:lumMod val="15000"/>
                  <a:lumOff val="85000"/>
                </a:schemeClr>
              </a:solidFill>
              <a:round/>
            </a:ln>
            <a:effectLst/>
          </c:spPr>
        </c:majorGridlines>
        <c:numFmt formatCode="&quot;$&quot;#,##0,&quot;K&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0599638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mc:AlternateContent xmlns:mc="http://schemas.openxmlformats.org/markup-compatibility/2006">
    <mc:Choice xmlns:c14="http://schemas.microsoft.com/office/drawing/2007/8/2/chart" Requires="c14">
      <c14:style val="102"/>
    </mc:Choice>
    <mc:Fallback>
      <c:style val="2"/>
    </mc:Fallback>
  </mc:AlternateContent>
  <c:pivotSource>
    <c:name>[Water-Sports-Rentals-Sales-Dashboard-FINAL.xlsx]Customer Mix Type!PivotTable1</c:name>
    <c:fmtId val="15"/>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Customer Type Mix</a:t>
            </a:r>
          </a:p>
        </c:rich>
      </c:tx>
      <c:layout>
        <c:manualLayout>
          <c:xMode val="edge"/>
          <c:yMode val="edge"/>
          <c:x val="2.0709750708038974E-2"/>
          <c:y val="2.681992337164751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bg1">
              <a:lumMod val="9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bg1">
              <a:lumMod val="9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bg1">
              <a:lumMod val="9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3"/>
          </a:solidFill>
          <a:ln>
            <a:noFill/>
          </a:ln>
          <a:effectLst/>
        </c:spPr>
      </c:pivotFmt>
      <c:pivotFmt>
        <c:idx val="8"/>
        <c:spPr>
          <a:solidFill>
            <a:schemeClr val="accent3"/>
          </a:solidFill>
          <a:ln>
            <a:noFill/>
          </a:ln>
          <a:effectLst/>
        </c:spPr>
      </c:pivotFmt>
      <c:pivotFmt>
        <c:idx val="9"/>
        <c:spPr>
          <a:solidFill>
            <a:schemeClr val="accent3"/>
          </a:solidFill>
          <a:ln>
            <a:noFill/>
          </a:ln>
          <a:effectLst/>
        </c:spPr>
      </c:pivotFmt>
      <c:pivotFmt>
        <c:idx val="10"/>
        <c:spPr>
          <a:solidFill>
            <a:schemeClr val="accent3"/>
          </a:solidFill>
          <a:ln>
            <a:noFill/>
          </a:ln>
          <a:effectLst/>
        </c:spPr>
      </c:pivotFmt>
      <c:pivotFmt>
        <c:idx val="11"/>
        <c:spPr>
          <a:solidFill>
            <a:schemeClr val="accent3"/>
          </a:solidFill>
          <a:ln>
            <a:noFill/>
          </a:ln>
          <a:effectLst/>
        </c:spPr>
      </c:pivotFmt>
    </c:pivotFmts>
    <c:plotArea>
      <c:layout/>
      <c:barChart>
        <c:barDir val="bar"/>
        <c:grouping val="clustered"/>
        <c:varyColors val="0"/>
        <c:ser>
          <c:idx val="0"/>
          <c:order val="0"/>
          <c:tx>
            <c:strRef>
              <c:f>'Customer Mix Type'!$B$3</c:f>
              <c:strCache>
                <c:ptCount val="1"/>
                <c:pt idx="0">
                  <c:v>Sum of Total Revenue2</c:v>
                </c:pt>
              </c:strCache>
            </c:strRef>
          </c:tx>
          <c:spPr>
            <a:solidFill>
              <a:schemeClr val="bg1">
                <a:lumMod val="95000"/>
              </a:schemeClr>
            </a:solidFill>
            <a:ln>
              <a:noFill/>
            </a:ln>
            <a:effectLst/>
          </c:spPr>
          <c:invertIfNegative val="0"/>
          <c:cat>
            <c:strRef>
              <c:f>'Customer Mix Type'!$A$4:$A$9</c:f>
              <c:strCache>
                <c:ptCount val="5"/>
                <c:pt idx="0">
                  <c:v>Member</c:v>
                </c:pt>
                <c:pt idx="1">
                  <c:v>Group/Event</c:v>
                </c:pt>
                <c:pt idx="2">
                  <c:v>Resort Guest</c:v>
                </c:pt>
                <c:pt idx="3">
                  <c:v>Online Booking</c:v>
                </c:pt>
                <c:pt idx="4">
                  <c:v>Walk-in</c:v>
                </c:pt>
              </c:strCache>
            </c:strRef>
          </c:cat>
          <c:val>
            <c:numRef>
              <c:f>'Customer Mix Type'!$B$4:$B$9</c:f>
              <c:numCache>
                <c:formatCode>0%</c:formatCode>
                <c:ptCount val="5"/>
                <c:pt idx="0">
                  <c:v>1</c:v>
                </c:pt>
                <c:pt idx="1">
                  <c:v>1</c:v>
                </c:pt>
                <c:pt idx="2">
                  <c:v>1</c:v>
                </c:pt>
                <c:pt idx="3">
                  <c:v>1</c:v>
                </c:pt>
                <c:pt idx="4">
                  <c:v>1</c:v>
                </c:pt>
              </c:numCache>
            </c:numRef>
          </c:val>
          <c:extLst>
            <c:ext xmlns:c16="http://schemas.microsoft.com/office/drawing/2014/chart" uri="{C3380CC4-5D6E-409C-BE32-E72D297353CC}">
              <c16:uniqueId val="{00000000-D93C-4C2B-B95E-6D0D971B1483}"/>
            </c:ext>
          </c:extLst>
        </c:ser>
        <c:ser>
          <c:idx val="1"/>
          <c:order val="1"/>
          <c:tx>
            <c:strRef>
              <c:f>'Customer Mix Type'!$C$3</c:f>
              <c:strCache>
                <c:ptCount val="1"/>
                <c:pt idx="0">
                  <c:v>Sum of Total Revenue</c:v>
                </c:pt>
              </c:strCache>
            </c:strRef>
          </c:tx>
          <c:spPr>
            <a:solidFill>
              <a:schemeClr val="accent3"/>
            </a:solidFill>
            <a:ln>
              <a:noFill/>
            </a:ln>
            <a:effectLst/>
          </c:spPr>
          <c:invertIfNegative val="0"/>
          <c:dPt>
            <c:idx val="0"/>
            <c:invertIfNegative val="0"/>
            <c:bubble3D val="0"/>
            <c:spPr>
              <a:solidFill>
                <a:schemeClr val="accent3"/>
              </a:solidFill>
              <a:ln>
                <a:noFill/>
              </a:ln>
              <a:effectLst/>
            </c:spPr>
            <c:extLst>
              <c:ext xmlns:c16="http://schemas.microsoft.com/office/drawing/2014/chart" uri="{C3380CC4-5D6E-409C-BE32-E72D297353CC}">
                <c16:uniqueId val="{00000006-D93C-4C2B-B95E-6D0D971B1483}"/>
              </c:ext>
            </c:extLst>
          </c:dPt>
          <c:dPt>
            <c:idx val="2"/>
            <c:invertIfNegative val="0"/>
            <c:bubble3D val="0"/>
            <c:spPr>
              <a:solidFill>
                <a:schemeClr val="accent3"/>
              </a:solidFill>
              <a:ln>
                <a:noFill/>
              </a:ln>
              <a:effectLst/>
            </c:spPr>
            <c:extLst>
              <c:ext xmlns:c16="http://schemas.microsoft.com/office/drawing/2014/chart" uri="{C3380CC4-5D6E-409C-BE32-E72D297353CC}">
                <c16:uniqueId val="{00000004-D93C-4C2B-B95E-6D0D971B1483}"/>
              </c:ext>
            </c:extLst>
          </c:dPt>
          <c:dPt>
            <c:idx val="3"/>
            <c:invertIfNegative val="0"/>
            <c:bubble3D val="0"/>
            <c:spPr>
              <a:solidFill>
                <a:schemeClr val="accent3"/>
              </a:solidFill>
              <a:ln>
                <a:noFill/>
              </a:ln>
              <a:effectLst/>
            </c:spPr>
            <c:extLst>
              <c:ext xmlns:c16="http://schemas.microsoft.com/office/drawing/2014/chart" uri="{C3380CC4-5D6E-409C-BE32-E72D297353CC}">
                <c16:uniqueId val="{00000003-D93C-4C2B-B95E-6D0D971B1483}"/>
              </c:ext>
            </c:extLst>
          </c:dPt>
          <c:dPt>
            <c:idx val="4"/>
            <c:invertIfNegative val="0"/>
            <c:bubble3D val="0"/>
            <c:spPr>
              <a:solidFill>
                <a:schemeClr val="accent3"/>
              </a:solidFill>
              <a:ln>
                <a:noFill/>
              </a:ln>
              <a:effectLst/>
            </c:spPr>
            <c:extLst>
              <c:ext xmlns:c16="http://schemas.microsoft.com/office/drawing/2014/chart" uri="{C3380CC4-5D6E-409C-BE32-E72D297353CC}">
                <c16:uniqueId val="{00000002-D93C-4C2B-B95E-6D0D971B1483}"/>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'Customer Mix Type'!$A$4:$A$9</c:f>
              <c:strCache>
                <c:ptCount val="5"/>
                <c:pt idx="0">
                  <c:v>Member</c:v>
                </c:pt>
                <c:pt idx="1">
                  <c:v>Group/Event</c:v>
                </c:pt>
                <c:pt idx="2">
                  <c:v>Resort Guest</c:v>
                </c:pt>
                <c:pt idx="3">
                  <c:v>Online Booking</c:v>
                </c:pt>
                <c:pt idx="4">
                  <c:v>Walk-in</c:v>
                </c:pt>
              </c:strCache>
            </c:strRef>
          </c:cat>
          <c:val>
            <c:numRef>
              <c:f>'Customer Mix Type'!$C$4:$C$9</c:f>
              <c:numCache>
                <c:formatCode>0%</c:formatCode>
                <c:ptCount val="5"/>
                <c:pt idx="0">
                  <c:v>3.9912020145573782E-2</c:v>
                </c:pt>
                <c:pt idx="1">
                  <c:v>0.10812595833731409</c:v>
                </c:pt>
                <c:pt idx="2">
                  <c:v>0.17840349799165753</c:v>
                </c:pt>
                <c:pt idx="3">
                  <c:v>0.32513699146585334</c:v>
                </c:pt>
                <c:pt idx="4">
                  <c:v>0.34842153205960125</c:v>
                </c:pt>
              </c:numCache>
            </c:numRef>
          </c:val>
          <c:extLst>
            <c:ext xmlns:c16="http://schemas.microsoft.com/office/drawing/2014/chart" uri="{C3380CC4-5D6E-409C-BE32-E72D297353CC}">
              <c16:uniqueId val="{00000001-D93C-4C2B-B95E-6D0D971B1483}"/>
            </c:ext>
          </c:extLst>
        </c:ser>
        <c:dLbls>
          <c:showLegendKey val="0"/>
          <c:showVal val="0"/>
          <c:showCatName val="0"/>
          <c:showSerName val="0"/>
          <c:showPercent val="0"/>
          <c:showBubbleSize val="0"/>
        </c:dLbls>
        <c:gapWidth val="46"/>
        <c:overlap val="100"/>
        <c:axId val="2105996383"/>
        <c:axId val="8828976"/>
      </c:barChart>
      <c:valAx>
        <c:axId val="8828976"/>
        <c:scaling>
          <c:orientation val="minMax"/>
          <c:max val="1"/>
        </c:scaling>
        <c:delete val="1"/>
        <c:axPos val="b"/>
        <c:numFmt formatCode="0%" sourceLinked="1"/>
        <c:majorTickMark val="none"/>
        <c:minorTickMark val="none"/>
        <c:tickLblPos val="nextTo"/>
        <c:crossAx val="2105996383"/>
        <c:crosses val="autoZero"/>
        <c:crossBetween val="between"/>
      </c:valAx>
      <c:catAx>
        <c:axId val="210599638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828976"/>
        <c:crosses val="autoZero"/>
        <c:auto val="1"/>
        <c:lblAlgn val="ctr"/>
        <c:lblOffset val="100"/>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mc:AlternateContent xmlns:mc="http://schemas.openxmlformats.org/markup-compatibility/2006">
    <mc:Choice xmlns:c14="http://schemas.microsoft.com/office/drawing/2007/8/2/chart" Requires="c14">
      <c14:style val="102"/>
    </mc:Choice>
    <mc:Fallback>
      <c:style val="2"/>
    </mc:Fallback>
  </mc:AlternateContent>
  <c:pivotSource>
    <c:name>[Water-Sports-Rentals-Sales-Dashboard-FINAL.xlsx]Sales by Team Member!PivotTable1</c:name>
    <c:fmtId val="11"/>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Sales by Team Member</a:t>
            </a:r>
          </a:p>
        </c:rich>
      </c:tx>
      <c:layout>
        <c:manualLayout>
          <c:xMode val="edge"/>
          <c:yMode val="edge"/>
          <c:x val="2.0597112860892372E-2"/>
          <c:y val="2.7777777777777776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8049488309958148"/>
          <c:y val="0.17887434307314942"/>
          <c:w val="0.76716066787640724"/>
          <c:h val="0.72048645150498458"/>
        </c:manualLayout>
      </c:layout>
      <c:barChart>
        <c:barDir val="bar"/>
        <c:grouping val="clustered"/>
        <c:varyColors val="0"/>
        <c:ser>
          <c:idx val="0"/>
          <c:order val="0"/>
          <c:tx>
            <c:strRef>
              <c:f>'Sales by Team Member'!$B$3</c:f>
              <c:strCache>
                <c:ptCount val="1"/>
                <c:pt idx="0">
                  <c:v>Total</c:v>
                </c:pt>
              </c:strCache>
            </c:strRef>
          </c:tx>
          <c:spPr>
            <a:solidFill>
              <a:schemeClr val="accent3"/>
            </a:solidFill>
            <a:ln>
              <a:noFill/>
            </a:ln>
            <a:effectLst/>
          </c:spPr>
          <c:invertIfNegative val="0"/>
          <c:cat>
            <c:strRef>
              <c:f>'Sales by Team Member'!$A$4:$A$14</c:f>
              <c:strCache>
                <c:ptCount val="10"/>
                <c:pt idx="0">
                  <c:v>Isaac Patel</c:v>
                </c:pt>
                <c:pt idx="1">
                  <c:v>Diego Ramirez</c:v>
                </c:pt>
                <c:pt idx="2">
                  <c:v>Finn Johnson</c:v>
                </c:pt>
                <c:pt idx="3">
                  <c:v>Grace Lee</c:v>
                </c:pt>
                <c:pt idx="4">
                  <c:v>Hannah Brooks</c:v>
                </c:pt>
                <c:pt idx="5">
                  <c:v>Emma Wilson</c:v>
                </c:pt>
                <c:pt idx="6">
                  <c:v>Ben Carter</c:v>
                </c:pt>
                <c:pt idx="7">
                  <c:v>Chloe Nguyen</c:v>
                </c:pt>
                <c:pt idx="8">
                  <c:v>Mia Thompson</c:v>
                </c:pt>
                <c:pt idx="9">
                  <c:v>Ava Martinez</c:v>
                </c:pt>
              </c:strCache>
            </c:strRef>
          </c:cat>
          <c:val>
            <c:numRef>
              <c:f>'Sales by Team Member'!$B$4:$B$14</c:f>
              <c:numCache>
                <c:formatCode>"$"#,##0.00</c:formatCode>
                <c:ptCount val="10"/>
                <c:pt idx="0">
                  <c:v>10997.509999999995</c:v>
                </c:pt>
                <c:pt idx="1">
                  <c:v>13802.789999999994</c:v>
                </c:pt>
                <c:pt idx="2">
                  <c:v>14280.32</c:v>
                </c:pt>
                <c:pt idx="3">
                  <c:v>14537.399999999987</c:v>
                </c:pt>
                <c:pt idx="4">
                  <c:v>15031.989999999994</c:v>
                </c:pt>
                <c:pt idx="5">
                  <c:v>15523.019999999997</c:v>
                </c:pt>
                <c:pt idx="6">
                  <c:v>15835.329999999989</c:v>
                </c:pt>
                <c:pt idx="7">
                  <c:v>16380.299999999987</c:v>
                </c:pt>
                <c:pt idx="8">
                  <c:v>16882.71</c:v>
                </c:pt>
                <c:pt idx="9">
                  <c:v>17654.09</c:v>
                </c:pt>
              </c:numCache>
            </c:numRef>
          </c:val>
          <c:extLst>
            <c:ext xmlns:c16="http://schemas.microsoft.com/office/drawing/2014/chart" uri="{C3380CC4-5D6E-409C-BE32-E72D297353CC}">
              <c16:uniqueId val="{00000000-0967-4BD5-8A7D-B10916937E3C}"/>
            </c:ext>
          </c:extLst>
        </c:ser>
        <c:dLbls>
          <c:showLegendKey val="0"/>
          <c:showVal val="0"/>
          <c:showCatName val="0"/>
          <c:showSerName val="0"/>
          <c:showPercent val="0"/>
          <c:showBubbleSize val="0"/>
        </c:dLbls>
        <c:gapWidth val="102"/>
        <c:axId val="2105996383"/>
        <c:axId val="8828976"/>
      </c:barChart>
      <c:catAx>
        <c:axId val="210599638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828976"/>
        <c:crosses val="autoZero"/>
        <c:auto val="1"/>
        <c:lblAlgn val="ctr"/>
        <c:lblOffset val="100"/>
        <c:noMultiLvlLbl val="0"/>
      </c:catAx>
      <c:valAx>
        <c:axId val="8828976"/>
        <c:scaling>
          <c:orientation val="minMax"/>
        </c:scaling>
        <c:delete val="0"/>
        <c:axPos val="b"/>
        <c:majorGridlines>
          <c:spPr>
            <a:ln w="9525" cap="flat" cmpd="sng" algn="ctr">
              <a:solidFill>
                <a:schemeClr val="tx1">
                  <a:lumMod val="15000"/>
                  <a:lumOff val="85000"/>
                </a:schemeClr>
              </a:solidFill>
              <a:round/>
            </a:ln>
            <a:effectLst/>
          </c:spPr>
        </c:majorGridlines>
        <c:numFmt formatCode="&quot;$&quot;#,##0,&quot;K&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0599638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mc:AlternateContent xmlns:mc="http://schemas.openxmlformats.org/markup-compatibility/2006">
    <mc:Choice xmlns:c14="http://schemas.microsoft.com/office/drawing/2007/8/2/chart" Requires="c14">
      <c14:style val="102"/>
    </mc:Choice>
    <mc:Fallback>
      <c:style val="2"/>
    </mc:Fallback>
  </mc:AlternateContent>
  <c:pivotSource>
    <c:name>[Water-Sports-Rentals-Sales-Dashboard-FINAL.xlsx]Top 5 Rental Items!PivotTable1</c:name>
    <c:fmtId val="8"/>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Top 5 Rental Items</a:t>
            </a:r>
          </a:p>
        </c:rich>
      </c:tx>
      <c:layout>
        <c:manualLayout>
          <c:xMode val="edge"/>
          <c:yMode val="edge"/>
          <c:x val="1.6930446194225724E-2"/>
          <c:y val="2.7777777777777776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3"/>
          </a:solidFill>
          <a:ln>
            <a:noFill/>
          </a:ln>
          <a:effectLst/>
        </c:spPr>
      </c:pivotFmt>
      <c:pivotFmt>
        <c:idx val="5"/>
        <c:spPr>
          <a:solidFill>
            <a:schemeClr val="accent3"/>
          </a:solidFill>
          <a:ln>
            <a:noFill/>
          </a:ln>
          <a:effectLst/>
        </c:spPr>
      </c:pivotFmt>
      <c:pivotFmt>
        <c:idx val="6"/>
        <c:spPr>
          <a:solidFill>
            <a:schemeClr val="accent3"/>
          </a:solidFill>
          <a:ln>
            <a:noFill/>
          </a:ln>
          <a:effectLst/>
        </c:spPr>
      </c:pivotFmt>
      <c:pivotFmt>
        <c:idx val="7"/>
        <c:spPr>
          <a:solidFill>
            <a:schemeClr val="accent3"/>
          </a:solidFill>
          <a:ln>
            <a:noFill/>
          </a:ln>
          <a:effectLst/>
        </c:spPr>
      </c:pivotFmt>
    </c:pivotFmts>
    <c:plotArea>
      <c:layout>
        <c:manualLayout>
          <c:layoutTarget val="inner"/>
          <c:xMode val="edge"/>
          <c:yMode val="edge"/>
          <c:x val="8.7563670327565513E-2"/>
          <c:y val="0.17887434307314942"/>
          <c:w val="0.88341477166141458"/>
          <c:h val="0.67266601585262342"/>
        </c:manualLayout>
      </c:layout>
      <c:barChart>
        <c:barDir val="col"/>
        <c:grouping val="clustered"/>
        <c:varyColors val="0"/>
        <c:ser>
          <c:idx val="0"/>
          <c:order val="0"/>
          <c:tx>
            <c:strRef>
              <c:f>'Top 5 Rental Items'!$B$3</c:f>
              <c:strCache>
                <c:ptCount val="1"/>
                <c:pt idx="0">
                  <c:v>Total</c:v>
                </c:pt>
              </c:strCache>
            </c:strRef>
          </c:tx>
          <c:spPr>
            <a:solidFill>
              <a:schemeClr val="accent3"/>
            </a:solidFill>
            <a:ln>
              <a:noFill/>
            </a:ln>
            <a:effectLst/>
          </c:spPr>
          <c:invertIfNegative val="0"/>
          <c:cat>
            <c:strRef>
              <c:f>'Top 5 Rental Items'!$A$4:$A$9</c:f>
              <c:strCache>
                <c:ptCount val="5"/>
                <c:pt idx="0">
                  <c:v>Stand-Up Paddle Board</c:v>
                </c:pt>
                <c:pt idx="1">
                  <c:v>Single Kayak</c:v>
                </c:pt>
                <c:pt idx="2">
                  <c:v>Tandem Kayak</c:v>
                </c:pt>
                <c:pt idx="3">
                  <c:v>Surfboard</c:v>
                </c:pt>
                <c:pt idx="4">
                  <c:v>Fishing Kayak</c:v>
                </c:pt>
              </c:strCache>
            </c:strRef>
          </c:cat>
          <c:val>
            <c:numRef>
              <c:f>'Top 5 Rental Items'!$B$4:$B$9</c:f>
              <c:numCache>
                <c:formatCode>"$"#,##0.00</c:formatCode>
                <c:ptCount val="5"/>
                <c:pt idx="0">
                  <c:v>32854.790000000117</c:v>
                </c:pt>
                <c:pt idx="1">
                  <c:v>28621.049999999937</c:v>
                </c:pt>
                <c:pt idx="2">
                  <c:v>26346.380000000059</c:v>
                </c:pt>
                <c:pt idx="3">
                  <c:v>15684.879999999976</c:v>
                </c:pt>
                <c:pt idx="4">
                  <c:v>12554.369999999994</c:v>
                </c:pt>
              </c:numCache>
            </c:numRef>
          </c:val>
          <c:extLst>
            <c:ext xmlns:c16="http://schemas.microsoft.com/office/drawing/2014/chart" uri="{C3380CC4-5D6E-409C-BE32-E72D297353CC}">
              <c16:uniqueId val="{00000000-07FA-4DE7-8240-CAD4CBAEBF9E}"/>
            </c:ext>
          </c:extLst>
        </c:ser>
        <c:dLbls>
          <c:showLegendKey val="0"/>
          <c:showVal val="0"/>
          <c:showCatName val="0"/>
          <c:showSerName val="0"/>
          <c:showPercent val="0"/>
          <c:showBubbleSize val="0"/>
        </c:dLbls>
        <c:gapWidth val="182"/>
        <c:axId val="2105996383"/>
        <c:axId val="8828976"/>
      </c:barChart>
      <c:catAx>
        <c:axId val="21059963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828976"/>
        <c:crosses val="autoZero"/>
        <c:auto val="1"/>
        <c:lblAlgn val="ctr"/>
        <c:lblOffset val="100"/>
        <c:noMultiLvlLbl val="0"/>
      </c:catAx>
      <c:valAx>
        <c:axId val="8828976"/>
        <c:scaling>
          <c:orientation val="minMax"/>
        </c:scaling>
        <c:delete val="0"/>
        <c:axPos val="l"/>
        <c:majorGridlines>
          <c:spPr>
            <a:ln w="9525" cap="flat" cmpd="sng" algn="ctr">
              <a:solidFill>
                <a:schemeClr val="tx1">
                  <a:lumMod val="15000"/>
                  <a:lumOff val="85000"/>
                </a:schemeClr>
              </a:solidFill>
              <a:round/>
            </a:ln>
            <a:effectLst/>
          </c:spPr>
        </c:majorGridlines>
        <c:numFmt formatCode="&quot;$&quot;#,##0,&quot;K&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0599638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[Water-Sports-Rentals-Sales-Dashboard-FINAL.xlsx]Sales by Team Member!PivotTable1</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'Sales by Team Member'!$B$3</c:f>
              <c:strCache>
                <c:ptCount val="1"/>
                <c:pt idx="0">
                  <c:v>Total</c:v>
                </c:pt>
              </c:strCache>
            </c:strRef>
          </c:tx>
          <c:spPr>
            <a:solidFill>
              <a:schemeClr val="accent1"/>
            </a:solidFill>
            <a:ln>
              <a:noFill/>
            </a:ln>
            <a:effectLst/>
          </c:spPr>
          <c:invertIfNegative val="0"/>
          <c:cat>
            <c:strRef>
              <c:f>'Sales by Team Member'!$A$4:$A$14</c:f>
              <c:strCache>
                <c:ptCount val="10"/>
                <c:pt idx="0">
                  <c:v>Isaac Patel</c:v>
                </c:pt>
                <c:pt idx="1">
                  <c:v>Diego Ramirez</c:v>
                </c:pt>
                <c:pt idx="2">
                  <c:v>Finn Johnson</c:v>
                </c:pt>
                <c:pt idx="3">
                  <c:v>Grace Lee</c:v>
                </c:pt>
                <c:pt idx="4">
                  <c:v>Hannah Brooks</c:v>
                </c:pt>
                <c:pt idx="5">
                  <c:v>Emma Wilson</c:v>
                </c:pt>
                <c:pt idx="6">
                  <c:v>Ben Carter</c:v>
                </c:pt>
                <c:pt idx="7">
                  <c:v>Chloe Nguyen</c:v>
                </c:pt>
                <c:pt idx="8">
                  <c:v>Mia Thompson</c:v>
                </c:pt>
                <c:pt idx="9">
                  <c:v>Ava Martinez</c:v>
                </c:pt>
              </c:strCache>
            </c:strRef>
          </c:cat>
          <c:val>
            <c:numRef>
              <c:f>'Sales by Team Member'!$B$4:$B$14</c:f>
              <c:numCache>
                <c:formatCode>"$"#,##0.00</c:formatCode>
                <c:ptCount val="10"/>
                <c:pt idx="0">
                  <c:v>10997.509999999995</c:v>
                </c:pt>
                <c:pt idx="1">
                  <c:v>13802.789999999994</c:v>
                </c:pt>
                <c:pt idx="2">
                  <c:v>14280.32</c:v>
                </c:pt>
                <c:pt idx="3">
                  <c:v>14537.399999999987</c:v>
                </c:pt>
                <c:pt idx="4">
                  <c:v>15031.989999999994</c:v>
                </c:pt>
                <c:pt idx="5">
                  <c:v>15523.019999999997</c:v>
                </c:pt>
                <c:pt idx="6">
                  <c:v>15835.329999999989</c:v>
                </c:pt>
                <c:pt idx="7">
                  <c:v>16380.299999999987</c:v>
                </c:pt>
                <c:pt idx="8">
                  <c:v>16882.71</c:v>
                </c:pt>
                <c:pt idx="9">
                  <c:v>17654.09</c:v>
                </c:pt>
              </c:numCache>
            </c:numRef>
          </c:val>
          <c:extLst>
            <c:ext xmlns:c16="http://schemas.microsoft.com/office/drawing/2014/chart" uri="{C3380CC4-5D6E-409C-BE32-E72D297353CC}">
              <c16:uniqueId val="{00000000-4B94-4951-8D9E-13792914A265}"/>
            </c:ext>
          </c:extLst>
        </c:ser>
        <c:dLbls>
          <c:showLegendKey val="0"/>
          <c:showVal val="0"/>
          <c:showCatName val="0"/>
          <c:showSerName val="0"/>
          <c:showPercent val="0"/>
          <c:showBubbleSize val="0"/>
        </c:dLbls>
        <c:gapWidth val="182"/>
        <c:axId val="2105996383"/>
        <c:axId val="8828976"/>
      </c:barChart>
      <c:catAx>
        <c:axId val="210599638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828976"/>
        <c:crosses val="autoZero"/>
        <c:auto val="1"/>
        <c:lblAlgn val="ctr"/>
        <c:lblOffset val="100"/>
        <c:noMultiLvlLbl val="0"/>
      </c:catAx>
      <c:valAx>
        <c:axId val="8828976"/>
        <c:scaling>
          <c:orientation val="minMax"/>
        </c:scaling>
        <c:delete val="0"/>
        <c:axPos val="b"/>
        <c:majorGridlines>
          <c:spPr>
            <a:ln w="9525" cap="flat" cmpd="sng" algn="ctr">
              <a:solidFill>
                <a:schemeClr val="tx1">
                  <a:lumMod val="15000"/>
                  <a:lumOff val="85000"/>
                </a:schemeClr>
              </a:solidFill>
              <a:round/>
            </a:ln>
            <a:effectLst/>
          </c:spPr>
        </c:majorGridlines>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0599638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[Water-Sports-Rentals-Sales-Dashboard-FINAL.xlsx]Customer Mix Type!PivotTable1</c:name>
    <c:fmtId val="1"/>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bg1">
              <a:lumMod val="9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'Customer Mix Type'!$B$3</c:f>
              <c:strCache>
                <c:ptCount val="1"/>
                <c:pt idx="0">
                  <c:v>Sum of Total Revenue2</c:v>
                </c:pt>
              </c:strCache>
            </c:strRef>
          </c:tx>
          <c:spPr>
            <a:solidFill>
              <a:schemeClr val="bg1">
                <a:lumMod val="95000"/>
              </a:schemeClr>
            </a:solidFill>
            <a:ln>
              <a:noFill/>
            </a:ln>
            <a:effectLst/>
          </c:spPr>
          <c:invertIfNegative val="0"/>
          <c:cat>
            <c:strRef>
              <c:f>'Customer Mix Type'!$A$4:$A$9</c:f>
              <c:strCache>
                <c:ptCount val="5"/>
                <c:pt idx="0">
                  <c:v>Member</c:v>
                </c:pt>
                <c:pt idx="1">
                  <c:v>Group/Event</c:v>
                </c:pt>
                <c:pt idx="2">
                  <c:v>Resort Guest</c:v>
                </c:pt>
                <c:pt idx="3">
                  <c:v>Online Booking</c:v>
                </c:pt>
                <c:pt idx="4">
                  <c:v>Walk-in</c:v>
                </c:pt>
              </c:strCache>
            </c:strRef>
          </c:cat>
          <c:val>
            <c:numRef>
              <c:f>'Customer Mix Type'!$B$4:$B$9</c:f>
              <c:numCache>
                <c:formatCode>0%</c:formatCode>
                <c:ptCount val="5"/>
                <c:pt idx="0">
                  <c:v>1</c:v>
                </c:pt>
                <c:pt idx="1">
                  <c:v>1</c:v>
                </c:pt>
                <c:pt idx="2">
                  <c:v>1</c:v>
                </c:pt>
                <c:pt idx="3">
                  <c:v>1</c:v>
                </c:pt>
                <c:pt idx="4">
                  <c:v>1</c:v>
                </c:pt>
              </c:numCache>
            </c:numRef>
          </c:val>
          <c:extLst>
            <c:ext xmlns:c16="http://schemas.microsoft.com/office/drawing/2014/chart" uri="{C3380CC4-5D6E-409C-BE32-E72D297353CC}">
              <c16:uniqueId val="{00000000-C4CC-4F94-84AC-B19046370CF2}"/>
            </c:ext>
          </c:extLst>
        </c:ser>
        <c:ser>
          <c:idx val="1"/>
          <c:order val="1"/>
          <c:tx>
            <c:strRef>
              <c:f>'Customer Mix Type'!$C$3</c:f>
              <c:strCache>
                <c:ptCount val="1"/>
                <c:pt idx="0">
                  <c:v>Sum of Total Revenue</c:v>
                </c:pt>
              </c:strCache>
            </c:strRef>
          </c:tx>
          <c:spPr>
            <a:solidFill>
              <a:schemeClr val="accent2"/>
            </a:solidFill>
            <a:ln>
              <a:noFill/>
            </a:ln>
            <a:effectLst/>
          </c:spPr>
          <c:invertIfNegative val="0"/>
          <c:cat>
            <c:strRef>
              <c:f>'Customer Mix Type'!$A$4:$A$9</c:f>
              <c:strCache>
                <c:ptCount val="5"/>
                <c:pt idx="0">
                  <c:v>Member</c:v>
                </c:pt>
                <c:pt idx="1">
                  <c:v>Group/Event</c:v>
                </c:pt>
                <c:pt idx="2">
                  <c:v>Resort Guest</c:v>
                </c:pt>
                <c:pt idx="3">
                  <c:v>Online Booking</c:v>
                </c:pt>
                <c:pt idx="4">
                  <c:v>Walk-in</c:v>
                </c:pt>
              </c:strCache>
            </c:strRef>
          </c:cat>
          <c:val>
            <c:numRef>
              <c:f>'Customer Mix Type'!$C$4:$C$9</c:f>
              <c:numCache>
                <c:formatCode>0%</c:formatCode>
                <c:ptCount val="5"/>
                <c:pt idx="0">
                  <c:v>3.9912020145573782E-2</c:v>
                </c:pt>
                <c:pt idx="1">
                  <c:v>0.10812595833731409</c:v>
                </c:pt>
                <c:pt idx="2">
                  <c:v>0.17840349799165753</c:v>
                </c:pt>
                <c:pt idx="3">
                  <c:v>0.32513699146585334</c:v>
                </c:pt>
                <c:pt idx="4">
                  <c:v>0.34842153205960125</c:v>
                </c:pt>
              </c:numCache>
            </c:numRef>
          </c:val>
          <c:extLst>
            <c:ext xmlns:c16="http://schemas.microsoft.com/office/drawing/2014/chart" uri="{C3380CC4-5D6E-409C-BE32-E72D297353CC}">
              <c16:uniqueId val="{00000001-C4CC-4F94-84AC-B19046370CF2}"/>
            </c:ext>
          </c:extLst>
        </c:ser>
        <c:dLbls>
          <c:showLegendKey val="0"/>
          <c:showVal val="0"/>
          <c:showCatName val="0"/>
          <c:showSerName val="0"/>
          <c:showPercent val="0"/>
          <c:showBubbleSize val="0"/>
        </c:dLbls>
        <c:gapWidth val="182"/>
        <c:overlap val="100"/>
        <c:axId val="2105996383"/>
        <c:axId val="8828976"/>
      </c:barChart>
      <c:valAx>
        <c:axId val="8828976"/>
        <c:scaling>
          <c:orientation val="minMax"/>
          <c:max val="1"/>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05996383"/>
        <c:crosses val="autoZero"/>
        <c:crossBetween val="between"/>
      </c:valAx>
      <c:catAx>
        <c:axId val="210599638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828976"/>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[Water-Sports-Rentals-Sales-Dashboard-FINAL.xlsx]Sales by Week-Month!PivotTable1</c:name>
    <c:fmtId val="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'Sales by Week-Month'!$B$3</c:f>
              <c:strCache>
                <c:ptCount val="1"/>
                <c:pt idx="0">
                  <c:v>Total</c:v>
                </c:pt>
              </c:strCache>
            </c:strRef>
          </c:tx>
          <c:spPr>
            <a:ln w="28575" cap="rnd">
              <a:solidFill>
                <a:schemeClr val="accent1"/>
              </a:solidFill>
              <a:round/>
            </a:ln>
            <a:effectLst/>
          </c:spPr>
          <c:marker>
            <c:symbol val="none"/>
          </c:marker>
          <c:cat>
            <c:strRef>
              <c:f>'Sales by Week-Month'!$A$4:$A$16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'Sales by Week-Month'!$B$4:$B$16</c:f>
              <c:numCache>
                <c:formatCode>"$"#,##0.00</c:formatCode>
                <c:ptCount val="12"/>
                <c:pt idx="0">
                  <c:v>2794.71</c:v>
                </c:pt>
                <c:pt idx="1">
                  <c:v>2977.0699999999997</c:v>
                </c:pt>
                <c:pt idx="2">
                  <c:v>6298.470000000003</c:v>
                </c:pt>
                <c:pt idx="3">
                  <c:v>8405.8200000000033</c:v>
                </c:pt>
                <c:pt idx="4">
                  <c:v>10745.890000000005</c:v>
                </c:pt>
                <c:pt idx="5">
                  <c:v>24265.590000000015</c:v>
                </c:pt>
                <c:pt idx="6">
                  <c:v>36017.40000000006</c:v>
                </c:pt>
                <c:pt idx="7">
                  <c:v>30268.870000000017</c:v>
                </c:pt>
                <c:pt idx="8">
                  <c:v>14350.869999999995</c:v>
                </c:pt>
                <c:pt idx="9">
                  <c:v>6905.5800000000008</c:v>
                </c:pt>
                <c:pt idx="10">
                  <c:v>4032.5599999999995</c:v>
                </c:pt>
                <c:pt idx="11">
                  <c:v>3862.6300000000006</c:v>
                </c:pt>
              </c:numCache>
            </c:numRef>
          </c:val>
          <c:smooth val="0"/>
          <c:extLst>
            <c:ext xmlns:c16="http://schemas.microsoft.com/office/drawing/2014/chart" uri="{C3380CC4-5D6E-409C-BE32-E72D297353CC}">
              <c16:uniqueId val="{00000000-2CFF-4155-96F8-B82735DE8495}"/>
            </c:ext>
          </c:extLst>
        </c:ser>
        <c:dLbls>
          <c:showLegendKey val="0"/>
          <c:showVal val="0"/>
          <c:showCatName val="0"/>
          <c:showSerName val="0"/>
          <c:showPercent val="0"/>
          <c:showBubbleSize val="0"/>
        </c:dLbls>
        <c:smooth val="0"/>
        <c:axId val="2105996383"/>
        <c:axId val="8828976"/>
      </c:lineChart>
      <c:catAx>
        <c:axId val="21059963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828976"/>
        <c:crosses val="autoZero"/>
        <c:auto val="1"/>
        <c:lblAlgn val="ctr"/>
        <c:lblOffset val="100"/>
        <c:noMultiLvlLbl val="0"/>
      </c:catAx>
      <c:valAx>
        <c:axId val="8828976"/>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0599638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[Water-Sports-Rentals-Sales-Dashboard-FINAL.xlsx]Top 5 Rental Items!PivotTable1</c:name>
    <c:fmtId val="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'Top 5 Rental Items'!$B$3</c:f>
              <c:strCache>
                <c:ptCount val="1"/>
                <c:pt idx="0">
                  <c:v>Total</c:v>
                </c:pt>
              </c:strCache>
            </c:strRef>
          </c:tx>
          <c:spPr>
            <a:solidFill>
              <a:schemeClr val="accent1"/>
            </a:solidFill>
            <a:ln>
              <a:noFill/>
            </a:ln>
            <a:effectLst/>
          </c:spPr>
          <c:invertIfNegative val="0"/>
          <c:cat>
            <c:strRef>
              <c:f>'Top 5 Rental Items'!$A$4:$A$9</c:f>
              <c:strCache>
                <c:ptCount val="5"/>
                <c:pt idx="0">
                  <c:v>Stand-Up Paddle Board</c:v>
                </c:pt>
                <c:pt idx="1">
                  <c:v>Single Kayak</c:v>
                </c:pt>
                <c:pt idx="2">
                  <c:v>Tandem Kayak</c:v>
                </c:pt>
                <c:pt idx="3">
                  <c:v>Surfboard</c:v>
                </c:pt>
                <c:pt idx="4">
                  <c:v>Fishing Kayak</c:v>
                </c:pt>
              </c:strCache>
            </c:strRef>
          </c:cat>
          <c:val>
            <c:numRef>
              <c:f>'Top 5 Rental Items'!$B$4:$B$9</c:f>
              <c:numCache>
                <c:formatCode>"$"#,##0.00</c:formatCode>
                <c:ptCount val="5"/>
                <c:pt idx="0">
                  <c:v>32854.790000000117</c:v>
                </c:pt>
                <c:pt idx="1">
                  <c:v>28621.049999999937</c:v>
                </c:pt>
                <c:pt idx="2">
                  <c:v>26346.380000000059</c:v>
                </c:pt>
                <c:pt idx="3">
                  <c:v>15684.879999999976</c:v>
                </c:pt>
                <c:pt idx="4">
                  <c:v>12554.369999999994</c:v>
                </c:pt>
              </c:numCache>
            </c:numRef>
          </c:val>
          <c:extLst>
            <c:ext xmlns:c16="http://schemas.microsoft.com/office/drawing/2014/chart" uri="{C3380CC4-5D6E-409C-BE32-E72D297353CC}">
              <c16:uniqueId val="{00000000-A374-46D8-9AF9-108D43D0268D}"/>
            </c:ext>
          </c:extLst>
        </c:ser>
        <c:dLbls>
          <c:showLegendKey val="0"/>
          <c:showVal val="0"/>
          <c:showCatName val="0"/>
          <c:showSerName val="0"/>
          <c:showPercent val="0"/>
          <c:showBubbleSize val="0"/>
        </c:dLbls>
        <c:gapWidth val="182"/>
        <c:axId val="2105996383"/>
        <c:axId val="8828976"/>
      </c:barChart>
      <c:catAx>
        <c:axId val="21059963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828976"/>
        <c:crosses val="autoZero"/>
        <c:auto val="1"/>
        <c:lblAlgn val="ctr"/>
        <c:lblOffset val="100"/>
        <c:noMultiLvlLbl val="0"/>
      </c:catAx>
      <c:valAx>
        <c:axId val="8828976"/>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0599638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8.svg"/><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chart" Target="../charts/chart4.xml"/><Relationship Id="rId2" Type="http://schemas.openxmlformats.org/officeDocument/2006/relationships/image" Target="../media/image2.svg"/><Relationship Id="rId1" Type="http://schemas.openxmlformats.org/officeDocument/2006/relationships/image" Target="../media/image1.png"/><Relationship Id="rId6" Type="http://schemas.openxmlformats.org/officeDocument/2006/relationships/image" Target="../media/image6.svg"/><Relationship Id="rId11" Type="http://schemas.openxmlformats.org/officeDocument/2006/relationships/chart" Target="../charts/chart3.xml"/><Relationship Id="rId5" Type="http://schemas.openxmlformats.org/officeDocument/2006/relationships/image" Target="../media/image5.png"/><Relationship Id="rId10" Type="http://schemas.openxmlformats.org/officeDocument/2006/relationships/chart" Target="../charts/chart2.xml"/><Relationship Id="rId4" Type="http://schemas.openxmlformats.org/officeDocument/2006/relationships/image" Target="../media/image4.svg"/><Relationship Id="rId9"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5.xml"/></Relationships>
</file>

<file path=xl/drawings/_rels/drawing3.xml.rels><?xml version="1.0" encoding="UTF-8" standalone="yes"?>
<Relationships xmlns="http://schemas.openxmlformats.org/package/2006/relationships"><Relationship Id="rId1" Type="http://schemas.openxmlformats.org/officeDocument/2006/relationships/chart" Target="../charts/chart6.xml"/></Relationships>
</file>

<file path=xl/drawings/_rels/drawing4.xml.rels><?xml version="1.0" encoding="UTF-8" standalone="yes"?>
<Relationships xmlns="http://schemas.openxmlformats.org/package/2006/relationships"><Relationship Id="rId1" Type="http://schemas.openxmlformats.org/officeDocument/2006/relationships/chart" Target="../charts/chart7.xml"/></Relationships>
</file>

<file path=xl/drawings/_rels/drawing5.xml.rels><?xml version="1.0" encoding="UTF-8" standalone="yes"?>
<Relationships xmlns="http://schemas.openxmlformats.org/package/2006/relationships"><Relationship Id="rId1"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17</xdr:col>
      <xdr:colOff>449580</xdr:colOff>
      <xdr:row>6</xdr:row>
      <xdr:rowOff>53340</xdr:rowOff>
    </xdr:from>
    <xdr:to>
      <xdr:col>20</xdr:col>
      <xdr:colOff>560917</xdr:colOff>
      <xdr:row>23</xdr:row>
      <xdr:rowOff>127000</xdr:rowOff>
    </xdr:to>
    <xdr:sp macro="" textlink="">
      <xdr:nvSpPr>
        <xdr:cNvPr id="51" name="Rectangle: Rounded Corners 50">
          <a:extLst>
            <a:ext uri="{FF2B5EF4-FFF2-40B4-BE49-F238E27FC236}">
              <a16:creationId xmlns:a16="http://schemas.microsoft.com/office/drawing/2014/main" id="{E055498A-E2CC-2B8A-F93B-D62E1208FF50}"/>
            </a:ext>
          </a:extLst>
        </xdr:cNvPr>
        <xdr:cNvSpPr/>
      </xdr:nvSpPr>
      <xdr:spPr>
        <a:xfrm>
          <a:off x="10524913" y="1196340"/>
          <a:ext cx="1889337" cy="3312160"/>
        </a:xfrm>
        <a:prstGeom prst="roundRect">
          <a:avLst>
            <a:gd name="adj" fmla="val 5513"/>
          </a:avLst>
        </a:prstGeom>
        <a:solidFill>
          <a:schemeClr val="bg1"/>
        </a:solidFill>
        <a:ln w="9525">
          <a:solidFill>
            <a:schemeClr val="bg1">
              <a:lumMod val="8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510540</xdr:colOff>
      <xdr:row>6</xdr:row>
      <xdr:rowOff>38100</xdr:rowOff>
    </xdr:from>
    <xdr:to>
      <xdr:col>4</xdr:col>
      <xdr:colOff>464820</xdr:colOff>
      <xdr:row>10</xdr:row>
      <xdr:rowOff>114300</xdr:rowOff>
    </xdr:to>
    <xdr:grpSp>
      <xdr:nvGrpSpPr>
        <xdr:cNvPr id="17" name="Group 16">
          <a:extLst>
            <a:ext uri="{FF2B5EF4-FFF2-40B4-BE49-F238E27FC236}">
              <a16:creationId xmlns:a16="http://schemas.microsoft.com/office/drawing/2014/main" id="{93A32F2B-96E5-F499-6FC9-78053EDE7150}"/>
            </a:ext>
          </a:extLst>
        </xdr:cNvPr>
        <xdr:cNvGrpSpPr/>
      </xdr:nvGrpSpPr>
      <xdr:grpSpPr>
        <a:xfrm>
          <a:off x="510540" y="1143000"/>
          <a:ext cx="2418080" cy="812800"/>
          <a:chOff x="510540" y="1148443"/>
          <a:chExt cx="2392680" cy="816428"/>
        </a:xfrm>
      </xdr:grpSpPr>
      <xdr:sp macro="" textlink="">
        <xdr:nvSpPr>
          <xdr:cNvPr id="2" name="Rectangle: Rounded Corners 1">
            <a:extLst>
              <a:ext uri="{FF2B5EF4-FFF2-40B4-BE49-F238E27FC236}">
                <a16:creationId xmlns:a16="http://schemas.microsoft.com/office/drawing/2014/main" id="{1C039B45-8D4A-A42A-4477-AB098BF55858}"/>
              </a:ext>
            </a:extLst>
          </xdr:cNvPr>
          <xdr:cNvSpPr/>
        </xdr:nvSpPr>
        <xdr:spPr>
          <a:xfrm>
            <a:off x="510540" y="1148443"/>
            <a:ext cx="2392680" cy="816428"/>
          </a:xfrm>
          <a:prstGeom prst="roundRect">
            <a:avLst/>
          </a:prstGeom>
          <a:solidFill>
            <a:schemeClr val="bg1"/>
          </a:solidFill>
          <a:ln w="9525">
            <a:solidFill>
              <a:schemeClr val="bg1">
                <a:lumMod val="8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3" name="TextBox 2">
            <a:extLst>
              <a:ext uri="{FF2B5EF4-FFF2-40B4-BE49-F238E27FC236}">
                <a16:creationId xmlns:a16="http://schemas.microsoft.com/office/drawing/2014/main" id="{0BDB88FB-5682-BBB5-30AB-B9ECB6EFEEC8}"/>
              </a:ext>
            </a:extLst>
          </xdr:cNvPr>
          <xdr:cNvSpPr txBox="1"/>
        </xdr:nvSpPr>
        <xdr:spPr>
          <a:xfrm>
            <a:off x="1082040" y="1277983"/>
            <a:ext cx="1493520" cy="32439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Total Revenue</a:t>
            </a:r>
          </a:p>
        </xdr:txBody>
      </xdr:sp>
      <xdr:sp macro="" textlink="Cards!A4">
        <xdr:nvSpPr>
          <xdr:cNvPr id="4" name="TextBox 3">
            <a:extLst>
              <a:ext uri="{FF2B5EF4-FFF2-40B4-BE49-F238E27FC236}">
                <a16:creationId xmlns:a16="http://schemas.microsoft.com/office/drawing/2014/main" id="{1E2AAF56-2F31-B158-29A3-5B437073C462}"/>
              </a:ext>
            </a:extLst>
          </xdr:cNvPr>
          <xdr:cNvSpPr txBox="1"/>
        </xdr:nvSpPr>
        <xdr:spPr>
          <a:xfrm>
            <a:off x="1082040" y="1495697"/>
            <a:ext cx="1493520" cy="322217"/>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F0B2BD6F-A52F-4E3D-B395-0882E583C956}" type="TxLink">
              <a:rPr lang="en-US" sz="1600" b="1" i="0" u="none" strike="noStrike">
                <a:solidFill>
                  <a:srgbClr val="000000"/>
                </a:solidFill>
                <a:latin typeface="Aptos Narrow"/>
              </a:rPr>
              <a:pPr/>
              <a:t>$150,925.46</a:t>
            </a:fld>
            <a:endParaRPr lang="en-US" sz="1600" b="1"/>
          </a:p>
        </xdr:txBody>
      </xdr:sp>
      <xdr:sp macro="" textlink="">
        <xdr:nvSpPr>
          <xdr:cNvPr id="9" name="Oval 8">
            <a:extLst>
              <a:ext uri="{FF2B5EF4-FFF2-40B4-BE49-F238E27FC236}">
                <a16:creationId xmlns:a16="http://schemas.microsoft.com/office/drawing/2014/main" id="{1C913D65-41EE-9FE4-26EE-DB190BB0C38B}"/>
              </a:ext>
            </a:extLst>
          </xdr:cNvPr>
          <xdr:cNvSpPr/>
        </xdr:nvSpPr>
        <xdr:spPr>
          <a:xfrm>
            <a:off x="640080" y="1348740"/>
            <a:ext cx="434340" cy="438694"/>
          </a:xfrm>
          <a:prstGeom prst="ellipse">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pic>
        <xdr:nvPicPr>
          <xdr:cNvPr id="11" name="Graphic 10" descr="Dollar with solid fill">
            <a:extLst>
              <a:ext uri="{FF2B5EF4-FFF2-40B4-BE49-F238E27FC236}">
                <a16:creationId xmlns:a16="http://schemas.microsoft.com/office/drawing/2014/main" id="{B2F8E535-60BA-7D53-BB5D-6409FD06DC65}"/>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701040" y="1402080"/>
            <a:ext cx="327660" cy="332014"/>
          </a:xfrm>
          <a:prstGeom prst="rect">
            <a:avLst/>
          </a:prstGeom>
        </xdr:spPr>
      </xdr:pic>
    </xdr:grpSp>
    <xdr:clientData/>
  </xdr:twoCellAnchor>
  <xdr:twoCellAnchor>
    <xdr:from>
      <xdr:col>5</xdr:col>
      <xdr:colOff>17780</xdr:colOff>
      <xdr:row>6</xdr:row>
      <xdr:rowOff>38100</xdr:rowOff>
    </xdr:from>
    <xdr:to>
      <xdr:col>8</xdr:col>
      <xdr:colOff>581660</xdr:colOff>
      <xdr:row>10</xdr:row>
      <xdr:rowOff>114300</xdr:rowOff>
    </xdr:to>
    <xdr:grpSp>
      <xdr:nvGrpSpPr>
        <xdr:cNvPr id="18" name="Group 17">
          <a:extLst>
            <a:ext uri="{FF2B5EF4-FFF2-40B4-BE49-F238E27FC236}">
              <a16:creationId xmlns:a16="http://schemas.microsoft.com/office/drawing/2014/main" id="{EB179D88-A731-9C83-DEC6-3CB21C97BD90}"/>
            </a:ext>
          </a:extLst>
        </xdr:cNvPr>
        <xdr:cNvGrpSpPr/>
      </xdr:nvGrpSpPr>
      <xdr:grpSpPr>
        <a:xfrm>
          <a:off x="3097530" y="1143000"/>
          <a:ext cx="2411730" cy="812800"/>
          <a:chOff x="3078480" y="1148443"/>
          <a:chExt cx="2392680" cy="816428"/>
        </a:xfrm>
      </xdr:grpSpPr>
      <xdr:sp macro="" textlink="">
        <xdr:nvSpPr>
          <xdr:cNvPr id="36" name="Rectangle: Rounded Corners 35">
            <a:extLst>
              <a:ext uri="{FF2B5EF4-FFF2-40B4-BE49-F238E27FC236}">
                <a16:creationId xmlns:a16="http://schemas.microsoft.com/office/drawing/2014/main" id="{5B8216A9-6518-C619-2D8B-D64A651DEE6C}"/>
              </a:ext>
            </a:extLst>
          </xdr:cNvPr>
          <xdr:cNvSpPr/>
        </xdr:nvSpPr>
        <xdr:spPr>
          <a:xfrm>
            <a:off x="3078480" y="1148443"/>
            <a:ext cx="2392680" cy="816428"/>
          </a:xfrm>
          <a:prstGeom prst="roundRect">
            <a:avLst/>
          </a:prstGeom>
          <a:solidFill>
            <a:schemeClr val="bg1"/>
          </a:solidFill>
          <a:ln w="9525">
            <a:solidFill>
              <a:schemeClr val="bg1">
                <a:lumMod val="8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37" name="TextBox 36">
            <a:extLst>
              <a:ext uri="{FF2B5EF4-FFF2-40B4-BE49-F238E27FC236}">
                <a16:creationId xmlns:a16="http://schemas.microsoft.com/office/drawing/2014/main" id="{A9B49262-2E70-E50D-FE95-1442BF5F6FD6}"/>
              </a:ext>
            </a:extLst>
          </xdr:cNvPr>
          <xdr:cNvSpPr txBox="1"/>
        </xdr:nvSpPr>
        <xdr:spPr>
          <a:xfrm>
            <a:off x="3649980" y="1277983"/>
            <a:ext cx="1493520" cy="32439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Total</a:t>
            </a:r>
            <a:r>
              <a:rPr lang="en-US" sz="1100" baseline="0"/>
              <a:t> Rentals</a:t>
            </a:r>
            <a:endParaRPr lang="en-US" sz="1100"/>
          </a:p>
        </xdr:txBody>
      </xdr:sp>
      <xdr:sp macro="" textlink="Cards!D4">
        <xdr:nvSpPr>
          <xdr:cNvPr id="38" name="TextBox 37">
            <a:extLst>
              <a:ext uri="{FF2B5EF4-FFF2-40B4-BE49-F238E27FC236}">
                <a16:creationId xmlns:a16="http://schemas.microsoft.com/office/drawing/2014/main" id="{48CF49E2-15AE-48E8-B8BB-6CF63C9DEDC7}"/>
              </a:ext>
            </a:extLst>
          </xdr:cNvPr>
          <xdr:cNvSpPr txBox="1"/>
        </xdr:nvSpPr>
        <xdr:spPr>
          <a:xfrm>
            <a:off x="3649980" y="1495697"/>
            <a:ext cx="1493520" cy="322217"/>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441C97F7-874D-4690-9F81-8C88920B8AB4}" type="TxLink">
              <a:rPr lang="en-US" sz="1600" b="1" i="0" u="none" strike="noStrike">
                <a:solidFill>
                  <a:srgbClr val="000000"/>
                </a:solidFill>
                <a:latin typeface="Aptos Narrow"/>
              </a:rPr>
              <a:pPr/>
              <a:t>3,000</a:t>
            </a:fld>
            <a:endParaRPr lang="en-US" sz="1600" b="1"/>
          </a:p>
        </xdr:txBody>
      </xdr:sp>
      <xdr:sp macro="" textlink="">
        <xdr:nvSpPr>
          <xdr:cNvPr id="39" name="Oval 38">
            <a:extLst>
              <a:ext uri="{FF2B5EF4-FFF2-40B4-BE49-F238E27FC236}">
                <a16:creationId xmlns:a16="http://schemas.microsoft.com/office/drawing/2014/main" id="{52780E9E-9C4F-136C-7E3F-436DE966D107}"/>
              </a:ext>
            </a:extLst>
          </xdr:cNvPr>
          <xdr:cNvSpPr/>
        </xdr:nvSpPr>
        <xdr:spPr>
          <a:xfrm>
            <a:off x="3208020" y="1348740"/>
            <a:ext cx="434340" cy="438694"/>
          </a:xfrm>
          <a:prstGeom prst="ellipse">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pic>
        <xdr:nvPicPr>
          <xdr:cNvPr id="40" name="Graphic 39" descr="Shopping cart with solid fill">
            <a:extLst>
              <a:ext uri="{FF2B5EF4-FFF2-40B4-BE49-F238E27FC236}">
                <a16:creationId xmlns:a16="http://schemas.microsoft.com/office/drawing/2014/main" id="{946E0D05-78E9-1DCD-AC59-EE43C12955B3}"/>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rcRect/>
          <a:stretch/>
        </xdr:blipFill>
        <xdr:spPr>
          <a:xfrm>
            <a:off x="3268980" y="1402080"/>
            <a:ext cx="327660" cy="332014"/>
          </a:xfrm>
          <a:prstGeom prst="rect">
            <a:avLst/>
          </a:prstGeom>
        </xdr:spPr>
      </xdr:pic>
    </xdr:grpSp>
    <xdr:clientData/>
  </xdr:twoCellAnchor>
  <xdr:twoCellAnchor>
    <xdr:from>
      <xdr:col>9</xdr:col>
      <xdr:colOff>134620</xdr:colOff>
      <xdr:row>6</xdr:row>
      <xdr:rowOff>38100</xdr:rowOff>
    </xdr:from>
    <xdr:to>
      <xdr:col>13</xdr:col>
      <xdr:colOff>88900</xdr:colOff>
      <xdr:row>10</xdr:row>
      <xdr:rowOff>114300</xdr:rowOff>
    </xdr:to>
    <xdr:grpSp>
      <xdr:nvGrpSpPr>
        <xdr:cNvPr id="19" name="Group 18">
          <a:extLst>
            <a:ext uri="{FF2B5EF4-FFF2-40B4-BE49-F238E27FC236}">
              <a16:creationId xmlns:a16="http://schemas.microsoft.com/office/drawing/2014/main" id="{68690C15-085B-8D23-06EA-B0C5ED117EE8}"/>
            </a:ext>
          </a:extLst>
        </xdr:cNvPr>
        <xdr:cNvGrpSpPr/>
      </xdr:nvGrpSpPr>
      <xdr:grpSpPr>
        <a:xfrm>
          <a:off x="5678170" y="1143000"/>
          <a:ext cx="2418080" cy="812800"/>
          <a:chOff x="5623560" y="1148443"/>
          <a:chExt cx="2392680" cy="816428"/>
        </a:xfrm>
      </xdr:grpSpPr>
      <xdr:sp macro="" textlink="">
        <xdr:nvSpPr>
          <xdr:cNvPr id="41" name="Rectangle: Rounded Corners 40">
            <a:extLst>
              <a:ext uri="{FF2B5EF4-FFF2-40B4-BE49-F238E27FC236}">
                <a16:creationId xmlns:a16="http://schemas.microsoft.com/office/drawing/2014/main" id="{860878A0-9CC4-1BC1-51F3-D5B2A94891B9}"/>
              </a:ext>
            </a:extLst>
          </xdr:cNvPr>
          <xdr:cNvSpPr/>
        </xdr:nvSpPr>
        <xdr:spPr>
          <a:xfrm>
            <a:off x="5623560" y="1148443"/>
            <a:ext cx="2392680" cy="816428"/>
          </a:xfrm>
          <a:prstGeom prst="roundRect">
            <a:avLst/>
          </a:prstGeom>
          <a:solidFill>
            <a:schemeClr val="bg1"/>
          </a:solidFill>
          <a:ln w="9525">
            <a:solidFill>
              <a:schemeClr val="bg1">
                <a:lumMod val="8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42" name="TextBox 41">
            <a:extLst>
              <a:ext uri="{FF2B5EF4-FFF2-40B4-BE49-F238E27FC236}">
                <a16:creationId xmlns:a16="http://schemas.microsoft.com/office/drawing/2014/main" id="{0ABD93FF-88E5-983F-7208-93B94FC3B6D8}"/>
              </a:ext>
            </a:extLst>
          </xdr:cNvPr>
          <xdr:cNvSpPr txBox="1"/>
        </xdr:nvSpPr>
        <xdr:spPr>
          <a:xfrm>
            <a:off x="6195060" y="1277983"/>
            <a:ext cx="1493520" cy="32439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Avg Rental Revenue</a:t>
            </a:r>
          </a:p>
        </xdr:txBody>
      </xdr:sp>
      <xdr:sp macro="" textlink="Cards!H4">
        <xdr:nvSpPr>
          <xdr:cNvPr id="43" name="TextBox 42">
            <a:extLst>
              <a:ext uri="{FF2B5EF4-FFF2-40B4-BE49-F238E27FC236}">
                <a16:creationId xmlns:a16="http://schemas.microsoft.com/office/drawing/2014/main" id="{995CA58C-ECA7-7D56-089B-B4A6B7477FEF}"/>
              </a:ext>
            </a:extLst>
          </xdr:cNvPr>
          <xdr:cNvSpPr txBox="1"/>
        </xdr:nvSpPr>
        <xdr:spPr>
          <a:xfrm>
            <a:off x="6195060" y="1495697"/>
            <a:ext cx="1493520" cy="322217"/>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BB955416-FFB5-4AD7-9389-A019EF433FE3}" type="TxLink">
              <a:rPr lang="en-US" sz="1600" b="1" i="0" u="none" strike="noStrike">
                <a:solidFill>
                  <a:srgbClr val="000000"/>
                </a:solidFill>
                <a:latin typeface="Aptos Narrow"/>
              </a:rPr>
              <a:pPr/>
              <a:t>$50.31</a:t>
            </a:fld>
            <a:endParaRPr lang="en-US" sz="1600" b="1"/>
          </a:p>
        </xdr:txBody>
      </xdr:sp>
      <xdr:sp macro="" textlink="">
        <xdr:nvSpPr>
          <xdr:cNvPr id="44" name="Oval 43">
            <a:extLst>
              <a:ext uri="{FF2B5EF4-FFF2-40B4-BE49-F238E27FC236}">
                <a16:creationId xmlns:a16="http://schemas.microsoft.com/office/drawing/2014/main" id="{F5C8C6A1-B181-5BC7-D0F9-C4F93004F15E}"/>
              </a:ext>
            </a:extLst>
          </xdr:cNvPr>
          <xdr:cNvSpPr/>
        </xdr:nvSpPr>
        <xdr:spPr>
          <a:xfrm>
            <a:off x="5753100" y="1348740"/>
            <a:ext cx="434340" cy="438694"/>
          </a:xfrm>
          <a:prstGeom prst="ellipse">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pic>
        <xdr:nvPicPr>
          <xdr:cNvPr id="45" name="Graphic 44" descr="Users with solid fill">
            <a:extLst>
              <a:ext uri="{FF2B5EF4-FFF2-40B4-BE49-F238E27FC236}">
                <a16:creationId xmlns:a16="http://schemas.microsoft.com/office/drawing/2014/main" id="{80FEF4F6-CB6E-808B-69F5-5451E4A674A3}"/>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rcRect/>
          <a:stretch/>
        </xdr:blipFill>
        <xdr:spPr>
          <a:xfrm>
            <a:off x="5814060" y="1402080"/>
            <a:ext cx="327660" cy="332014"/>
          </a:xfrm>
          <a:prstGeom prst="rect">
            <a:avLst/>
          </a:prstGeom>
        </xdr:spPr>
      </xdr:pic>
    </xdr:grpSp>
    <xdr:clientData/>
  </xdr:twoCellAnchor>
  <xdr:twoCellAnchor>
    <xdr:from>
      <xdr:col>13</xdr:col>
      <xdr:colOff>251460</xdr:colOff>
      <xdr:row>6</xdr:row>
      <xdr:rowOff>38100</xdr:rowOff>
    </xdr:from>
    <xdr:to>
      <xdr:col>17</xdr:col>
      <xdr:colOff>205740</xdr:colOff>
      <xdr:row>10</xdr:row>
      <xdr:rowOff>114300</xdr:rowOff>
    </xdr:to>
    <xdr:grpSp>
      <xdr:nvGrpSpPr>
        <xdr:cNvPr id="20" name="Group 19">
          <a:extLst>
            <a:ext uri="{FF2B5EF4-FFF2-40B4-BE49-F238E27FC236}">
              <a16:creationId xmlns:a16="http://schemas.microsoft.com/office/drawing/2014/main" id="{84D6203D-9207-ADB1-B9FA-DA72736BF67B}"/>
            </a:ext>
          </a:extLst>
        </xdr:cNvPr>
        <xdr:cNvGrpSpPr/>
      </xdr:nvGrpSpPr>
      <xdr:grpSpPr>
        <a:xfrm>
          <a:off x="8258810" y="1143000"/>
          <a:ext cx="2418080" cy="812800"/>
          <a:chOff x="8176260" y="1148443"/>
          <a:chExt cx="2392680" cy="816428"/>
        </a:xfrm>
      </xdr:grpSpPr>
      <xdr:sp macro="" textlink="">
        <xdr:nvSpPr>
          <xdr:cNvPr id="46" name="Rectangle: Rounded Corners 45">
            <a:extLst>
              <a:ext uri="{FF2B5EF4-FFF2-40B4-BE49-F238E27FC236}">
                <a16:creationId xmlns:a16="http://schemas.microsoft.com/office/drawing/2014/main" id="{F1C2938C-05AB-3EA7-3514-BE37AE719D3C}"/>
              </a:ext>
            </a:extLst>
          </xdr:cNvPr>
          <xdr:cNvSpPr/>
        </xdr:nvSpPr>
        <xdr:spPr>
          <a:xfrm>
            <a:off x="8176260" y="1148443"/>
            <a:ext cx="2392680" cy="816428"/>
          </a:xfrm>
          <a:prstGeom prst="roundRect">
            <a:avLst/>
          </a:prstGeom>
          <a:solidFill>
            <a:schemeClr val="bg1"/>
          </a:solidFill>
          <a:ln w="9525">
            <a:solidFill>
              <a:schemeClr val="bg1">
                <a:lumMod val="8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47" name="TextBox 46">
            <a:extLst>
              <a:ext uri="{FF2B5EF4-FFF2-40B4-BE49-F238E27FC236}">
                <a16:creationId xmlns:a16="http://schemas.microsoft.com/office/drawing/2014/main" id="{E5B19534-D882-E43D-0CD4-68243724A1CA}"/>
              </a:ext>
            </a:extLst>
          </xdr:cNvPr>
          <xdr:cNvSpPr txBox="1"/>
        </xdr:nvSpPr>
        <xdr:spPr>
          <a:xfrm>
            <a:off x="8747760" y="1277983"/>
            <a:ext cx="1493520" cy="32439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Peak Month</a:t>
            </a:r>
          </a:p>
        </xdr:txBody>
      </xdr:sp>
      <xdr:sp macro="" textlink="Cards!L4">
        <xdr:nvSpPr>
          <xdr:cNvPr id="48" name="TextBox 47">
            <a:extLst>
              <a:ext uri="{FF2B5EF4-FFF2-40B4-BE49-F238E27FC236}">
                <a16:creationId xmlns:a16="http://schemas.microsoft.com/office/drawing/2014/main" id="{55F38FE5-04D5-F310-D0D6-FA5C305B6319}"/>
              </a:ext>
            </a:extLst>
          </xdr:cNvPr>
          <xdr:cNvSpPr txBox="1"/>
        </xdr:nvSpPr>
        <xdr:spPr>
          <a:xfrm>
            <a:off x="8747760" y="1495697"/>
            <a:ext cx="1493520" cy="322217"/>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A60A61CA-30F1-4225-A887-27AE6559CB0B}" type="TxLink">
              <a:rPr lang="en-US" sz="1600" b="1" i="0" u="none" strike="noStrike">
                <a:solidFill>
                  <a:srgbClr val="000000"/>
                </a:solidFill>
                <a:latin typeface="Aptos Narrow"/>
              </a:rPr>
              <a:pPr/>
              <a:t>July</a:t>
            </a:fld>
            <a:endParaRPr lang="en-US" sz="1600" b="1"/>
          </a:p>
        </xdr:txBody>
      </xdr:sp>
      <xdr:sp macro="" textlink="">
        <xdr:nvSpPr>
          <xdr:cNvPr id="49" name="Oval 48">
            <a:extLst>
              <a:ext uri="{FF2B5EF4-FFF2-40B4-BE49-F238E27FC236}">
                <a16:creationId xmlns:a16="http://schemas.microsoft.com/office/drawing/2014/main" id="{3669F33A-31F7-0441-FE8E-750D8EECBFE2}"/>
              </a:ext>
            </a:extLst>
          </xdr:cNvPr>
          <xdr:cNvSpPr/>
        </xdr:nvSpPr>
        <xdr:spPr>
          <a:xfrm>
            <a:off x="8305800" y="1348740"/>
            <a:ext cx="434340" cy="438694"/>
          </a:xfrm>
          <a:prstGeom prst="ellipse">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pic>
        <xdr:nvPicPr>
          <xdr:cNvPr id="50" name="Graphic 49" descr="Daily calendar with solid fill">
            <a:extLst>
              <a:ext uri="{FF2B5EF4-FFF2-40B4-BE49-F238E27FC236}">
                <a16:creationId xmlns:a16="http://schemas.microsoft.com/office/drawing/2014/main" id="{EC406247-1B66-3027-AF47-B18476E272EC}"/>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rcRect/>
          <a:stretch/>
        </xdr:blipFill>
        <xdr:spPr>
          <a:xfrm>
            <a:off x="8366760" y="1402080"/>
            <a:ext cx="327660" cy="332014"/>
          </a:xfrm>
          <a:prstGeom prst="rect">
            <a:avLst/>
          </a:prstGeom>
        </xdr:spPr>
      </xdr:pic>
    </xdr:grpSp>
    <xdr:clientData/>
  </xdr:twoCellAnchor>
  <xdr:twoCellAnchor>
    <xdr:from>
      <xdr:col>0</xdr:col>
      <xdr:colOff>533400</xdr:colOff>
      <xdr:row>11</xdr:row>
      <xdr:rowOff>152400</xdr:rowOff>
    </xdr:from>
    <xdr:to>
      <xdr:col>10</xdr:col>
      <xdr:colOff>315686</xdr:colOff>
      <xdr:row>26</xdr:row>
      <xdr:rowOff>180975</xdr:rowOff>
    </xdr:to>
    <xdr:graphicFrame macro="">
      <xdr:nvGraphicFramePr>
        <xdr:cNvPr id="52" name="Chart 51">
          <a:extLst>
            <a:ext uri="{FF2B5EF4-FFF2-40B4-BE49-F238E27FC236}">
              <a16:creationId xmlns:a16="http://schemas.microsoft.com/office/drawing/2014/main" id="{88BC386C-5B6B-4670-A19F-8D4A2D6D6B5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11</xdr:col>
      <xdr:colOff>0</xdr:colOff>
      <xdr:row>11</xdr:row>
      <xdr:rowOff>152402</xdr:rowOff>
    </xdr:from>
    <xdr:to>
      <xdr:col>17</xdr:col>
      <xdr:colOff>198120</xdr:colOff>
      <xdr:row>26</xdr:row>
      <xdr:rowOff>178312</xdr:rowOff>
    </xdr:to>
    <xdr:graphicFrame macro="">
      <xdr:nvGraphicFramePr>
        <xdr:cNvPr id="6" name="Chart 5">
          <a:extLst>
            <a:ext uri="{FF2B5EF4-FFF2-40B4-BE49-F238E27FC236}">
              <a16:creationId xmlns:a16="http://schemas.microsoft.com/office/drawing/2014/main" id="{16E237D1-11F0-45C9-AAF7-62D91D9AFBC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0</xdr:col>
      <xdr:colOff>533399</xdr:colOff>
      <xdr:row>27</xdr:row>
      <xdr:rowOff>190499</xdr:rowOff>
    </xdr:from>
    <xdr:to>
      <xdr:col>8</xdr:col>
      <xdr:colOff>555170</xdr:colOff>
      <xdr:row>42</xdr:row>
      <xdr:rowOff>127000</xdr:rowOff>
    </xdr:to>
    <xdr:graphicFrame macro="">
      <xdr:nvGraphicFramePr>
        <xdr:cNvPr id="10" name="Chart 9">
          <a:extLst>
            <a:ext uri="{FF2B5EF4-FFF2-40B4-BE49-F238E27FC236}">
              <a16:creationId xmlns:a16="http://schemas.microsoft.com/office/drawing/2014/main" id="{72FB43D7-BF81-4A8C-BBA5-5BBC637F771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9</xdr:col>
      <xdr:colOff>261257</xdr:colOff>
      <xdr:row>27</xdr:row>
      <xdr:rowOff>190499</xdr:rowOff>
    </xdr:from>
    <xdr:to>
      <xdr:col>17</xdr:col>
      <xdr:colOff>198120</xdr:colOff>
      <xdr:row>42</xdr:row>
      <xdr:rowOff>127000</xdr:rowOff>
    </xdr:to>
    <xdr:graphicFrame macro="">
      <xdr:nvGraphicFramePr>
        <xdr:cNvPr id="12" name="Chart 11">
          <a:extLst>
            <a:ext uri="{FF2B5EF4-FFF2-40B4-BE49-F238E27FC236}">
              <a16:creationId xmlns:a16="http://schemas.microsoft.com/office/drawing/2014/main" id="{32EC1447-1990-4CB4-A912-7F181803135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editAs="oneCell">
    <xdr:from>
      <xdr:col>17</xdr:col>
      <xdr:colOff>501831</xdr:colOff>
      <xdr:row>6</xdr:row>
      <xdr:rowOff>165462</xdr:rowOff>
    </xdr:from>
    <xdr:to>
      <xdr:col>20</xdr:col>
      <xdr:colOff>501831</xdr:colOff>
      <xdr:row>23</xdr:row>
      <xdr:rowOff>74083</xdr:rowOff>
    </xdr:to>
    <mc:AlternateContent xmlns:mc="http://schemas.openxmlformats.org/markup-compatibility/2006" xmlns:a14="http://schemas.microsoft.com/office/drawing/2010/main">
      <mc:Choice Requires="a14">
        <xdr:graphicFrame macro="">
          <xdr:nvGraphicFramePr>
            <xdr:cNvPr id="30" name="Team Member">
              <a:extLst>
                <a:ext uri="{FF2B5EF4-FFF2-40B4-BE49-F238E27FC236}">
                  <a16:creationId xmlns:a16="http://schemas.microsoft.com/office/drawing/2014/main" id="{ECF88B4C-990C-22D1-CF3B-60091BCA2046}"/>
                </a:ext>
              </a:extLst>
            </xdr:cNvPr>
            <xdr:cNvGraphicFramePr/>
          </xdr:nvGraphicFramePr>
          <xdr:xfrm>
            <a:off x="0" y="0"/>
            <a:ext cx="0" cy="0"/>
          </xdr:xfrm>
          <a:graphic>
            <a:graphicData uri="http://schemas.microsoft.com/office/drawing/2010/slicer">
              <sle:slicer xmlns:sle="http://schemas.microsoft.com/office/drawing/2010/slicer" name="Team Member"/>
            </a:graphicData>
          </a:graphic>
        </xdr:graphicFrame>
      </mc:Choice>
      <mc:Fallback xmlns="">
        <xdr:sp macro="" textlink="">
          <xdr:nvSpPr>
            <xdr:cNvPr id="0" name=""/>
            <xdr:cNvSpPr>
              <a:spLocks noTextEdit="1"/>
            </xdr:cNvSpPr>
          </xdr:nvSpPr>
          <xdr:spPr>
            <a:xfrm>
              <a:off x="10865031" y="1275805"/>
              <a:ext cx="1828800" cy="321672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7620</xdr:colOff>
      <xdr:row>0</xdr:row>
      <xdr:rowOff>7620</xdr:rowOff>
    </xdr:from>
    <xdr:to>
      <xdr:col>21</xdr:col>
      <xdr:colOff>388620</xdr:colOff>
      <xdr:row>5</xdr:row>
      <xdr:rowOff>22860</xdr:rowOff>
    </xdr:to>
    <xdr:sp macro="" textlink="">
      <xdr:nvSpPr>
        <xdr:cNvPr id="55" name="Rectangle 54">
          <a:extLst>
            <a:ext uri="{FF2B5EF4-FFF2-40B4-BE49-F238E27FC236}">
              <a16:creationId xmlns:a16="http://schemas.microsoft.com/office/drawing/2014/main" id="{FEB6AED4-E4B1-DE62-17A2-CE9F6D2B5B04}"/>
            </a:ext>
          </a:extLst>
        </xdr:cNvPr>
        <xdr:cNvSpPr/>
      </xdr:nvSpPr>
      <xdr:spPr>
        <a:xfrm>
          <a:off x="7620" y="7620"/>
          <a:ext cx="13182600" cy="929640"/>
        </a:xfrm>
        <a:custGeom>
          <a:avLst/>
          <a:gdLst>
            <a:gd name="csX0" fmla="*/ 0 w 13182600"/>
            <a:gd name="csY0" fmla="*/ 0 h 929640"/>
            <a:gd name="csX1" fmla="*/ 13182600 w 13182600"/>
            <a:gd name="csY1" fmla="*/ 0 h 929640"/>
            <a:gd name="csX2" fmla="*/ 13182600 w 13182600"/>
            <a:gd name="csY2" fmla="*/ 929640 h 929640"/>
            <a:gd name="csX3" fmla="*/ 0 w 13182600"/>
            <a:gd name="csY3" fmla="*/ 929640 h 929640"/>
            <a:gd name="csX4" fmla="*/ 0 w 13182600"/>
            <a:gd name="csY4" fmla="*/ 0 h 929640"/>
            <a:gd name="csX0" fmla="*/ 0 w 13182600"/>
            <a:gd name="csY0" fmla="*/ 0 h 1045845"/>
            <a:gd name="csX1" fmla="*/ 13182600 w 13182600"/>
            <a:gd name="csY1" fmla="*/ 0 h 1045845"/>
            <a:gd name="csX2" fmla="*/ 13182600 w 13182600"/>
            <a:gd name="csY2" fmla="*/ 929640 h 1045845"/>
            <a:gd name="csX3" fmla="*/ 0 w 13182600"/>
            <a:gd name="csY3" fmla="*/ 929640 h 1045845"/>
            <a:gd name="csX4" fmla="*/ 0 w 13182600"/>
            <a:gd name="csY4" fmla="*/ 0 h 1045845"/>
            <a:gd name="csX0" fmla="*/ 0 w 13182600"/>
            <a:gd name="csY0" fmla="*/ 0 h 973317"/>
            <a:gd name="csX1" fmla="*/ 13182600 w 13182600"/>
            <a:gd name="csY1" fmla="*/ 0 h 973317"/>
            <a:gd name="csX2" fmla="*/ 13182600 w 13182600"/>
            <a:gd name="csY2" fmla="*/ 929640 h 973317"/>
            <a:gd name="csX3" fmla="*/ 0 w 13182600"/>
            <a:gd name="csY3" fmla="*/ 929640 h 973317"/>
            <a:gd name="csX4" fmla="*/ 0 w 13182600"/>
            <a:gd name="csY4" fmla="*/ 0 h 973317"/>
            <a:gd name="csX0" fmla="*/ 0 w 13182600"/>
            <a:gd name="csY0" fmla="*/ 0 h 929640"/>
            <a:gd name="csX1" fmla="*/ 13182600 w 13182600"/>
            <a:gd name="csY1" fmla="*/ 0 h 929640"/>
            <a:gd name="csX2" fmla="*/ 13182600 w 13182600"/>
            <a:gd name="csY2" fmla="*/ 929640 h 929640"/>
            <a:gd name="csX3" fmla="*/ 0 w 13182600"/>
            <a:gd name="csY3" fmla="*/ 929640 h 929640"/>
            <a:gd name="csX4" fmla="*/ 0 w 13182600"/>
            <a:gd name="csY4" fmla="*/ 0 h 929640"/>
          </a:gdLst>
          <a:ahLst/>
          <a:cxnLst>
            <a:cxn ang="0">
              <a:pos x="csX0" y="csY0"/>
            </a:cxn>
            <a:cxn ang="0">
              <a:pos x="csX1" y="csY1"/>
            </a:cxn>
            <a:cxn ang="0">
              <a:pos x="csX2" y="csY2"/>
            </a:cxn>
            <a:cxn ang="0">
              <a:pos x="csX3" y="csY3"/>
            </a:cxn>
            <a:cxn ang="0">
              <a:pos x="csX4" y="csY4"/>
            </a:cxn>
          </a:cxnLst>
          <a:rect l="l" t="t" r="r" b="b"/>
          <a:pathLst>
            <a:path w="13182600" h="929640">
              <a:moveTo>
                <a:pt x="0" y="0"/>
              </a:moveTo>
              <a:lnTo>
                <a:pt x="13182600" y="0"/>
              </a:lnTo>
              <a:lnTo>
                <a:pt x="13182600" y="929640"/>
              </a:lnTo>
              <a:cubicBezTo>
                <a:pt x="10985500" y="749300"/>
                <a:pt x="2204720" y="764540"/>
                <a:pt x="0" y="929640"/>
              </a:cubicBezTo>
              <a:lnTo>
                <a:pt x="0" y="0"/>
              </a:lnTo>
              <a:close/>
            </a:path>
          </a:pathLst>
        </a:custGeom>
        <a:gradFill flip="none" rotWithShape="1">
          <a:gsLst>
            <a:gs pos="0">
              <a:schemeClr val="accent3">
                <a:lumMod val="60000"/>
                <a:lumOff val="40000"/>
                <a:shade val="30000"/>
                <a:satMod val="115000"/>
              </a:schemeClr>
            </a:gs>
            <a:gs pos="50000">
              <a:schemeClr val="accent3">
                <a:lumMod val="60000"/>
                <a:lumOff val="40000"/>
                <a:shade val="67500"/>
                <a:satMod val="115000"/>
              </a:schemeClr>
            </a:gs>
            <a:gs pos="100000">
              <a:schemeClr val="accent3">
                <a:lumMod val="60000"/>
                <a:lumOff val="40000"/>
                <a:shade val="100000"/>
                <a:satMod val="115000"/>
              </a:schemeClr>
            </a:gs>
          </a:gsLst>
          <a:lin ang="0" scaled="1"/>
          <a:tileRect/>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457200</xdr:colOff>
      <xdr:row>1</xdr:row>
      <xdr:rowOff>83820</xdr:rowOff>
    </xdr:from>
    <xdr:to>
      <xdr:col>5</xdr:col>
      <xdr:colOff>358140</xdr:colOff>
      <xdr:row>3</xdr:row>
      <xdr:rowOff>99060</xdr:rowOff>
    </xdr:to>
    <xdr:sp macro="" textlink="">
      <xdr:nvSpPr>
        <xdr:cNvPr id="56" name="TextBox 55">
          <a:extLst>
            <a:ext uri="{FF2B5EF4-FFF2-40B4-BE49-F238E27FC236}">
              <a16:creationId xmlns:a16="http://schemas.microsoft.com/office/drawing/2014/main" id="{474C9248-C39F-030B-DEC5-B1D9CAF949C7}"/>
            </a:ext>
          </a:extLst>
        </xdr:cNvPr>
        <xdr:cNvSpPr txBox="1"/>
      </xdr:nvSpPr>
      <xdr:spPr>
        <a:xfrm>
          <a:off x="457200" y="266700"/>
          <a:ext cx="2948940" cy="381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b="1">
              <a:solidFill>
                <a:schemeClr val="bg1"/>
              </a:solidFill>
            </a:rPr>
            <a:t>Water Sports Rentals Sales</a:t>
          </a:r>
        </a:p>
      </xdr:txBody>
    </xdr:sp>
    <xdr:clientData/>
  </xdr:twoCellAnchor>
  <xdr:twoCellAnchor>
    <xdr:from>
      <xdr:col>18</xdr:col>
      <xdr:colOff>207434</xdr:colOff>
      <xdr:row>1</xdr:row>
      <xdr:rowOff>114300</xdr:rowOff>
    </xdr:from>
    <xdr:to>
      <xdr:col>20</xdr:col>
      <xdr:colOff>550334</xdr:colOff>
      <xdr:row>3</xdr:row>
      <xdr:rowOff>68580</xdr:rowOff>
    </xdr:to>
    <xdr:sp macro="" textlink="">
      <xdr:nvSpPr>
        <xdr:cNvPr id="57" name="Rectangle: Rounded Corners 56">
          <a:extLst>
            <a:ext uri="{FF2B5EF4-FFF2-40B4-BE49-F238E27FC236}">
              <a16:creationId xmlns:a16="http://schemas.microsoft.com/office/drawing/2014/main" id="{4A6C8C81-EB99-0CF5-2CE6-DA189DF5C948}"/>
            </a:ext>
          </a:extLst>
        </xdr:cNvPr>
        <xdr:cNvSpPr/>
      </xdr:nvSpPr>
      <xdr:spPr>
        <a:xfrm>
          <a:off x="10875434" y="304800"/>
          <a:ext cx="1528233" cy="335280"/>
        </a:xfrm>
        <a:prstGeom prst="roundRect">
          <a:avLst>
            <a:gd name="adj" fmla="val 50000"/>
          </a:avLst>
        </a:prstGeom>
        <a:solidFill>
          <a:schemeClr val="bg1">
            <a:alpha val="19000"/>
          </a:schemeClr>
        </a:solidFill>
        <a:ln w="9525">
          <a:solidFill>
            <a:schemeClr val="accent3">
              <a:lumMod val="20000"/>
              <a:lumOff val="8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a:t>2026 Annual Report</a:t>
          </a:r>
        </a:p>
      </xdr:txBody>
    </xdr:sp>
    <xdr:clientData/>
  </xdr:twoCellAnchor>
  <xdr:twoCellAnchor>
    <xdr:from>
      <xdr:col>7</xdr:col>
      <xdr:colOff>487680</xdr:colOff>
      <xdr:row>25</xdr:row>
      <xdr:rowOff>85725</xdr:rowOff>
    </xdr:from>
    <xdr:to>
      <xdr:col>9</xdr:col>
      <xdr:colOff>502920</xdr:colOff>
      <xdr:row>26</xdr:row>
      <xdr:rowOff>154305</xdr:rowOff>
    </xdr:to>
    <xdr:sp macro="" textlink="">
      <xdr:nvSpPr>
        <xdr:cNvPr id="58" name="TextBox 57">
          <a:extLst>
            <a:ext uri="{FF2B5EF4-FFF2-40B4-BE49-F238E27FC236}">
              <a16:creationId xmlns:a16="http://schemas.microsoft.com/office/drawing/2014/main" id="{6AEF4724-38EC-3FD6-524D-6C8F8A207E30}"/>
            </a:ext>
          </a:extLst>
        </xdr:cNvPr>
        <xdr:cNvSpPr txBox="1"/>
      </xdr:nvSpPr>
      <xdr:spPr>
        <a:xfrm>
          <a:off x="4621530" y="4848225"/>
          <a:ext cx="1196340" cy="2590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rIns="0" rtlCol="0" anchor="t"/>
        <a:lstStyle/>
        <a:p>
          <a:pPr algn="r"/>
          <a:r>
            <a:rPr lang="en-US" sz="1000" i="1">
              <a:solidFill>
                <a:schemeClr val="tx1">
                  <a:lumMod val="50000"/>
                  <a:lumOff val="50000"/>
                </a:schemeClr>
              </a:solidFill>
            </a:rPr>
            <a:t>Toggle Week / Month </a:t>
          </a:r>
          <a:r>
            <a:rPr lang="en-US" sz="1000" i="0">
              <a:solidFill>
                <a:schemeClr val="tx1">
                  <a:lumMod val="50000"/>
                  <a:lumOff val="50000"/>
                </a:schemeClr>
              </a:solidFill>
              <a:sym typeface="Wingdings" panose="05000000000000000000" pitchFamily="2" charset="2"/>
            </a:rPr>
            <a:t></a:t>
          </a:r>
          <a:endParaRPr lang="en-US" sz="1000" i="0">
            <a:solidFill>
              <a:schemeClr val="tx1">
                <a:lumMod val="50000"/>
                <a:lumOff val="50000"/>
              </a:schemeClr>
            </a:solidFill>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2</xdr:col>
      <xdr:colOff>563880</xdr:colOff>
      <xdr:row>1</xdr:row>
      <xdr:rowOff>121920</xdr:rowOff>
    </xdr:from>
    <xdr:to>
      <xdr:col>10</xdr:col>
      <xdr:colOff>259080</xdr:colOff>
      <xdr:row>16</xdr:row>
      <xdr:rowOff>121920</xdr:rowOff>
    </xdr:to>
    <xdr:graphicFrame macro="">
      <xdr:nvGraphicFramePr>
        <xdr:cNvPr id="2" name="Chart 1">
          <a:extLst>
            <a:ext uri="{FF2B5EF4-FFF2-40B4-BE49-F238E27FC236}">
              <a16:creationId xmlns:a16="http://schemas.microsoft.com/office/drawing/2014/main" id="{ED56CDBF-425D-A58E-C4B7-B7B814EB75E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4</xdr:col>
      <xdr:colOff>487680</xdr:colOff>
      <xdr:row>1</xdr:row>
      <xdr:rowOff>91440</xdr:rowOff>
    </xdr:from>
    <xdr:to>
      <xdr:col>13</xdr:col>
      <xdr:colOff>312420</xdr:colOff>
      <xdr:row>16</xdr:row>
      <xdr:rowOff>91440</xdr:rowOff>
    </xdr:to>
    <xdr:graphicFrame macro="">
      <xdr:nvGraphicFramePr>
        <xdr:cNvPr id="2" name="Chart 1">
          <a:extLst>
            <a:ext uri="{FF2B5EF4-FFF2-40B4-BE49-F238E27FC236}">
              <a16:creationId xmlns:a16="http://schemas.microsoft.com/office/drawing/2014/main" id="{779FF3E1-C22E-4909-8E8A-29AD1C70FB5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2</xdr:col>
      <xdr:colOff>693420</xdr:colOff>
      <xdr:row>1</xdr:row>
      <xdr:rowOff>144780</xdr:rowOff>
    </xdr:from>
    <xdr:to>
      <xdr:col>13</xdr:col>
      <xdr:colOff>38100</xdr:colOff>
      <xdr:row>20</xdr:row>
      <xdr:rowOff>60960</xdr:rowOff>
    </xdr:to>
    <xdr:graphicFrame macro="">
      <xdr:nvGraphicFramePr>
        <xdr:cNvPr id="2" name="Chart 1">
          <a:extLst>
            <a:ext uri="{FF2B5EF4-FFF2-40B4-BE49-F238E27FC236}">
              <a16:creationId xmlns:a16="http://schemas.microsoft.com/office/drawing/2014/main" id="{9E791D66-6EDF-45C2-94C7-928BEF31D7C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2</xdr:col>
      <xdr:colOff>563880</xdr:colOff>
      <xdr:row>1</xdr:row>
      <xdr:rowOff>121920</xdr:rowOff>
    </xdr:from>
    <xdr:to>
      <xdr:col>10</xdr:col>
      <xdr:colOff>259080</xdr:colOff>
      <xdr:row>16</xdr:row>
      <xdr:rowOff>121920</xdr:rowOff>
    </xdr:to>
    <xdr:graphicFrame macro="">
      <xdr:nvGraphicFramePr>
        <xdr:cNvPr id="2" name="Chart 1">
          <a:extLst>
            <a:ext uri="{FF2B5EF4-FFF2-40B4-BE49-F238E27FC236}">
              <a16:creationId xmlns:a16="http://schemas.microsoft.com/office/drawing/2014/main" id="{21DFBACC-82B7-4114-87CC-DE2F3BAB4E5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Jon Acampora" refreshedDate="46183.62122789352" createdVersion="8" refreshedVersion="8" minRefreshableVersion="3" recordCount="3000" xr:uid="{418EBDE2-531B-499E-A143-319E7C804A5A}">
  <cacheSource type="worksheet">
    <worksheetSource name="tblData"/>
  </cacheSource>
  <cacheFields count="21">
    <cacheField name="Rental ID" numFmtId="0">
      <sharedItems/>
    </cacheField>
    <cacheField name="Rental Date" numFmtId="14">
      <sharedItems containsSemiMixedTypes="0" containsNonDate="0" containsDate="1" containsString="0" minDate="2026-01-01T00:00:00" maxDate="2027-01-01T00:00:00"/>
    </cacheField>
    <cacheField name="Month" numFmtId="0">
      <sharedItems count="23">
        <s v="Jan"/>
        <s v="Feb"/>
        <s v="Mar"/>
        <s v="Apr"/>
        <s v="May"/>
        <s v="Jun"/>
        <s v="Jul"/>
        <s v="Aug"/>
        <s v="Sep"/>
        <s v="Oct"/>
        <s v="Nov"/>
        <s v="Dec"/>
        <s v="January" u="1"/>
        <s v="February" u="1"/>
        <s v="March" u="1"/>
        <s v="April" u="1"/>
        <s v="June" u="1"/>
        <s v="July" u="1"/>
        <s v="August" u="1"/>
        <s v="September" u="1"/>
        <s v="October" u="1"/>
        <s v="November" u="1"/>
        <s v="December" u="1"/>
      </sharedItems>
    </cacheField>
    <cacheField name="Month Name" numFmtId="0">
      <sharedItems count="12">
        <s v="January"/>
        <s v="February"/>
        <s v="March"/>
        <s v="April"/>
        <s v="May"/>
        <s v="June"/>
        <s v="July"/>
        <s v="August"/>
        <s v="September"/>
        <s v="October"/>
        <s v="November"/>
        <s v="December"/>
      </sharedItems>
    </cacheField>
    <cacheField name="Day of Week" numFmtId="0">
      <sharedItems/>
    </cacheField>
    <cacheField name="Week Number" numFmtId="0">
      <sharedItems count="53">
        <s v="01"/>
        <s v="02"/>
        <s v="03"/>
        <s v="04"/>
        <s v="05"/>
        <s v="06"/>
        <s v="07"/>
        <s v="08"/>
        <s v="09"/>
        <s v="10"/>
        <s v="11"/>
        <s v="12"/>
        <s v="13"/>
        <s v="14"/>
        <s v="15"/>
        <s v="16"/>
        <s v="17"/>
        <s v="18"/>
        <s v="19"/>
        <s v="20"/>
        <s v="21"/>
        <s v="22"/>
        <s v="23"/>
        <s v="24"/>
        <s v="25"/>
        <s v="26"/>
        <s v="27"/>
        <s v="28"/>
        <s v="29"/>
        <s v="30"/>
        <s v="31"/>
        <s v="32"/>
        <s v="33"/>
        <s v="34"/>
        <s v="35"/>
        <s v="36"/>
        <s v="37"/>
        <s v="38"/>
        <s v="39"/>
        <s v="40"/>
        <s v="41"/>
        <s v="42"/>
        <s v="43"/>
        <s v="44"/>
        <s v="45"/>
        <s v="46"/>
        <s v="47"/>
        <s v="48"/>
        <s v="49"/>
        <s v="50"/>
        <s v="51"/>
        <s v="52"/>
        <s v="53"/>
      </sharedItems>
    </cacheField>
    <cacheField name="EO Month" numFmtId="14">
      <sharedItems containsSemiMixedTypes="0" containsNonDate="0" containsDate="1" containsString="0" minDate="2026-01-31T00:00:00" maxDate="2027-01-01T00:00:00"/>
    </cacheField>
    <cacheField name="Season" numFmtId="0">
      <sharedItems/>
    </cacheField>
    <cacheField name="Customer Type" numFmtId="0">
      <sharedItems count="5">
        <s v="Resort Guest"/>
        <s v="Group/Event"/>
        <s v="Online Booking"/>
        <s v="Walk-in"/>
        <s v="Member"/>
      </sharedItems>
    </cacheField>
    <cacheField name="Rental Item" numFmtId="0">
      <sharedItems count="10">
        <s v="Fishing Kayak"/>
        <s v="Single Kayak"/>
        <s v="Tandem Kayak"/>
        <s v="Surfboard"/>
        <s v="Snorkel Set"/>
        <s v="Stand-Up Paddle Board"/>
        <s v="Pedal Boat"/>
        <s v="Bodyboard"/>
        <s v="Wetsuit Rental"/>
        <s v="Hydro Bike"/>
      </sharedItems>
    </cacheField>
    <cacheField name="Rental Duration" numFmtId="0">
      <sharedItems/>
    </cacheField>
    <cacheField name="Quantity" numFmtId="0">
      <sharedItems containsSemiMixedTypes="0" containsString="0" containsNumber="1" containsInteger="1" minValue="1" maxValue="1"/>
    </cacheField>
    <cacheField name="Unit Price" numFmtId="164">
      <sharedItems containsSemiMixedTypes="0" containsString="0" containsNumber="1" minValue="10" maxValue="167.4"/>
    </cacheField>
    <cacheField name="Add-on" numFmtId="0">
      <sharedItems/>
    </cacheField>
    <cacheField name="Add-on Revenue" numFmtId="164">
      <sharedItems containsSemiMixedTypes="0" containsString="0" containsNumber="1" containsInteger="1" minValue="0" maxValue="12"/>
    </cacheField>
    <cacheField name="Discount Amount" numFmtId="164">
      <sharedItems containsSemiMixedTypes="0" containsString="0" containsNumber="1" minValue="0" maxValue="18.72"/>
    </cacheField>
    <cacheField name="Total Revenue" numFmtId="164">
      <sharedItems containsSemiMixedTypes="0" containsString="0" containsNumber="1" minValue="9" maxValue="175.4"/>
    </cacheField>
    <cacheField name="Team Member" numFmtId="0">
      <sharedItems count="10">
        <s v="Isaac Patel"/>
        <s v="Finn Johnson"/>
        <s v="Emma Wilson"/>
        <s v="Chloe Nguyen"/>
        <s v="Ben Carter"/>
        <s v="Ava Martinez"/>
        <s v="Mia Thompson"/>
        <s v="Hannah Brooks"/>
        <s v="Grace Lee"/>
        <s v="Diego Ramirez"/>
      </sharedItems>
    </cacheField>
    <cacheField name="Launch Site" numFmtId="0">
      <sharedItems count="5">
        <s v="Lagoon Launch"/>
        <s v="Harbor Dock"/>
        <s v="Beachfront Hut"/>
        <s v="Resort Pier"/>
        <s v="Marina Kiosk"/>
      </sharedItems>
    </cacheField>
    <cacheField name="Payment Method" numFmtId="0">
      <sharedItems/>
    </cacheField>
    <cacheField name="Weather" numFmtId="0">
      <sharedItems/>
    </cacheField>
  </cacheFields>
  <extLst>
    <ext xmlns:x14="http://schemas.microsoft.com/office/spreadsheetml/2009/9/main" uri="{725AE2AE-9491-48be-B2B4-4EB974FC3084}">
      <x14:pivotCacheDefinition pivotCacheId="64103548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000">
  <r>
    <s v="WSR-2026-0001"/>
    <d v="2026-01-01T00:00:00"/>
    <x v="0"/>
    <x v="0"/>
    <s v="Thursday"/>
    <x v="0"/>
    <d v="2026-01-31T00:00:00"/>
    <s v="Winter"/>
    <x v="0"/>
    <x v="0"/>
    <s v="2 Hours"/>
    <n v="1"/>
    <n v="50"/>
    <s v="None"/>
    <n v="0"/>
    <n v="0"/>
    <n v="50"/>
    <x v="0"/>
    <x v="0"/>
    <s v="Credit Card"/>
    <s v="Sunny"/>
  </r>
  <r>
    <s v="WSR-2026-0002"/>
    <d v="2026-01-01T00:00:00"/>
    <x v="0"/>
    <x v="0"/>
    <s v="Thursday"/>
    <x v="0"/>
    <d v="2026-01-31T00:00:00"/>
    <s v="Winter"/>
    <x v="1"/>
    <x v="1"/>
    <s v="2 Hours"/>
    <n v="1"/>
    <n v="38"/>
    <s v="None"/>
    <n v="0"/>
    <n v="0"/>
    <n v="38"/>
    <x v="1"/>
    <x v="1"/>
    <s v="Credit Card"/>
    <s v="Rainy"/>
  </r>
  <r>
    <s v="WSR-2026-0003"/>
    <d v="2026-01-02T00:00:00"/>
    <x v="0"/>
    <x v="0"/>
    <s v="Friday"/>
    <x v="0"/>
    <d v="2026-01-31T00:00:00"/>
    <s v="Winter"/>
    <x v="2"/>
    <x v="0"/>
    <s v="Half Day"/>
    <n v="1"/>
    <n v="76"/>
    <s v="Phone Pouch"/>
    <n v="5"/>
    <n v="0"/>
    <n v="81"/>
    <x v="2"/>
    <x v="1"/>
    <s v="Credit Card"/>
    <s v="Sunny"/>
  </r>
  <r>
    <s v="WSR-2026-0004"/>
    <d v="2026-01-02T00:00:00"/>
    <x v="0"/>
    <x v="0"/>
    <s v="Friday"/>
    <x v="0"/>
    <d v="2026-01-31T00:00:00"/>
    <s v="Winter"/>
    <x v="0"/>
    <x v="2"/>
    <s v="Half Day"/>
    <n v="1"/>
    <n v="78"/>
    <s v="Phone Pouch"/>
    <n v="5"/>
    <n v="0"/>
    <n v="83"/>
    <x v="3"/>
    <x v="2"/>
    <s v="Credit Card"/>
    <s v="Sunny"/>
  </r>
  <r>
    <s v="WSR-2026-0005"/>
    <d v="2026-01-02T00:00:00"/>
    <x v="0"/>
    <x v="0"/>
    <s v="Friday"/>
    <x v="0"/>
    <d v="2026-01-31T00:00:00"/>
    <s v="Winter"/>
    <x v="3"/>
    <x v="3"/>
    <s v="2 Hours"/>
    <n v="1"/>
    <n v="36"/>
    <s v="None"/>
    <n v="0"/>
    <n v="0"/>
    <n v="36"/>
    <x v="0"/>
    <x v="3"/>
    <s v="Debit Card"/>
    <s v="Sunny"/>
  </r>
  <r>
    <s v="WSR-2026-0006"/>
    <d v="2026-01-02T00:00:00"/>
    <x v="0"/>
    <x v="0"/>
    <s v="Friday"/>
    <x v="0"/>
    <d v="2026-01-31T00:00:00"/>
    <s v="Winter"/>
    <x v="4"/>
    <x v="2"/>
    <s v="2 Hours"/>
    <n v="1"/>
    <n v="52"/>
    <s v="None"/>
    <n v="0"/>
    <n v="5.2"/>
    <n v="46.8"/>
    <x v="3"/>
    <x v="4"/>
    <s v="Debit Card"/>
    <s v="Rainy"/>
  </r>
  <r>
    <s v="WSR-2026-0007"/>
    <d v="2026-01-03T00:00:00"/>
    <x v="0"/>
    <x v="0"/>
    <s v="Saturday"/>
    <x v="0"/>
    <d v="2026-01-31T00:00:00"/>
    <s v="Winter"/>
    <x v="2"/>
    <x v="2"/>
    <s v="2 Hours"/>
    <n v="1"/>
    <n v="56.16"/>
    <s v="None"/>
    <n v="0"/>
    <n v="0"/>
    <n v="56.16"/>
    <x v="4"/>
    <x v="1"/>
    <s v="Credit Card"/>
    <s v="Cloudy"/>
  </r>
  <r>
    <s v="WSR-2026-0008"/>
    <d v="2026-01-03T00:00:00"/>
    <x v="0"/>
    <x v="0"/>
    <s v="Saturday"/>
    <x v="0"/>
    <d v="2026-01-31T00:00:00"/>
    <s v="Winter"/>
    <x v="3"/>
    <x v="2"/>
    <s v="1 Hour"/>
    <n v="1"/>
    <n v="36.72"/>
    <s v="GoPro Mount"/>
    <n v="8"/>
    <n v="0"/>
    <n v="44.72"/>
    <x v="5"/>
    <x v="0"/>
    <s v="Cash"/>
    <s v="Sunny"/>
  </r>
  <r>
    <s v="WSR-2026-0009"/>
    <d v="2026-01-03T00:00:00"/>
    <x v="0"/>
    <x v="0"/>
    <s v="Saturday"/>
    <x v="0"/>
    <d v="2026-01-31T00:00:00"/>
    <s v="Winter"/>
    <x v="3"/>
    <x v="4"/>
    <s v="1 Hour"/>
    <n v="1"/>
    <n v="12.96"/>
    <s v="None"/>
    <n v="0"/>
    <n v="0"/>
    <n v="12.96"/>
    <x v="6"/>
    <x v="4"/>
    <s v="Debit Card"/>
    <s v="Sunny"/>
  </r>
  <r>
    <s v="WSR-2026-0010"/>
    <d v="2026-01-04T00:00:00"/>
    <x v="0"/>
    <x v="0"/>
    <s v="Sunday"/>
    <x v="1"/>
    <d v="2026-01-31T00:00:00"/>
    <s v="Winter"/>
    <x v="1"/>
    <x v="2"/>
    <s v="2 Hours"/>
    <n v="1"/>
    <n v="56.16"/>
    <s v="None"/>
    <n v="0"/>
    <n v="5.62"/>
    <n v="50.54"/>
    <x v="6"/>
    <x v="3"/>
    <s v="Debit Card"/>
    <s v="Cloudy"/>
  </r>
  <r>
    <s v="WSR-2026-0011"/>
    <d v="2026-01-04T00:00:00"/>
    <x v="0"/>
    <x v="0"/>
    <s v="Sunday"/>
    <x v="1"/>
    <d v="2026-01-31T00:00:00"/>
    <s v="Winter"/>
    <x v="3"/>
    <x v="1"/>
    <s v="Half Day"/>
    <n v="1"/>
    <n v="62.64"/>
    <s v="Premium Life Jacket"/>
    <n v="7"/>
    <n v="0"/>
    <n v="69.64"/>
    <x v="7"/>
    <x v="2"/>
    <s v="Credit Card"/>
    <s v="Sunny"/>
  </r>
  <r>
    <s v="WSR-2026-0012"/>
    <d v="2026-01-04T00:00:00"/>
    <x v="0"/>
    <x v="0"/>
    <s v="Sunday"/>
    <x v="1"/>
    <d v="2026-01-31T00:00:00"/>
    <s v="Winter"/>
    <x v="1"/>
    <x v="4"/>
    <s v="1 Hour"/>
    <n v="1"/>
    <n v="12.96"/>
    <s v="None"/>
    <n v="0"/>
    <n v="1.3"/>
    <n v="11.66"/>
    <x v="3"/>
    <x v="1"/>
    <s v="Credit Card"/>
    <s v="Cloudy"/>
  </r>
  <r>
    <s v="WSR-2026-0013"/>
    <d v="2026-01-05T00:00:00"/>
    <x v="0"/>
    <x v="0"/>
    <s v="Monday"/>
    <x v="1"/>
    <d v="2026-01-31T00:00:00"/>
    <s v="Winter"/>
    <x v="2"/>
    <x v="3"/>
    <s v="Half Day"/>
    <n v="1"/>
    <n v="54"/>
    <s v="Waterproof Speaker"/>
    <n v="12"/>
    <n v="3.3"/>
    <n v="62.7"/>
    <x v="8"/>
    <x v="3"/>
    <s v="Debit Card"/>
    <s v="Sunny"/>
  </r>
  <r>
    <s v="WSR-2026-0014"/>
    <d v="2026-01-08T00:00:00"/>
    <x v="0"/>
    <x v="0"/>
    <s v="Thursday"/>
    <x v="1"/>
    <d v="2026-01-31T00:00:00"/>
    <s v="Winter"/>
    <x v="2"/>
    <x v="5"/>
    <s v="1 Hour"/>
    <n v="1"/>
    <n v="26"/>
    <s v="GoPro Mount"/>
    <n v="8"/>
    <n v="0"/>
    <n v="34"/>
    <x v="6"/>
    <x v="3"/>
    <s v="Cash"/>
    <s v="Windy"/>
  </r>
  <r>
    <s v="WSR-2026-0015"/>
    <d v="2026-01-08T00:00:00"/>
    <x v="0"/>
    <x v="0"/>
    <s v="Thursday"/>
    <x v="1"/>
    <d v="2026-01-31T00:00:00"/>
    <s v="Winter"/>
    <x v="1"/>
    <x v="0"/>
    <s v="Half Day"/>
    <n v="1"/>
    <n v="76"/>
    <s v="None"/>
    <n v="0"/>
    <n v="7.6"/>
    <n v="68.400000000000006"/>
    <x v="2"/>
    <x v="3"/>
    <s v="Debit Card"/>
    <s v="Sunny"/>
  </r>
  <r>
    <s v="WSR-2026-0016"/>
    <d v="2026-01-08T00:00:00"/>
    <x v="0"/>
    <x v="0"/>
    <s v="Thursday"/>
    <x v="1"/>
    <d v="2026-01-31T00:00:00"/>
    <s v="Winter"/>
    <x v="0"/>
    <x v="5"/>
    <s v="2 Hours"/>
    <n v="1"/>
    <n v="42"/>
    <s v="None"/>
    <n v="0"/>
    <n v="0"/>
    <n v="42"/>
    <x v="0"/>
    <x v="2"/>
    <s v="Credit Card"/>
    <s v="Cloudy"/>
  </r>
  <r>
    <s v="WSR-2026-0017"/>
    <d v="2026-01-08T00:00:00"/>
    <x v="0"/>
    <x v="0"/>
    <s v="Thursday"/>
    <x v="1"/>
    <d v="2026-01-31T00:00:00"/>
    <s v="Winter"/>
    <x v="3"/>
    <x v="2"/>
    <s v="2 Hours"/>
    <n v="1"/>
    <n v="52"/>
    <s v="GoPro Mount"/>
    <n v="8"/>
    <n v="0"/>
    <n v="60"/>
    <x v="0"/>
    <x v="1"/>
    <s v="Gift Card"/>
    <s v="Sunny"/>
  </r>
  <r>
    <s v="WSR-2026-0018"/>
    <d v="2026-01-09T00:00:00"/>
    <x v="0"/>
    <x v="0"/>
    <s v="Friday"/>
    <x v="1"/>
    <d v="2026-01-31T00:00:00"/>
    <s v="Winter"/>
    <x v="0"/>
    <x v="5"/>
    <s v="Half Day"/>
    <n v="1"/>
    <n v="62"/>
    <s v="None"/>
    <n v="0"/>
    <n v="0"/>
    <n v="62"/>
    <x v="1"/>
    <x v="1"/>
    <s v="Credit Card"/>
    <s v="Sunny"/>
  </r>
  <r>
    <s v="WSR-2026-0019"/>
    <d v="2026-01-09T00:00:00"/>
    <x v="0"/>
    <x v="0"/>
    <s v="Friday"/>
    <x v="1"/>
    <d v="2026-01-31T00:00:00"/>
    <s v="Winter"/>
    <x v="0"/>
    <x v="6"/>
    <s v="Half Day"/>
    <n v="1"/>
    <n v="86"/>
    <s v="Cooler Rental"/>
    <n v="10"/>
    <n v="0"/>
    <n v="96"/>
    <x v="2"/>
    <x v="2"/>
    <s v="Credit Card"/>
    <s v="Cloudy"/>
  </r>
  <r>
    <s v="WSR-2026-0020"/>
    <d v="2026-01-09T00:00:00"/>
    <x v="0"/>
    <x v="0"/>
    <s v="Friday"/>
    <x v="1"/>
    <d v="2026-01-31T00:00:00"/>
    <s v="Winter"/>
    <x v="2"/>
    <x v="5"/>
    <s v="Half Day"/>
    <n v="1"/>
    <n v="62"/>
    <s v="Dry Bag"/>
    <n v="6"/>
    <n v="0"/>
    <n v="68"/>
    <x v="0"/>
    <x v="2"/>
    <s v="Mobile Pay"/>
    <s v="Sunny"/>
  </r>
  <r>
    <s v="WSR-2026-0021"/>
    <d v="2026-01-09T00:00:00"/>
    <x v="0"/>
    <x v="0"/>
    <s v="Friday"/>
    <x v="1"/>
    <d v="2026-01-31T00:00:00"/>
    <s v="Winter"/>
    <x v="0"/>
    <x v="5"/>
    <s v="Full Day"/>
    <n v="1"/>
    <n v="88"/>
    <s v="None"/>
    <n v="0"/>
    <n v="0"/>
    <n v="88"/>
    <x v="2"/>
    <x v="1"/>
    <s v="Debit Card"/>
    <s v="Sunny"/>
  </r>
  <r>
    <s v="WSR-2026-0022"/>
    <d v="2026-01-10T00:00:00"/>
    <x v="0"/>
    <x v="0"/>
    <s v="Saturday"/>
    <x v="1"/>
    <d v="2026-01-31T00:00:00"/>
    <s v="Winter"/>
    <x v="4"/>
    <x v="3"/>
    <s v="2 Hours"/>
    <n v="1"/>
    <n v="38.880000000000003"/>
    <s v="None"/>
    <n v="0"/>
    <n v="5.83"/>
    <n v="33.049999999999997"/>
    <x v="9"/>
    <x v="0"/>
    <s v="Cash"/>
    <s v="Cloudy"/>
  </r>
  <r>
    <s v="WSR-2026-0023"/>
    <d v="2026-01-11T00:00:00"/>
    <x v="0"/>
    <x v="0"/>
    <s v="Sunday"/>
    <x v="2"/>
    <d v="2026-01-31T00:00:00"/>
    <s v="Winter"/>
    <x v="3"/>
    <x v="2"/>
    <s v="2 Hours"/>
    <n v="1"/>
    <n v="56.16"/>
    <s v="Dry Bag"/>
    <n v="6"/>
    <n v="0"/>
    <n v="62.16"/>
    <x v="0"/>
    <x v="2"/>
    <s v="Debit Card"/>
    <s v="Sunny"/>
  </r>
  <r>
    <s v="WSR-2026-0024"/>
    <d v="2026-01-11T00:00:00"/>
    <x v="0"/>
    <x v="0"/>
    <s v="Sunday"/>
    <x v="2"/>
    <d v="2026-01-31T00:00:00"/>
    <s v="Winter"/>
    <x v="0"/>
    <x v="5"/>
    <s v="1 Hour"/>
    <n v="1"/>
    <n v="28.08"/>
    <s v="GoPro Mount"/>
    <n v="8"/>
    <n v="1.8"/>
    <n v="34.28"/>
    <x v="6"/>
    <x v="2"/>
    <s v="Debit Card"/>
    <s v="Sunny"/>
  </r>
  <r>
    <s v="WSR-2026-0025"/>
    <d v="2026-01-11T00:00:00"/>
    <x v="0"/>
    <x v="0"/>
    <s v="Sunday"/>
    <x v="2"/>
    <d v="2026-01-31T00:00:00"/>
    <s v="Winter"/>
    <x v="3"/>
    <x v="2"/>
    <s v="Half Day"/>
    <n v="1"/>
    <n v="84.24"/>
    <s v="Premium Life Jacket"/>
    <n v="7"/>
    <n v="0"/>
    <n v="91.24"/>
    <x v="9"/>
    <x v="4"/>
    <s v="Mobile Pay"/>
    <s v="Cloudy"/>
  </r>
  <r>
    <s v="WSR-2026-0026"/>
    <d v="2026-01-11T00:00:00"/>
    <x v="0"/>
    <x v="0"/>
    <s v="Sunday"/>
    <x v="2"/>
    <d v="2026-01-31T00:00:00"/>
    <s v="Winter"/>
    <x v="2"/>
    <x v="2"/>
    <s v="1 Hour"/>
    <n v="1"/>
    <n v="36.72"/>
    <s v="Phone Pouch"/>
    <n v="5"/>
    <n v="0"/>
    <n v="41.72"/>
    <x v="5"/>
    <x v="0"/>
    <s v="Debit Card"/>
    <s v="Cloudy"/>
  </r>
  <r>
    <s v="WSR-2026-0027"/>
    <d v="2026-01-11T00:00:00"/>
    <x v="0"/>
    <x v="0"/>
    <s v="Sunday"/>
    <x v="2"/>
    <d v="2026-01-31T00:00:00"/>
    <s v="Winter"/>
    <x v="2"/>
    <x v="2"/>
    <s v="Half Day"/>
    <n v="1"/>
    <n v="84.24"/>
    <s v="None"/>
    <n v="0"/>
    <n v="0"/>
    <n v="84.24"/>
    <x v="3"/>
    <x v="0"/>
    <s v="Credit Card"/>
    <s v="Windy"/>
  </r>
  <r>
    <s v="WSR-2026-0028"/>
    <d v="2026-01-12T00:00:00"/>
    <x v="0"/>
    <x v="0"/>
    <s v="Monday"/>
    <x v="2"/>
    <d v="2026-01-31T00:00:00"/>
    <s v="Winter"/>
    <x v="3"/>
    <x v="0"/>
    <s v="1 Hour"/>
    <n v="1"/>
    <n v="32"/>
    <s v="GoPro Mount"/>
    <n v="8"/>
    <n v="0"/>
    <n v="40"/>
    <x v="7"/>
    <x v="3"/>
    <s v="Credit Card"/>
    <s v="Sunny"/>
  </r>
  <r>
    <s v="WSR-2026-0029"/>
    <d v="2026-01-13T00:00:00"/>
    <x v="0"/>
    <x v="0"/>
    <s v="Tuesday"/>
    <x v="2"/>
    <d v="2026-01-31T00:00:00"/>
    <s v="Winter"/>
    <x v="2"/>
    <x v="1"/>
    <s v="1 Hour"/>
    <n v="1"/>
    <n v="24"/>
    <s v="None"/>
    <n v="0"/>
    <n v="0"/>
    <n v="24"/>
    <x v="9"/>
    <x v="1"/>
    <s v="Debit Card"/>
    <s v="Rainy"/>
  </r>
  <r>
    <s v="WSR-2026-0030"/>
    <d v="2026-01-13T00:00:00"/>
    <x v="0"/>
    <x v="0"/>
    <s v="Tuesday"/>
    <x v="2"/>
    <d v="2026-01-31T00:00:00"/>
    <s v="Winter"/>
    <x v="0"/>
    <x v="6"/>
    <s v="2 Hours"/>
    <n v="1"/>
    <n v="58"/>
    <s v="Phone Pouch"/>
    <n v="5"/>
    <n v="0"/>
    <n v="63"/>
    <x v="2"/>
    <x v="0"/>
    <s v="Debit Card"/>
    <s v="Windy"/>
  </r>
  <r>
    <s v="WSR-2026-0031"/>
    <d v="2026-01-13T00:00:00"/>
    <x v="0"/>
    <x v="0"/>
    <s v="Tuesday"/>
    <x v="2"/>
    <d v="2026-01-31T00:00:00"/>
    <s v="Winter"/>
    <x v="3"/>
    <x v="6"/>
    <s v="Half Day"/>
    <n v="1"/>
    <n v="86"/>
    <s v="None"/>
    <n v="0"/>
    <n v="0"/>
    <n v="86"/>
    <x v="3"/>
    <x v="3"/>
    <s v="Cash"/>
    <s v="Sunny"/>
  </r>
  <r>
    <s v="WSR-2026-0032"/>
    <d v="2026-01-13T00:00:00"/>
    <x v="0"/>
    <x v="0"/>
    <s v="Tuesday"/>
    <x v="2"/>
    <d v="2026-01-31T00:00:00"/>
    <s v="Winter"/>
    <x v="3"/>
    <x v="4"/>
    <s v="2 Hours"/>
    <n v="1"/>
    <n v="18"/>
    <s v="None"/>
    <n v="0"/>
    <n v="0"/>
    <n v="18"/>
    <x v="3"/>
    <x v="0"/>
    <s v="Credit Card"/>
    <s v="Cloudy"/>
  </r>
  <r>
    <s v="WSR-2026-0033"/>
    <d v="2026-01-13T00:00:00"/>
    <x v="0"/>
    <x v="0"/>
    <s v="Tuesday"/>
    <x v="2"/>
    <d v="2026-01-31T00:00:00"/>
    <s v="Winter"/>
    <x v="3"/>
    <x v="5"/>
    <s v="1 Hour"/>
    <n v="1"/>
    <n v="26"/>
    <s v="Phone Pouch"/>
    <n v="5"/>
    <n v="0"/>
    <n v="31"/>
    <x v="1"/>
    <x v="4"/>
    <s v="Mobile Pay"/>
    <s v="Cloudy"/>
  </r>
  <r>
    <s v="WSR-2026-0034"/>
    <d v="2026-01-13T00:00:00"/>
    <x v="0"/>
    <x v="0"/>
    <s v="Tuesday"/>
    <x v="2"/>
    <d v="2026-01-31T00:00:00"/>
    <s v="Winter"/>
    <x v="3"/>
    <x v="0"/>
    <s v="2 Hours"/>
    <n v="1"/>
    <n v="50"/>
    <s v="None"/>
    <n v="0"/>
    <n v="0"/>
    <n v="50"/>
    <x v="4"/>
    <x v="2"/>
    <s v="Credit Card"/>
    <s v="Rainy"/>
  </r>
  <r>
    <s v="WSR-2026-0035"/>
    <d v="2026-01-14T00:00:00"/>
    <x v="0"/>
    <x v="0"/>
    <s v="Wednesday"/>
    <x v="2"/>
    <d v="2026-01-31T00:00:00"/>
    <s v="Winter"/>
    <x v="3"/>
    <x v="0"/>
    <s v="Full Day"/>
    <n v="1"/>
    <n v="110"/>
    <s v="Cooler Rental"/>
    <n v="10"/>
    <n v="0"/>
    <n v="120"/>
    <x v="5"/>
    <x v="0"/>
    <s v="Debit Card"/>
    <s v="Sunny"/>
  </r>
  <r>
    <s v="WSR-2026-0036"/>
    <d v="2026-01-15T00:00:00"/>
    <x v="0"/>
    <x v="0"/>
    <s v="Thursday"/>
    <x v="2"/>
    <d v="2026-01-31T00:00:00"/>
    <s v="Winter"/>
    <x v="3"/>
    <x v="7"/>
    <s v="1 Hour"/>
    <n v="1"/>
    <n v="14"/>
    <s v="GoPro Mount"/>
    <n v="8"/>
    <n v="0"/>
    <n v="22"/>
    <x v="7"/>
    <x v="4"/>
    <s v="Cash"/>
    <s v="Windy"/>
  </r>
  <r>
    <s v="WSR-2026-0037"/>
    <d v="2026-01-16T00:00:00"/>
    <x v="0"/>
    <x v="0"/>
    <s v="Friday"/>
    <x v="2"/>
    <d v="2026-01-31T00:00:00"/>
    <s v="Winter"/>
    <x v="2"/>
    <x v="1"/>
    <s v="2 Hours"/>
    <n v="1"/>
    <n v="38"/>
    <s v="None"/>
    <n v="0"/>
    <n v="0"/>
    <n v="38"/>
    <x v="5"/>
    <x v="3"/>
    <s v="Credit Card"/>
    <s v="Sunny"/>
  </r>
  <r>
    <s v="WSR-2026-0038"/>
    <d v="2026-01-16T00:00:00"/>
    <x v="0"/>
    <x v="0"/>
    <s v="Friday"/>
    <x v="2"/>
    <d v="2026-01-31T00:00:00"/>
    <s v="Winter"/>
    <x v="0"/>
    <x v="1"/>
    <s v="1 Hour"/>
    <n v="1"/>
    <n v="24"/>
    <s v="None"/>
    <n v="0"/>
    <n v="0"/>
    <n v="24"/>
    <x v="1"/>
    <x v="2"/>
    <s v="Credit Card"/>
    <s v="Rainy"/>
  </r>
  <r>
    <s v="WSR-2026-0039"/>
    <d v="2026-01-17T00:00:00"/>
    <x v="0"/>
    <x v="0"/>
    <s v="Saturday"/>
    <x v="2"/>
    <d v="2026-01-31T00:00:00"/>
    <s v="Winter"/>
    <x v="2"/>
    <x v="5"/>
    <s v="1 Hour"/>
    <n v="1"/>
    <n v="28.08"/>
    <s v="None"/>
    <n v="0"/>
    <n v="0"/>
    <n v="28.08"/>
    <x v="5"/>
    <x v="0"/>
    <s v="Credit Card"/>
    <s v="Cloudy"/>
  </r>
  <r>
    <s v="WSR-2026-0040"/>
    <d v="2026-01-17T00:00:00"/>
    <x v="0"/>
    <x v="0"/>
    <s v="Saturday"/>
    <x v="2"/>
    <d v="2026-01-31T00:00:00"/>
    <s v="Winter"/>
    <x v="0"/>
    <x v="3"/>
    <s v="2 Hours"/>
    <n v="1"/>
    <n v="38.880000000000003"/>
    <s v="None"/>
    <n v="0"/>
    <n v="0"/>
    <n v="38.880000000000003"/>
    <x v="2"/>
    <x v="2"/>
    <s v="Credit Card"/>
    <s v="Rainy"/>
  </r>
  <r>
    <s v="WSR-2026-0041"/>
    <d v="2026-01-19T00:00:00"/>
    <x v="0"/>
    <x v="0"/>
    <s v="Monday"/>
    <x v="3"/>
    <d v="2026-01-31T00:00:00"/>
    <s v="Winter"/>
    <x v="3"/>
    <x v="6"/>
    <s v="1 Hour"/>
    <n v="1"/>
    <n v="36"/>
    <s v="Premium Life Jacket"/>
    <n v="7"/>
    <n v="0"/>
    <n v="43"/>
    <x v="5"/>
    <x v="3"/>
    <s v="Credit Card"/>
    <s v="Sunny"/>
  </r>
  <r>
    <s v="WSR-2026-0042"/>
    <d v="2026-01-19T00:00:00"/>
    <x v="0"/>
    <x v="0"/>
    <s v="Monday"/>
    <x v="3"/>
    <d v="2026-01-31T00:00:00"/>
    <s v="Winter"/>
    <x v="1"/>
    <x v="7"/>
    <s v="1 Hour"/>
    <n v="1"/>
    <n v="14"/>
    <s v="None"/>
    <n v="0"/>
    <n v="1.4"/>
    <n v="12.6"/>
    <x v="1"/>
    <x v="3"/>
    <s v="Gift Card"/>
    <s v="Cloudy"/>
  </r>
  <r>
    <s v="WSR-2026-0043"/>
    <d v="2026-01-20T00:00:00"/>
    <x v="0"/>
    <x v="0"/>
    <s v="Tuesday"/>
    <x v="3"/>
    <d v="2026-01-31T00:00:00"/>
    <s v="Winter"/>
    <x v="0"/>
    <x v="7"/>
    <s v="1 Hour"/>
    <n v="1"/>
    <n v="14"/>
    <s v="None"/>
    <n v="0"/>
    <n v="0"/>
    <n v="14"/>
    <x v="1"/>
    <x v="4"/>
    <s v="Debit Card"/>
    <s v="Sunny"/>
  </r>
  <r>
    <s v="WSR-2026-0044"/>
    <d v="2026-01-21T00:00:00"/>
    <x v="0"/>
    <x v="0"/>
    <s v="Wednesday"/>
    <x v="3"/>
    <d v="2026-01-31T00:00:00"/>
    <s v="Winter"/>
    <x v="2"/>
    <x v="4"/>
    <s v="1 Hour"/>
    <n v="1"/>
    <n v="12"/>
    <s v="None"/>
    <n v="0"/>
    <n v="0"/>
    <n v="12"/>
    <x v="1"/>
    <x v="2"/>
    <s v="Credit Card"/>
    <s v="Rainy"/>
  </r>
  <r>
    <s v="WSR-2026-0045"/>
    <d v="2026-01-22T00:00:00"/>
    <x v="0"/>
    <x v="0"/>
    <s v="Thursday"/>
    <x v="3"/>
    <d v="2026-01-31T00:00:00"/>
    <s v="Winter"/>
    <x v="3"/>
    <x v="3"/>
    <s v="2 Hours"/>
    <n v="1"/>
    <n v="36"/>
    <s v="GoPro Mount"/>
    <n v="8"/>
    <n v="0"/>
    <n v="44"/>
    <x v="1"/>
    <x v="0"/>
    <s v="Mobile Pay"/>
    <s v="Rainy"/>
  </r>
  <r>
    <s v="WSR-2026-0046"/>
    <d v="2026-01-23T00:00:00"/>
    <x v="0"/>
    <x v="0"/>
    <s v="Friday"/>
    <x v="3"/>
    <d v="2026-01-31T00:00:00"/>
    <s v="Winter"/>
    <x v="3"/>
    <x v="5"/>
    <s v="2 Hours"/>
    <n v="1"/>
    <n v="42"/>
    <s v="Dry Bag"/>
    <n v="6"/>
    <n v="0"/>
    <n v="48"/>
    <x v="8"/>
    <x v="4"/>
    <s v="Credit Card"/>
    <s v="Sunny"/>
  </r>
  <r>
    <s v="WSR-2026-0047"/>
    <d v="2026-01-23T00:00:00"/>
    <x v="0"/>
    <x v="0"/>
    <s v="Friday"/>
    <x v="3"/>
    <d v="2026-01-31T00:00:00"/>
    <s v="Winter"/>
    <x v="0"/>
    <x v="7"/>
    <s v="Full Day"/>
    <n v="1"/>
    <n v="48"/>
    <s v="Phone Pouch"/>
    <n v="5"/>
    <n v="0"/>
    <n v="53"/>
    <x v="5"/>
    <x v="3"/>
    <s v="Credit Card"/>
    <s v="Windy"/>
  </r>
  <r>
    <s v="WSR-2026-0048"/>
    <d v="2026-01-23T00:00:00"/>
    <x v="0"/>
    <x v="0"/>
    <s v="Friday"/>
    <x v="3"/>
    <d v="2026-01-31T00:00:00"/>
    <s v="Winter"/>
    <x v="2"/>
    <x v="0"/>
    <s v="2 Hours"/>
    <n v="1"/>
    <n v="50"/>
    <s v="Premium Life Jacket"/>
    <n v="7"/>
    <n v="0"/>
    <n v="57"/>
    <x v="5"/>
    <x v="2"/>
    <s v="Mobile Pay"/>
    <s v="Windy"/>
  </r>
  <r>
    <s v="WSR-2026-0049"/>
    <d v="2026-01-24T00:00:00"/>
    <x v="0"/>
    <x v="0"/>
    <s v="Saturday"/>
    <x v="3"/>
    <d v="2026-01-31T00:00:00"/>
    <s v="Winter"/>
    <x v="2"/>
    <x v="5"/>
    <s v="Half Day"/>
    <n v="1"/>
    <n v="66.959999999999994"/>
    <s v="None"/>
    <n v="0"/>
    <n v="0"/>
    <n v="66.959999999999994"/>
    <x v="0"/>
    <x v="1"/>
    <s v="Mobile Pay"/>
    <s v="Cloudy"/>
  </r>
  <r>
    <s v="WSR-2026-0050"/>
    <d v="2026-01-25T00:00:00"/>
    <x v="0"/>
    <x v="0"/>
    <s v="Sunday"/>
    <x v="4"/>
    <d v="2026-01-31T00:00:00"/>
    <s v="Winter"/>
    <x v="2"/>
    <x v="2"/>
    <s v="2 Hours"/>
    <n v="1"/>
    <n v="56.16"/>
    <s v="Phone Pouch"/>
    <n v="5"/>
    <n v="0"/>
    <n v="61.16"/>
    <x v="5"/>
    <x v="0"/>
    <s v="Credit Card"/>
    <s v="Sunny"/>
  </r>
  <r>
    <s v="WSR-2026-0051"/>
    <d v="2026-01-25T00:00:00"/>
    <x v="0"/>
    <x v="0"/>
    <s v="Sunday"/>
    <x v="4"/>
    <d v="2026-01-31T00:00:00"/>
    <s v="Winter"/>
    <x v="2"/>
    <x v="8"/>
    <s v="1 Hour"/>
    <n v="1"/>
    <n v="10.8"/>
    <s v="Cooler Rental"/>
    <n v="10"/>
    <n v="0"/>
    <n v="20.8"/>
    <x v="8"/>
    <x v="2"/>
    <s v="Credit Card"/>
    <s v="Cloudy"/>
  </r>
  <r>
    <s v="WSR-2026-0052"/>
    <d v="2026-01-26T00:00:00"/>
    <x v="0"/>
    <x v="0"/>
    <s v="Monday"/>
    <x v="4"/>
    <d v="2026-01-31T00:00:00"/>
    <s v="Winter"/>
    <x v="3"/>
    <x v="1"/>
    <s v="Full Day"/>
    <n v="1"/>
    <n v="84"/>
    <s v="None"/>
    <n v="0"/>
    <n v="0"/>
    <n v="84"/>
    <x v="7"/>
    <x v="4"/>
    <s v="Credit Card"/>
    <s v="Sunny"/>
  </r>
  <r>
    <s v="WSR-2026-0053"/>
    <d v="2026-01-26T00:00:00"/>
    <x v="0"/>
    <x v="0"/>
    <s v="Monday"/>
    <x v="4"/>
    <d v="2026-01-31T00:00:00"/>
    <s v="Winter"/>
    <x v="0"/>
    <x v="5"/>
    <s v="1 Hour"/>
    <n v="1"/>
    <n v="26"/>
    <s v="Cooler Rental"/>
    <n v="10"/>
    <n v="0"/>
    <n v="36"/>
    <x v="4"/>
    <x v="4"/>
    <s v="Credit Card"/>
    <s v="Sunny"/>
  </r>
  <r>
    <s v="WSR-2026-0054"/>
    <d v="2026-01-28T00:00:00"/>
    <x v="0"/>
    <x v="0"/>
    <s v="Wednesday"/>
    <x v="4"/>
    <d v="2026-01-31T00:00:00"/>
    <s v="Winter"/>
    <x v="3"/>
    <x v="1"/>
    <s v="1 Hour"/>
    <n v="1"/>
    <n v="24"/>
    <s v="Phone Pouch"/>
    <n v="5"/>
    <n v="0"/>
    <n v="29"/>
    <x v="7"/>
    <x v="3"/>
    <s v="Cash"/>
    <s v="Sunny"/>
  </r>
  <r>
    <s v="WSR-2026-0055"/>
    <d v="2026-01-29T00:00:00"/>
    <x v="0"/>
    <x v="0"/>
    <s v="Thursday"/>
    <x v="4"/>
    <d v="2026-01-31T00:00:00"/>
    <s v="Winter"/>
    <x v="2"/>
    <x v="8"/>
    <s v="Half Day"/>
    <n v="1"/>
    <n v="24"/>
    <s v="Phone Pouch"/>
    <n v="5"/>
    <n v="0"/>
    <n v="29"/>
    <x v="2"/>
    <x v="2"/>
    <s v="Debit Card"/>
    <s v="Cloudy"/>
  </r>
  <r>
    <s v="WSR-2026-0056"/>
    <d v="2026-01-30T00:00:00"/>
    <x v="0"/>
    <x v="0"/>
    <s v="Friday"/>
    <x v="4"/>
    <d v="2026-01-31T00:00:00"/>
    <s v="Winter"/>
    <x v="0"/>
    <x v="7"/>
    <s v="1 Hour"/>
    <n v="1"/>
    <n v="14"/>
    <s v="Cooler Rental"/>
    <n v="10"/>
    <n v="0"/>
    <n v="24"/>
    <x v="5"/>
    <x v="2"/>
    <s v="Debit Card"/>
    <s v="Cloudy"/>
  </r>
  <r>
    <s v="WSR-2026-0057"/>
    <d v="2026-01-30T00:00:00"/>
    <x v="0"/>
    <x v="0"/>
    <s v="Friday"/>
    <x v="4"/>
    <d v="2026-01-31T00:00:00"/>
    <s v="Winter"/>
    <x v="0"/>
    <x v="3"/>
    <s v="1 Hour"/>
    <n v="1"/>
    <n v="22"/>
    <s v="None"/>
    <n v="0"/>
    <n v="0"/>
    <n v="22"/>
    <x v="3"/>
    <x v="3"/>
    <s v="Credit Card"/>
    <s v="Cloudy"/>
  </r>
  <r>
    <s v="WSR-2026-0058"/>
    <d v="2026-01-30T00:00:00"/>
    <x v="0"/>
    <x v="0"/>
    <s v="Friday"/>
    <x v="4"/>
    <d v="2026-01-31T00:00:00"/>
    <s v="Winter"/>
    <x v="2"/>
    <x v="5"/>
    <s v="1 Hour"/>
    <n v="1"/>
    <n v="26"/>
    <s v="GoPro Mount"/>
    <n v="8"/>
    <n v="0"/>
    <n v="34"/>
    <x v="0"/>
    <x v="4"/>
    <s v="Credit Card"/>
    <s v="Rainy"/>
  </r>
  <r>
    <s v="WSR-2026-0059"/>
    <d v="2026-01-31T00:00:00"/>
    <x v="0"/>
    <x v="0"/>
    <s v="Saturday"/>
    <x v="4"/>
    <d v="2026-01-31T00:00:00"/>
    <s v="Winter"/>
    <x v="2"/>
    <x v="4"/>
    <s v="1 Hour"/>
    <n v="1"/>
    <n v="12.96"/>
    <s v="None"/>
    <n v="0"/>
    <n v="0"/>
    <n v="12.96"/>
    <x v="0"/>
    <x v="3"/>
    <s v="Mobile Pay"/>
    <s v="Cloudy"/>
  </r>
  <r>
    <s v="WSR-2026-0060"/>
    <d v="2026-02-01T00:00:00"/>
    <x v="1"/>
    <x v="1"/>
    <s v="Sunday"/>
    <x v="5"/>
    <d v="2026-02-28T00:00:00"/>
    <s v="Winter"/>
    <x v="0"/>
    <x v="0"/>
    <s v="2 Hours"/>
    <n v="1"/>
    <n v="54"/>
    <s v="None"/>
    <n v="0"/>
    <n v="0"/>
    <n v="54"/>
    <x v="0"/>
    <x v="2"/>
    <s v="Mobile Pay"/>
    <s v="Sunny"/>
  </r>
  <r>
    <s v="WSR-2026-0061"/>
    <d v="2026-02-01T00:00:00"/>
    <x v="1"/>
    <x v="1"/>
    <s v="Sunday"/>
    <x v="5"/>
    <d v="2026-02-28T00:00:00"/>
    <s v="Winter"/>
    <x v="0"/>
    <x v="9"/>
    <s v="2 Hours"/>
    <n v="1"/>
    <n v="51.84"/>
    <s v="None"/>
    <n v="0"/>
    <n v="0"/>
    <n v="51.84"/>
    <x v="5"/>
    <x v="2"/>
    <s v="Credit Card"/>
    <s v="Sunny"/>
  </r>
  <r>
    <s v="WSR-2026-0062"/>
    <d v="2026-02-02T00:00:00"/>
    <x v="1"/>
    <x v="1"/>
    <s v="Monday"/>
    <x v="5"/>
    <d v="2026-02-28T00:00:00"/>
    <s v="Winter"/>
    <x v="2"/>
    <x v="7"/>
    <s v="Half Day"/>
    <n v="1"/>
    <n v="34"/>
    <s v="None"/>
    <n v="0"/>
    <n v="0"/>
    <n v="34"/>
    <x v="6"/>
    <x v="4"/>
    <s v="Credit Card"/>
    <s v="Windy"/>
  </r>
  <r>
    <s v="WSR-2026-0063"/>
    <d v="2026-02-02T00:00:00"/>
    <x v="1"/>
    <x v="1"/>
    <s v="Monday"/>
    <x v="5"/>
    <d v="2026-02-28T00:00:00"/>
    <s v="Winter"/>
    <x v="2"/>
    <x v="4"/>
    <s v="1 Hour"/>
    <n v="1"/>
    <n v="12"/>
    <s v="None"/>
    <n v="0"/>
    <n v="0"/>
    <n v="12"/>
    <x v="9"/>
    <x v="4"/>
    <s v="Cash"/>
    <s v="Sunny"/>
  </r>
  <r>
    <s v="WSR-2026-0064"/>
    <d v="2026-02-02T00:00:00"/>
    <x v="1"/>
    <x v="1"/>
    <s v="Monday"/>
    <x v="5"/>
    <d v="2026-02-28T00:00:00"/>
    <s v="Winter"/>
    <x v="3"/>
    <x v="5"/>
    <s v="Half Day"/>
    <n v="1"/>
    <n v="62"/>
    <s v="Phone Pouch"/>
    <n v="5"/>
    <n v="0"/>
    <n v="67"/>
    <x v="4"/>
    <x v="4"/>
    <s v="Credit Card"/>
    <s v="Cloudy"/>
  </r>
  <r>
    <s v="WSR-2026-0065"/>
    <d v="2026-02-03T00:00:00"/>
    <x v="1"/>
    <x v="1"/>
    <s v="Tuesday"/>
    <x v="5"/>
    <d v="2026-02-28T00:00:00"/>
    <s v="Winter"/>
    <x v="3"/>
    <x v="3"/>
    <s v="Full Day"/>
    <n v="1"/>
    <n v="76"/>
    <s v="Phone Pouch"/>
    <n v="5"/>
    <n v="0"/>
    <n v="81"/>
    <x v="2"/>
    <x v="3"/>
    <s v="Debit Card"/>
    <s v="Cloudy"/>
  </r>
  <r>
    <s v="WSR-2026-0066"/>
    <d v="2026-02-03T00:00:00"/>
    <x v="1"/>
    <x v="1"/>
    <s v="Tuesday"/>
    <x v="5"/>
    <d v="2026-02-28T00:00:00"/>
    <s v="Winter"/>
    <x v="2"/>
    <x v="8"/>
    <s v="1 Hour"/>
    <n v="1"/>
    <n v="10"/>
    <s v="Phone Pouch"/>
    <n v="5"/>
    <n v="0"/>
    <n v="15"/>
    <x v="9"/>
    <x v="3"/>
    <s v="Debit Card"/>
    <s v="Sunny"/>
  </r>
  <r>
    <s v="WSR-2026-0067"/>
    <d v="2026-02-04T00:00:00"/>
    <x v="1"/>
    <x v="1"/>
    <s v="Wednesday"/>
    <x v="5"/>
    <d v="2026-02-28T00:00:00"/>
    <s v="Winter"/>
    <x v="2"/>
    <x v="0"/>
    <s v="2 Hours"/>
    <n v="1"/>
    <n v="50"/>
    <s v="Phone Pouch"/>
    <n v="5"/>
    <n v="0"/>
    <n v="55"/>
    <x v="9"/>
    <x v="0"/>
    <s v="Gift Card"/>
    <s v="Cloudy"/>
  </r>
  <r>
    <s v="WSR-2026-0068"/>
    <d v="2026-02-04T00:00:00"/>
    <x v="1"/>
    <x v="1"/>
    <s v="Wednesday"/>
    <x v="5"/>
    <d v="2026-02-28T00:00:00"/>
    <s v="Winter"/>
    <x v="0"/>
    <x v="1"/>
    <s v="2 Hours"/>
    <n v="1"/>
    <n v="38"/>
    <s v="GoPro Mount"/>
    <n v="8"/>
    <n v="0"/>
    <n v="46"/>
    <x v="8"/>
    <x v="0"/>
    <s v="Cash"/>
    <s v="Rainy"/>
  </r>
  <r>
    <s v="WSR-2026-0069"/>
    <d v="2026-02-05T00:00:00"/>
    <x v="1"/>
    <x v="1"/>
    <s v="Thursday"/>
    <x v="5"/>
    <d v="2026-02-28T00:00:00"/>
    <s v="Winter"/>
    <x v="2"/>
    <x v="7"/>
    <s v="1 Hour"/>
    <n v="1"/>
    <n v="14"/>
    <s v="None"/>
    <n v="0"/>
    <n v="0"/>
    <n v="14"/>
    <x v="8"/>
    <x v="2"/>
    <s v="Debit Card"/>
    <s v="Cloudy"/>
  </r>
  <r>
    <s v="WSR-2026-0070"/>
    <d v="2026-02-05T00:00:00"/>
    <x v="1"/>
    <x v="1"/>
    <s v="Thursday"/>
    <x v="5"/>
    <d v="2026-02-28T00:00:00"/>
    <s v="Winter"/>
    <x v="3"/>
    <x v="5"/>
    <s v="1 Hour"/>
    <n v="1"/>
    <n v="26"/>
    <s v="Dry Bag"/>
    <n v="6"/>
    <n v="0"/>
    <n v="32"/>
    <x v="8"/>
    <x v="4"/>
    <s v="Debit Card"/>
    <s v="Rainy"/>
  </r>
  <r>
    <s v="WSR-2026-0071"/>
    <d v="2026-02-05T00:00:00"/>
    <x v="1"/>
    <x v="1"/>
    <s v="Thursday"/>
    <x v="5"/>
    <d v="2026-02-28T00:00:00"/>
    <s v="Winter"/>
    <x v="2"/>
    <x v="3"/>
    <s v="Half Day"/>
    <n v="1"/>
    <n v="54"/>
    <s v="None"/>
    <n v="0"/>
    <n v="0"/>
    <n v="54"/>
    <x v="9"/>
    <x v="1"/>
    <s v="Debit Card"/>
    <s v="Sunny"/>
  </r>
  <r>
    <s v="WSR-2026-0072"/>
    <d v="2026-02-05T00:00:00"/>
    <x v="1"/>
    <x v="1"/>
    <s v="Thursday"/>
    <x v="5"/>
    <d v="2026-02-28T00:00:00"/>
    <s v="Winter"/>
    <x v="3"/>
    <x v="4"/>
    <s v="1 Hour"/>
    <n v="1"/>
    <n v="12"/>
    <s v="None"/>
    <n v="0"/>
    <n v="0"/>
    <n v="12"/>
    <x v="8"/>
    <x v="0"/>
    <s v="Credit Card"/>
    <s v="Cloudy"/>
  </r>
  <r>
    <s v="WSR-2026-0073"/>
    <d v="2026-02-05T00:00:00"/>
    <x v="1"/>
    <x v="1"/>
    <s v="Thursday"/>
    <x v="5"/>
    <d v="2026-02-28T00:00:00"/>
    <s v="Winter"/>
    <x v="2"/>
    <x v="5"/>
    <s v="2 Hours"/>
    <n v="1"/>
    <n v="42"/>
    <s v="Phone Pouch"/>
    <n v="5"/>
    <n v="0"/>
    <n v="47"/>
    <x v="3"/>
    <x v="3"/>
    <s v="Credit Card"/>
    <s v="Cloudy"/>
  </r>
  <r>
    <s v="WSR-2026-0074"/>
    <d v="2026-02-05T00:00:00"/>
    <x v="1"/>
    <x v="1"/>
    <s v="Thursday"/>
    <x v="5"/>
    <d v="2026-02-28T00:00:00"/>
    <s v="Winter"/>
    <x v="0"/>
    <x v="9"/>
    <s v="Half Day"/>
    <n v="1"/>
    <n v="72"/>
    <s v="None"/>
    <n v="0"/>
    <n v="0"/>
    <n v="72"/>
    <x v="9"/>
    <x v="0"/>
    <s v="Mobile Pay"/>
    <s v="Sunny"/>
  </r>
  <r>
    <s v="WSR-2026-0075"/>
    <d v="2026-02-06T00:00:00"/>
    <x v="1"/>
    <x v="1"/>
    <s v="Friday"/>
    <x v="5"/>
    <d v="2026-02-28T00:00:00"/>
    <s v="Winter"/>
    <x v="1"/>
    <x v="4"/>
    <s v="1 Hour"/>
    <n v="1"/>
    <n v="12"/>
    <s v="Cooler Rental"/>
    <n v="10"/>
    <n v="1.1000000000000001"/>
    <n v="20.9"/>
    <x v="0"/>
    <x v="0"/>
    <s v="Cash"/>
    <s v="Cloudy"/>
  </r>
  <r>
    <s v="WSR-2026-0076"/>
    <d v="2026-02-06T00:00:00"/>
    <x v="1"/>
    <x v="1"/>
    <s v="Friday"/>
    <x v="5"/>
    <d v="2026-02-28T00:00:00"/>
    <s v="Winter"/>
    <x v="4"/>
    <x v="7"/>
    <s v="Half Day"/>
    <n v="1"/>
    <n v="34"/>
    <s v="None"/>
    <n v="0"/>
    <n v="3.4"/>
    <n v="30.6"/>
    <x v="6"/>
    <x v="1"/>
    <s v="Credit Card"/>
    <s v="Sunny"/>
  </r>
  <r>
    <s v="WSR-2026-0077"/>
    <d v="2026-02-07T00:00:00"/>
    <x v="1"/>
    <x v="1"/>
    <s v="Saturday"/>
    <x v="5"/>
    <d v="2026-02-28T00:00:00"/>
    <s v="Winter"/>
    <x v="2"/>
    <x v="3"/>
    <s v="2 Hours"/>
    <n v="1"/>
    <n v="38.880000000000003"/>
    <s v="Dry Bag"/>
    <n v="6"/>
    <n v="0"/>
    <n v="44.88"/>
    <x v="1"/>
    <x v="0"/>
    <s v="Credit Card"/>
    <s v="Cloudy"/>
  </r>
  <r>
    <s v="WSR-2026-0078"/>
    <d v="2026-02-07T00:00:00"/>
    <x v="1"/>
    <x v="1"/>
    <s v="Saturday"/>
    <x v="5"/>
    <d v="2026-02-28T00:00:00"/>
    <s v="Winter"/>
    <x v="1"/>
    <x v="8"/>
    <s v="1 Hour"/>
    <n v="1"/>
    <n v="10.8"/>
    <s v="Dry Bag"/>
    <n v="6"/>
    <n v="1.68"/>
    <n v="15.12"/>
    <x v="1"/>
    <x v="0"/>
    <s v="Debit Card"/>
    <s v="Cloudy"/>
  </r>
  <r>
    <s v="WSR-2026-0079"/>
    <d v="2026-02-07T00:00:00"/>
    <x v="1"/>
    <x v="1"/>
    <s v="Saturday"/>
    <x v="5"/>
    <d v="2026-02-28T00:00:00"/>
    <s v="Winter"/>
    <x v="3"/>
    <x v="5"/>
    <s v="Half Day"/>
    <n v="1"/>
    <n v="66.959999999999994"/>
    <s v="None"/>
    <n v="0"/>
    <n v="0"/>
    <n v="66.959999999999994"/>
    <x v="5"/>
    <x v="3"/>
    <s v="Credit Card"/>
    <s v="Cloudy"/>
  </r>
  <r>
    <s v="WSR-2026-0080"/>
    <d v="2026-02-07T00:00:00"/>
    <x v="1"/>
    <x v="1"/>
    <s v="Saturday"/>
    <x v="5"/>
    <d v="2026-02-28T00:00:00"/>
    <s v="Winter"/>
    <x v="1"/>
    <x v="5"/>
    <s v="2 Hours"/>
    <n v="1"/>
    <n v="45.36"/>
    <s v="Phone Pouch"/>
    <n v="5"/>
    <n v="2.52"/>
    <n v="47.84"/>
    <x v="9"/>
    <x v="2"/>
    <s v="Mobile Pay"/>
    <s v="Cloudy"/>
  </r>
  <r>
    <s v="WSR-2026-0081"/>
    <d v="2026-02-07T00:00:00"/>
    <x v="1"/>
    <x v="1"/>
    <s v="Saturday"/>
    <x v="5"/>
    <d v="2026-02-28T00:00:00"/>
    <s v="Winter"/>
    <x v="0"/>
    <x v="5"/>
    <s v="2 Hours"/>
    <n v="1"/>
    <n v="45.36"/>
    <s v="Phone Pouch"/>
    <n v="5"/>
    <n v="0"/>
    <n v="50.36"/>
    <x v="9"/>
    <x v="2"/>
    <s v="Mobile Pay"/>
    <s v="Cloudy"/>
  </r>
  <r>
    <s v="WSR-2026-0082"/>
    <d v="2026-02-08T00:00:00"/>
    <x v="1"/>
    <x v="1"/>
    <s v="Sunday"/>
    <x v="6"/>
    <d v="2026-02-28T00:00:00"/>
    <s v="Winter"/>
    <x v="0"/>
    <x v="7"/>
    <s v="Full Day"/>
    <n v="1"/>
    <n v="51.84"/>
    <s v="None"/>
    <n v="0"/>
    <n v="0"/>
    <n v="51.84"/>
    <x v="6"/>
    <x v="4"/>
    <s v="Credit Card"/>
    <s v="Windy"/>
  </r>
  <r>
    <s v="WSR-2026-0083"/>
    <d v="2026-02-08T00:00:00"/>
    <x v="1"/>
    <x v="1"/>
    <s v="Sunday"/>
    <x v="6"/>
    <d v="2026-02-28T00:00:00"/>
    <s v="Winter"/>
    <x v="0"/>
    <x v="1"/>
    <s v="2 Hours"/>
    <n v="1"/>
    <n v="41.04"/>
    <s v="Dry Bag"/>
    <n v="6"/>
    <n v="0"/>
    <n v="47.04"/>
    <x v="2"/>
    <x v="0"/>
    <s v="Mobile Pay"/>
    <s v="Sunny"/>
  </r>
  <r>
    <s v="WSR-2026-0084"/>
    <d v="2026-02-08T00:00:00"/>
    <x v="1"/>
    <x v="1"/>
    <s v="Sunday"/>
    <x v="6"/>
    <d v="2026-02-28T00:00:00"/>
    <s v="Winter"/>
    <x v="3"/>
    <x v="3"/>
    <s v="Full Day"/>
    <n v="1"/>
    <n v="82.08"/>
    <s v="Premium Life Jacket"/>
    <n v="7"/>
    <n v="0"/>
    <n v="89.08"/>
    <x v="5"/>
    <x v="1"/>
    <s v="Credit Card"/>
    <s v="Cloudy"/>
  </r>
  <r>
    <s v="WSR-2026-0085"/>
    <d v="2026-02-08T00:00:00"/>
    <x v="1"/>
    <x v="1"/>
    <s v="Sunday"/>
    <x v="6"/>
    <d v="2026-02-28T00:00:00"/>
    <s v="Winter"/>
    <x v="1"/>
    <x v="2"/>
    <s v="Half Day"/>
    <n v="1"/>
    <n v="84.24"/>
    <s v="None"/>
    <n v="0"/>
    <n v="8.42"/>
    <n v="75.819999999999993"/>
    <x v="0"/>
    <x v="4"/>
    <s v="Debit Card"/>
    <s v="Rainy"/>
  </r>
  <r>
    <s v="WSR-2026-0086"/>
    <d v="2026-02-08T00:00:00"/>
    <x v="1"/>
    <x v="1"/>
    <s v="Sunday"/>
    <x v="6"/>
    <d v="2026-02-28T00:00:00"/>
    <s v="Winter"/>
    <x v="2"/>
    <x v="4"/>
    <s v="1 Hour"/>
    <n v="1"/>
    <n v="12.96"/>
    <s v="None"/>
    <n v="0"/>
    <n v="0"/>
    <n v="12.96"/>
    <x v="5"/>
    <x v="0"/>
    <s v="Debit Card"/>
    <s v="Cloudy"/>
  </r>
  <r>
    <s v="WSR-2026-0087"/>
    <d v="2026-02-09T00:00:00"/>
    <x v="1"/>
    <x v="1"/>
    <s v="Monday"/>
    <x v="6"/>
    <d v="2026-02-28T00:00:00"/>
    <s v="Winter"/>
    <x v="2"/>
    <x v="2"/>
    <s v="1 Hour"/>
    <n v="1"/>
    <n v="34"/>
    <s v="Phone Pouch"/>
    <n v="5"/>
    <n v="0"/>
    <n v="39"/>
    <x v="5"/>
    <x v="1"/>
    <s v="Debit Card"/>
    <s v="Cloudy"/>
  </r>
  <r>
    <s v="WSR-2026-0088"/>
    <d v="2026-02-09T00:00:00"/>
    <x v="1"/>
    <x v="1"/>
    <s v="Monday"/>
    <x v="6"/>
    <d v="2026-02-28T00:00:00"/>
    <s v="Winter"/>
    <x v="2"/>
    <x v="7"/>
    <s v="Half Day"/>
    <n v="1"/>
    <n v="34"/>
    <s v="Phone Pouch"/>
    <n v="5"/>
    <n v="0"/>
    <n v="39"/>
    <x v="6"/>
    <x v="1"/>
    <s v="Credit Card"/>
    <s v="Cloudy"/>
  </r>
  <r>
    <s v="WSR-2026-0089"/>
    <d v="2026-02-10T00:00:00"/>
    <x v="1"/>
    <x v="1"/>
    <s v="Tuesday"/>
    <x v="6"/>
    <d v="2026-02-28T00:00:00"/>
    <s v="Winter"/>
    <x v="1"/>
    <x v="7"/>
    <s v="1 Hour"/>
    <n v="1"/>
    <n v="14"/>
    <s v="None"/>
    <n v="0"/>
    <n v="1.4"/>
    <n v="12.6"/>
    <x v="5"/>
    <x v="2"/>
    <s v="Debit Card"/>
    <s v="Sunny"/>
  </r>
  <r>
    <s v="WSR-2026-0090"/>
    <d v="2026-02-11T00:00:00"/>
    <x v="1"/>
    <x v="1"/>
    <s v="Wednesday"/>
    <x v="6"/>
    <d v="2026-02-28T00:00:00"/>
    <s v="Winter"/>
    <x v="2"/>
    <x v="5"/>
    <s v="Half Day"/>
    <n v="1"/>
    <n v="62"/>
    <s v="Premium Life Jacket"/>
    <n v="7"/>
    <n v="0"/>
    <n v="69"/>
    <x v="8"/>
    <x v="0"/>
    <s v="Mobile Pay"/>
    <s v="Sunny"/>
  </r>
  <r>
    <s v="WSR-2026-0091"/>
    <d v="2026-02-11T00:00:00"/>
    <x v="1"/>
    <x v="1"/>
    <s v="Wednesday"/>
    <x v="6"/>
    <d v="2026-02-28T00:00:00"/>
    <s v="Winter"/>
    <x v="3"/>
    <x v="0"/>
    <s v="1 Hour"/>
    <n v="1"/>
    <n v="32"/>
    <s v="Dry Bag"/>
    <n v="6"/>
    <n v="0"/>
    <n v="38"/>
    <x v="1"/>
    <x v="1"/>
    <s v="Credit Card"/>
    <s v="Windy"/>
  </r>
  <r>
    <s v="WSR-2026-0092"/>
    <d v="2026-02-11T00:00:00"/>
    <x v="1"/>
    <x v="1"/>
    <s v="Wednesday"/>
    <x v="6"/>
    <d v="2026-02-28T00:00:00"/>
    <s v="Winter"/>
    <x v="2"/>
    <x v="0"/>
    <s v="2 Hours"/>
    <n v="1"/>
    <n v="50"/>
    <s v="Phone Pouch"/>
    <n v="5"/>
    <n v="0"/>
    <n v="55"/>
    <x v="4"/>
    <x v="2"/>
    <s v="Debit Card"/>
    <s v="Sunny"/>
  </r>
  <r>
    <s v="WSR-2026-0093"/>
    <d v="2026-02-12T00:00:00"/>
    <x v="1"/>
    <x v="1"/>
    <s v="Thursday"/>
    <x v="6"/>
    <d v="2026-02-28T00:00:00"/>
    <s v="Winter"/>
    <x v="2"/>
    <x v="1"/>
    <s v="Half Day"/>
    <n v="1"/>
    <n v="58"/>
    <s v="None"/>
    <n v="0"/>
    <n v="0"/>
    <n v="58"/>
    <x v="6"/>
    <x v="3"/>
    <s v="Debit Card"/>
    <s v="Cloudy"/>
  </r>
  <r>
    <s v="WSR-2026-0094"/>
    <d v="2026-02-12T00:00:00"/>
    <x v="1"/>
    <x v="1"/>
    <s v="Thursday"/>
    <x v="6"/>
    <d v="2026-02-28T00:00:00"/>
    <s v="Winter"/>
    <x v="3"/>
    <x v="5"/>
    <s v="1 Hour"/>
    <n v="1"/>
    <n v="26"/>
    <s v="Phone Pouch"/>
    <n v="5"/>
    <n v="0"/>
    <n v="31"/>
    <x v="3"/>
    <x v="2"/>
    <s v="Debit Card"/>
    <s v="Sunny"/>
  </r>
  <r>
    <s v="WSR-2026-0095"/>
    <d v="2026-02-13T00:00:00"/>
    <x v="1"/>
    <x v="1"/>
    <s v="Friday"/>
    <x v="6"/>
    <d v="2026-02-28T00:00:00"/>
    <s v="Winter"/>
    <x v="3"/>
    <x v="2"/>
    <s v="1 Hour"/>
    <n v="1"/>
    <n v="34"/>
    <s v="Dry Bag"/>
    <n v="6"/>
    <n v="0"/>
    <n v="40"/>
    <x v="8"/>
    <x v="3"/>
    <s v="Credit Card"/>
    <s v="Cloudy"/>
  </r>
  <r>
    <s v="WSR-2026-0096"/>
    <d v="2026-02-13T00:00:00"/>
    <x v="1"/>
    <x v="1"/>
    <s v="Friday"/>
    <x v="6"/>
    <d v="2026-02-28T00:00:00"/>
    <s v="Winter"/>
    <x v="3"/>
    <x v="9"/>
    <s v="Full Day"/>
    <n v="1"/>
    <n v="104"/>
    <s v="None"/>
    <n v="0"/>
    <n v="0"/>
    <n v="104"/>
    <x v="8"/>
    <x v="4"/>
    <s v="Credit Card"/>
    <s v="Sunny"/>
  </r>
  <r>
    <s v="WSR-2026-0097"/>
    <d v="2026-02-14T00:00:00"/>
    <x v="1"/>
    <x v="1"/>
    <s v="Saturday"/>
    <x v="6"/>
    <d v="2026-02-28T00:00:00"/>
    <s v="Winter"/>
    <x v="2"/>
    <x v="4"/>
    <s v="2 Hours"/>
    <n v="1"/>
    <n v="19.440000000000001"/>
    <s v="None"/>
    <n v="0"/>
    <n v="0"/>
    <n v="19.440000000000001"/>
    <x v="2"/>
    <x v="1"/>
    <s v="Credit Card"/>
    <s v="Cloudy"/>
  </r>
  <r>
    <s v="WSR-2026-0098"/>
    <d v="2026-02-14T00:00:00"/>
    <x v="1"/>
    <x v="1"/>
    <s v="Saturday"/>
    <x v="6"/>
    <d v="2026-02-28T00:00:00"/>
    <s v="Winter"/>
    <x v="3"/>
    <x v="6"/>
    <s v="Half Day"/>
    <n v="1"/>
    <n v="92.88"/>
    <s v="Dry Bag"/>
    <n v="6"/>
    <n v="0"/>
    <n v="98.88"/>
    <x v="0"/>
    <x v="1"/>
    <s v="Cash"/>
    <s v="Rainy"/>
  </r>
  <r>
    <s v="WSR-2026-0099"/>
    <d v="2026-02-14T00:00:00"/>
    <x v="1"/>
    <x v="1"/>
    <s v="Saturday"/>
    <x v="6"/>
    <d v="2026-02-28T00:00:00"/>
    <s v="Winter"/>
    <x v="1"/>
    <x v="6"/>
    <s v="2 Hours"/>
    <n v="1"/>
    <n v="62.64"/>
    <s v="Dry Bag"/>
    <n v="6"/>
    <n v="6.86"/>
    <n v="61.78"/>
    <x v="4"/>
    <x v="1"/>
    <s v="Debit Card"/>
    <s v="Cloudy"/>
  </r>
  <r>
    <s v="WSR-2026-0100"/>
    <d v="2026-02-15T00:00:00"/>
    <x v="1"/>
    <x v="1"/>
    <s v="Sunday"/>
    <x v="7"/>
    <d v="2026-02-28T00:00:00"/>
    <s v="Winter"/>
    <x v="0"/>
    <x v="8"/>
    <s v="2 Hours"/>
    <n v="1"/>
    <n v="17.28"/>
    <s v="None"/>
    <n v="0"/>
    <n v="0"/>
    <n v="17.28"/>
    <x v="7"/>
    <x v="0"/>
    <s v="Credit Card"/>
    <s v="Cloudy"/>
  </r>
  <r>
    <s v="WSR-2026-0101"/>
    <d v="2026-02-17T00:00:00"/>
    <x v="1"/>
    <x v="1"/>
    <s v="Tuesday"/>
    <x v="7"/>
    <d v="2026-02-28T00:00:00"/>
    <s v="Winter"/>
    <x v="3"/>
    <x v="1"/>
    <s v="2 Hours"/>
    <n v="1"/>
    <n v="38"/>
    <s v="None"/>
    <n v="0"/>
    <n v="0"/>
    <n v="38"/>
    <x v="6"/>
    <x v="2"/>
    <s v="Cash"/>
    <s v="Sunny"/>
  </r>
  <r>
    <s v="WSR-2026-0102"/>
    <d v="2026-02-18T00:00:00"/>
    <x v="1"/>
    <x v="1"/>
    <s v="Wednesday"/>
    <x v="7"/>
    <d v="2026-02-28T00:00:00"/>
    <s v="Winter"/>
    <x v="2"/>
    <x v="1"/>
    <s v="2 Hours"/>
    <n v="1"/>
    <n v="38"/>
    <s v="Cooler Rental"/>
    <n v="10"/>
    <n v="0"/>
    <n v="48"/>
    <x v="8"/>
    <x v="0"/>
    <s v="Credit Card"/>
    <s v="Windy"/>
  </r>
  <r>
    <s v="WSR-2026-0103"/>
    <d v="2026-02-21T00:00:00"/>
    <x v="1"/>
    <x v="1"/>
    <s v="Saturday"/>
    <x v="7"/>
    <d v="2026-02-28T00:00:00"/>
    <s v="Winter"/>
    <x v="3"/>
    <x v="2"/>
    <s v="1 Hour"/>
    <n v="1"/>
    <n v="36.72"/>
    <s v="Phone Pouch"/>
    <n v="5"/>
    <n v="0"/>
    <n v="41.72"/>
    <x v="7"/>
    <x v="4"/>
    <s v="Debit Card"/>
    <s v="Cloudy"/>
  </r>
  <r>
    <s v="WSR-2026-0104"/>
    <d v="2026-02-21T00:00:00"/>
    <x v="1"/>
    <x v="1"/>
    <s v="Saturday"/>
    <x v="7"/>
    <d v="2026-02-28T00:00:00"/>
    <s v="Winter"/>
    <x v="3"/>
    <x v="1"/>
    <s v="Full Day"/>
    <n v="1"/>
    <n v="90.72"/>
    <s v="Phone Pouch"/>
    <n v="5"/>
    <n v="0"/>
    <n v="95.72"/>
    <x v="0"/>
    <x v="0"/>
    <s v="Debit Card"/>
    <s v="Cloudy"/>
  </r>
  <r>
    <s v="WSR-2026-0105"/>
    <d v="2026-02-21T00:00:00"/>
    <x v="1"/>
    <x v="1"/>
    <s v="Saturday"/>
    <x v="7"/>
    <d v="2026-02-28T00:00:00"/>
    <s v="Winter"/>
    <x v="2"/>
    <x v="5"/>
    <s v="2 Hours"/>
    <n v="1"/>
    <n v="45.36"/>
    <s v="Cooler Rental"/>
    <n v="10"/>
    <n v="0"/>
    <n v="55.36"/>
    <x v="3"/>
    <x v="2"/>
    <s v="Debit Card"/>
    <s v="Sunny"/>
  </r>
  <r>
    <s v="WSR-2026-0106"/>
    <d v="2026-02-21T00:00:00"/>
    <x v="1"/>
    <x v="1"/>
    <s v="Saturday"/>
    <x v="7"/>
    <d v="2026-02-28T00:00:00"/>
    <s v="Winter"/>
    <x v="2"/>
    <x v="0"/>
    <s v="2 Hours"/>
    <n v="1"/>
    <n v="54"/>
    <s v="Dry Bag"/>
    <n v="6"/>
    <n v="0"/>
    <n v="60"/>
    <x v="4"/>
    <x v="2"/>
    <s v="Credit Card"/>
    <s v="Cloudy"/>
  </r>
  <r>
    <s v="WSR-2026-0107"/>
    <d v="2026-02-22T00:00:00"/>
    <x v="1"/>
    <x v="1"/>
    <s v="Sunday"/>
    <x v="8"/>
    <d v="2026-02-28T00:00:00"/>
    <s v="Winter"/>
    <x v="3"/>
    <x v="2"/>
    <s v="1 Hour"/>
    <n v="1"/>
    <n v="36.72"/>
    <s v="Dry Bag"/>
    <n v="6"/>
    <n v="0"/>
    <n v="42.72"/>
    <x v="8"/>
    <x v="4"/>
    <s v="Cash"/>
    <s v="Windy"/>
  </r>
  <r>
    <s v="WSR-2026-0108"/>
    <d v="2026-02-22T00:00:00"/>
    <x v="1"/>
    <x v="1"/>
    <s v="Sunday"/>
    <x v="8"/>
    <d v="2026-02-28T00:00:00"/>
    <s v="Winter"/>
    <x v="3"/>
    <x v="3"/>
    <s v="2 Hours"/>
    <n v="1"/>
    <n v="38.880000000000003"/>
    <s v="None"/>
    <n v="0"/>
    <n v="0"/>
    <n v="38.880000000000003"/>
    <x v="5"/>
    <x v="1"/>
    <s v="Credit Card"/>
    <s v="Cloudy"/>
  </r>
  <r>
    <s v="WSR-2026-0109"/>
    <d v="2026-02-23T00:00:00"/>
    <x v="1"/>
    <x v="1"/>
    <s v="Monday"/>
    <x v="8"/>
    <d v="2026-02-28T00:00:00"/>
    <s v="Winter"/>
    <x v="1"/>
    <x v="1"/>
    <s v="2 Hours"/>
    <n v="1"/>
    <n v="38"/>
    <s v="None"/>
    <n v="0"/>
    <n v="0"/>
    <n v="38"/>
    <x v="3"/>
    <x v="2"/>
    <s v="Debit Card"/>
    <s v="Sunny"/>
  </r>
  <r>
    <s v="WSR-2026-0110"/>
    <d v="2026-02-23T00:00:00"/>
    <x v="1"/>
    <x v="1"/>
    <s v="Monday"/>
    <x v="8"/>
    <d v="2026-02-28T00:00:00"/>
    <s v="Winter"/>
    <x v="1"/>
    <x v="8"/>
    <s v="2 Hours"/>
    <n v="1"/>
    <n v="16"/>
    <s v="Phone Pouch"/>
    <n v="5"/>
    <n v="1.05"/>
    <n v="19.95"/>
    <x v="6"/>
    <x v="2"/>
    <s v="Credit Card"/>
    <s v="Rainy"/>
  </r>
  <r>
    <s v="WSR-2026-0111"/>
    <d v="2026-02-23T00:00:00"/>
    <x v="1"/>
    <x v="1"/>
    <s v="Monday"/>
    <x v="8"/>
    <d v="2026-02-28T00:00:00"/>
    <s v="Winter"/>
    <x v="0"/>
    <x v="0"/>
    <s v="1 Hour"/>
    <n v="1"/>
    <n v="32"/>
    <s v="Dry Bag"/>
    <n v="6"/>
    <n v="0"/>
    <n v="38"/>
    <x v="0"/>
    <x v="2"/>
    <s v="Debit Card"/>
    <s v="Cloudy"/>
  </r>
  <r>
    <s v="WSR-2026-0112"/>
    <d v="2026-02-24T00:00:00"/>
    <x v="1"/>
    <x v="1"/>
    <s v="Tuesday"/>
    <x v="8"/>
    <d v="2026-02-28T00:00:00"/>
    <s v="Winter"/>
    <x v="1"/>
    <x v="1"/>
    <s v="Half Day"/>
    <n v="1"/>
    <n v="58"/>
    <s v="Dry Bag"/>
    <n v="6"/>
    <n v="0"/>
    <n v="64"/>
    <x v="3"/>
    <x v="4"/>
    <s v="Credit Card"/>
    <s v="Sunny"/>
  </r>
  <r>
    <s v="WSR-2026-0113"/>
    <d v="2026-02-25T00:00:00"/>
    <x v="1"/>
    <x v="1"/>
    <s v="Wednesday"/>
    <x v="8"/>
    <d v="2026-02-28T00:00:00"/>
    <s v="Winter"/>
    <x v="0"/>
    <x v="3"/>
    <s v="Full Day"/>
    <n v="1"/>
    <n v="76"/>
    <s v="Cooler Rental"/>
    <n v="10"/>
    <n v="0"/>
    <n v="86"/>
    <x v="4"/>
    <x v="3"/>
    <s v="Debit Card"/>
    <s v="Rainy"/>
  </r>
  <r>
    <s v="WSR-2026-0114"/>
    <d v="2026-02-25T00:00:00"/>
    <x v="1"/>
    <x v="1"/>
    <s v="Wednesday"/>
    <x v="8"/>
    <d v="2026-02-28T00:00:00"/>
    <s v="Winter"/>
    <x v="3"/>
    <x v="3"/>
    <s v="Half Day"/>
    <n v="1"/>
    <n v="54"/>
    <s v="Phone Pouch"/>
    <n v="5"/>
    <n v="0"/>
    <n v="59"/>
    <x v="1"/>
    <x v="1"/>
    <s v="Mobile Pay"/>
    <s v="Windy"/>
  </r>
  <r>
    <s v="WSR-2026-0115"/>
    <d v="2026-02-25T00:00:00"/>
    <x v="1"/>
    <x v="1"/>
    <s v="Wednesday"/>
    <x v="8"/>
    <d v="2026-02-28T00:00:00"/>
    <s v="Winter"/>
    <x v="3"/>
    <x v="7"/>
    <s v="2 Hours"/>
    <n v="1"/>
    <n v="22"/>
    <s v="None"/>
    <n v="0"/>
    <n v="0"/>
    <n v="22"/>
    <x v="3"/>
    <x v="4"/>
    <s v="Cash"/>
    <s v="Sunny"/>
  </r>
  <r>
    <s v="WSR-2026-0116"/>
    <d v="2026-02-26T00:00:00"/>
    <x v="1"/>
    <x v="1"/>
    <s v="Thursday"/>
    <x v="8"/>
    <d v="2026-02-28T00:00:00"/>
    <s v="Winter"/>
    <x v="0"/>
    <x v="3"/>
    <s v="Half Day"/>
    <n v="1"/>
    <n v="54"/>
    <s v="Phone Pouch"/>
    <n v="5"/>
    <n v="0"/>
    <n v="59"/>
    <x v="4"/>
    <x v="4"/>
    <s v="Cash"/>
    <s v="Rainy"/>
  </r>
  <r>
    <s v="WSR-2026-0117"/>
    <d v="2026-02-26T00:00:00"/>
    <x v="1"/>
    <x v="1"/>
    <s v="Thursday"/>
    <x v="8"/>
    <d v="2026-02-28T00:00:00"/>
    <s v="Winter"/>
    <x v="2"/>
    <x v="1"/>
    <s v="2 Hours"/>
    <n v="1"/>
    <n v="38"/>
    <s v="None"/>
    <n v="0"/>
    <n v="1.9"/>
    <n v="36.1"/>
    <x v="7"/>
    <x v="1"/>
    <s v="Debit Card"/>
    <s v="Sunny"/>
  </r>
  <r>
    <s v="WSR-2026-0118"/>
    <d v="2026-02-26T00:00:00"/>
    <x v="1"/>
    <x v="1"/>
    <s v="Thursday"/>
    <x v="8"/>
    <d v="2026-02-28T00:00:00"/>
    <s v="Winter"/>
    <x v="0"/>
    <x v="1"/>
    <s v="2 Hours"/>
    <n v="1"/>
    <n v="38"/>
    <s v="None"/>
    <n v="0"/>
    <n v="0"/>
    <n v="38"/>
    <x v="4"/>
    <x v="3"/>
    <s v="Credit Card"/>
    <s v="Windy"/>
  </r>
  <r>
    <s v="WSR-2026-0119"/>
    <d v="2026-02-27T00:00:00"/>
    <x v="1"/>
    <x v="1"/>
    <s v="Friday"/>
    <x v="8"/>
    <d v="2026-02-28T00:00:00"/>
    <s v="Winter"/>
    <x v="3"/>
    <x v="5"/>
    <s v="2 Hours"/>
    <n v="1"/>
    <n v="42"/>
    <s v="Phone Pouch"/>
    <n v="5"/>
    <n v="0"/>
    <n v="47"/>
    <x v="9"/>
    <x v="3"/>
    <s v="Debit Card"/>
    <s v="Sunny"/>
  </r>
  <r>
    <s v="WSR-2026-0120"/>
    <d v="2026-02-27T00:00:00"/>
    <x v="1"/>
    <x v="1"/>
    <s v="Friday"/>
    <x v="8"/>
    <d v="2026-02-28T00:00:00"/>
    <s v="Winter"/>
    <x v="3"/>
    <x v="3"/>
    <s v="1 Hour"/>
    <n v="1"/>
    <n v="22"/>
    <s v="None"/>
    <n v="0"/>
    <n v="0"/>
    <n v="22"/>
    <x v="7"/>
    <x v="1"/>
    <s v="Cash"/>
    <s v="Cloudy"/>
  </r>
  <r>
    <s v="WSR-2026-0121"/>
    <d v="2026-02-27T00:00:00"/>
    <x v="1"/>
    <x v="1"/>
    <s v="Friday"/>
    <x v="8"/>
    <d v="2026-02-28T00:00:00"/>
    <s v="Winter"/>
    <x v="3"/>
    <x v="4"/>
    <s v="1 Hour"/>
    <n v="1"/>
    <n v="12"/>
    <s v="None"/>
    <n v="0"/>
    <n v="0"/>
    <n v="12"/>
    <x v="1"/>
    <x v="1"/>
    <s v="Credit Card"/>
    <s v="Rainy"/>
  </r>
  <r>
    <s v="WSR-2026-0122"/>
    <d v="2026-02-27T00:00:00"/>
    <x v="1"/>
    <x v="1"/>
    <s v="Friday"/>
    <x v="8"/>
    <d v="2026-02-28T00:00:00"/>
    <s v="Winter"/>
    <x v="3"/>
    <x v="1"/>
    <s v="1 Hour"/>
    <n v="1"/>
    <n v="24"/>
    <s v="Waterproof Speaker"/>
    <n v="12"/>
    <n v="0"/>
    <n v="36"/>
    <x v="5"/>
    <x v="2"/>
    <s v="Credit Card"/>
    <s v="Cloudy"/>
  </r>
  <r>
    <s v="WSR-2026-0123"/>
    <d v="2026-02-28T00:00:00"/>
    <x v="1"/>
    <x v="1"/>
    <s v="Saturday"/>
    <x v="8"/>
    <d v="2026-02-28T00:00:00"/>
    <s v="Winter"/>
    <x v="2"/>
    <x v="4"/>
    <s v="Full Day"/>
    <n v="1"/>
    <n v="43.2"/>
    <s v="Phone Pouch"/>
    <n v="5"/>
    <n v="0"/>
    <n v="48.2"/>
    <x v="6"/>
    <x v="1"/>
    <s v="Mobile Pay"/>
    <s v="Windy"/>
  </r>
  <r>
    <s v="WSR-2026-0124"/>
    <d v="2026-02-28T00:00:00"/>
    <x v="1"/>
    <x v="1"/>
    <s v="Saturday"/>
    <x v="8"/>
    <d v="2026-02-28T00:00:00"/>
    <s v="Winter"/>
    <x v="3"/>
    <x v="7"/>
    <s v="2 Hours"/>
    <n v="1"/>
    <n v="23.76"/>
    <s v="Phone Pouch"/>
    <n v="5"/>
    <n v="0"/>
    <n v="28.76"/>
    <x v="3"/>
    <x v="1"/>
    <s v="Cash"/>
    <s v="Cloudy"/>
  </r>
  <r>
    <s v="WSR-2026-0125"/>
    <d v="2026-02-28T00:00:00"/>
    <x v="1"/>
    <x v="1"/>
    <s v="Saturday"/>
    <x v="8"/>
    <d v="2026-02-28T00:00:00"/>
    <s v="Winter"/>
    <x v="0"/>
    <x v="4"/>
    <s v="2 Hours"/>
    <n v="1"/>
    <n v="19.440000000000001"/>
    <s v="None"/>
    <n v="0"/>
    <n v="0"/>
    <n v="19.440000000000001"/>
    <x v="6"/>
    <x v="1"/>
    <s v="Gift Card"/>
    <s v="Windy"/>
  </r>
  <r>
    <s v="WSR-2026-0126"/>
    <d v="2026-03-01T00:00:00"/>
    <x v="2"/>
    <x v="2"/>
    <s v="Sunday"/>
    <x v="9"/>
    <d v="2026-03-31T00:00:00"/>
    <s v="Spring"/>
    <x v="2"/>
    <x v="5"/>
    <s v="2 Hours"/>
    <n v="1"/>
    <n v="45.36"/>
    <s v="Dry Bag"/>
    <n v="6"/>
    <n v="0"/>
    <n v="51.36"/>
    <x v="5"/>
    <x v="1"/>
    <s v="Debit Card"/>
    <s v="Cloudy"/>
  </r>
  <r>
    <s v="WSR-2026-0127"/>
    <d v="2026-03-01T00:00:00"/>
    <x v="2"/>
    <x v="2"/>
    <s v="Sunday"/>
    <x v="9"/>
    <d v="2026-03-31T00:00:00"/>
    <s v="Spring"/>
    <x v="3"/>
    <x v="3"/>
    <s v="2 Hours"/>
    <n v="1"/>
    <n v="38.880000000000003"/>
    <s v="GoPro Mount"/>
    <n v="8"/>
    <n v="0"/>
    <n v="46.88"/>
    <x v="6"/>
    <x v="4"/>
    <s v="Mobile Pay"/>
    <s v="Cloudy"/>
  </r>
  <r>
    <s v="WSR-2026-0128"/>
    <d v="2026-03-01T00:00:00"/>
    <x v="2"/>
    <x v="2"/>
    <s v="Sunday"/>
    <x v="9"/>
    <d v="2026-03-31T00:00:00"/>
    <s v="Spring"/>
    <x v="3"/>
    <x v="2"/>
    <s v="2 Hours"/>
    <n v="1"/>
    <n v="56.16"/>
    <s v="None"/>
    <n v="0"/>
    <n v="0"/>
    <n v="56.16"/>
    <x v="6"/>
    <x v="3"/>
    <s v="Mobile Pay"/>
    <s v="Windy"/>
  </r>
  <r>
    <s v="WSR-2026-0129"/>
    <d v="2026-03-01T00:00:00"/>
    <x v="2"/>
    <x v="2"/>
    <s v="Sunday"/>
    <x v="9"/>
    <d v="2026-03-31T00:00:00"/>
    <s v="Spring"/>
    <x v="0"/>
    <x v="9"/>
    <s v="2 Hours"/>
    <n v="1"/>
    <n v="51.84"/>
    <s v="Premium Life Jacket"/>
    <n v="7"/>
    <n v="0"/>
    <n v="58.84"/>
    <x v="7"/>
    <x v="0"/>
    <s v="Mobile Pay"/>
    <s v="Sunny"/>
  </r>
  <r>
    <s v="WSR-2026-0130"/>
    <d v="2026-03-02T00:00:00"/>
    <x v="2"/>
    <x v="2"/>
    <s v="Monday"/>
    <x v="9"/>
    <d v="2026-03-31T00:00:00"/>
    <s v="Spring"/>
    <x v="3"/>
    <x v="5"/>
    <s v="2 Hours"/>
    <n v="1"/>
    <n v="42"/>
    <s v="None"/>
    <n v="0"/>
    <n v="0"/>
    <n v="42"/>
    <x v="8"/>
    <x v="2"/>
    <s v="Debit Card"/>
    <s v="Sunny"/>
  </r>
  <r>
    <s v="WSR-2026-0131"/>
    <d v="2026-03-03T00:00:00"/>
    <x v="2"/>
    <x v="2"/>
    <s v="Tuesday"/>
    <x v="9"/>
    <d v="2026-03-31T00:00:00"/>
    <s v="Spring"/>
    <x v="2"/>
    <x v="5"/>
    <s v="Full Day"/>
    <n v="1"/>
    <n v="88"/>
    <s v="None"/>
    <n v="0"/>
    <n v="0"/>
    <n v="88"/>
    <x v="3"/>
    <x v="1"/>
    <s v="Credit Card"/>
    <s v="Cloudy"/>
  </r>
  <r>
    <s v="WSR-2026-0132"/>
    <d v="2026-03-03T00:00:00"/>
    <x v="2"/>
    <x v="2"/>
    <s v="Tuesday"/>
    <x v="9"/>
    <d v="2026-03-31T00:00:00"/>
    <s v="Spring"/>
    <x v="3"/>
    <x v="5"/>
    <s v="2 Hours"/>
    <n v="1"/>
    <n v="42"/>
    <s v="None"/>
    <n v="0"/>
    <n v="0"/>
    <n v="42"/>
    <x v="1"/>
    <x v="2"/>
    <s v="Mobile Pay"/>
    <s v="Cloudy"/>
  </r>
  <r>
    <s v="WSR-2026-0133"/>
    <d v="2026-03-03T00:00:00"/>
    <x v="2"/>
    <x v="2"/>
    <s v="Tuesday"/>
    <x v="9"/>
    <d v="2026-03-31T00:00:00"/>
    <s v="Spring"/>
    <x v="3"/>
    <x v="0"/>
    <s v="2 Hours"/>
    <n v="1"/>
    <n v="50"/>
    <s v="Phone Pouch"/>
    <n v="5"/>
    <n v="0"/>
    <n v="55"/>
    <x v="4"/>
    <x v="2"/>
    <s v="Mobile Pay"/>
    <s v="Windy"/>
  </r>
  <r>
    <s v="WSR-2026-0134"/>
    <d v="2026-03-03T00:00:00"/>
    <x v="2"/>
    <x v="2"/>
    <s v="Tuesday"/>
    <x v="9"/>
    <d v="2026-03-31T00:00:00"/>
    <s v="Spring"/>
    <x v="3"/>
    <x v="5"/>
    <s v="Half Day"/>
    <n v="1"/>
    <n v="62"/>
    <s v="None"/>
    <n v="0"/>
    <n v="0"/>
    <n v="62"/>
    <x v="2"/>
    <x v="1"/>
    <s v="Cash"/>
    <s v="Sunny"/>
  </r>
  <r>
    <s v="WSR-2026-0135"/>
    <d v="2026-03-04T00:00:00"/>
    <x v="2"/>
    <x v="2"/>
    <s v="Wednesday"/>
    <x v="9"/>
    <d v="2026-03-31T00:00:00"/>
    <s v="Spring"/>
    <x v="2"/>
    <x v="1"/>
    <s v="2 Hours"/>
    <n v="1"/>
    <n v="38"/>
    <s v="Dry Bag"/>
    <n v="6"/>
    <n v="0"/>
    <n v="44"/>
    <x v="6"/>
    <x v="0"/>
    <s v="Debit Card"/>
    <s v="Rainy"/>
  </r>
  <r>
    <s v="WSR-2026-0136"/>
    <d v="2026-03-05T00:00:00"/>
    <x v="2"/>
    <x v="2"/>
    <s v="Thursday"/>
    <x v="9"/>
    <d v="2026-03-31T00:00:00"/>
    <s v="Spring"/>
    <x v="3"/>
    <x v="0"/>
    <s v="1 Hour"/>
    <n v="1"/>
    <n v="32"/>
    <s v="Dry Bag"/>
    <n v="6"/>
    <n v="1.9"/>
    <n v="36.1"/>
    <x v="7"/>
    <x v="4"/>
    <s v="Mobile Pay"/>
    <s v="Sunny"/>
  </r>
  <r>
    <s v="WSR-2026-0137"/>
    <d v="2026-03-05T00:00:00"/>
    <x v="2"/>
    <x v="2"/>
    <s v="Thursday"/>
    <x v="9"/>
    <d v="2026-03-31T00:00:00"/>
    <s v="Spring"/>
    <x v="0"/>
    <x v="5"/>
    <s v="Half Day"/>
    <n v="1"/>
    <n v="62"/>
    <s v="None"/>
    <n v="0"/>
    <n v="0"/>
    <n v="62"/>
    <x v="2"/>
    <x v="0"/>
    <s v="Debit Card"/>
    <s v="Sunny"/>
  </r>
  <r>
    <s v="WSR-2026-0138"/>
    <d v="2026-03-05T00:00:00"/>
    <x v="2"/>
    <x v="2"/>
    <s v="Thursday"/>
    <x v="9"/>
    <d v="2026-03-31T00:00:00"/>
    <s v="Spring"/>
    <x v="3"/>
    <x v="2"/>
    <s v="2 Hours"/>
    <n v="1"/>
    <n v="52"/>
    <s v="Dry Bag"/>
    <n v="6"/>
    <n v="0"/>
    <n v="58"/>
    <x v="1"/>
    <x v="2"/>
    <s v="Credit Card"/>
    <s v="Rainy"/>
  </r>
  <r>
    <s v="WSR-2026-0139"/>
    <d v="2026-03-06T00:00:00"/>
    <x v="2"/>
    <x v="2"/>
    <s v="Friday"/>
    <x v="9"/>
    <d v="2026-03-31T00:00:00"/>
    <s v="Spring"/>
    <x v="2"/>
    <x v="5"/>
    <s v="1 Hour"/>
    <n v="1"/>
    <n v="26"/>
    <s v="None"/>
    <n v="0"/>
    <n v="0"/>
    <n v="26"/>
    <x v="9"/>
    <x v="4"/>
    <s v="Credit Card"/>
    <s v="Sunny"/>
  </r>
  <r>
    <s v="WSR-2026-0140"/>
    <d v="2026-03-06T00:00:00"/>
    <x v="2"/>
    <x v="2"/>
    <s v="Friday"/>
    <x v="9"/>
    <d v="2026-03-31T00:00:00"/>
    <s v="Spring"/>
    <x v="3"/>
    <x v="1"/>
    <s v="2 Hours"/>
    <n v="1"/>
    <n v="38"/>
    <s v="None"/>
    <n v="0"/>
    <n v="0"/>
    <n v="38"/>
    <x v="3"/>
    <x v="4"/>
    <s v="Mobile Pay"/>
    <s v="Sunny"/>
  </r>
  <r>
    <s v="WSR-2026-0141"/>
    <d v="2026-03-06T00:00:00"/>
    <x v="2"/>
    <x v="2"/>
    <s v="Friday"/>
    <x v="9"/>
    <d v="2026-03-31T00:00:00"/>
    <s v="Spring"/>
    <x v="2"/>
    <x v="9"/>
    <s v="Half Day"/>
    <n v="1"/>
    <n v="72"/>
    <s v="None"/>
    <n v="0"/>
    <n v="0"/>
    <n v="72"/>
    <x v="4"/>
    <x v="3"/>
    <s v="Debit Card"/>
    <s v="Sunny"/>
  </r>
  <r>
    <s v="WSR-2026-0142"/>
    <d v="2026-03-06T00:00:00"/>
    <x v="2"/>
    <x v="2"/>
    <s v="Friday"/>
    <x v="9"/>
    <d v="2026-03-31T00:00:00"/>
    <s v="Spring"/>
    <x v="1"/>
    <x v="5"/>
    <s v="1 Hour"/>
    <n v="1"/>
    <n v="26"/>
    <s v="None"/>
    <n v="0"/>
    <n v="0"/>
    <n v="26"/>
    <x v="8"/>
    <x v="1"/>
    <s v="Credit Card"/>
    <s v="Sunny"/>
  </r>
  <r>
    <s v="WSR-2026-0143"/>
    <d v="2026-03-07T00:00:00"/>
    <x v="2"/>
    <x v="2"/>
    <s v="Saturday"/>
    <x v="9"/>
    <d v="2026-03-31T00:00:00"/>
    <s v="Spring"/>
    <x v="0"/>
    <x v="6"/>
    <s v="1 Hour"/>
    <n v="1"/>
    <n v="38.880000000000003"/>
    <s v="None"/>
    <n v="0"/>
    <n v="0"/>
    <n v="38.880000000000003"/>
    <x v="1"/>
    <x v="0"/>
    <s v="Credit Card"/>
    <s v="Sunny"/>
  </r>
  <r>
    <s v="WSR-2026-0144"/>
    <d v="2026-03-07T00:00:00"/>
    <x v="2"/>
    <x v="2"/>
    <s v="Saturday"/>
    <x v="9"/>
    <d v="2026-03-31T00:00:00"/>
    <s v="Spring"/>
    <x v="2"/>
    <x v="5"/>
    <s v="Half Day"/>
    <n v="1"/>
    <n v="66.959999999999994"/>
    <s v="Dry Bag"/>
    <n v="6"/>
    <n v="0"/>
    <n v="72.959999999999994"/>
    <x v="2"/>
    <x v="0"/>
    <s v="Credit Card"/>
    <s v="Cloudy"/>
  </r>
  <r>
    <s v="WSR-2026-0145"/>
    <d v="2026-03-07T00:00:00"/>
    <x v="2"/>
    <x v="2"/>
    <s v="Saturday"/>
    <x v="9"/>
    <d v="2026-03-31T00:00:00"/>
    <s v="Spring"/>
    <x v="1"/>
    <x v="5"/>
    <s v="Half Day"/>
    <n v="1"/>
    <n v="66.959999999999994"/>
    <s v="None"/>
    <n v="0"/>
    <n v="3.35"/>
    <n v="63.61"/>
    <x v="2"/>
    <x v="2"/>
    <s v="Mobile Pay"/>
    <s v="Cloudy"/>
  </r>
  <r>
    <s v="WSR-2026-0146"/>
    <d v="2026-03-07T00:00:00"/>
    <x v="2"/>
    <x v="2"/>
    <s v="Saturday"/>
    <x v="9"/>
    <d v="2026-03-31T00:00:00"/>
    <s v="Spring"/>
    <x v="2"/>
    <x v="0"/>
    <s v="2 Hours"/>
    <n v="1"/>
    <n v="54"/>
    <s v="None"/>
    <n v="0"/>
    <n v="0"/>
    <n v="54"/>
    <x v="5"/>
    <x v="0"/>
    <s v="Credit Card"/>
    <s v="Sunny"/>
  </r>
  <r>
    <s v="WSR-2026-0147"/>
    <d v="2026-03-07T00:00:00"/>
    <x v="2"/>
    <x v="2"/>
    <s v="Saturday"/>
    <x v="9"/>
    <d v="2026-03-31T00:00:00"/>
    <s v="Spring"/>
    <x v="0"/>
    <x v="2"/>
    <s v="1 Hour"/>
    <n v="1"/>
    <n v="36.72"/>
    <s v="None"/>
    <n v="0"/>
    <n v="0"/>
    <n v="36.72"/>
    <x v="0"/>
    <x v="0"/>
    <s v="Cash"/>
    <s v="Sunny"/>
  </r>
  <r>
    <s v="WSR-2026-0148"/>
    <d v="2026-03-08T00:00:00"/>
    <x v="2"/>
    <x v="2"/>
    <s v="Sunday"/>
    <x v="10"/>
    <d v="2026-03-31T00:00:00"/>
    <s v="Spring"/>
    <x v="1"/>
    <x v="5"/>
    <s v="1 Hour"/>
    <n v="1"/>
    <n v="28.08"/>
    <s v="None"/>
    <n v="0"/>
    <n v="0"/>
    <n v="28.08"/>
    <x v="8"/>
    <x v="1"/>
    <s v="Credit Card"/>
    <s v="Sunny"/>
  </r>
  <r>
    <s v="WSR-2026-0149"/>
    <d v="2026-03-08T00:00:00"/>
    <x v="2"/>
    <x v="2"/>
    <s v="Sunday"/>
    <x v="10"/>
    <d v="2026-03-31T00:00:00"/>
    <s v="Spring"/>
    <x v="2"/>
    <x v="1"/>
    <s v="Full Day"/>
    <n v="1"/>
    <n v="90.72"/>
    <s v="None"/>
    <n v="0"/>
    <n v="0"/>
    <n v="90.72"/>
    <x v="2"/>
    <x v="1"/>
    <s v="Credit Card"/>
    <s v="Cloudy"/>
  </r>
  <r>
    <s v="WSR-2026-0150"/>
    <d v="2026-03-08T00:00:00"/>
    <x v="2"/>
    <x v="2"/>
    <s v="Sunday"/>
    <x v="10"/>
    <d v="2026-03-31T00:00:00"/>
    <s v="Spring"/>
    <x v="2"/>
    <x v="1"/>
    <s v="Full Day"/>
    <n v="1"/>
    <n v="90.72"/>
    <s v="None"/>
    <n v="0"/>
    <n v="0"/>
    <n v="90.72"/>
    <x v="2"/>
    <x v="2"/>
    <s v="Credit Card"/>
    <s v="Windy"/>
  </r>
  <r>
    <s v="WSR-2026-0151"/>
    <d v="2026-03-08T00:00:00"/>
    <x v="2"/>
    <x v="2"/>
    <s v="Sunday"/>
    <x v="10"/>
    <d v="2026-03-31T00:00:00"/>
    <s v="Spring"/>
    <x v="1"/>
    <x v="1"/>
    <s v="2 Hours"/>
    <n v="1"/>
    <n v="41.04"/>
    <s v="None"/>
    <n v="0"/>
    <n v="2.0499999999999998"/>
    <n v="38.99"/>
    <x v="2"/>
    <x v="3"/>
    <s v="Mobile Pay"/>
    <s v="Sunny"/>
  </r>
  <r>
    <s v="WSR-2026-0152"/>
    <d v="2026-03-08T00:00:00"/>
    <x v="2"/>
    <x v="2"/>
    <s v="Sunday"/>
    <x v="10"/>
    <d v="2026-03-31T00:00:00"/>
    <s v="Spring"/>
    <x v="2"/>
    <x v="1"/>
    <s v="Full Day"/>
    <n v="1"/>
    <n v="90.72"/>
    <s v="Dry Bag"/>
    <n v="6"/>
    <n v="0"/>
    <n v="96.72"/>
    <x v="7"/>
    <x v="3"/>
    <s v="Credit Card"/>
    <s v="Cloudy"/>
  </r>
  <r>
    <s v="WSR-2026-0153"/>
    <d v="2026-03-08T00:00:00"/>
    <x v="2"/>
    <x v="2"/>
    <s v="Sunday"/>
    <x v="10"/>
    <d v="2026-03-31T00:00:00"/>
    <s v="Spring"/>
    <x v="2"/>
    <x v="3"/>
    <s v="Full Day"/>
    <n v="1"/>
    <n v="82.08"/>
    <s v="None"/>
    <n v="0"/>
    <n v="0"/>
    <n v="82.08"/>
    <x v="3"/>
    <x v="4"/>
    <s v="Credit Card"/>
    <s v="Sunny"/>
  </r>
  <r>
    <s v="WSR-2026-0154"/>
    <d v="2026-03-09T00:00:00"/>
    <x v="2"/>
    <x v="2"/>
    <s v="Monday"/>
    <x v="10"/>
    <d v="2026-03-31T00:00:00"/>
    <s v="Spring"/>
    <x v="1"/>
    <x v="1"/>
    <s v="Half Day"/>
    <n v="1"/>
    <n v="58"/>
    <s v="None"/>
    <n v="0"/>
    <n v="2.9"/>
    <n v="55.1"/>
    <x v="2"/>
    <x v="4"/>
    <s v="Mobile Pay"/>
    <s v="Sunny"/>
  </r>
  <r>
    <s v="WSR-2026-0155"/>
    <d v="2026-03-09T00:00:00"/>
    <x v="2"/>
    <x v="2"/>
    <s v="Monday"/>
    <x v="10"/>
    <d v="2026-03-31T00:00:00"/>
    <s v="Spring"/>
    <x v="3"/>
    <x v="1"/>
    <s v="2 Hours"/>
    <n v="1"/>
    <n v="38"/>
    <s v="None"/>
    <n v="0"/>
    <n v="1.9"/>
    <n v="36.1"/>
    <x v="9"/>
    <x v="4"/>
    <s v="Mobile Pay"/>
    <s v="Sunny"/>
  </r>
  <r>
    <s v="WSR-2026-0156"/>
    <d v="2026-03-09T00:00:00"/>
    <x v="2"/>
    <x v="2"/>
    <s v="Monday"/>
    <x v="10"/>
    <d v="2026-03-31T00:00:00"/>
    <s v="Spring"/>
    <x v="2"/>
    <x v="2"/>
    <s v="Half Day"/>
    <n v="1"/>
    <n v="78"/>
    <s v="Cooler Rental"/>
    <n v="10"/>
    <n v="0"/>
    <n v="88"/>
    <x v="5"/>
    <x v="2"/>
    <s v="Debit Card"/>
    <s v="Cloudy"/>
  </r>
  <r>
    <s v="WSR-2026-0157"/>
    <d v="2026-03-10T00:00:00"/>
    <x v="2"/>
    <x v="2"/>
    <s v="Tuesday"/>
    <x v="10"/>
    <d v="2026-03-31T00:00:00"/>
    <s v="Spring"/>
    <x v="3"/>
    <x v="7"/>
    <s v="Half Day"/>
    <n v="1"/>
    <n v="34"/>
    <s v="Phone Pouch"/>
    <n v="5"/>
    <n v="0"/>
    <n v="39"/>
    <x v="3"/>
    <x v="2"/>
    <s v="Mobile Pay"/>
    <s v="Sunny"/>
  </r>
  <r>
    <s v="WSR-2026-0158"/>
    <d v="2026-03-10T00:00:00"/>
    <x v="2"/>
    <x v="2"/>
    <s v="Tuesday"/>
    <x v="10"/>
    <d v="2026-03-31T00:00:00"/>
    <s v="Spring"/>
    <x v="2"/>
    <x v="2"/>
    <s v="2 Hours"/>
    <n v="1"/>
    <n v="52"/>
    <s v="None"/>
    <n v="0"/>
    <n v="0"/>
    <n v="52"/>
    <x v="4"/>
    <x v="1"/>
    <s v="Credit Card"/>
    <s v="Rainy"/>
  </r>
  <r>
    <s v="WSR-2026-0159"/>
    <d v="2026-03-10T00:00:00"/>
    <x v="2"/>
    <x v="2"/>
    <s v="Tuesday"/>
    <x v="10"/>
    <d v="2026-03-31T00:00:00"/>
    <s v="Spring"/>
    <x v="3"/>
    <x v="1"/>
    <s v="Full Day"/>
    <n v="1"/>
    <n v="84"/>
    <s v="None"/>
    <n v="0"/>
    <n v="0"/>
    <n v="84"/>
    <x v="5"/>
    <x v="1"/>
    <s v="Credit Card"/>
    <s v="Sunny"/>
  </r>
  <r>
    <s v="WSR-2026-0160"/>
    <d v="2026-03-11T00:00:00"/>
    <x v="2"/>
    <x v="2"/>
    <s v="Wednesday"/>
    <x v="10"/>
    <d v="2026-03-31T00:00:00"/>
    <s v="Spring"/>
    <x v="0"/>
    <x v="5"/>
    <s v="1 Hour"/>
    <n v="1"/>
    <n v="26"/>
    <s v="Premium Life Jacket"/>
    <n v="7"/>
    <n v="0"/>
    <n v="33"/>
    <x v="7"/>
    <x v="0"/>
    <s v="Credit Card"/>
    <s v="Cloudy"/>
  </r>
  <r>
    <s v="WSR-2026-0161"/>
    <d v="2026-03-11T00:00:00"/>
    <x v="2"/>
    <x v="2"/>
    <s v="Wednesday"/>
    <x v="10"/>
    <d v="2026-03-31T00:00:00"/>
    <s v="Spring"/>
    <x v="2"/>
    <x v="1"/>
    <s v="1 Hour"/>
    <n v="1"/>
    <n v="24"/>
    <s v="Dry Bag"/>
    <n v="6"/>
    <n v="0"/>
    <n v="30"/>
    <x v="6"/>
    <x v="0"/>
    <s v="Cash"/>
    <s v="Windy"/>
  </r>
  <r>
    <s v="WSR-2026-0162"/>
    <d v="2026-03-11T00:00:00"/>
    <x v="2"/>
    <x v="2"/>
    <s v="Wednesday"/>
    <x v="10"/>
    <d v="2026-03-31T00:00:00"/>
    <s v="Spring"/>
    <x v="3"/>
    <x v="1"/>
    <s v="Half Day"/>
    <n v="1"/>
    <n v="58"/>
    <s v="GoPro Mount"/>
    <n v="8"/>
    <n v="0"/>
    <n v="66"/>
    <x v="7"/>
    <x v="1"/>
    <s v="Credit Card"/>
    <s v="Cloudy"/>
  </r>
  <r>
    <s v="WSR-2026-0163"/>
    <d v="2026-03-11T00:00:00"/>
    <x v="2"/>
    <x v="2"/>
    <s v="Wednesday"/>
    <x v="10"/>
    <d v="2026-03-31T00:00:00"/>
    <s v="Spring"/>
    <x v="3"/>
    <x v="1"/>
    <s v="2 Hours"/>
    <n v="1"/>
    <n v="38"/>
    <s v="None"/>
    <n v="0"/>
    <n v="0"/>
    <n v="38"/>
    <x v="6"/>
    <x v="2"/>
    <s v="Debit Card"/>
    <s v="Sunny"/>
  </r>
  <r>
    <s v="WSR-2026-0164"/>
    <d v="2026-03-12T00:00:00"/>
    <x v="2"/>
    <x v="2"/>
    <s v="Thursday"/>
    <x v="10"/>
    <d v="2026-03-31T00:00:00"/>
    <s v="Spring"/>
    <x v="3"/>
    <x v="8"/>
    <s v="2 Hours"/>
    <n v="1"/>
    <n v="16"/>
    <s v="Phone Pouch"/>
    <n v="5"/>
    <n v="0"/>
    <n v="21"/>
    <x v="0"/>
    <x v="2"/>
    <s v="Gift Card"/>
    <s v="Sunny"/>
  </r>
  <r>
    <s v="WSR-2026-0165"/>
    <d v="2026-03-12T00:00:00"/>
    <x v="2"/>
    <x v="2"/>
    <s v="Thursday"/>
    <x v="10"/>
    <d v="2026-03-31T00:00:00"/>
    <s v="Spring"/>
    <x v="0"/>
    <x v="5"/>
    <s v="1 Hour"/>
    <n v="1"/>
    <n v="26"/>
    <s v="Dry Bag"/>
    <n v="6"/>
    <n v="0"/>
    <n v="32"/>
    <x v="3"/>
    <x v="1"/>
    <s v="Debit Card"/>
    <s v="Cloudy"/>
  </r>
  <r>
    <s v="WSR-2026-0166"/>
    <d v="2026-03-12T00:00:00"/>
    <x v="2"/>
    <x v="2"/>
    <s v="Thursday"/>
    <x v="10"/>
    <d v="2026-03-31T00:00:00"/>
    <s v="Spring"/>
    <x v="0"/>
    <x v="4"/>
    <s v="1 Hour"/>
    <n v="1"/>
    <n v="12"/>
    <s v="None"/>
    <n v="0"/>
    <n v="0"/>
    <n v="12"/>
    <x v="8"/>
    <x v="0"/>
    <s v="Mobile Pay"/>
    <s v="Rainy"/>
  </r>
  <r>
    <s v="WSR-2026-0167"/>
    <d v="2026-03-12T00:00:00"/>
    <x v="2"/>
    <x v="2"/>
    <s v="Thursday"/>
    <x v="10"/>
    <d v="2026-03-31T00:00:00"/>
    <s v="Spring"/>
    <x v="2"/>
    <x v="7"/>
    <s v="1 Hour"/>
    <n v="1"/>
    <n v="14"/>
    <s v="Phone Pouch"/>
    <n v="5"/>
    <n v="0"/>
    <n v="19"/>
    <x v="4"/>
    <x v="2"/>
    <s v="Credit Card"/>
    <s v="Cloudy"/>
  </r>
  <r>
    <s v="WSR-2026-0168"/>
    <d v="2026-03-13T00:00:00"/>
    <x v="2"/>
    <x v="2"/>
    <s v="Friday"/>
    <x v="10"/>
    <d v="2026-03-31T00:00:00"/>
    <s v="Spring"/>
    <x v="1"/>
    <x v="7"/>
    <s v="2 Hours"/>
    <n v="1"/>
    <n v="22"/>
    <s v="Phone Pouch"/>
    <n v="5"/>
    <n v="0"/>
    <n v="27"/>
    <x v="8"/>
    <x v="0"/>
    <s v="Cash"/>
    <s v="Sunny"/>
  </r>
  <r>
    <s v="WSR-2026-0169"/>
    <d v="2026-03-13T00:00:00"/>
    <x v="2"/>
    <x v="2"/>
    <s v="Friday"/>
    <x v="10"/>
    <d v="2026-03-31T00:00:00"/>
    <s v="Spring"/>
    <x v="2"/>
    <x v="1"/>
    <s v="Half Day"/>
    <n v="1"/>
    <n v="58"/>
    <s v="Dry Bag"/>
    <n v="6"/>
    <n v="0"/>
    <n v="64"/>
    <x v="1"/>
    <x v="3"/>
    <s v="Credit Card"/>
    <s v="Cloudy"/>
  </r>
  <r>
    <s v="WSR-2026-0170"/>
    <d v="2026-03-13T00:00:00"/>
    <x v="2"/>
    <x v="2"/>
    <s v="Friday"/>
    <x v="10"/>
    <d v="2026-03-31T00:00:00"/>
    <s v="Spring"/>
    <x v="1"/>
    <x v="2"/>
    <s v="Half Day"/>
    <n v="1"/>
    <n v="78"/>
    <s v="Dry Bag"/>
    <n v="6"/>
    <n v="0"/>
    <n v="84"/>
    <x v="2"/>
    <x v="4"/>
    <s v="Credit Card"/>
    <s v="Sunny"/>
  </r>
  <r>
    <s v="WSR-2026-0171"/>
    <d v="2026-03-13T00:00:00"/>
    <x v="2"/>
    <x v="2"/>
    <s v="Friday"/>
    <x v="10"/>
    <d v="2026-03-31T00:00:00"/>
    <s v="Spring"/>
    <x v="2"/>
    <x v="5"/>
    <s v="1 Hour"/>
    <n v="1"/>
    <n v="26"/>
    <s v="None"/>
    <n v="0"/>
    <n v="0"/>
    <n v="26"/>
    <x v="5"/>
    <x v="0"/>
    <s v="Cash"/>
    <s v="Sunny"/>
  </r>
  <r>
    <s v="WSR-2026-0172"/>
    <d v="2026-03-13T00:00:00"/>
    <x v="2"/>
    <x v="2"/>
    <s v="Friday"/>
    <x v="10"/>
    <d v="2026-03-31T00:00:00"/>
    <s v="Spring"/>
    <x v="2"/>
    <x v="4"/>
    <s v="2 Hours"/>
    <n v="1"/>
    <n v="18"/>
    <s v="None"/>
    <n v="0"/>
    <n v="0"/>
    <n v="18"/>
    <x v="2"/>
    <x v="3"/>
    <s v="Credit Card"/>
    <s v="Sunny"/>
  </r>
  <r>
    <s v="WSR-2026-0173"/>
    <d v="2026-03-13T00:00:00"/>
    <x v="2"/>
    <x v="2"/>
    <s v="Friday"/>
    <x v="10"/>
    <d v="2026-03-31T00:00:00"/>
    <s v="Spring"/>
    <x v="3"/>
    <x v="5"/>
    <s v="1 Hour"/>
    <n v="1"/>
    <n v="26"/>
    <s v="Phone Pouch"/>
    <n v="5"/>
    <n v="1.55"/>
    <n v="29.45"/>
    <x v="6"/>
    <x v="2"/>
    <s v="Mobile Pay"/>
    <s v="Sunny"/>
  </r>
  <r>
    <s v="WSR-2026-0174"/>
    <d v="2026-03-13T00:00:00"/>
    <x v="2"/>
    <x v="2"/>
    <s v="Friday"/>
    <x v="10"/>
    <d v="2026-03-31T00:00:00"/>
    <s v="Spring"/>
    <x v="2"/>
    <x v="5"/>
    <s v="1 Hour"/>
    <n v="1"/>
    <n v="26"/>
    <s v="Cooler Rental"/>
    <n v="10"/>
    <n v="0"/>
    <n v="36"/>
    <x v="2"/>
    <x v="3"/>
    <s v="Credit Card"/>
    <s v="Sunny"/>
  </r>
  <r>
    <s v="WSR-2026-0175"/>
    <d v="2026-03-14T00:00:00"/>
    <x v="2"/>
    <x v="2"/>
    <s v="Saturday"/>
    <x v="10"/>
    <d v="2026-03-31T00:00:00"/>
    <s v="Spring"/>
    <x v="1"/>
    <x v="7"/>
    <s v="1 Hour"/>
    <n v="1"/>
    <n v="15.12"/>
    <s v="None"/>
    <n v="0"/>
    <n v="0.76"/>
    <n v="14.36"/>
    <x v="6"/>
    <x v="1"/>
    <s v="Debit Card"/>
    <s v="Cloudy"/>
  </r>
  <r>
    <s v="WSR-2026-0176"/>
    <d v="2026-03-14T00:00:00"/>
    <x v="2"/>
    <x v="2"/>
    <s v="Saturday"/>
    <x v="10"/>
    <d v="2026-03-31T00:00:00"/>
    <s v="Spring"/>
    <x v="1"/>
    <x v="5"/>
    <s v="Half Day"/>
    <n v="1"/>
    <n v="66.959999999999994"/>
    <s v="Cooler Rental"/>
    <n v="10"/>
    <n v="7.7"/>
    <n v="69.260000000000005"/>
    <x v="5"/>
    <x v="3"/>
    <s v="Credit Card"/>
    <s v="Sunny"/>
  </r>
  <r>
    <s v="WSR-2026-0177"/>
    <d v="2026-03-14T00:00:00"/>
    <x v="2"/>
    <x v="2"/>
    <s v="Saturday"/>
    <x v="10"/>
    <d v="2026-03-31T00:00:00"/>
    <s v="Spring"/>
    <x v="4"/>
    <x v="1"/>
    <s v="1 Hour"/>
    <n v="1"/>
    <n v="25.92"/>
    <s v="Premium Life Jacket"/>
    <n v="7"/>
    <n v="3.29"/>
    <n v="29.63"/>
    <x v="5"/>
    <x v="2"/>
    <s v="Debit Card"/>
    <s v="Sunny"/>
  </r>
  <r>
    <s v="WSR-2026-0178"/>
    <d v="2026-03-14T00:00:00"/>
    <x v="2"/>
    <x v="2"/>
    <s v="Saturday"/>
    <x v="10"/>
    <d v="2026-03-31T00:00:00"/>
    <s v="Spring"/>
    <x v="2"/>
    <x v="3"/>
    <s v="1 Hour"/>
    <n v="1"/>
    <n v="23.76"/>
    <s v="None"/>
    <n v="0"/>
    <n v="0"/>
    <n v="23.76"/>
    <x v="9"/>
    <x v="1"/>
    <s v="Cash"/>
    <s v="Cloudy"/>
  </r>
  <r>
    <s v="WSR-2026-0179"/>
    <d v="2026-03-14T00:00:00"/>
    <x v="2"/>
    <x v="2"/>
    <s v="Saturday"/>
    <x v="10"/>
    <d v="2026-03-31T00:00:00"/>
    <s v="Spring"/>
    <x v="2"/>
    <x v="7"/>
    <s v="Half Day"/>
    <n v="1"/>
    <n v="36.72"/>
    <s v="None"/>
    <n v="0"/>
    <n v="0"/>
    <n v="36.72"/>
    <x v="1"/>
    <x v="3"/>
    <s v="Credit Card"/>
    <s v="Sunny"/>
  </r>
  <r>
    <s v="WSR-2026-0180"/>
    <d v="2026-03-14T00:00:00"/>
    <x v="2"/>
    <x v="2"/>
    <s v="Saturday"/>
    <x v="10"/>
    <d v="2026-03-31T00:00:00"/>
    <s v="Spring"/>
    <x v="3"/>
    <x v="8"/>
    <s v="2 Hours"/>
    <n v="1"/>
    <n v="17.28"/>
    <s v="None"/>
    <n v="0"/>
    <n v="0"/>
    <n v="17.28"/>
    <x v="3"/>
    <x v="0"/>
    <s v="Credit Card"/>
    <s v="Cloudy"/>
  </r>
  <r>
    <s v="WSR-2026-0181"/>
    <d v="2026-03-15T00:00:00"/>
    <x v="2"/>
    <x v="2"/>
    <s v="Sunday"/>
    <x v="11"/>
    <d v="2026-03-31T00:00:00"/>
    <s v="Spring"/>
    <x v="3"/>
    <x v="6"/>
    <s v="1 Hour"/>
    <n v="1"/>
    <n v="38.880000000000003"/>
    <s v="Dry Bag"/>
    <n v="6"/>
    <n v="0"/>
    <n v="44.88"/>
    <x v="1"/>
    <x v="0"/>
    <s v="Credit Card"/>
    <s v="Sunny"/>
  </r>
  <r>
    <s v="WSR-2026-0182"/>
    <d v="2026-03-15T00:00:00"/>
    <x v="2"/>
    <x v="2"/>
    <s v="Sunday"/>
    <x v="11"/>
    <d v="2026-03-31T00:00:00"/>
    <s v="Spring"/>
    <x v="3"/>
    <x v="8"/>
    <s v="1 Hour"/>
    <n v="1"/>
    <n v="10.8"/>
    <s v="None"/>
    <n v="0"/>
    <n v="0.54"/>
    <n v="10.26"/>
    <x v="4"/>
    <x v="0"/>
    <s v="Credit Card"/>
    <s v="Rainy"/>
  </r>
  <r>
    <s v="WSR-2026-0183"/>
    <d v="2026-03-15T00:00:00"/>
    <x v="2"/>
    <x v="2"/>
    <s v="Sunday"/>
    <x v="11"/>
    <d v="2026-03-31T00:00:00"/>
    <s v="Spring"/>
    <x v="0"/>
    <x v="2"/>
    <s v="1 Hour"/>
    <n v="1"/>
    <n v="36.72"/>
    <s v="Premium Life Jacket"/>
    <n v="7"/>
    <n v="0"/>
    <n v="43.72"/>
    <x v="6"/>
    <x v="3"/>
    <s v="Debit Card"/>
    <s v="Windy"/>
  </r>
  <r>
    <s v="WSR-2026-0184"/>
    <d v="2026-03-15T00:00:00"/>
    <x v="2"/>
    <x v="2"/>
    <s v="Sunday"/>
    <x v="11"/>
    <d v="2026-03-31T00:00:00"/>
    <s v="Spring"/>
    <x v="3"/>
    <x v="1"/>
    <s v="1 Hour"/>
    <n v="1"/>
    <n v="25.92"/>
    <s v="None"/>
    <n v="0"/>
    <n v="0"/>
    <n v="25.92"/>
    <x v="1"/>
    <x v="2"/>
    <s v="Credit Card"/>
    <s v="Sunny"/>
  </r>
  <r>
    <s v="WSR-2026-0185"/>
    <d v="2026-03-15T00:00:00"/>
    <x v="2"/>
    <x v="2"/>
    <s v="Sunday"/>
    <x v="11"/>
    <d v="2026-03-31T00:00:00"/>
    <s v="Spring"/>
    <x v="3"/>
    <x v="3"/>
    <s v="2 Hours"/>
    <n v="1"/>
    <n v="38.880000000000003"/>
    <s v="None"/>
    <n v="0"/>
    <n v="0"/>
    <n v="38.880000000000003"/>
    <x v="2"/>
    <x v="4"/>
    <s v="Cash"/>
    <s v="Cloudy"/>
  </r>
  <r>
    <s v="WSR-2026-0186"/>
    <d v="2026-03-15T00:00:00"/>
    <x v="2"/>
    <x v="2"/>
    <s v="Sunday"/>
    <x v="11"/>
    <d v="2026-03-31T00:00:00"/>
    <s v="Spring"/>
    <x v="2"/>
    <x v="3"/>
    <s v="Full Day"/>
    <n v="1"/>
    <n v="82.08"/>
    <s v="None"/>
    <n v="0"/>
    <n v="0"/>
    <n v="82.08"/>
    <x v="1"/>
    <x v="1"/>
    <s v="Cash"/>
    <s v="Windy"/>
  </r>
  <r>
    <s v="WSR-2026-0187"/>
    <d v="2026-03-16T00:00:00"/>
    <x v="2"/>
    <x v="2"/>
    <s v="Monday"/>
    <x v="11"/>
    <d v="2026-03-31T00:00:00"/>
    <s v="Spring"/>
    <x v="2"/>
    <x v="5"/>
    <s v="Half Day"/>
    <n v="1"/>
    <n v="62"/>
    <s v="Waterproof Speaker"/>
    <n v="12"/>
    <n v="0"/>
    <n v="74"/>
    <x v="7"/>
    <x v="3"/>
    <s v="Mobile Pay"/>
    <s v="Cloudy"/>
  </r>
  <r>
    <s v="WSR-2026-0188"/>
    <d v="2026-03-16T00:00:00"/>
    <x v="2"/>
    <x v="2"/>
    <s v="Monday"/>
    <x v="11"/>
    <d v="2026-03-31T00:00:00"/>
    <s v="Spring"/>
    <x v="2"/>
    <x v="7"/>
    <s v="1 Hour"/>
    <n v="1"/>
    <n v="14"/>
    <s v="None"/>
    <n v="0"/>
    <n v="0"/>
    <n v="14"/>
    <x v="3"/>
    <x v="2"/>
    <s v="Credit Card"/>
    <s v="Cloudy"/>
  </r>
  <r>
    <s v="WSR-2026-0189"/>
    <d v="2026-03-16T00:00:00"/>
    <x v="2"/>
    <x v="2"/>
    <s v="Monday"/>
    <x v="11"/>
    <d v="2026-03-31T00:00:00"/>
    <s v="Spring"/>
    <x v="0"/>
    <x v="8"/>
    <s v="Full Day"/>
    <n v="1"/>
    <n v="34"/>
    <s v="Dry Bag"/>
    <n v="6"/>
    <n v="0"/>
    <n v="40"/>
    <x v="2"/>
    <x v="4"/>
    <s v="Credit Card"/>
    <s v="Sunny"/>
  </r>
  <r>
    <s v="WSR-2026-0190"/>
    <d v="2026-03-17T00:00:00"/>
    <x v="2"/>
    <x v="2"/>
    <s v="Tuesday"/>
    <x v="11"/>
    <d v="2026-03-31T00:00:00"/>
    <s v="Spring"/>
    <x v="2"/>
    <x v="5"/>
    <s v="Half Day"/>
    <n v="1"/>
    <n v="62"/>
    <s v="None"/>
    <n v="0"/>
    <n v="0"/>
    <n v="62"/>
    <x v="2"/>
    <x v="2"/>
    <s v="Cash"/>
    <s v="Sunny"/>
  </r>
  <r>
    <s v="WSR-2026-0191"/>
    <d v="2026-03-17T00:00:00"/>
    <x v="2"/>
    <x v="2"/>
    <s v="Tuesday"/>
    <x v="11"/>
    <d v="2026-03-31T00:00:00"/>
    <s v="Spring"/>
    <x v="2"/>
    <x v="2"/>
    <s v="2 Hours"/>
    <n v="1"/>
    <n v="52"/>
    <s v="Dry Bag"/>
    <n v="6"/>
    <n v="0"/>
    <n v="58"/>
    <x v="2"/>
    <x v="2"/>
    <s v="Credit Card"/>
    <s v="Cloudy"/>
  </r>
  <r>
    <s v="WSR-2026-0192"/>
    <d v="2026-03-17T00:00:00"/>
    <x v="2"/>
    <x v="2"/>
    <s v="Tuesday"/>
    <x v="11"/>
    <d v="2026-03-31T00:00:00"/>
    <s v="Spring"/>
    <x v="3"/>
    <x v="5"/>
    <s v="Full Day"/>
    <n v="1"/>
    <n v="88"/>
    <s v="Phone Pouch"/>
    <n v="5"/>
    <n v="0"/>
    <n v="93"/>
    <x v="9"/>
    <x v="0"/>
    <s v="Credit Card"/>
    <s v="Cloudy"/>
  </r>
  <r>
    <s v="WSR-2026-0193"/>
    <d v="2026-03-18T00:00:00"/>
    <x v="2"/>
    <x v="2"/>
    <s v="Wednesday"/>
    <x v="11"/>
    <d v="2026-03-31T00:00:00"/>
    <s v="Spring"/>
    <x v="3"/>
    <x v="4"/>
    <s v="1 Hour"/>
    <n v="1"/>
    <n v="12"/>
    <s v="Cooler Rental"/>
    <n v="10"/>
    <n v="0"/>
    <n v="22"/>
    <x v="1"/>
    <x v="4"/>
    <s v="Credit Card"/>
    <s v="Windy"/>
  </r>
  <r>
    <s v="WSR-2026-0194"/>
    <d v="2026-03-18T00:00:00"/>
    <x v="2"/>
    <x v="2"/>
    <s v="Wednesday"/>
    <x v="11"/>
    <d v="2026-03-31T00:00:00"/>
    <s v="Spring"/>
    <x v="0"/>
    <x v="2"/>
    <s v="2 Hours"/>
    <n v="1"/>
    <n v="52"/>
    <s v="Cooler Rental"/>
    <n v="10"/>
    <n v="0"/>
    <n v="62"/>
    <x v="5"/>
    <x v="3"/>
    <s v="Mobile Pay"/>
    <s v="Windy"/>
  </r>
  <r>
    <s v="WSR-2026-0195"/>
    <d v="2026-03-18T00:00:00"/>
    <x v="2"/>
    <x v="2"/>
    <s v="Wednesday"/>
    <x v="11"/>
    <d v="2026-03-31T00:00:00"/>
    <s v="Spring"/>
    <x v="0"/>
    <x v="9"/>
    <s v="1 Hour"/>
    <n v="1"/>
    <n v="30"/>
    <s v="None"/>
    <n v="0"/>
    <n v="0"/>
    <n v="30"/>
    <x v="5"/>
    <x v="2"/>
    <s v="Cash"/>
    <s v="Sunny"/>
  </r>
  <r>
    <s v="WSR-2026-0196"/>
    <d v="2026-03-19T00:00:00"/>
    <x v="2"/>
    <x v="2"/>
    <s v="Thursday"/>
    <x v="11"/>
    <d v="2026-03-31T00:00:00"/>
    <s v="Spring"/>
    <x v="2"/>
    <x v="3"/>
    <s v="Half Day"/>
    <n v="1"/>
    <n v="54"/>
    <s v="Phone Pouch"/>
    <n v="5"/>
    <n v="0"/>
    <n v="59"/>
    <x v="8"/>
    <x v="1"/>
    <s v="Credit Card"/>
    <s v="Windy"/>
  </r>
  <r>
    <s v="WSR-2026-0197"/>
    <d v="2026-03-19T00:00:00"/>
    <x v="2"/>
    <x v="2"/>
    <s v="Thursday"/>
    <x v="11"/>
    <d v="2026-03-31T00:00:00"/>
    <s v="Spring"/>
    <x v="3"/>
    <x v="3"/>
    <s v="1 Hour"/>
    <n v="1"/>
    <n v="22"/>
    <s v="None"/>
    <n v="0"/>
    <n v="0"/>
    <n v="22"/>
    <x v="3"/>
    <x v="4"/>
    <s v="Debit Card"/>
    <s v="Sunny"/>
  </r>
  <r>
    <s v="WSR-2026-0198"/>
    <d v="2026-03-20T00:00:00"/>
    <x v="2"/>
    <x v="2"/>
    <s v="Friday"/>
    <x v="11"/>
    <d v="2026-03-31T00:00:00"/>
    <s v="Spring"/>
    <x v="1"/>
    <x v="5"/>
    <s v="1 Hour"/>
    <n v="1"/>
    <n v="26"/>
    <s v="Phone Pouch"/>
    <n v="5"/>
    <n v="0"/>
    <n v="31"/>
    <x v="5"/>
    <x v="4"/>
    <s v="Credit Card"/>
    <s v="Sunny"/>
  </r>
  <r>
    <s v="WSR-2026-0199"/>
    <d v="2026-03-20T00:00:00"/>
    <x v="2"/>
    <x v="2"/>
    <s v="Friday"/>
    <x v="11"/>
    <d v="2026-03-31T00:00:00"/>
    <s v="Spring"/>
    <x v="3"/>
    <x v="8"/>
    <s v="1 Hour"/>
    <n v="1"/>
    <n v="10"/>
    <s v="Cooler Rental"/>
    <n v="10"/>
    <n v="0"/>
    <n v="20"/>
    <x v="4"/>
    <x v="3"/>
    <s v="Mobile Pay"/>
    <s v="Cloudy"/>
  </r>
  <r>
    <s v="WSR-2026-0200"/>
    <d v="2026-03-20T00:00:00"/>
    <x v="2"/>
    <x v="2"/>
    <s v="Friday"/>
    <x v="11"/>
    <d v="2026-03-31T00:00:00"/>
    <s v="Spring"/>
    <x v="1"/>
    <x v="4"/>
    <s v="1 Hour"/>
    <n v="1"/>
    <n v="12"/>
    <s v="None"/>
    <n v="0"/>
    <n v="0.6"/>
    <n v="11.4"/>
    <x v="9"/>
    <x v="2"/>
    <s v="Credit Card"/>
    <s v="Cloudy"/>
  </r>
  <r>
    <s v="WSR-2026-0201"/>
    <d v="2026-03-20T00:00:00"/>
    <x v="2"/>
    <x v="2"/>
    <s v="Friday"/>
    <x v="11"/>
    <d v="2026-03-31T00:00:00"/>
    <s v="Spring"/>
    <x v="4"/>
    <x v="5"/>
    <s v="1 Hour"/>
    <n v="1"/>
    <n v="26"/>
    <s v="Premium Life Jacket"/>
    <n v="7"/>
    <n v="4.95"/>
    <n v="28.05"/>
    <x v="7"/>
    <x v="0"/>
    <s v="Mobile Pay"/>
    <s v="Windy"/>
  </r>
  <r>
    <s v="WSR-2026-0202"/>
    <d v="2026-03-20T00:00:00"/>
    <x v="2"/>
    <x v="2"/>
    <s v="Friday"/>
    <x v="11"/>
    <d v="2026-03-31T00:00:00"/>
    <s v="Spring"/>
    <x v="2"/>
    <x v="9"/>
    <s v="1 Hour"/>
    <n v="1"/>
    <n v="30"/>
    <s v="None"/>
    <n v="0"/>
    <n v="0"/>
    <n v="30"/>
    <x v="6"/>
    <x v="2"/>
    <s v="Credit Card"/>
    <s v="Sunny"/>
  </r>
  <r>
    <s v="WSR-2026-0203"/>
    <d v="2026-03-21T00:00:00"/>
    <x v="2"/>
    <x v="2"/>
    <s v="Saturday"/>
    <x v="11"/>
    <d v="2026-03-31T00:00:00"/>
    <s v="Spring"/>
    <x v="2"/>
    <x v="8"/>
    <s v="2 Hours"/>
    <n v="1"/>
    <n v="17.28"/>
    <s v="None"/>
    <n v="0"/>
    <n v="0"/>
    <n v="17.28"/>
    <x v="4"/>
    <x v="0"/>
    <s v="Mobile Pay"/>
    <s v="Sunny"/>
  </r>
  <r>
    <s v="WSR-2026-0204"/>
    <d v="2026-03-21T00:00:00"/>
    <x v="2"/>
    <x v="2"/>
    <s v="Saturday"/>
    <x v="11"/>
    <d v="2026-03-31T00:00:00"/>
    <s v="Spring"/>
    <x v="3"/>
    <x v="3"/>
    <s v="1 Hour"/>
    <n v="1"/>
    <n v="23.76"/>
    <s v="Dry Bag"/>
    <n v="6"/>
    <n v="0"/>
    <n v="29.76"/>
    <x v="0"/>
    <x v="0"/>
    <s v="Debit Card"/>
    <s v="Windy"/>
  </r>
  <r>
    <s v="WSR-2026-0205"/>
    <d v="2026-03-21T00:00:00"/>
    <x v="2"/>
    <x v="2"/>
    <s v="Saturday"/>
    <x v="11"/>
    <d v="2026-03-31T00:00:00"/>
    <s v="Spring"/>
    <x v="1"/>
    <x v="0"/>
    <s v="2 Hours"/>
    <n v="1"/>
    <n v="54"/>
    <s v="GoPro Mount"/>
    <n v="8"/>
    <n v="6.2"/>
    <n v="55.8"/>
    <x v="6"/>
    <x v="2"/>
    <s v="Credit Card"/>
    <s v="Cloudy"/>
  </r>
  <r>
    <s v="WSR-2026-0206"/>
    <d v="2026-03-21T00:00:00"/>
    <x v="2"/>
    <x v="2"/>
    <s v="Saturday"/>
    <x v="11"/>
    <d v="2026-03-31T00:00:00"/>
    <s v="Spring"/>
    <x v="3"/>
    <x v="8"/>
    <s v="1 Hour"/>
    <n v="1"/>
    <n v="10.8"/>
    <s v="Cooler Rental"/>
    <n v="10"/>
    <n v="0"/>
    <n v="20.8"/>
    <x v="7"/>
    <x v="4"/>
    <s v="Mobile Pay"/>
    <s v="Sunny"/>
  </r>
  <r>
    <s v="WSR-2026-0207"/>
    <d v="2026-03-21T00:00:00"/>
    <x v="2"/>
    <x v="2"/>
    <s v="Saturday"/>
    <x v="11"/>
    <d v="2026-03-31T00:00:00"/>
    <s v="Spring"/>
    <x v="2"/>
    <x v="4"/>
    <s v="Half Day"/>
    <n v="1"/>
    <n v="30.24"/>
    <s v="Phone Pouch"/>
    <n v="5"/>
    <n v="0"/>
    <n v="35.24"/>
    <x v="4"/>
    <x v="2"/>
    <s v="Credit Card"/>
    <s v="Cloudy"/>
  </r>
  <r>
    <s v="WSR-2026-0208"/>
    <d v="2026-03-21T00:00:00"/>
    <x v="2"/>
    <x v="2"/>
    <s v="Saturday"/>
    <x v="11"/>
    <d v="2026-03-31T00:00:00"/>
    <s v="Spring"/>
    <x v="2"/>
    <x v="7"/>
    <s v="1 Hour"/>
    <n v="1"/>
    <n v="15.12"/>
    <s v="None"/>
    <n v="0"/>
    <n v="0"/>
    <n v="15.12"/>
    <x v="8"/>
    <x v="0"/>
    <s v="Credit Card"/>
    <s v="Cloudy"/>
  </r>
  <r>
    <s v="WSR-2026-0209"/>
    <d v="2026-03-21T00:00:00"/>
    <x v="2"/>
    <x v="2"/>
    <s v="Saturday"/>
    <x v="11"/>
    <d v="2026-03-31T00:00:00"/>
    <s v="Spring"/>
    <x v="2"/>
    <x v="1"/>
    <s v="Half Day"/>
    <n v="1"/>
    <n v="62.64"/>
    <s v="Phone Pouch"/>
    <n v="5"/>
    <n v="0"/>
    <n v="67.64"/>
    <x v="9"/>
    <x v="4"/>
    <s v="Credit Card"/>
    <s v="Sunny"/>
  </r>
  <r>
    <s v="WSR-2026-0210"/>
    <d v="2026-03-21T00:00:00"/>
    <x v="2"/>
    <x v="2"/>
    <s v="Saturday"/>
    <x v="11"/>
    <d v="2026-03-31T00:00:00"/>
    <s v="Spring"/>
    <x v="3"/>
    <x v="1"/>
    <s v="Half Day"/>
    <n v="1"/>
    <n v="62.64"/>
    <s v="None"/>
    <n v="0"/>
    <n v="0"/>
    <n v="62.64"/>
    <x v="7"/>
    <x v="2"/>
    <s v="Cash"/>
    <s v="Sunny"/>
  </r>
  <r>
    <s v="WSR-2026-0211"/>
    <d v="2026-03-21T00:00:00"/>
    <x v="2"/>
    <x v="2"/>
    <s v="Saturday"/>
    <x v="11"/>
    <d v="2026-03-31T00:00:00"/>
    <s v="Spring"/>
    <x v="1"/>
    <x v="0"/>
    <s v="Full Day"/>
    <n v="1"/>
    <n v="118.8"/>
    <s v="Dry Bag"/>
    <n v="6"/>
    <n v="6.24"/>
    <n v="118.56"/>
    <x v="0"/>
    <x v="2"/>
    <s v="Credit Card"/>
    <s v="Cloudy"/>
  </r>
  <r>
    <s v="WSR-2026-0212"/>
    <d v="2026-03-21T00:00:00"/>
    <x v="2"/>
    <x v="2"/>
    <s v="Saturday"/>
    <x v="11"/>
    <d v="2026-03-31T00:00:00"/>
    <s v="Spring"/>
    <x v="0"/>
    <x v="7"/>
    <s v="Half Day"/>
    <n v="1"/>
    <n v="36.72"/>
    <s v="None"/>
    <n v="0"/>
    <n v="0"/>
    <n v="36.72"/>
    <x v="1"/>
    <x v="3"/>
    <s v="Debit Card"/>
    <s v="Windy"/>
  </r>
  <r>
    <s v="WSR-2026-0213"/>
    <d v="2026-03-21T00:00:00"/>
    <x v="2"/>
    <x v="2"/>
    <s v="Saturday"/>
    <x v="11"/>
    <d v="2026-03-31T00:00:00"/>
    <s v="Spring"/>
    <x v="2"/>
    <x v="9"/>
    <s v="2 Hours"/>
    <n v="1"/>
    <n v="51.84"/>
    <s v="Cooler Rental"/>
    <n v="10"/>
    <n v="3.09"/>
    <n v="58.75"/>
    <x v="6"/>
    <x v="3"/>
    <s v="Debit Card"/>
    <s v="Rainy"/>
  </r>
  <r>
    <s v="WSR-2026-0214"/>
    <d v="2026-03-22T00:00:00"/>
    <x v="2"/>
    <x v="2"/>
    <s v="Sunday"/>
    <x v="12"/>
    <d v="2026-03-31T00:00:00"/>
    <s v="Spring"/>
    <x v="0"/>
    <x v="1"/>
    <s v="2 Hours"/>
    <n v="1"/>
    <n v="41.04"/>
    <s v="Premium Life Jacket"/>
    <n v="7"/>
    <n v="0"/>
    <n v="48.04"/>
    <x v="2"/>
    <x v="0"/>
    <s v="Cash"/>
    <s v="Sunny"/>
  </r>
  <r>
    <s v="WSR-2026-0215"/>
    <d v="2026-03-22T00:00:00"/>
    <x v="2"/>
    <x v="2"/>
    <s v="Sunday"/>
    <x v="12"/>
    <d v="2026-03-31T00:00:00"/>
    <s v="Spring"/>
    <x v="1"/>
    <x v="1"/>
    <s v="1 Hour"/>
    <n v="1"/>
    <n v="25.92"/>
    <s v="Phone Pouch"/>
    <n v="5"/>
    <n v="0"/>
    <n v="30.92"/>
    <x v="2"/>
    <x v="4"/>
    <s v="Credit Card"/>
    <s v="Sunny"/>
  </r>
  <r>
    <s v="WSR-2026-0216"/>
    <d v="2026-03-22T00:00:00"/>
    <x v="2"/>
    <x v="2"/>
    <s v="Sunday"/>
    <x v="12"/>
    <d v="2026-03-31T00:00:00"/>
    <s v="Spring"/>
    <x v="1"/>
    <x v="2"/>
    <s v="2 Hours"/>
    <n v="1"/>
    <n v="56.16"/>
    <s v="Dry Bag"/>
    <n v="6"/>
    <n v="3.11"/>
    <n v="59.05"/>
    <x v="9"/>
    <x v="4"/>
    <s v="Credit Card"/>
    <s v="Sunny"/>
  </r>
  <r>
    <s v="WSR-2026-0217"/>
    <d v="2026-03-22T00:00:00"/>
    <x v="2"/>
    <x v="2"/>
    <s v="Sunday"/>
    <x v="12"/>
    <d v="2026-03-31T00:00:00"/>
    <s v="Spring"/>
    <x v="1"/>
    <x v="0"/>
    <s v="Full Day"/>
    <n v="1"/>
    <n v="118.8"/>
    <s v="None"/>
    <n v="0"/>
    <n v="5.94"/>
    <n v="112.86"/>
    <x v="8"/>
    <x v="2"/>
    <s v="Cash"/>
    <s v="Sunny"/>
  </r>
  <r>
    <s v="WSR-2026-0218"/>
    <d v="2026-03-22T00:00:00"/>
    <x v="2"/>
    <x v="2"/>
    <s v="Sunday"/>
    <x v="12"/>
    <d v="2026-03-31T00:00:00"/>
    <s v="Spring"/>
    <x v="2"/>
    <x v="1"/>
    <s v="2 Hours"/>
    <n v="1"/>
    <n v="41.04"/>
    <s v="Dry Bag"/>
    <n v="6"/>
    <n v="0"/>
    <n v="47.04"/>
    <x v="7"/>
    <x v="3"/>
    <s v="Debit Card"/>
    <s v="Sunny"/>
  </r>
  <r>
    <s v="WSR-2026-0219"/>
    <d v="2026-03-22T00:00:00"/>
    <x v="2"/>
    <x v="2"/>
    <s v="Sunday"/>
    <x v="12"/>
    <d v="2026-03-31T00:00:00"/>
    <s v="Spring"/>
    <x v="3"/>
    <x v="3"/>
    <s v="1 Hour"/>
    <n v="1"/>
    <n v="23.76"/>
    <s v="None"/>
    <n v="0"/>
    <n v="0"/>
    <n v="23.76"/>
    <x v="0"/>
    <x v="2"/>
    <s v="Mobile Pay"/>
    <s v="Sunny"/>
  </r>
  <r>
    <s v="WSR-2026-0220"/>
    <d v="2026-03-23T00:00:00"/>
    <x v="2"/>
    <x v="2"/>
    <s v="Monday"/>
    <x v="12"/>
    <d v="2026-03-31T00:00:00"/>
    <s v="Spring"/>
    <x v="3"/>
    <x v="4"/>
    <s v="2 Hours"/>
    <n v="1"/>
    <n v="18"/>
    <s v="GoPro Mount"/>
    <n v="8"/>
    <n v="0"/>
    <n v="26"/>
    <x v="1"/>
    <x v="1"/>
    <s v="Mobile Pay"/>
    <s v="Rainy"/>
  </r>
  <r>
    <s v="WSR-2026-0221"/>
    <d v="2026-03-23T00:00:00"/>
    <x v="2"/>
    <x v="2"/>
    <s v="Monday"/>
    <x v="12"/>
    <d v="2026-03-31T00:00:00"/>
    <s v="Spring"/>
    <x v="3"/>
    <x v="1"/>
    <s v="Half Day"/>
    <n v="1"/>
    <n v="58"/>
    <s v="Dry Bag"/>
    <n v="6"/>
    <n v="0"/>
    <n v="64"/>
    <x v="7"/>
    <x v="3"/>
    <s v="Mobile Pay"/>
    <s v="Sunny"/>
  </r>
  <r>
    <s v="WSR-2026-0222"/>
    <d v="2026-03-23T00:00:00"/>
    <x v="2"/>
    <x v="2"/>
    <s v="Monday"/>
    <x v="12"/>
    <d v="2026-03-31T00:00:00"/>
    <s v="Spring"/>
    <x v="2"/>
    <x v="3"/>
    <s v="2 Hours"/>
    <n v="1"/>
    <n v="36"/>
    <s v="None"/>
    <n v="0"/>
    <n v="0"/>
    <n v="36"/>
    <x v="3"/>
    <x v="3"/>
    <s v="Credit Card"/>
    <s v="Cloudy"/>
  </r>
  <r>
    <s v="WSR-2026-0223"/>
    <d v="2026-03-24T00:00:00"/>
    <x v="2"/>
    <x v="2"/>
    <s v="Tuesday"/>
    <x v="12"/>
    <d v="2026-03-31T00:00:00"/>
    <s v="Spring"/>
    <x v="3"/>
    <x v="9"/>
    <s v="1 Hour"/>
    <n v="1"/>
    <n v="30"/>
    <s v="None"/>
    <n v="0"/>
    <n v="0"/>
    <n v="30"/>
    <x v="4"/>
    <x v="1"/>
    <s v="Debit Card"/>
    <s v="Windy"/>
  </r>
  <r>
    <s v="WSR-2026-0224"/>
    <d v="2026-03-24T00:00:00"/>
    <x v="2"/>
    <x v="2"/>
    <s v="Tuesday"/>
    <x v="12"/>
    <d v="2026-03-31T00:00:00"/>
    <s v="Spring"/>
    <x v="3"/>
    <x v="2"/>
    <s v="Full Day"/>
    <n v="1"/>
    <n v="112"/>
    <s v="None"/>
    <n v="0"/>
    <n v="0"/>
    <n v="112"/>
    <x v="8"/>
    <x v="3"/>
    <s v="Debit Card"/>
    <s v="Cloudy"/>
  </r>
  <r>
    <s v="WSR-2026-0225"/>
    <d v="2026-03-24T00:00:00"/>
    <x v="2"/>
    <x v="2"/>
    <s v="Tuesday"/>
    <x v="12"/>
    <d v="2026-03-31T00:00:00"/>
    <s v="Spring"/>
    <x v="4"/>
    <x v="3"/>
    <s v="2 Hours"/>
    <n v="1"/>
    <n v="36"/>
    <s v="GoPro Mount"/>
    <n v="8"/>
    <n v="6.6"/>
    <n v="37.4"/>
    <x v="6"/>
    <x v="1"/>
    <s v="Cash"/>
    <s v="Sunny"/>
  </r>
  <r>
    <s v="WSR-2026-0226"/>
    <d v="2026-03-25T00:00:00"/>
    <x v="2"/>
    <x v="2"/>
    <s v="Wednesday"/>
    <x v="12"/>
    <d v="2026-03-31T00:00:00"/>
    <s v="Spring"/>
    <x v="0"/>
    <x v="0"/>
    <s v="Half Day"/>
    <n v="1"/>
    <n v="76"/>
    <s v="Cooler Rental"/>
    <n v="10"/>
    <n v="0"/>
    <n v="86"/>
    <x v="2"/>
    <x v="1"/>
    <s v="Debit Card"/>
    <s v="Sunny"/>
  </r>
  <r>
    <s v="WSR-2026-0227"/>
    <d v="2026-03-25T00:00:00"/>
    <x v="2"/>
    <x v="2"/>
    <s v="Wednesday"/>
    <x v="12"/>
    <d v="2026-03-31T00:00:00"/>
    <s v="Spring"/>
    <x v="0"/>
    <x v="3"/>
    <s v="2 Hours"/>
    <n v="1"/>
    <n v="36"/>
    <s v="Dry Bag"/>
    <n v="6"/>
    <n v="0"/>
    <n v="42"/>
    <x v="8"/>
    <x v="3"/>
    <s v="Gift Card"/>
    <s v="Sunny"/>
  </r>
  <r>
    <s v="WSR-2026-0228"/>
    <d v="2026-03-25T00:00:00"/>
    <x v="2"/>
    <x v="2"/>
    <s v="Wednesday"/>
    <x v="12"/>
    <d v="2026-03-31T00:00:00"/>
    <s v="Spring"/>
    <x v="4"/>
    <x v="4"/>
    <s v="Full Day"/>
    <n v="1"/>
    <n v="40"/>
    <s v="None"/>
    <n v="0"/>
    <n v="6"/>
    <n v="34"/>
    <x v="3"/>
    <x v="3"/>
    <s v="Gift Card"/>
    <s v="Sunny"/>
  </r>
  <r>
    <s v="WSR-2026-0229"/>
    <d v="2026-03-25T00:00:00"/>
    <x v="2"/>
    <x v="2"/>
    <s v="Wednesday"/>
    <x v="12"/>
    <d v="2026-03-31T00:00:00"/>
    <s v="Spring"/>
    <x v="2"/>
    <x v="1"/>
    <s v="2 Hours"/>
    <n v="1"/>
    <n v="38"/>
    <s v="Phone Pouch"/>
    <n v="5"/>
    <n v="0"/>
    <n v="43"/>
    <x v="4"/>
    <x v="3"/>
    <s v="Credit Card"/>
    <s v="Sunny"/>
  </r>
  <r>
    <s v="WSR-2026-0230"/>
    <d v="2026-03-26T00:00:00"/>
    <x v="2"/>
    <x v="2"/>
    <s v="Thursday"/>
    <x v="12"/>
    <d v="2026-03-31T00:00:00"/>
    <s v="Spring"/>
    <x v="2"/>
    <x v="2"/>
    <s v="1 Hour"/>
    <n v="1"/>
    <n v="34"/>
    <s v="GoPro Mount"/>
    <n v="8"/>
    <n v="0"/>
    <n v="42"/>
    <x v="4"/>
    <x v="3"/>
    <s v="Gift Card"/>
    <s v="Sunny"/>
  </r>
  <r>
    <s v="WSR-2026-0231"/>
    <d v="2026-03-27T00:00:00"/>
    <x v="2"/>
    <x v="2"/>
    <s v="Friday"/>
    <x v="12"/>
    <d v="2026-03-31T00:00:00"/>
    <s v="Spring"/>
    <x v="2"/>
    <x v="5"/>
    <s v="2 Hours"/>
    <n v="1"/>
    <n v="42"/>
    <s v="None"/>
    <n v="0"/>
    <n v="0"/>
    <n v="42"/>
    <x v="3"/>
    <x v="1"/>
    <s v="Credit Card"/>
    <s v="Sunny"/>
  </r>
  <r>
    <s v="WSR-2026-0232"/>
    <d v="2026-03-27T00:00:00"/>
    <x v="2"/>
    <x v="2"/>
    <s v="Friday"/>
    <x v="12"/>
    <d v="2026-03-31T00:00:00"/>
    <s v="Spring"/>
    <x v="0"/>
    <x v="5"/>
    <s v="1 Hour"/>
    <n v="1"/>
    <n v="26"/>
    <s v="None"/>
    <n v="0"/>
    <n v="0"/>
    <n v="26"/>
    <x v="1"/>
    <x v="1"/>
    <s v="Mobile Pay"/>
    <s v="Sunny"/>
  </r>
  <r>
    <s v="WSR-2026-0233"/>
    <d v="2026-03-27T00:00:00"/>
    <x v="2"/>
    <x v="2"/>
    <s v="Friday"/>
    <x v="12"/>
    <d v="2026-03-31T00:00:00"/>
    <s v="Spring"/>
    <x v="2"/>
    <x v="6"/>
    <s v="Full Day"/>
    <n v="1"/>
    <n v="124"/>
    <s v="None"/>
    <n v="0"/>
    <n v="6.2"/>
    <n v="117.8"/>
    <x v="4"/>
    <x v="2"/>
    <s v="Debit Card"/>
    <s v="Windy"/>
  </r>
  <r>
    <s v="WSR-2026-0234"/>
    <d v="2026-03-27T00:00:00"/>
    <x v="2"/>
    <x v="2"/>
    <s v="Friday"/>
    <x v="12"/>
    <d v="2026-03-31T00:00:00"/>
    <s v="Spring"/>
    <x v="0"/>
    <x v="3"/>
    <s v="2 Hours"/>
    <n v="1"/>
    <n v="36"/>
    <s v="None"/>
    <n v="0"/>
    <n v="0"/>
    <n v="36"/>
    <x v="0"/>
    <x v="0"/>
    <s v="Debit Card"/>
    <s v="Cloudy"/>
  </r>
  <r>
    <s v="WSR-2026-0235"/>
    <d v="2026-03-27T00:00:00"/>
    <x v="2"/>
    <x v="2"/>
    <s v="Friday"/>
    <x v="12"/>
    <d v="2026-03-31T00:00:00"/>
    <s v="Spring"/>
    <x v="2"/>
    <x v="3"/>
    <s v="1 Hour"/>
    <n v="1"/>
    <n v="22"/>
    <s v="None"/>
    <n v="0"/>
    <n v="0"/>
    <n v="22"/>
    <x v="7"/>
    <x v="1"/>
    <s v="Mobile Pay"/>
    <s v="Sunny"/>
  </r>
  <r>
    <s v="WSR-2026-0236"/>
    <d v="2026-03-28T00:00:00"/>
    <x v="2"/>
    <x v="2"/>
    <s v="Saturday"/>
    <x v="12"/>
    <d v="2026-03-31T00:00:00"/>
    <s v="Spring"/>
    <x v="2"/>
    <x v="1"/>
    <s v="Full Day"/>
    <n v="1"/>
    <n v="90.72"/>
    <s v="Cooler Rental"/>
    <n v="10"/>
    <n v="0"/>
    <n v="100.72"/>
    <x v="9"/>
    <x v="3"/>
    <s v="Credit Card"/>
    <s v="Cloudy"/>
  </r>
  <r>
    <s v="WSR-2026-0237"/>
    <d v="2026-03-28T00:00:00"/>
    <x v="2"/>
    <x v="2"/>
    <s v="Saturday"/>
    <x v="12"/>
    <d v="2026-03-31T00:00:00"/>
    <s v="Spring"/>
    <x v="0"/>
    <x v="2"/>
    <s v="Half Day"/>
    <n v="1"/>
    <n v="84.24"/>
    <s v="None"/>
    <n v="0"/>
    <n v="0"/>
    <n v="84.24"/>
    <x v="0"/>
    <x v="0"/>
    <s v="Credit Card"/>
    <s v="Rainy"/>
  </r>
  <r>
    <s v="WSR-2026-0238"/>
    <d v="2026-03-28T00:00:00"/>
    <x v="2"/>
    <x v="2"/>
    <s v="Saturday"/>
    <x v="12"/>
    <d v="2026-03-31T00:00:00"/>
    <s v="Spring"/>
    <x v="3"/>
    <x v="2"/>
    <s v="1 Hour"/>
    <n v="1"/>
    <n v="36.72"/>
    <s v="GoPro Mount"/>
    <n v="8"/>
    <n v="0"/>
    <n v="44.72"/>
    <x v="6"/>
    <x v="4"/>
    <s v="Debit Card"/>
    <s v="Cloudy"/>
  </r>
  <r>
    <s v="WSR-2026-0239"/>
    <d v="2026-03-28T00:00:00"/>
    <x v="2"/>
    <x v="2"/>
    <s v="Saturday"/>
    <x v="12"/>
    <d v="2026-03-31T00:00:00"/>
    <s v="Spring"/>
    <x v="3"/>
    <x v="0"/>
    <s v="1 Hour"/>
    <n v="1"/>
    <n v="34.56"/>
    <s v="Dry Bag"/>
    <n v="6"/>
    <n v="0"/>
    <n v="40.56"/>
    <x v="3"/>
    <x v="0"/>
    <s v="Credit Card"/>
    <s v="Windy"/>
  </r>
  <r>
    <s v="WSR-2026-0240"/>
    <d v="2026-03-28T00:00:00"/>
    <x v="2"/>
    <x v="2"/>
    <s v="Saturday"/>
    <x v="12"/>
    <d v="2026-03-31T00:00:00"/>
    <s v="Spring"/>
    <x v="0"/>
    <x v="6"/>
    <s v="Full Day"/>
    <n v="1"/>
    <n v="133.91999999999999"/>
    <s v="None"/>
    <n v="0"/>
    <n v="0"/>
    <n v="133.91999999999999"/>
    <x v="2"/>
    <x v="3"/>
    <s v="Credit Card"/>
    <s v="Sunny"/>
  </r>
  <r>
    <s v="WSR-2026-0241"/>
    <d v="2026-03-28T00:00:00"/>
    <x v="2"/>
    <x v="2"/>
    <s v="Saturday"/>
    <x v="12"/>
    <d v="2026-03-31T00:00:00"/>
    <s v="Spring"/>
    <x v="1"/>
    <x v="1"/>
    <s v="Half Day"/>
    <n v="1"/>
    <n v="62.64"/>
    <s v="None"/>
    <n v="0"/>
    <n v="0"/>
    <n v="62.64"/>
    <x v="5"/>
    <x v="0"/>
    <s v="Credit Card"/>
    <s v="Cloudy"/>
  </r>
  <r>
    <s v="WSR-2026-0242"/>
    <d v="2026-03-28T00:00:00"/>
    <x v="2"/>
    <x v="2"/>
    <s v="Saturday"/>
    <x v="12"/>
    <d v="2026-03-31T00:00:00"/>
    <s v="Spring"/>
    <x v="3"/>
    <x v="7"/>
    <s v="1 Hour"/>
    <n v="1"/>
    <n v="15.12"/>
    <s v="None"/>
    <n v="0"/>
    <n v="0"/>
    <n v="15.12"/>
    <x v="7"/>
    <x v="1"/>
    <s v="Credit Card"/>
    <s v="Sunny"/>
  </r>
  <r>
    <s v="WSR-2026-0243"/>
    <d v="2026-03-29T00:00:00"/>
    <x v="2"/>
    <x v="2"/>
    <s v="Sunday"/>
    <x v="13"/>
    <d v="2026-03-31T00:00:00"/>
    <s v="Spring"/>
    <x v="2"/>
    <x v="1"/>
    <s v="Full Day"/>
    <n v="1"/>
    <n v="90.72"/>
    <s v="None"/>
    <n v="0"/>
    <n v="0"/>
    <n v="90.72"/>
    <x v="1"/>
    <x v="0"/>
    <s v="Credit Card"/>
    <s v="Cloudy"/>
  </r>
  <r>
    <s v="WSR-2026-0244"/>
    <d v="2026-03-29T00:00:00"/>
    <x v="2"/>
    <x v="2"/>
    <s v="Sunday"/>
    <x v="13"/>
    <d v="2026-03-31T00:00:00"/>
    <s v="Spring"/>
    <x v="3"/>
    <x v="2"/>
    <s v="1 Hour"/>
    <n v="1"/>
    <n v="36.72"/>
    <s v="Dry Bag"/>
    <n v="6"/>
    <n v="0"/>
    <n v="42.72"/>
    <x v="2"/>
    <x v="2"/>
    <s v="Credit Card"/>
    <s v="Windy"/>
  </r>
  <r>
    <s v="WSR-2026-0245"/>
    <d v="2026-03-29T00:00:00"/>
    <x v="2"/>
    <x v="2"/>
    <s v="Sunday"/>
    <x v="13"/>
    <d v="2026-03-31T00:00:00"/>
    <s v="Spring"/>
    <x v="3"/>
    <x v="1"/>
    <s v="2 Hours"/>
    <n v="1"/>
    <n v="41.04"/>
    <s v="None"/>
    <n v="0"/>
    <n v="0"/>
    <n v="41.04"/>
    <x v="0"/>
    <x v="4"/>
    <s v="Debit Card"/>
    <s v="Sunny"/>
  </r>
  <r>
    <s v="WSR-2026-0246"/>
    <d v="2026-03-29T00:00:00"/>
    <x v="2"/>
    <x v="2"/>
    <s v="Sunday"/>
    <x v="13"/>
    <d v="2026-03-31T00:00:00"/>
    <s v="Spring"/>
    <x v="0"/>
    <x v="9"/>
    <s v="Half Day"/>
    <n v="1"/>
    <n v="77.760000000000005"/>
    <s v="Dry Bag"/>
    <n v="6"/>
    <n v="0"/>
    <n v="83.76"/>
    <x v="7"/>
    <x v="4"/>
    <s v="Debit Card"/>
    <s v="Sunny"/>
  </r>
  <r>
    <s v="WSR-2026-0247"/>
    <d v="2026-03-29T00:00:00"/>
    <x v="2"/>
    <x v="2"/>
    <s v="Sunday"/>
    <x v="13"/>
    <d v="2026-03-31T00:00:00"/>
    <s v="Spring"/>
    <x v="3"/>
    <x v="9"/>
    <s v="Half Day"/>
    <n v="1"/>
    <n v="77.760000000000005"/>
    <s v="None"/>
    <n v="0"/>
    <n v="0"/>
    <n v="77.760000000000005"/>
    <x v="7"/>
    <x v="4"/>
    <s v="Credit Card"/>
    <s v="Sunny"/>
  </r>
  <r>
    <s v="WSR-2026-0248"/>
    <d v="2026-03-29T00:00:00"/>
    <x v="2"/>
    <x v="2"/>
    <s v="Sunday"/>
    <x v="13"/>
    <d v="2026-03-31T00:00:00"/>
    <s v="Spring"/>
    <x v="1"/>
    <x v="6"/>
    <s v="2 Hours"/>
    <n v="1"/>
    <n v="62.64"/>
    <s v="None"/>
    <n v="0"/>
    <n v="6.26"/>
    <n v="56.38"/>
    <x v="6"/>
    <x v="0"/>
    <s v="Cash"/>
    <s v="Windy"/>
  </r>
  <r>
    <s v="WSR-2026-0249"/>
    <d v="2026-03-29T00:00:00"/>
    <x v="2"/>
    <x v="2"/>
    <s v="Sunday"/>
    <x v="13"/>
    <d v="2026-03-31T00:00:00"/>
    <s v="Spring"/>
    <x v="2"/>
    <x v="5"/>
    <s v="1 Hour"/>
    <n v="1"/>
    <n v="28.08"/>
    <s v="None"/>
    <n v="0"/>
    <n v="0"/>
    <n v="28.08"/>
    <x v="4"/>
    <x v="0"/>
    <s v="Debit Card"/>
    <s v="Sunny"/>
  </r>
  <r>
    <s v="WSR-2026-0250"/>
    <d v="2026-03-29T00:00:00"/>
    <x v="2"/>
    <x v="2"/>
    <s v="Sunday"/>
    <x v="13"/>
    <d v="2026-03-31T00:00:00"/>
    <s v="Spring"/>
    <x v="0"/>
    <x v="1"/>
    <s v="Half Day"/>
    <n v="1"/>
    <n v="62.64"/>
    <s v="None"/>
    <n v="0"/>
    <n v="0"/>
    <n v="62.64"/>
    <x v="7"/>
    <x v="3"/>
    <s v="Debit Card"/>
    <s v="Cloudy"/>
  </r>
  <r>
    <s v="WSR-2026-0251"/>
    <d v="2026-03-29T00:00:00"/>
    <x v="2"/>
    <x v="2"/>
    <s v="Sunday"/>
    <x v="13"/>
    <d v="2026-03-31T00:00:00"/>
    <s v="Spring"/>
    <x v="3"/>
    <x v="2"/>
    <s v="1 Hour"/>
    <n v="1"/>
    <n v="36.72"/>
    <s v="Dry Bag"/>
    <n v="6"/>
    <n v="0"/>
    <n v="42.72"/>
    <x v="4"/>
    <x v="3"/>
    <s v="Credit Card"/>
    <s v="Rainy"/>
  </r>
  <r>
    <s v="WSR-2026-0252"/>
    <d v="2026-03-29T00:00:00"/>
    <x v="2"/>
    <x v="2"/>
    <s v="Sunday"/>
    <x v="13"/>
    <d v="2026-03-31T00:00:00"/>
    <s v="Spring"/>
    <x v="0"/>
    <x v="3"/>
    <s v="2 Hours"/>
    <n v="1"/>
    <n v="38.880000000000003"/>
    <s v="None"/>
    <n v="0"/>
    <n v="0"/>
    <n v="38.880000000000003"/>
    <x v="7"/>
    <x v="3"/>
    <s v="Mobile Pay"/>
    <s v="Sunny"/>
  </r>
  <r>
    <s v="WSR-2026-0253"/>
    <d v="2026-03-30T00:00:00"/>
    <x v="2"/>
    <x v="2"/>
    <s v="Monday"/>
    <x v="13"/>
    <d v="2026-03-31T00:00:00"/>
    <s v="Spring"/>
    <x v="3"/>
    <x v="3"/>
    <s v="1 Hour"/>
    <n v="1"/>
    <n v="22"/>
    <s v="None"/>
    <n v="0"/>
    <n v="0"/>
    <n v="22"/>
    <x v="9"/>
    <x v="3"/>
    <s v="Credit Card"/>
    <s v="Windy"/>
  </r>
  <r>
    <s v="WSR-2026-0254"/>
    <d v="2026-03-31T00:00:00"/>
    <x v="2"/>
    <x v="2"/>
    <s v="Tuesday"/>
    <x v="13"/>
    <d v="2026-03-31T00:00:00"/>
    <s v="Spring"/>
    <x v="2"/>
    <x v="4"/>
    <s v="2 Hours"/>
    <n v="1"/>
    <n v="18"/>
    <s v="Phone Pouch"/>
    <n v="5"/>
    <n v="0"/>
    <n v="23"/>
    <x v="0"/>
    <x v="3"/>
    <s v="Mobile Pay"/>
    <s v="Cloudy"/>
  </r>
  <r>
    <s v="WSR-2026-0255"/>
    <d v="2026-03-31T00:00:00"/>
    <x v="2"/>
    <x v="2"/>
    <s v="Tuesday"/>
    <x v="13"/>
    <d v="2026-03-31T00:00:00"/>
    <s v="Spring"/>
    <x v="3"/>
    <x v="1"/>
    <s v="1 Hour"/>
    <n v="1"/>
    <n v="24"/>
    <s v="Dry Bag"/>
    <n v="6"/>
    <n v="0"/>
    <n v="30"/>
    <x v="1"/>
    <x v="2"/>
    <s v="Credit Card"/>
    <s v="Windy"/>
  </r>
  <r>
    <s v="WSR-2026-0256"/>
    <d v="2026-04-01T00:00:00"/>
    <x v="3"/>
    <x v="3"/>
    <s v="Wednesday"/>
    <x v="13"/>
    <d v="2026-04-30T00:00:00"/>
    <s v="Spring"/>
    <x v="2"/>
    <x v="2"/>
    <s v="Half Day"/>
    <n v="1"/>
    <n v="78"/>
    <s v="Waterproof Speaker"/>
    <n v="12"/>
    <n v="0"/>
    <n v="90"/>
    <x v="8"/>
    <x v="0"/>
    <s v="Gift Card"/>
    <s v="Cloudy"/>
  </r>
  <r>
    <s v="WSR-2026-0257"/>
    <d v="2026-04-01T00:00:00"/>
    <x v="3"/>
    <x v="3"/>
    <s v="Wednesday"/>
    <x v="13"/>
    <d v="2026-04-30T00:00:00"/>
    <s v="Spring"/>
    <x v="1"/>
    <x v="7"/>
    <s v="2 Hours"/>
    <n v="1"/>
    <n v="22"/>
    <s v="Cooler Rental"/>
    <n v="10"/>
    <n v="0"/>
    <n v="32"/>
    <x v="9"/>
    <x v="3"/>
    <s v="Mobile Pay"/>
    <s v="Sunny"/>
  </r>
  <r>
    <s v="WSR-2026-0258"/>
    <d v="2026-04-01T00:00:00"/>
    <x v="3"/>
    <x v="3"/>
    <s v="Wednesday"/>
    <x v="13"/>
    <d v="2026-04-30T00:00:00"/>
    <s v="Spring"/>
    <x v="3"/>
    <x v="3"/>
    <s v="Full Day"/>
    <n v="1"/>
    <n v="76"/>
    <s v="None"/>
    <n v="0"/>
    <n v="3.8"/>
    <n v="72.2"/>
    <x v="2"/>
    <x v="3"/>
    <s v="Credit Card"/>
    <s v="Sunny"/>
  </r>
  <r>
    <s v="WSR-2026-0259"/>
    <d v="2026-04-02T00:00:00"/>
    <x v="3"/>
    <x v="3"/>
    <s v="Thursday"/>
    <x v="13"/>
    <d v="2026-04-30T00:00:00"/>
    <s v="Spring"/>
    <x v="2"/>
    <x v="5"/>
    <s v="2 Hours"/>
    <n v="1"/>
    <n v="42"/>
    <s v="Phone Pouch"/>
    <n v="5"/>
    <n v="0"/>
    <n v="47"/>
    <x v="4"/>
    <x v="4"/>
    <s v="Mobile Pay"/>
    <s v="Sunny"/>
  </r>
  <r>
    <s v="WSR-2026-0260"/>
    <d v="2026-04-02T00:00:00"/>
    <x v="3"/>
    <x v="3"/>
    <s v="Thursday"/>
    <x v="13"/>
    <d v="2026-04-30T00:00:00"/>
    <s v="Spring"/>
    <x v="1"/>
    <x v="5"/>
    <s v="1 Hour"/>
    <n v="1"/>
    <n v="26"/>
    <s v="None"/>
    <n v="0"/>
    <n v="0"/>
    <n v="26"/>
    <x v="5"/>
    <x v="1"/>
    <s v="Credit Card"/>
    <s v="Windy"/>
  </r>
  <r>
    <s v="WSR-2026-0261"/>
    <d v="2026-04-02T00:00:00"/>
    <x v="3"/>
    <x v="3"/>
    <s v="Thursday"/>
    <x v="13"/>
    <d v="2026-04-30T00:00:00"/>
    <s v="Spring"/>
    <x v="3"/>
    <x v="7"/>
    <s v="Full Day"/>
    <n v="1"/>
    <n v="48"/>
    <s v="None"/>
    <n v="0"/>
    <n v="0"/>
    <n v="48"/>
    <x v="0"/>
    <x v="3"/>
    <s v="Mobile Pay"/>
    <s v="Cloudy"/>
  </r>
  <r>
    <s v="WSR-2026-0262"/>
    <d v="2026-04-02T00:00:00"/>
    <x v="3"/>
    <x v="3"/>
    <s v="Thursday"/>
    <x v="13"/>
    <d v="2026-04-30T00:00:00"/>
    <s v="Spring"/>
    <x v="0"/>
    <x v="5"/>
    <s v="2 Hours"/>
    <n v="1"/>
    <n v="42"/>
    <s v="None"/>
    <n v="0"/>
    <n v="0"/>
    <n v="42"/>
    <x v="9"/>
    <x v="1"/>
    <s v="Debit Card"/>
    <s v="Windy"/>
  </r>
  <r>
    <s v="WSR-2026-0263"/>
    <d v="2026-04-02T00:00:00"/>
    <x v="3"/>
    <x v="3"/>
    <s v="Thursday"/>
    <x v="13"/>
    <d v="2026-04-30T00:00:00"/>
    <s v="Spring"/>
    <x v="2"/>
    <x v="2"/>
    <s v="2 Hours"/>
    <n v="1"/>
    <n v="52"/>
    <s v="Dry Bag"/>
    <n v="6"/>
    <n v="0"/>
    <n v="58"/>
    <x v="6"/>
    <x v="3"/>
    <s v="Debit Card"/>
    <s v="Sunny"/>
  </r>
  <r>
    <s v="WSR-2026-0264"/>
    <d v="2026-04-03T00:00:00"/>
    <x v="3"/>
    <x v="3"/>
    <s v="Friday"/>
    <x v="13"/>
    <d v="2026-04-30T00:00:00"/>
    <s v="Spring"/>
    <x v="3"/>
    <x v="3"/>
    <s v="Full Day"/>
    <n v="1"/>
    <n v="76"/>
    <s v="Phone Pouch"/>
    <n v="5"/>
    <n v="0"/>
    <n v="81"/>
    <x v="0"/>
    <x v="0"/>
    <s v="Debit Card"/>
    <s v="Sunny"/>
  </r>
  <r>
    <s v="WSR-2026-0265"/>
    <d v="2026-04-03T00:00:00"/>
    <x v="3"/>
    <x v="3"/>
    <s v="Friday"/>
    <x v="13"/>
    <d v="2026-04-30T00:00:00"/>
    <s v="Spring"/>
    <x v="2"/>
    <x v="0"/>
    <s v="1 Hour"/>
    <n v="1"/>
    <n v="32"/>
    <s v="GoPro Mount"/>
    <n v="8"/>
    <n v="0"/>
    <n v="40"/>
    <x v="5"/>
    <x v="3"/>
    <s v="Cash"/>
    <s v="Sunny"/>
  </r>
  <r>
    <s v="WSR-2026-0266"/>
    <d v="2026-04-03T00:00:00"/>
    <x v="3"/>
    <x v="3"/>
    <s v="Friday"/>
    <x v="13"/>
    <d v="2026-04-30T00:00:00"/>
    <s v="Spring"/>
    <x v="0"/>
    <x v="1"/>
    <s v="2 Hours"/>
    <n v="1"/>
    <n v="38"/>
    <s v="None"/>
    <n v="0"/>
    <n v="0"/>
    <n v="38"/>
    <x v="2"/>
    <x v="0"/>
    <s v="Credit Card"/>
    <s v="Rainy"/>
  </r>
  <r>
    <s v="WSR-2026-0267"/>
    <d v="2026-04-03T00:00:00"/>
    <x v="3"/>
    <x v="3"/>
    <s v="Friday"/>
    <x v="13"/>
    <d v="2026-04-30T00:00:00"/>
    <s v="Spring"/>
    <x v="3"/>
    <x v="9"/>
    <s v="1 Hour"/>
    <n v="1"/>
    <n v="30"/>
    <s v="Waterproof Speaker"/>
    <n v="12"/>
    <n v="0"/>
    <n v="42"/>
    <x v="8"/>
    <x v="3"/>
    <s v="Credit Card"/>
    <s v="Cloudy"/>
  </r>
  <r>
    <s v="WSR-2026-0268"/>
    <d v="2026-04-03T00:00:00"/>
    <x v="3"/>
    <x v="3"/>
    <s v="Friday"/>
    <x v="13"/>
    <d v="2026-04-30T00:00:00"/>
    <s v="Spring"/>
    <x v="2"/>
    <x v="3"/>
    <s v="2 Hours"/>
    <n v="1"/>
    <n v="36"/>
    <s v="None"/>
    <n v="0"/>
    <n v="0"/>
    <n v="36"/>
    <x v="5"/>
    <x v="4"/>
    <s v="Credit Card"/>
    <s v="Sunny"/>
  </r>
  <r>
    <s v="WSR-2026-0269"/>
    <d v="2026-04-03T00:00:00"/>
    <x v="3"/>
    <x v="3"/>
    <s v="Friday"/>
    <x v="13"/>
    <d v="2026-04-30T00:00:00"/>
    <s v="Spring"/>
    <x v="3"/>
    <x v="6"/>
    <s v="1 Hour"/>
    <n v="1"/>
    <n v="36"/>
    <s v="None"/>
    <n v="0"/>
    <n v="0"/>
    <n v="36"/>
    <x v="5"/>
    <x v="1"/>
    <s v="Debit Card"/>
    <s v="Windy"/>
  </r>
  <r>
    <s v="WSR-2026-0270"/>
    <d v="2026-04-03T00:00:00"/>
    <x v="3"/>
    <x v="3"/>
    <s v="Friday"/>
    <x v="13"/>
    <d v="2026-04-30T00:00:00"/>
    <s v="Spring"/>
    <x v="3"/>
    <x v="4"/>
    <s v="2 Hours"/>
    <n v="1"/>
    <n v="18"/>
    <s v="None"/>
    <n v="0"/>
    <n v="0"/>
    <n v="18"/>
    <x v="3"/>
    <x v="2"/>
    <s v="Cash"/>
    <s v="Windy"/>
  </r>
  <r>
    <s v="WSR-2026-0271"/>
    <d v="2026-04-03T00:00:00"/>
    <x v="3"/>
    <x v="3"/>
    <s v="Friday"/>
    <x v="13"/>
    <d v="2026-04-30T00:00:00"/>
    <s v="Spring"/>
    <x v="3"/>
    <x v="5"/>
    <s v="1 Hour"/>
    <n v="1"/>
    <n v="26"/>
    <s v="Waterproof Speaker"/>
    <n v="12"/>
    <n v="0"/>
    <n v="38"/>
    <x v="2"/>
    <x v="4"/>
    <s v="Cash"/>
    <s v="Sunny"/>
  </r>
  <r>
    <s v="WSR-2026-0272"/>
    <d v="2026-04-03T00:00:00"/>
    <x v="3"/>
    <x v="3"/>
    <s v="Friday"/>
    <x v="13"/>
    <d v="2026-04-30T00:00:00"/>
    <s v="Spring"/>
    <x v="3"/>
    <x v="5"/>
    <s v="2 Hours"/>
    <n v="1"/>
    <n v="42"/>
    <s v="Phone Pouch"/>
    <n v="5"/>
    <n v="0"/>
    <n v="47"/>
    <x v="8"/>
    <x v="1"/>
    <s v="Credit Card"/>
    <s v="Sunny"/>
  </r>
  <r>
    <s v="WSR-2026-0273"/>
    <d v="2026-04-03T00:00:00"/>
    <x v="3"/>
    <x v="3"/>
    <s v="Friday"/>
    <x v="13"/>
    <d v="2026-04-30T00:00:00"/>
    <s v="Spring"/>
    <x v="4"/>
    <x v="5"/>
    <s v="2 Hours"/>
    <n v="1"/>
    <n v="42"/>
    <s v="Waterproof Speaker"/>
    <n v="12"/>
    <n v="5.4"/>
    <n v="48.6"/>
    <x v="9"/>
    <x v="4"/>
    <s v="Debit Card"/>
    <s v="Sunny"/>
  </r>
  <r>
    <s v="WSR-2026-0274"/>
    <d v="2026-04-04T00:00:00"/>
    <x v="3"/>
    <x v="3"/>
    <s v="Saturday"/>
    <x v="13"/>
    <d v="2026-04-30T00:00:00"/>
    <s v="Spring"/>
    <x v="1"/>
    <x v="0"/>
    <s v="1 Hour"/>
    <n v="1"/>
    <n v="34.56"/>
    <s v="None"/>
    <n v="0"/>
    <n v="3.46"/>
    <n v="31.1"/>
    <x v="3"/>
    <x v="3"/>
    <s v="Debit Card"/>
    <s v="Sunny"/>
  </r>
  <r>
    <s v="WSR-2026-0275"/>
    <d v="2026-04-04T00:00:00"/>
    <x v="3"/>
    <x v="3"/>
    <s v="Saturday"/>
    <x v="13"/>
    <d v="2026-04-30T00:00:00"/>
    <s v="Spring"/>
    <x v="4"/>
    <x v="0"/>
    <s v="2 Hours"/>
    <n v="1"/>
    <n v="54"/>
    <s v="None"/>
    <n v="0"/>
    <n v="8.1"/>
    <n v="45.9"/>
    <x v="3"/>
    <x v="0"/>
    <s v="Cash"/>
    <s v="Sunny"/>
  </r>
  <r>
    <s v="WSR-2026-0276"/>
    <d v="2026-04-04T00:00:00"/>
    <x v="3"/>
    <x v="3"/>
    <s v="Saturday"/>
    <x v="13"/>
    <d v="2026-04-30T00:00:00"/>
    <s v="Spring"/>
    <x v="0"/>
    <x v="3"/>
    <s v="2 Hours"/>
    <n v="1"/>
    <n v="38.880000000000003"/>
    <s v="None"/>
    <n v="0"/>
    <n v="0"/>
    <n v="38.880000000000003"/>
    <x v="7"/>
    <x v="3"/>
    <s v="Credit Card"/>
    <s v="Cloudy"/>
  </r>
  <r>
    <s v="WSR-2026-0277"/>
    <d v="2026-04-04T00:00:00"/>
    <x v="3"/>
    <x v="3"/>
    <s v="Saturday"/>
    <x v="13"/>
    <d v="2026-04-30T00:00:00"/>
    <s v="Spring"/>
    <x v="0"/>
    <x v="2"/>
    <s v="2 Hours"/>
    <n v="1"/>
    <n v="56.16"/>
    <s v="Cooler Rental"/>
    <n v="10"/>
    <n v="3.31"/>
    <n v="62.85"/>
    <x v="5"/>
    <x v="1"/>
    <s v="Debit Card"/>
    <s v="Sunny"/>
  </r>
  <r>
    <s v="WSR-2026-0278"/>
    <d v="2026-04-04T00:00:00"/>
    <x v="3"/>
    <x v="3"/>
    <s v="Saturday"/>
    <x v="13"/>
    <d v="2026-04-30T00:00:00"/>
    <s v="Spring"/>
    <x v="3"/>
    <x v="4"/>
    <s v="1 Hour"/>
    <n v="1"/>
    <n v="12.96"/>
    <s v="Dry Bag"/>
    <n v="6"/>
    <n v="0.95"/>
    <n v="18.010000000000002"/>
    <x v="1"/>
    <x v="2"/>
    <s v="Mobile Pay"/>
    <s v="Cloudy"/>
  </r>
  <r>
    <s v="WSR-2026-0279"/>
    <d v="2026-04-04T00:00:00"/>
    <x v="3"/>
    <x v="3"/>
    <s v="Saturday"/>
    <x v="13"/>
    <d v="2026-04-30T00:00:00"/>
    <s v="Spring"/>
    <x v="1"/>
    <x v="4"/>
    <s v="1 Hour"/>
    <n v="1"/>
    <n v="12.96"/>
    <s v="None"/>
    <n v="0"/>
    <n v="1.3"/>
    <n v="11.66"/>
    <x v="7"/>
    <x v="3"/>
    <s v="Cash"/>
    <s v="Sunny"/>
  </r>
  <r>
    <s v="WSR-2026-0280"/>
    <d v="2026-04-04T00:00:00"/>
    <x v="3"/>
    <x v="3"/>
    <s v="Saturday"/>
    <x v="13"/>
    <d v="2026-04-30T00:00:00"/>
    <s v="Spring"/>
    <x v="3"/>
    <x v="1"/>
    <s v="1 Hour"/>
    <n v="1"/>
    <n v="25.92"/>
    <s v="Phone Pouch"/>
    <n v="5"/>
    <n v="0"/>
    <n v="30.92"/>
    <x v="2"/>
    <x v="0"/>
    <s v="Cash"/>
    <s v="Cloudy"/>
  </r>
  <r>
    <s v="WSR-2026-0281"/>
    <d v="2026-04-04T00:00:00"/>
    <x v="3"/>
    <x v="3"/>
    <s v="Saturday"/>
    <x v="13"/>
    <d v="2026-04-30T00:00:00"/>
    <s v="Spring"/>
    <x v="3"/>
    <x v="7"/>
    <s v="Half Day"/>
    <n v="1"/>
    <n v="36.72"/>
    <s v="GoPro Mount"/>
    <n v="8"/>
    <n v="0"/>
    <n v="44.72"/>
    <x v="5"/>
    <x v="4"/>
    <s v="Credit Card"/>
    <s v="Sunny"/>
  </r>
  <r>
    <s v="WSR-2026-0282"/>
    <d v="2026-04-04T00:00:00"/>
    <x v="3"/>
    <x v="3"/>
    <s v="Saturday"/>
    <x v="13"/>
    <d v="2026-04-30T00:00:00"/>
    <s v="Spring"/>
    <x v="2"/>
    <x v="8"/>
    <s v="1 Hour"/>
    <n v="1"/>
    <n v="10.8"/>
    <s v="Dry Bag"/>
    <n v="6"/>
    <n v="0"/>
    <n v="16.8"/>
    <x v="1"/>
    <x v="2"/>
    <s v="Debit Card"/>
    <s v="Sunny"/>
  </r>
  <r>
    <s v="WSR-2026-0283"/>
    <d v="2026-04-05T00:00:00"/>
    <x v="3"/>
    <x v="3"/>
    <s v="Sunday"/>
    <x v="14"/>
    <d v="2026-04-30T00:00:00"/>
    <s v="Spring"/>
    <x v="2"/>
    <x v="3"/>
    <s v="2 Hours"/>
    <n v="1"/>
    <n v="38.880000000000003"/>
    <s v="None"/>
    <n v="0"/>
    <n v="0"/>
    <n v="38.880000000000003"/>
    <x v="3"/>
    <x v="1"/>
    <s v="Credit Card"/>
    <s v="Cloudy"/>
  </r>
  <r>
    <s v="WSR-2026-0284"/>
    <d v="2026-04-05T00:00:00"/>
    <x v="3"/>
    <x v="3"/>
    <s v="Sunday"/>
    <x v="14"/>
    <d v="2026-04-30T00:00:00"/>
    <s v="Spring"/>
    <x v="1"/>
    <x v="2"/>
    <s v="2 Hours"/>
    <n v="1"/>
    <n v="56.16"/>
    <s v="None"/>
    <n v="0"/>
    <n v="5.62"/>
    <n v="50.54"/>
    <x v="5"/>
    <x v="1"/>
    <s v="Debit Card"/>
    <s v="Sunny"/>
  </r>
  <r>
    <s v="WSR-2026-0285"/>
    <d v="2026-04-05T00:00:00"/>
    <x v="3"/>
    <x v="3"/>
    <s v="Sunday"/>
    <x v="14"/>
    <d v="2026-04-30T00:00:00"/>
    <s v="Spring"/>
    <x v="2"/>
    <x v="4"/>
    <s v="Full Day"/>
    <n v="1"/>
    <n v="43.2"/>
    <s v="Dry Bag"/>
    <n v="6"/>
    <n v="0"/>
    <n v="49.2"/>
    <x v="2"/>
    <x v="4"/>
    <s v="Credit Card"/>
    <s v="Cloudy"/>
  </r>
  <r>
    <s v="WSR-2026-0286"/>
    <d v="2026-04-05T00:00:00"/>
    <x v="3"/>
    <x v="3"/>
    <s v="Sunday"/>
    <x v="14"/>
    <d v="2026-04-30T00:00:00"/>
    <s v="Spring"/>
    <x v="3"/>
    <x v="9"/>
    <s v="1 Hour"/>
    <n v="1"/>
    <n v="32.4"/>
    <s v="None"/>
    <n v="0"/>
    <n v="0"/>
    <n v="32.4"/>
    <x v="7"/>
    <x v="1"/>
    <s v="Debit Card"/>
    <s v="Windy"/>
  </r>
  <r>
    <s v="WSR-2026-0287"/>
    <d v="2026-04-05T00:00:00"/>
    <x v="3"/>
    <x v="3"/>
    <s v="Sunday"/>
    <x v="14"/>
    <d v="2026-04-30T00:00:00"/>
    <s v="Spring"/>
    <x v="2"/>
    <x v="5"/>
    <s v="Half Day"/>
    <n v="1"/>
    <n v="66.959999999999994"/>
    <s v="Phone Pouch"/>
    <n v="5"/>
    <n v="0"/>
    <n v="71.959999999999994"/>
    <x v="5"/>
    <x v="3"/>
    <s v="Mobile Pay"/>
    <s v="Sunny"/>
  </r>
  <r>
    <s v="WSR-2026-0288"/>
    <d v="2026-04-05T00:00:00"/>
    <x v="3"/>
    <x v="3"/>
    <s v="Sunday"/>
    <x v="14"/>
    <d v="2026-04-30T00:00:00"/>
    <s v="Spring"/>
    <x v="3"/>
    <x v="6"/>
    <s v="Half Day"/>
    <n v="1"/>
    <n v="92.88"/>
    <s v="None"/>
    <n v="0"/>
    <n v="0"/>
    <n v="92.88"/>
    <x v="6"/>
    <x v="2"/>
    <s v="Credit Card"/>
    <s v="Sunny"/>
  </r>
  <r>
    <s v="WSR-2026-0289"/>
    <d v="2026-04-05T00:00:00"/>
    <x v="3"/>
    <x v="3"/>
    <s v="Sunday"/>
    <x v="14"/>
    <d v="2026-04-30T00:00:00"/>
    <s v="Spring"/>
    <x v="2"/>
    <x v="1"/>
    <s v="Half Day"/>
    <n v="1"/>
    <n v="62.64"/>
    <s v="Cooler Rental"/>
    <n v="10"/>
    <n v="0"/>
    <n v="72.64"/>
    <x v="4"/>
    <x v="1"/>
    <s v="Credit Card"/>
    <s v="Cloudy"/>
  </r>
  <r>
    <s v="WSR-2026-0290"/>
    <d v="2026-04-05T00:00:00"/>
    <x v="3"/>
    <x v="3"/>
    <s v="Sunday"/>
    <x v="14"/>
    <d v="2026-04-30T00:00:00"/>
    <s v="Spring"/>
    <x v="3"/>
    <x v="3"/>
    <s v="2 Hours"/>
    <n v="1"/>
    <n v="38.880000000000003"/>
    <s v="Dry Bag"/>
    <n v="6"/>
    <n v="0"/>
    <n v="44.88"/>
    <x v="2"/>
    <x v="4"/>
    <s v="Mobile Pay"/>
    <s v="Sunny"/>
  </r>
  <r>
    <s v="WSR-2026-0291"/>
    <d v="2026-04-06T00:00:00"/>
    <x v="3"/>
    <x v="3"/>
    <s v="Monday"/>
    <x v="14"/>
    <d v="2026-04-30T00:00:00"/>
    <s v="Spring"/>
    <x v="0"/>
    <x v="5"/>
    <s v="2 Hours"/>
    <n v="1"/>
    <n v="42"/>
    <s v="None"/>
    <n v="0"/>
    <n v="0"/>
    <n v="42"/>
    <x v="8"/>
    <x v="3"/>
    <s v="Credit Card"/>
    <s v="Cloudy"/>
  </r>
  <r>
    <s v="WSR-2026-0292"/>
    <d v="2026-04-06T00:00:00"/>
    <x v="3"/>
    <x v="3"/>
    <s v="Monday"/>
    <x v="14"/>
    <d v="2026-04-30T00:00:00"/>
    <s v="Spring"/>
    <x v="2"/>
    <x v="0"/>
    <s v="1 Hour"/>
    <n v="1"/>
    <n v="32"/>
    <s v="Waterproof Speaker"/>
    <n v="12"/>
    <n v="2.2000000000000002"/>
    <n v="41.8"/>
    <x v="4"/>
    <x v="1"/>
    <s v="Debit Card"/>
    <s v="Windy"/>
  </r>
  <r>
    <s v="WSR-2026-0293"/>
    <d v="2026-04-06T00:00:00"/>
    <x v="3"/>
    <x v="3"/>
    <s v="Monday"/>
    <x v="14"/>
    <d v="2026-04-30T00:00:00"/>
    <s v="Spring"/>
    <x v="3"/>
    <x v="1"/>
    <s v="Half Day"/>
    <n v="1"/>
    <n v="58"/>
    <s v="None"/>
    <n v="0"/>
    <n v="2.9"/>
    <n v="55.1"/>
    <x v="3"/>
    <x v="1"/>
    <s v="Credit Card"/>
    <s v="Sunny"/>
  </r>
  <r>
    <s v="WSR-2026-0294"/>
    <d v="2026-04-06T00:00:00"/>
    <x v="3"/>
    <x v="3"/>
    <s v="Monday"/>
    <x v="14"/>
    <d v="2026-04-30T00:00:00"/>
    <s v="Spring"/>
    <x v="3"/>
    <x v="3"/>
    <s v="Half Day"/>
    <n v="1"/>
    <n v="54"/>
    <s v="Dry Bag"/>
    <n v="6"/>
    <n v="0"/>
    <n v="60"/>
    <x v="3"/>
    <x v="2"/>
    <s v="Credit Card"/>
    <s v="Windy"/>
  </r>
  <r>
    <s v="WSR-2026-0295"/>
    <d v="2026-04-06T00:00:00"/>
    <x v="3"/>
    <x v="3"/>
    <s v="Monday"/>
    <x v="14"/>
    <d v="2026-04-30T00:00:00"/>
    <s v="Spring"/>
    <x v="3"/>
    <x v="8"/>
    <s v="Half Day"/>
    <n v="1"/>
    <n v="24"/>
    <s v="Premium Life Jacket"/>
    <n v="7"/>
    <n v="0"/>
    <n v="31"/>
    <x v="4"/>
    <x v="2"/>
    <s v="Cash"/>
    <s v="Cloudy"/>
  </r>
  <r>
    <s v="WSR-2026-0296"/>
    <d v="2026-04-06T00:00:00"/>
    <x v="3"/>
    <x v="3"/>
    <s v="Monday"/>
    <x v="14"/>
    <d v="2026-04-30T00:00:00"/>
    <s v="Spring"/>
    <x v="3"/>
    <x v="5"/>
    <s v="1 Hour"/>
    <n v="1"/>
    <n v="26"/>
    <s v="None"/>
    <n v="0"/>
    <n v="0"/>
    <n v="26"/>
    <x v="1"/>
    <x v="4"/>
    <s v="Credit Card"/>
    <s v="Cloudy"/>
  </r>
  <r>
    <s v="WSR-2026-0297"/>
    <d v="2026-04-07T00:00:00"/>
    <x v="3"/>
    <x v="3"/>
    <s v="Tuesday"/>
    <x v="14"/>
    <d v="2026-04-30T00:00:00"/>
    <s v="Spring"/>
    <x v="2"/>
    <x v="1"/>
    <s v="Half Day"/>
    <n v="1"/>
    <n v="58"/>
    <s v="None"/>
    <n v="0"/>
    <n v="0"/>
    <n v="58"/>
    <x v="0"/>
    <x v="1"/>
    <s v="Credit Card"/>
    <s v="Sunny"/>
  </r>
  <r>
    <s v="WSR-2026-0298"/>
    <d v="2026-04-07T00:00:00"/>
    <x v="3"/>
    <x v="3"/>
    <s v="Tuesday"/>
    <x v="14"/>
    <d v="2026-04-30T00:00:00"/>
    <s v="Spring"/>
    <x v="1"/>
    <x v="1"/>
    <s v="2 Hours"/>
    <n v="1"/>
    <n v="38"/>
    <s v="None"/>
    <n v="0"/>
    <n v="1.9"/>
    <n v="36.1"/>
    <x v="8"/>
    <x v="2"/>
    <s v="Credit Card"/>
    <s v="Sunny"/>
  </r>
  <r>
    <s v="WSR-2026-0299"/>
    <d v="2026-04-07T00:00:00"/>
    <x v="3"/>
    <x v="3"/>
    <s v="Tuesday"/>
    <x v="14"/>
    <d v="2026-04-30T00:00:00"/>
    <s v="Spring"/>
    <x v="3"/>
    <x v="5"/>
    <s v="1 Hour"/>
    <n v="1"/>
    <n v="26"/>
    <s v="Phone Pouch"/>
    <n v="5"/>
    <n v="0"/>
    <n v="31"/>
    <x v="8"/>
    <x v="3"/>
    <s v="Mobile Pay"/>
    <s v="Cloudy"/>
  </r>
  <r>
    <s v="WSR-2026-0300"/>
    <d v="2026-04-07T00:00:00"/>
    <x v="3"/>
    <x v="3"/>
    <s v="Tuesday"/>
    <x v="14"/>
    <d v="2026-04-30T00:00:00"/>
    <s v="Spring"/>
    <x v="3"/>
    <x v="9"/>
    <s v="2 Hours"/>
    <n v="1"/>
    <n v="48"/>
    <s v="None"/>
    <n v="0"/>
    <n v="0"/>
    <n v="48"/>
    <x v="2"/>
    <x v="1"/>
    <s v="Debit Card"/>
    <s v="Windy"/>
  </r>
  <r>
    <s v="WSR-2026-0301"/>
    <d v="2026-04-07T00:00:00"/>
    <x v="3"/>
    <x v="3"/>
    <s v="Tuesday"/>
    <x v="14"/>
    <d v="2026-04-30T00:00:00"/>
    <s v="Spring"/>
    <x v="2"/>
    <x v="8"/>
    <s v="2 Hours"/>
    <n v="1"/>
    <n v="16"/>
    <s v="Phone Pouch"/>
    <n v="5"/>
    <n v="0"/>
    <n v="21"/>
    <x v="5"/>
    <x v="1"/>
    <s v="Cash"/>
    <s v="Cloudy"/>
  </r>
  <r>
    <s v="WSR-2026-0302"/>
    <d v="2026-04-07T00:00:00"/>
    <x v="3"/>
    <x v="3"/>
    <s v="Tuesday"/>
    <x v="14"/>
    <d v="2026-04-30T00:00:00"/>
    <s v="Spring"/>
    <x v="3"/>
    <x v="8"/>
    <s v="2 Hours"/>
    <n v="1"/>
    <n v="16"/>
    <s v="Phone Pouch"/>
    <n v="5"/>
    <n v="1.05"/>
    <n v="19.95"/>
    <x v="8"/>
    <x v="0"/>
    <s v="Credit Card"/>
    <s v="Sunny"/>
  </r>
  <r>
    <s v="WSR-2026-0303"/>
    <d v="2026-04-08T00:00:00"/>
    <x v="3"/>
    <x v="3"/>
    <s v="Wednesday"/>
    <x v="14"/>
    <d v="2026-04-30T00:00:00"/>
    <s v="Spring"/>
    <x v="2"/>
    <x v="7"/>
    <s v="Full Day"/>
    <n v="1"/>
    <n v="48"/>
    <s v="None"/>
    <n v="0"/>
    <n v="2.4"/>
    <n v="45.6"/>
    <x v="2"/>
    <x v="2"/>
    <s v="Cash"/>
    <s v="Sunny"/>
  </r>
  <r>
    <s v="WSR-2026-0304"/>
    <d v="2026-04-08T00:00:00"/>
    <x v="3"/>
    <x v="3"/>
    <s v="Wednesday"/>
    <x v="14"/>
    <d v="2026-04-30T00:00:00"/>
    <s v="Spring"/>
    <x v="0"/>
    <x v="1"/>
    <s v="Full Day"/>
    <n v="1"/>
    <n v="84"/>
    <s v="Dry Bag"/>
    <n v="6"/>
    <n v="0"/>
    <n v="90"/>
    <x v="4"/>
    <x v="0"/>
    <s v="Credit Card"/>
    <s v="Sunny"/>
  </r>
  <r>
    <s v="WSR-2026-0305"/>
    <d v="2026-04-08T00:00:00"/>
    <x v="3"/>
    <x v="3"/>
    <s v="Wednesday"/>
    <x v="14"/>
    <d v="2026-04-30T00:00:00"/>
    <s v="Spring"/>
    <x v="2"/>
    <x v="2"/>
    <s v="1 Hour"/>
    <n v="1"/>
    <n v="34"/>
    <s v="None"/>
    <n v="0"/>
    <n v="0"/>
    <n v="34"/>
    <x v="5"/>
    <x v="3"/>
    <s v="Debit Card"/>
    <s v="Windy"/>
  </r>
  <r>
    <s v="WSR-2026-0306"/>
    <d v="2026-04-08T00:00:00"/>
    <x v="3"/>
    <x v="3"/>
    <s v="Wednesday"/>
    <x v="14"/>
    <d v="2026-04-30T00:00:00"/>
    <s v="Spring"/>
    <x v="2"/>
    <x v="1"/>
    <s v="Full Day"/>
    <n v="1"/>
    <n v="84"/>
    <s v="None"/>
    <n v="0"/>
    <n v="0"/>
    <n v="84"/>
    <x v="8"/>
    <x v="0"/>
    <s v="Gift Card"/>
    <s v="Sunny"/>
  </r>
  <r>
    <s v="WSR-2026-0307"/>
    <d v="2026-04-08T00:00:00"/>
    <x v="3"/>
    <x v="3"/>
    <s v="Wednesday"/>
    <x v="14"/>
    <d v="2026-04-30T00:00:00"/>
    <s v="Spring"/>
    <x v="3"/>
    <x v="1"/>
    <s v="Half Day"/>
    <n v="1"/>
    <n v="58"/>
    <s v="None"/>
    <n v="0"/>
    <n v="0"/>
    <n v="58"/>
    <x v="2"/>
    <x v="2"/>
    <s v="Cash"/>
    <s v="Sunny"/>
  </r>
  <r>
    <s v="WSR-2026-0308"/>
    <d v="2026-04-08T00:00:00"/>
    <x v="3"/>
    <x v="3"/>
    <s v="Wednesday"/>
    <x v="14"/>
    <d v="2026-04-30T00:00:00"/>
    <s v="Spring"/>
    <x v="0"/>
    <x v="2"/>
    <s v="1 Hour"/>
    <n v="1"/>
    <n v="34"/>
    <s v="Premium Life Jacket"/>
    <n v="7"/>
    <n v="0"/>
    <n v="41"/>
    <x v="1"/>
    <x v="3"/>
    <s v="Mobile Pay"/>
    <s v="Sunny"/>
  </r>
  <r>
    <s v="WSR-2026-0309"/>
    <d v="2026-04-09T00:00:00"/>
    <x v="3"/>
    <x v="3"/>
    <s v="Thursday"/>
    <x v="14"/>
    <d v="2026-04-30T00:00:00"/>
    <s v="Spring"/>
    <x v="4"/>
    <x v="6"/>
    <s v="2 Hours"/>
    <n v="1"/>
    <n v="58"/>
    <s v="Dry Bag"/>
    <n v="6"/>
    <n v="9.6"/>
    <n v="54.4"/>
    <x v="3"/>
    <x v="4"/>
    <s v="Cash"/>
    <s v="Sunny"/>
  </r>
  <r>
    <s v="WSR-2026-0310"/>
    <d v="2026-04-09T00:00:00"/>
    <x v="3"/>
    <x v="3"/>
    <s v="Thursday"/>
    <x v="14"/>
    <d v="2026-04-30T00:00:00"/>
    <s v="Spring"/>
    <x v="1"/>
    <x v="5"/>
    <s v="2 Hours"/>
    <n v="1"/>
    <n v="42"/>
    <s v="Dry Bag"/>
    <n v="6"/>
    <n v="0"/>
    <n v="48"/>
    <x v="6"/>
    <x v="1"/>
    <s v="Credit Card"/>
    <s v="Sunny"/>
  </r>
  <r>
    <s v="WSR-2026-0311"/>
    <d v="2026-04-10T00:00:00"/>
    <x v="3"/>
    <x v="3"/>
    <s v="Friday"/>
    <x v="14"/>
    <d v="2026-04-30T00:00:00"/>
    <s v="Spring"/>
    <x v="2"/>
    <x v="8"/>
    <s v="Half Day"/>
    <n v="1"/>
    <n v="24"/>
    <s v="None"/>
    <n v="0"/>
    <n v="0"/>
    <n v="24"/>
    <x v="7"/>
    <x v="1"/>
    <s v="Credit Card"/>
    <s v="Sunny"/>
  </r>
  <r>
    <s v="WSR-2026-0312"/>
    <d v="2026-04-10T00:00:00"/>
    <x v="3"/>
    <x v="3"/>
    <s v="Friday"/>
    <x v="14"/>
    <d v="2026-04-30T00:00:00"/>
    <s v="Spring"/>
    <x v="0"/>
    <x v="3"/>
    <s v="1 Hour"/>
    <n v="1"/>
    <n v="22"/>
    <s v="Premium Life Jacket"/>
    <n v="7"/>
    <n v="0"/>
    <n v="29"/>
    <x v="3"/>
    <x v="1"/>
    <s v="Credit Card"/>
    <s v="Cloudy"/>
  </r>
  <r>
    <s v="WSR-2026-0313"/>
    <d v="2026-04-10T00:00:00"/>
    <x v="3"/>
    <x v="3"/>
    <s v="Friday"/>
    <x v="14"/>
    <d v="2026-04-30T00:00:00"/>
    <s v="Spring"/>
    <x v="2"/>
    <x v="1"/>
    <s v="2 Hours"/>
    <n v="1"/>
    <n v="38"/>
    <s v="Dry Bag"/>
    <n v="6"/>
    <n v="0"/>
    <n v="44"/>
    <x v="2"/>
    <x v="2"/>
    <s v="Mobile Pay"/>
    <s v="Sunny"/>
  </r>
  <r>
    <s v="WSR-2026-0314"/>
    <d v="2026-04-10T00:00:00"/>
    <x v="3"/>
    <x v="3"/>
    <s v="Friday"/>
    <x v="14"/>
    <d v="2026-04-30T00:00:00"/>
    <s v="Spring"/>
    <x v="2"/>
    <x v="9"/>
    <s v="2 Hours"/>
    <n v="1"/>
    <n v="48"/>
    <s v="Phone Pouch"/>
    <n v="5"/>
    <n v="0"/>
    <n v="53"/>
    <x v="5"/>
    <x v="0"/>
    <s v="Debit Card"/>
    <s v="Sunny"/>
  </r>
  <r>
    <s v="WSR-2026-0315"/>
    <d v="2026-04-10T00:00:00"/>
    <x v="3"/>
    <x v="3"/>
    <s v="Friday"/>
    <x v="14"/>
    <d v="2026-04-30T00:00:00"/>
    <s v="Spring"/>
    <x v="2"/>
    <x v="4"/>
    <s v="Half Day"/>
    <n v="1"/>
    <n v="28"/>
    <s v="Dry Bag"/>
    <n v="6"/>
    <n v="0"/>
    <n v="34"/>
    <x v="8"/>
    <x v="3"/>
    <s v="Mobile Pay"/>
    <s v="Cloudy"/>
  </r>
  <r>
    <s v="WSR-2026-0316"/>
    <d v="2026-04-10T00:00:00"/>
    <x v="3"/>
    <x v="3"/>
    <s v="Friday"/>
    <x v="14"/>
    <d v="2026-04-30T00:00:00"/>
    <s v="Spring"/>
    <x v="2"/>
    <x v="1"/>
    <s v="Full Day"/>
    <n v="1"/>
    <n v="84"/>
    <s v="Cooler Rental"/>
    <n v="10"/>
    <n v="0"/>
    <n v="94"/>
    <x v="9"/>
    <x v="3"/>
    <s v="Credit Card"/>
    <s v="Sunny"/>
  </r>
  <r>
    <s v="WSR-2026-0317"/>
    <d v="2026-04-10T00:00:00"/>
    <x v="3"/>
    <x v="3"/>
    <s v="Friday"/>
    <x v="14"/>
    <d v="2026-04-30T00:00:00"/>
    <s v="Spring"/>
    <x v="2"/>
    <x v="7"/>
    <s v="Half Day"/>
    <n v="1"/>
    <n v="34"/>
    <s v="GoPro Mount"/>
    <n v="8"/>
    <n v="0"/>
    <n v="42"/>
    <x v="3"/>
    <x v="3"/>
    <s v="Credit Card"/>
    <s v="Sunny"/>
  </r>
  <r>
    <s v="WSR-2026-0318"/>
    <d v="2026-04-11T00:00:00"/>
    <x v="3"/>
    <x v="3"/>
    <s v="Saturday"/>
    <x v="14"/>
    <d v="2026-04-30T00:00:00"/>
    <s v="Spring"/>
    <x v="4"/>
    <x v="8"/>
    <s v="2 Hours"/>
    <n v="1"/>
    <n v="17.28"/>
    <s v="None"/>
    <n v="0"/>
    <n v="1.73"/>
    <n v="15.55"/>
    <x v="3"/>
    <x v="0"/>
    <s v="Debit Card"/>
    <s v="Sunny"/>
  </r>
  <r>
    <s v="WSR-2026-0319"/>
    <d v="2026-04-11T00:00:00"/>
    <x v="3"/>
    <x v="3"/>
    <s v="Saturday"/>
    <x v="14"/>
    <d v="2026-04-30T00:00:00"/>
    <s v="Spring"/>
    <x v="2"/>
    <x v="1"/>
    <s v="2 Hours"/>
    <n v="1"/>
    <n v="41.04"/>
    <s v="Dry Bag"/>
    <n v="6"/>
    <n v="0"/>
    <n v="47.04"/>
    <x v="2"/>
    <x v="3"/>
    <s v="Debit Card"/>
    <s v="Sunny"/>
  </r>
  <r>
    <s v="WSR-2026-0320"/>
    <d v="2026-04-11T00:00:00"/>
    <x v="3"/>
    <x v="3"/>
    <s v="Saturday"/>
    <x v="14"/>
    <d v="2026-04-30T00:00:00"/>
    <s v="Spring"/>
    <x v="0"/>
    <x v="2"/>
    <s v="2 Hours"/>
    <n v="1"/>
    <n v="56.16"/>
    <s v="Premium Life Jacket"/>
    <n v="7"/>
    <n v="0"/>
    <n v="63.16"/>
    <x v="6"/>
    <x v="1"/>
    <s v="Credit Card"/>
    <s v="Windy"/>
  </r>
  <r>
    <s v="WSR-2026-0321"/>
    <d v="2026-04-11T00:00:00"/>
    <x v="3"/>
    <x v="3"/>
    <s v="Saturday"/>
    <x v="14"/>
    <d v="2026-04-30T00:00:00"/>
    <s v="Spring"/>
    <x v="3"/>
    <x v="1"/>
    <s v="2 Hours"/>
    <n v="1"/>
    <n v="41.04"/>
    <s v="Premium Life Jacket"/>
    <n v="7"/>
    <n v="0"/>
    <n v="48.04"/>
    <x v="4"/>
    <x v="1"/>
    <s v="Debit Card"/>
    <s v="Sunny"/>
  </r>
  <r>
    <s v="WSR-2026-0322"/>
    <d v="2026-04-11T00:00:00"/>
    <x v="3"/>
    <x v="3"/>
    <s v="Saturday"/>
    <x v="14"/>
    <d v="2026-04-30T00:00:00"/>
    <s v="Spring"/>
    <x v="2"/>
    <x v="0"/>
    <s v="2 Hours"/>
    <n v="1"/>
    <n v="54"/>
    <s v="None"/>
    <n v="0"/>
    <n v="0"/>
    <n v="54"/>
    <x v="1"/>
    <x v="2"/>
    <s v="Debit Card"/>
    <s v="Sunny"/>
  </r>
  <r>
    <s v="WSR-2026-0323"/>
    <d v="2026-04-11T00:00:00"/>
    <x v="3"/>
    <x v="3"/>
    <s v="Saturday"/>
    <x v="14"/>
    <d v="2026-04-30T00:00:00"/>
    <s v="Spring"/>
    <x v="3"/>
    <x v="4"/>
    <s v="1 Hour"/>
    <n v="1"/>
    <n v="12.96"/>
    <s v="None"/>
    <n v="0"/>
    <n v="0"/>
    <n v="12.96"/>
    <x v="0"/>
    <x v="3"/>
    <s v="Debit Card"/>
    <s v="Sunny"/>
  </r>
  <r>
    <s v="WSR-2026-0324"/>
    <d v="2026-04-11T00:00:00"/>
    <x v="3"/>
    <x v="3"/>
    <s v="Saturday"/>
    <x v="14"/>
    <d v="2026-04-30T00:00:00"/>
    <s v="Spring"/>
    <x v="3"/>
    <x v="5"/>
    <s v="2 Hours"/>
    <n v="1"/>
    <n v="45.36"/>
    <s v="Dry Bag"/>
    <n v="6"/>
    <n v="0"/>
    <n v="51.36"/>
    <x v="0"/>
    <x v="4"/>
    <s v="Credit Card"/>
    <s v="Cloudy"/>
  </r>
  <r>
    <s v="WSR-2026-0325"/>
    <d v="2026-04-11T00:00:00"/>
    <x v="3"/>
    <x v="3"/>
    <s v="Saturday"/>
    <x v="14"/>
    <d v="2026-04-30T00:00:00"/>
    <s v="Spring"/>
    <x v="0"/>
    <x v="0"/>
    <s v="1 Hour"/>
    <n v="1"/>
    <n v="34.56"/>
    <s v="None"/>
    <n v="0"/>
    <n v="0"/>
    <n v="34.56"/>
    <x v="3"/>
    <x v="1"/>
    <s v="Credit Card"/>
    <s v="Sunny"/>
  </r>
  <r>
    <s v="WSR-2026-0326"/>
    <d v="2026-04-11T00:00:00"/>
    <x v="3"/>
    <x v="3"/>
    <s v="Saturday"/>
    <x v="14"/>
    <d v="2026-04-30T00:00:00"/>
    <s v="Spring"/>
    <x v="3"/>
    <x v="8"/>
    <s v="2 Hours"/>
    <n v="1"/>
    <n v="17.28"/>
    <s v="Dry Bag"/>
    <n v="6"/>
    <n v="0"/>
    <n v="23.28"/>
    <x v="4"/>
    <x v="2"/>
    <s v="Credit Card"/>
    <s v="Sunny"/>
  </r>
  <r>
    <s v="WSR-2026-0327"/>
    <d v="2026-04-12T00:00:00"/>
    <x v="3"/>
    <x v="3"/>
    <s v="Sunday"/>
    <x v="15"/>
    <d v="2026-04-30T00:00:00"/>
    <s v="Spring"/>
    <x v="2"/>
    <x v="8"/>
    <s v="2 Hours"/>
    <n v="1"/>
    <n v="17.28"/>
    <s v="None"/>
    <n v="0"/>
    <n v="0"/>
    <n v="17.28"/>
    <x v="8"/>
    <x v="0"/>
    <s v="Gift Card"/>
    <s v="Sunny"/>
  </r>
  <r>
    <s v="WSR-2026-0328"/>
    <d v="2026-04-12T00:00:00"/>
    <x v="3"/>
    <x v="3"/>
    <s v="Sunday"/>
    <x v="15"/>
    <d v="2026-04-30T00:00:00"/>
    <s v="Spring"/>
    <x v="2"/>
    <x v="5"/>
    <s v="Full Day"/>
    <n v="1"/>
    <n v="95.04"/>
    <s v="None"/>
    <n v="0"/>
    <n v="4.75"/>
    <n v="90.29"/>
    <x v="6"/>
    <x v="2"/>
    <s v="Mobile Pay"/>
    <s v="Windy"/>
  </r>
  <r>
    <s v="WSR-2026-0329"/>
    <d v="2026-04-12T00:00:00"/>
    <x v="3"/>
    <x v="3"/>
    <s v="Sunday"/>
    <x v="15"/>
    <d v="2026-04-30T00:00:00"/>
    <s v="Spring"/>
    <x v="2"/>
    <x v="1"/>
    <s v="Full Day"/>
    <n v="1"/>
    <n v="90.72"/>
    <s v="Dry Bag"/>
    <n v="6"/>
    <n v="0"/>
    <n v="96.72"/>
    <x v="3"/>
    <x v="0"/>
    <s v="Mobile Pay"/>
    <s v="Cloudy"/>
  </r>
  <r>
    <s v="WSR-2026-0330"/>
    <d v="2026-04-12T00:00:00"/>
    <x v="3"/>
    <x v="3"/>
    <s v="Sunday"/>
    <x v="15"/>
    <d v="2026-04-30T00:00:00"/>
    <s v="Spring"/>
    <x v="0"/>
    <x v="8"/>
    <s v="2 Hours"/>
    <n v="1"/>
    <n v="17.28"/>
    <s v="Phone Pouch"/>
    <n v="5"/>
    <n v="0"/>
    <n v="22.28"/>
    <x v="9"/>
    <x v="1"/>
    <s v="Cash"/>
    <s v="Windy"/>
  </r>
  <r>
    <s v="WSR-2026-0331"/>
    <d v="2026-04-12T00:00:00"/>
    <x v="3"/>
    <x v="3"/>
    <s v="Sunday"/>
    <x v="15"/>
    <d v="2026-04-30T00:00:00"/>
    <s v="Spring"/>
    <x v="3"/>
    <x v="1"/>
    <s v="2 Hours"/>
    <n v="1"/>
    <n v="41.04"/>
    <s v="None"/>
    <n v="0"/>
    <n v="0"/>
    <n v="41.04"/>
    <x v="2"/>
    <x v="1"/>
    <s v="Credit Card"/>
    <s v="Cloudy"/>
  </r>
  <r>
    <s v="WSR-2026-0332"/>
    <d v="2026-04-12T00:00:00"/>
    <x v="3"/>
    <x v="3"/>
    <s v="Sunday"/>
    <x v="15"/>
    <d v="2026-04-30T00:00:00"/>
    <s v="Spring"/>
    <x v="0"/>
    <x v="2"/>
    <s v="2 Hours"/>
    <n v="1"/>
    <n v="56.16"/>
    <s v="GoPro Mount"/>
    <n v="8"/>
    <n v="0"/>
    <n v="64.16"/>
    <x v="5"/>
    <x v="4"/>
    <s v="Debit Card"/>
    <s v="Rainy"/>
  </r>
  <r>
    <s v="WSR-2026-0333"/>
    <d v="2026-04-13T00:00:00"/>
    <x v="3"/>
    <x v="3"/>
    <s v="Monday"/>
    <x v="15"/>
    <d v="2026-04-30T00:00:00"/>
    <s v="Spring"/>
    <x v="2"/>
    <x v="8"/>
    <s v="2 Hours"/>
    <n v="1"/>
    <n v="16"/>
    <s v="Dry Bag"/>
    <n v="6"/>
    <n v="0"/>
    <n v="22"/>
    <x v="5"/>
    <x v="0"/>
    <s v="Credit Card"/>
    <s v="Cloudy"/>
  </r>
  <r>
    <s v="WSR-2026-0334"/>
    <d v="2026-04-13T00:00:00"/>
    <x v="3"/>
    <x v="3"/>
    <s v="Monday"/>
    <x v="15"/>
    <d v="2026-04-30T00:00:00"/>
    <s v="Spring"/>
    <x v="3"/>
    <x v="5"/>
    <s v="2 Hours"/>
    <n v="1"/>
    <n v="42"/>
    <s v="None"/>
    <n v="0"/>
    <n v="0"/>
    <n v="42"/>
    <x v="2"/>
    <x v="3"/>
    <s v="Credit Card"/>
    <s v="Cloudy"/>
  </r>
  <r>
    <s v="WSR-2026-0335"/>
    <d v="2026-04-13T00:00:00"/>
    <x v="3"/>
    <x v="3"/>
    <s v="Monday"/>
    <x v="15"/>
    <d v="2026-04-30T00:00:00"/>
    <s v="Spring"/>
    <x v="0"/>
    <x v="5"/>
    <s v="Full Day"/>
    <n v="1"/>
    <n v="88"/>
    <s v="None"/>
    <n v="0"/>
    <n v="0"/>
    <n v="88"/>
    <x v="6"/>
    <x v="4"/>
    <s v="Cash"/>
    <s v="Sunny"/>
  </r>
  <r>
    <s v="WSR-2026-0336"/>
    <d v="2026-04-13T00:00:00"/>
    <x v="3"/>
    <x v="3"/>
    <s v="Monday"/>
    <x v="15"/>
    <d v="2026-04-30T00:00:00"/>
    <s v="Spring"/>
    <x v="3"/>
    <x v="6"/>
    <s v="2 Hours"/>
    <n v="1"/>
    <n v="58"/>
    <s v="None"/>
    <n v="0"/>
    <n v="0"/>
    <n v="58"/>
    <x v="2"/>
    <x v="0"/>
    <s v="Credit Card"/>
    <s v="Rainy"/>
  </r>
  <r>
    <s v="WSR-2026-0337"/>
    <d v="2026-04-13T00:00:00"/>
    <x v="3"/>
    <x v="3"/>
    <s v="Monday"/>
    <x v="15"/>
    <d v="2026-04-30T00:00:00"/>
    <s v="Spring"/>
    <x v="2"/>
    <x v="4"/>
    <s v="1 Hour"/>
    <n v="1"/>
    <n v="12"/>
    <s v="Waterproof Speaker"/>
    <n v="12"/>
    <n v="0"/>
    <n v="24"/>
    <x v="1"/>
    <x v="3"/>
    <s v="Cash"/>
    <s v="Sunny"/>
  </r>
  <r>
    <s v="WSR-2026-0338"/>
    <d v="2026-04-13T00:00:00"/>
    <x v="3"/>
    <x v="3"/>
    <s v="Monday"/>
    <x v="15"/>
    <d v="2026-04-30T00:00:00"/>
    <s v="Spring"/>
    <x v="2"/>
    <x v="2"/>
    <s v="2 Hours"/>
    <n v="1"/>
    <n v="52"/>
    <s v="None"/>
    <n v="0"/>
    <n v="0"/>
    <n v="52"/>
    <x v="0"/>
    <x v="0"/>
    <s v="Debit Card"/>
    <s v="Cloudy"/>
  </r>
  <r>
    <s v="WSR-2026-0339"/>
    <d v="2026-04-14T00:00:00"/>
    <x v="3"/>
    <x v="3"/>
    <s v="Tuesday"/>
    <x v="15"/>
    <d v="2026-04-30T00:00:00"/>
    <s v="Spring"/>
    <x v="3"/>
    <x v="2"/>
    <s v="Half Day"/>
    <n v="1"/>
    <n v="78"/>
    <s v="None"/>
    <n v="0"/>
    <n v="0"/>
    <n v="78"/>
    <x v="8"/>
    <x v="1"/>
    <s v="Debit Card"/>
    <s v="Windy"/>
  </r>
  <r>
    <s v="WSR-2026-0340"/>
    <d v="2026-04-14T00:00:00"/>
    <x v="3"/>
    <x v="3"/>
    <s v="Tuesday"/>
    <x v="15"/>
    <d v="2026-04-30T00:00:00"/>
    <s v="Spring"/>
    <x v="0"/>
    <x v="5"/>
    <s v="2 Hours"/>
    <n v="1"/>
    <n v="42"/>
    <s v="None"/>
    <n v="0"/>
    <n v="0"/>
    <n v="42"/>
    <x v="3"/>
    <x v="1"/>
    <s v="Debit Card"/>
    <s v="Sunny"/>
  </r>
  <r>
    <s v="WSR-2026-0341"/>
    <d v="2026-04-14T00:00:00"/>
    <x v="3"/>
    <x v="3"/>
    <s v="Tuesday"/>
    <x v="15"/>
    <d v="2026-04-30T00:00:00"/>
    <s v="Spring"/>
    <x v="3"/>
    <x v="5"/>
    <s v="2 Hours"/>
    <n v="1"/>
    <n v="42"/>
    <s v="Phone Pouch"/>
    <n v="5"/>
    <n v="0"/>
    <n v="47"/>
    <x v="0"/>
    <x v="0"/>
    <s v="Debit Card"/>
    <s v="Cloudy"/>
  </r>
  <r>
    <s v="WSR-2026-0342"/>
    <d v="2026-04-14T00:00:00"/>
    <x v="3"/>
    <x v="3"/>
    <s v="Tuesday"/>
    <x v="15"/>
    <d v="2026-04-30T00:00:00"/>
    <s v="Spring"/>
    <x v="3"/>
    <x v="6"/>
    <s v="1 Hour"/>
    <n v="1"/>
    <n v="36"/>
    <s v="None"/>
    <n v="0"/>
    <n v="0"/>
    <n v="36"/>
    <x v="4"/>
    <x v="2"/>
    <s v="Credit Card"/>
    <s v="Sunny"/>
  </r>
  <r>
    <s v="WSR-2026-0343"/>
    <d v="2026-04-14T00:00:00"/>
    <x v="3"/>
    <x v="3"/>
    <s v="Tuesday"/>
    <x v="15"/>
    <d v="2026-04-30T00:00:00"/>
    <s v="Spring"/>
    <x v="3"/>
    <x v="7"/>
    <s v="Full Day"/>
    <n v="1"/>
    <n v="48"/>
    <s v="None"/>
    <n v="0"/>
    <n v="0"/>
    <n v="48"/>
    <x v="5"/>
    <x v="2"/>
    <s v="Cash"/>
    <s v="Sunny"/>
  </r>
  <r>
    <s v="WSR-2026-0344"/>
    <d v="2026-04-14T00:00:00"/>
    <x v="3"/>
    <x v="3"/>
    <s v="Tuesday"/>
    <x v="15"/>
    <d v="2026-04-30T00:00:00"/>
    <s v="Spring"/>
    <x v="2"/>
    <x v="1"/>
    <s v="Half Day"/>
    <n v="1"/>
    <n v="58"/>
    <s v="Cooler Rental"/>
    <n v="10"/>
    <n v="0"/>
    <n v="68"/>
    <x v="8"/>
    <x v="0"/>
    <s v="Credit Card"/>
    <s v="Cloudy"/>
  </r>
  <r>
    <s v="WSR-2026-0345"/>
    <d v="2026-04-15T00:00:00"/>
    <x v="3"/>
    <x v="3"/>
    <s v="Wednesday"/>
    <x v="15"/>
    <d v="2026-04-30T00:00:00"/>
    <s v="Spring"/>
    <x v="3"/>
    <x v="5"/>
    <s v="2 Hours"/>
    <n v="1"/>
    <n v="42"/>
    <s v="None"/>
    <n v="0"/>
    <n v="0"/>
    <n v="42"/>
    <x v="3"/>
    <x v="4"/>
    <s v="Credit Card"/>
    <s v="Windy"/>
  </r>
  <r>
    <s v="WSR-2026-0346"/>
    <d v="2026-04-15T00:00:00"/>
    <x v="3"/>
    <x v="3"/>
    <s v="Wednesday"/>
    <x v="15"/>
    <d v="2026-04-30T00:00:00"/>
    <s v="Spring"/>
    <x v="2"/>
    <x v="1"/>
    <s v="1 Hour"/>
    <n v="1"/>
    <n v="24"/>
    <s v="Cooler Rental"/>
    <n v="10"/>
    <n v="0"/>
    <n v="34"/>
    <x v="1"/>
    <x v="3"/>
    <s v="Mobile Pay"/>
    <s v="Cloudy"/>
  </r>
  <r>
    <s v="WSR-2026-0347"/>
    <d v="2026-04-16T00:00:00"/>
    <x v="3"/>
    <x v="3"/>
    <s v="Thursday"/>
    <x v="15"/>
    <d v="2026-04-30T00:00:00"/>
    <s v="Spring"/>
    <x v="2"/>
    <x v="4"/>
    <s v="Half Day"/>
    <n v="1"/>
    <n v="28"/>
    <s v="Waterproof Speaker"/>
    <n v="12"/>
    <n v="0"/>
    <n v="40"/>
    <x v="4"/>
    <x v="1"/>
    <s v="Debit Card"/>
    <s v="Sunny"/>
  </r>
  <r>
    <s v="WSR-2026-0348"/>
    <d v="2026-04-16T00:00:00"/>
    <x v="3"/>
    <x v="3"/>
    <s v="Thursday"/>
    <x v="15"/>
    <d v="2026-04-30T00:00:00"/>
    <s v="Spring"/>
    <x v="1"/>
    <x v="5"/>
    <s v="Half Day"/>
    <n v="1"/>
    <n v="62"/>
    <s v="Dry Bag"/>
    <n v="6"/>
    <n v="3.4"/>
    <n v="64.599999999999994"/>
    <x v="4"/>
    <x v="0"/>
    <s v="Credit Card"/>
    <s v="Windy"/>
  </r>
  <r>
    <s v="WSR-2026-0349"/>
    <d v="2026-04-16T00:00:00"/>
    <x v="3"/>
    <x v="3"/>
    <s v="Thursday"/>
    <x v="15"/>
    <d v="2026-04-30T00:00:00"/>
    <s v="Spring"/>
    <x v="3"/>
    <x v="2"/>
    <s v="Half Day"/>
    <n v="1"/>
    <n v="78"/>
    <s v="None"/>
    <n v="0"/>
    <n v="0"/>
    <n v="78"/>
    <x v="4"/>
    <x v="1"/>
    <s v="Credit Card"/>
    <s v="Cloudy"/>
  </r>
  <r>
    <s v="WSR-2026-0350"/>
    <d v="2026-04-16T00:00:00"/>
    <x v="3"/>
    <x v="3"/>
    <s v="Thursday"/>
    <x v="15"/>
    <d v="2026-04-30T00:00:00"/>
    <s v="Spring"/>
    <x v="2"/>
    <x v="1"/>
    <s v="1 Hour"/>
    <n v="1"/>
    <n v="24"/>
    <s v="None"/>
    <n v="0"/>
    <n v="0"/>
    <n v="24"/>
    <x v="5"/>
    <x v="3"/>
    <s v="Debit Card"/>
    <s v="Sunny"/>
  </r>
  <r>
    <s v="WSR-2026-0351"/>
    <d v="2026-04-16T00:00:00"/>
    <x v="3"/>
    <x v="3"/>
    <s v="Thursday"/>
    <x v="15"/>
    <d v="2026-04-30T00:00:00"/>
    <s v="Spring"/>
    <x v="3"/>
    <x v="0"/>
    <s v="1 Hour"/>
    <n v="1"/>
    <n v="32"/>
    <s v="None"/>
    <n v="0"/>
    <n v="0"/>
    <n v="32"/>
    <x v="4"/>
    <x v="3"/>
    <s v="Credit Card"/>
    <s v="Windy"/>
  </r>
  <r>
    <s v="WSR-2026-0352"/>
    <d v="2026-04-16T00:00:00"/>
    <x v="3"/>
    <x v="3"/>
    <s v="Thursday"/>
    <x v="15"/>
    <d v="2026-04-30T00:00:00"/>
    <s v="Spring"/>
    <x v="3"/>
    <x v="2"/>
    <s v="2 Hours"/>
    <n v="1"/>
    <n v="52"/>
    <s v="Cooler Rental"/>
    <n v="10"/>
    <n v="0"/>
    <n v="62"/>
    <x v="6"/>
    <x v="0"/>
    <s v="Credit Card"/>
    <s v="Windy"/>
  </r>
  <r>
    <s v="WSR-2026-0353"/>
    <d v="2026-04-17T00:00:00"/>
    <x v="3"/>
    <x v="3"/>
    <s v="Friday"/>
    <x v="15"/>
    <d v="2026-04-30T00:00:00"/>
    <s v="Spring"/>
    <x v="2"/>
    <x v="9"/>
    <s v="2 Hours"/>
    <n v="1"/>
    <n v="48"/>
    <s v="None"/>
    <n v="0"/>
    <n v="0"/>
    <n v="48"/>
    <x v="7"/>
    <x v="3"/>
    <s v="Credit Card"/>
    <s v="Sunny"/>
  </r>
  <r>
    <s v="WSR-2026-0354"/>
    <d v="2026-04-17T00:00:00"/>
    <x v="3"/>
    <x v="3"/>
    <s v="Friday"/>
    <x v="15"/>
    <d v="2026-04-30T00:00:00"/>
    <s v="Spring"/>
    <x v="2"/>
    <x v="2"/>
    <s v="Full Day"/>
    <n v="1"/>
    <n v="112"/>
    <s v="Premium Life Jacket"/>
    <n v="7"/>
    <n v="0"/>
    <n v="119"/>
    <x v="4"/>
    <x v="3"/>
    <s v="Mobile Pay"/>
    <s v="Sunny"/>
  </r>
  <r>
    <s v="WSR-2026-0355"/>
    <d v="2026-04-17T00:00:00"/>
    <x v="3"/>
    <x v="3"/>
    <s v="Friday"/>
    <x v="15"/>
    <d v="2026-04-30T00:00:00"/>
    <s v="Spring"/>
    <x v="2"/>
    <x v="4"/>
    <s v="1 Hour"/>
    <n v="1"/>
    <n v="12"/>
    <s v="None"/>
    <n v="0"/>
    <n v="0"/>
    <n v="12"/>
    <x v="6"/>
    <x v="4"/>
    <s v="Credit Card"/>
    <s v="Sunny"/>
  </r>
  <r>
    <s v="WSR-2026-0356"/>
    <d v="2026-04-17T00:00:00"/>
    <x v="3"/>
    <x v="3"/>
    <s v="Friday"/>
    <x v="15"/>
    <d v="2026-04-30T00:00:00"/>
    <s v="Spring"/>
    <x v="3"/>
    <x v="1"/>
    <s v="Full Day"/>
    <n v="1"/>
    <n v="84"/>
    <s v="None"/>
    <n v="0"/>
    <n v="0"/>
    <n v="84"/>
    <x v="7"/>
    <x v="0"/>
    <s v="Debit Card"/>
    <s v="Sunny"/>
  </r>
  <r>
    <s v="WSR-2026-0357"/>
    <d v="2026-04-17T00:00:00"/>
    <x v="3"/>
    <x v="3"/>
    <s v="Friday"/>
    <x v="15"/>
    <d v="2026-04-30T00:00:00"/>
    <s v="Spring"/>
    <x v="3"/>
    <x v="5"/>
    <s v="1 Hour"/>
    <n v="1"/>
    <n v="26"/>
    <s v="Dry Bag"/>
    <n v="6"/>
    <n v="0"/>
    <n v="32"/>
    <x v="6"/>
    <x v="4"/>
    <s v="Credit Card"/>
    <s v="Sunny"/>
  </r>
  <r>
    <s v="WSR-2026-0358"/>
    <d v="2026-04-18T00:00:00"/>
    <x v="3"/>
    <x v="3"/>
    <s v="Saturday"/>
    <x v="15"/>
    <d v="2026-04-30T00:00:00"/>
    <s v="Spring"/>
    <x v="1"/>
    <x v="8"/>
    <s v="2 Hours"/>
    <n v="1"/>
    <n v="17.28"/>
    <s v="Cooler Rental"/>
    <n v="10"/>
    <n v="1.36"/>
    <n v="25.92"/>
    <x v="6"/>
    <x v="0"/>
    <s v="Credit Card"/>
    <s v="Rainy"/>
  </r>
  <r>
    <s v="WSR-2026-0359"/>
    <d v="2026-04-18T00:00:00"/>
    <x v="3"/>
    <x v="3"/>
    <s v="Saturday"/>
    <x v="15"/>
    <d v="2026-04-30T00:00:00"/>
    <s v="Spring"/>
    <x v="2"/>
    <x v="5"/>
    <s v="1 Hour"/>
    <n v="1"/>
    <n v="28.08"/>
    <s v="Phone Pouch"/>
    <n v="5"/>
    <n v="0"/>
    <n v="33.08"/>
    <x v="4"/>
    <x v="4"/>
    <s v="Debit Card"/>
    <s v="Rainy"/>
  </r>
  <r>
    <s v="WSR-2026-0360"/>
    <d v="2026-04-18T00:00:00"/>
    <x v="3"/>
    <x v="3"/>
    <s v="Saturday"/>
    <x v="15"/>
    <d v="2026-04-30T00:00:00"/>
    <s v="Spring"/>
    <x v="3"/>
    <x v="4"/>
    <s v="Full Day"/>
    <n v="1"/>
    <n v="43.2"/>
    <s v="None"/>
    <n v="0"/>
    <n v="0"/>
    <n v="43.2"/>
    <x v="4"/>
    <x v="4"/>
    <s v="Credit Card"/>
    <s v="Windy"/>
  </r>
  <r>
    <s v="WSR-2026-0361"/>
    <d v="2026-04-18T00:00:00"/>
    <x v="3"/>
    <x v="3"/>
    <s v="Saturday"/>
    <x v="15"/>
    <d v="2026-04-30T00:00:00"/>
    <s v="Spring"/>
    <x v="0"/>
    <x v="4"/>
    <s v="1 Hour"/>
    <n v="1"/>
    <n v="12.96"/>
    <s v="Dry Bag"/>
    <n v="6"/>
    <n v="0"/>
    <n v="18.96"/>
    <x v="7"/>
    <x v="4"/>
    <s v="Credit Card"/>
    <s v="Cloudy"/>
  </r>
  <r>
    <s v="WSR-2026-0362"/>
    <d v="2026-04-18T00:00:00"/>
    <x v="3"/>
    <x v="3"/>
    <s v="Saturday"/>
    <x v="15"/>
    <d v="2026-04-30T00:00:00"/>
    <s v="Spring"/>
    <x v="2"/>
    <x v="8"/>
    <s v="Full Day"/>
    <n v="1"/>
    <n v="36.72"/>
    <s v="None"/>
    <n v="0"/>
    <n v="0"/>
    <n v="36.72"/>
    <x v="4"/>
    <x v="4"/>
    <s v="Debit Card"/>
    <s v="Cloudy"/>
  </r>
  <r>
    <s v="WSR-2026-0363"/>
    <d v="2026-04-18T00:00:00"/>
    <x v="3"/>
    <x v="3"/>
    <s v="Saturday"/>
    <x v="15"/>
    <d v="2026-04-30T00:00:00"/>
    <s v="Spring"/>
    <x v="3"/>
    <x v="1"/>
    <s v="1 Hour"/>
    <n v="1"/>
    <n v="25.92"/>
    <s v="None"/>
    <n v="0"/>
    <n v="0"/>
    <n v="25.92"/>
    <x v="6"/>
    <x v="4"/>
    <s v="Debit Card"/>
    <s v="Sunny"/>
  </r>
  <r>
    <s v="WSR-2026-0364"/>
    <d v="2026-04-18T00:00:00"/>
    <x v="3"/>
    <x v="3"/>
    <s v="Saturday"/>
    <x v="15"/>
    <d v="2026-04-30T00:00:00"/>
    <s v="Spring"/>
    <x v="0"/>
    <x v="2"/>
    <s v="2 Hours"/>
    <n v="1"/>
    <n v="56.16"/>
    <s v="Phone Pouch"/>
    <n v="5"/>
    <n v="0"/>
    <n v="61.16"/>
    <x v="2"/>
    <x v="4"/>
    <s v="Credit Card"/>
    <s v="Cloudy"/>
  </r>
  <r>
    <s v="WSR-2026-0365"/>
    <d v="2026-04-18T00:00:00"/>
    <x v="3"/>
    <x v="3"/>
    <s v="Saturday"/>
    <x v="15"/>
    <d v="2026-04-30T00:00:00"/>
    <s v="Spring"/>
    <x v="3"/>
    <x v="5"/>
    <s v="1 Hour"/>
    <n v="1"/>
    <n v="28.08"/>
    <s v="Cooler Rental"/>
    <n v="10"/>
    <n v="0"/>
    <n v="38.08"/>
    <x v="6"/>
    <x v="1"/>
    <s v="Gift Card"/>
    <s v="Windy"/>
  </r>
  <r>
    <s v="WSR-2026-0366"/>
    <d v="2026-04-18T00:00:00"/>
    <x v="3"/>
    <x v="3"/>
    <s v="Saturday"/>
    <x v="15"/>
    <d v="2026-04-30T00:00:00"/>
    <s v="Spring"/>
    <x v="1"/>
    <x v="1"/>
    <s v="2 Hours"/>
    <n v="1"/>
    <n v="41.04"/>
    <s v="None"/>
    <n v="0"/>
    <n v="0"/>
    <n v="41.04"/>
    <x v="5"/>
    <x v="3"/>
    <s v="Debit Card"/>
    <s v="Cloudy"/>
  </r>
  <r>
    <s v="WSR-2026-0367"/>
    <d v="2026-04-19T00:00:00"/>
    <x v="3"/>
    <x v="3"/>
    <s v="Sunday"/>
    <x v="16"/>
    <d v="2026-04-30T00:00:00"/>
    <s v="Spring"/>
    <x v="2"/>
    <x v="0"/>
    <s v="1 Hour"/>
    <n v="1"/>
    <n v="34.56"/>
    <s v="None"/>
    <n v="0"/>
    <n v="0"/>
    <n v="34.56"/>
    <x v="7"/>
    <x v="3"/>
    <s v="Debit Card"/>
    <s v="Cloudy"/>
  </r>
  <r>
    <s v="WSR-2026-0368"/>
    <d v="2026-04-19T00:00:00"/>
    <x v="3"/>
    <x v="3"/>
    <s v="Sunday"/>
    <x v="16"/>
    <d v="2026-04-30T00:00:00"/>
    <s v="Spring"/>
    <x v="2"/>
    <x v="4"/>
    <s v="2 Hours"/>
    <n v="1"/>
    <n v="19.440000000000001"/>
    <s v="Cooler Rental"/>
    <n v="10"/>
    <n v="0"/>
    <n v="29.44"/>
    <x v="9"/>
    <x v="4"/>
    <s v="Debit Card"/>
    <s v="Sunny"/>
  </r>
  <r>
    <s v="WSR-2026-0369"/>
    <d v="2026-04-19T00:00:00"/>
    <x v="3"/>
    <x v="3"/>
    <s v="Sunday"/>
    <x v="16"/>
    <d v="2026-04-30T00:00:00"/>
    <s v="Spring"/>
    <x v="3"/>
    <x v="7"/>
    <s v="Half Day"/>
    <n v="1"/>
    <n v="36.72"/>
    <s v="None"/>
    <n v="0"/>
    <n v="0"/>
    <n v="36.72"/>
    <x v="4"/>
    <x v="0"/>
    <s v="Credit Card"/>
    <s v="Cloudy"/>
  </r>
  <r>
    <s v="WSR-2026-0370"/>
    <d v="2026-04-19T00:00:00"/>
    <x v="3"/>
    <x v="3"/>
    <s v="Sunday"/>
    <x v="16"/>
    <d v="2026-04-30T00:00:00"/>
    <s v="Spring"/>
    <x v="3"/>
    <x v="1"/>
    <s v="Full Day"/>
    <n v="1"/>
    <n v="90.72"/>
    <s v="None"/>
    <n v="0"/>
    <n v="0"/>
    <n v="90.72"/>
    <x v="9"/>
    <x v="0"/>
    <s v="Credit Card"/>
    <s v="Sunny"/>
  </r>
  <r>
    <s v="WSR-2026-0371"/>
    <d v="2026-04-19T00:00:00"/>
    <x v="3"/>
    <x v="3"/>
    <s v="Sunday"/>
    <x v="16"/>
    <d v="2026-04-30T00:00:00"/>
    <s v="Spring"/>
    <x v="3"/>
    <x v="2"/>
    <s v="1 Hour"/>
    <n v="1"/>
    <n v="36.72"/>
    <s v="Phone Pouch"/>
    <n v="5"/>
    <n v="0"/>
    <n v="41.72"/>
    <x v="5"/>
    <x v="2"/>
    <s v="Credit Card"/>
    <s v="Sunny"/>
  </r>
  <r>
    <s v="WSR-2026-0372"/>
    <d v="2026-04-19T00:00:00"/>
    <x v="3"/>
    <x v="3"/>
    <s v="Sunday"/>
    <x v="16"/>
    <d v="2026-04-30T00:00:00"/>
    <s v="Spring"/>
    <x v="2"/>
    <x v="5"/>
    <s v="Half Day"/>
    <n v="1"/>
    <n v="66.959999999999994"/>
    <s v="Waterproof Speaker"/>
    <n v="12"/>
    <n v="0"/>
    <n v="78.959999999999994"/>
    <x v="8"/>
    <x v="3"/>
    <s v="Credit Card"/>
    <s v="Sunny"/>
  </r>
  <r>
    <s v="WSR-2026-0373"/>
    <d v="2026-04-20T00:00:00"/>
    <x v="3"/>
    <x v="3"/>
    <s v="Monday"/>
    <x v="16"/>
    <d v="2026-04-30T00:00:00"/>
    <s v="Spring"/>
    <x v="3"/>
    <x v="3"/>
    <s v="1 Hour"/>
    <n v="1"/>
    <n v="22"/>
    <s v="Dry Bag"/>
    <n v="6"/>
    <n v="0"/>
    <n v="28"/>
    <x v="4"/>
    <x v="4"/>
    <s v="Debit Card"/>
    <s v="Cloudy"/>
  </r>
  <r>
    <s v="WSR-2026-0374"/>
    <d v="2026-04-20T00:00:00"/>
    <x v="3"/>
    <x v="3"/>
    <s v="Monday"/>
    <x v="16"/>
    <d v="2026-04-30T00:00:00"/>
    <s v="Spring"/>
    <x v="3"/>
    <x v="5"/>
    <s v="2 Hours"/>
    <n v="1"/>
    <n v="42"/>
    <s v="None"/>
    <n v="0"/>
    <n v="0"/>
    <n v="42"/>
    <x v="0"/>
    <x v="1"/>
    <s v="Mobile Pay"/>
    <s v="Sunny"/>
  </r>
  <r>
    <s v="WSR-2026-0375"/>
    <d v="2026-04-20T00:00:00"/>
    <x v="3"/>
    <x v="3"/>
    <s v="Monday"/>
    <x v="16"/>
    <d v="2026-04-30T00:00:00"/>
    <s v="Spring"/>
    <x v="4"/>
    <x v="2"/>
    <s v="1 Hour"/>
    <n v="1"/>
    <n v="34"/>
    <s v="None"/>
    <n v="0"/>
    <n v="3.4"/>
    <n v="30.6"/>
    <x v="1"/>
    <x v="1"/>
    <s v="Cash"/>
    <s v="Cloudy"/>
  </r>
  <r>
    <s v="WSR-2026-0376"/>
    <d v="2026-04-20T00:00:00"/>
    <x v="3"/>
    <x v="3"/>
    <s v="Monday"/>
    <x v="16"/>
    <d v="2026-04-30T00:00:00"/>
    <s v="Spring"/>
    <x v="2"/>
    <x v="3"/>
    <s v="1 Hour"/>
    <n v="1"/>
    <n v="22"/>
    <s v="Dry Bag"/>
    <n v="6"/>
    <n v="0"/>
    <n v="28"/>
    <x v="9"/>
    <x v="1"/>
    <s v="Debit Card"/>
    <s v="Sunny"/>
  </r>
  <r>
    <s v="WSR-2026-0377"/>
    <d v="2026-04-20T00:00:00"/>
    <x v="3"/>
    <x v="3"/>
    <s v="Monday"/>
    <x v="16"/>
    <d v="2026-04-30T00:00:00"/>
    <s v="Spring"/>
    <x v="2"/>
    <x v="9"/>
    <s v="2 Hours"/>
    <n v="1"/>
    <n v="48"/>
    <s v="None"/>
    <n v="0"/>
    <n v="0"/>
    <n v="48"/>
    <x v="1"/>
    <x v="4"/>
    <s v="Debit Card"/>
    <s v="Sunny"/>
  </r>
  <r>
    <s v="WSR-2026-0378"/>
    <d v="2026-04-20T00:00:00"/>
    <x v="3"/>
    <x v="3"/>
    <s v="Monday"/>
    <x v="16"/>
    <d v="2026-04-30T00:00:00"/>
    <s v="Spring"/>
    <x v="2"/>
    <x v="0"/>
    <s v="2 Hours"/>
    <n v="1"/>
    <n v="50"/>
    <s v="None"/>
    <n v="0"/>
    <n v="0"/>
    <n v="50"/>
    <x v="8"/>
    <x v="4"/>
    <s v="Credit Card"/>
    <s v="Cloudy"/>
  </r>
  <r>
    <s v="WSR-2026-0379"/>
    <d v="2026-04-20T00:00:00"/>
    <x v="3"/>
    <x v="3"/>
    <s v="Monday"/>
    <x v="16"/>
    <d v="2026-04-30T00:00:00"/>
    <s v="Spring"/>
    <x v="1"/>
    <x v="9"/>
    <s v="Half Day"/>
    <n v="1"/>
    <n v="72"/>
    <s v="Waterproof Speaker"/>
    <n v="12"/>
    <n v="8.4"/>
    <n v="75.599999999999994"/>
    <x v="1"/>
    <x v="3"/>
    <s v="Credit Card"/>
    <s v="Sunny"/>
  </r>
  <r>
    <s v="WSR-2026-0380"/>
    <d v="2026-04-21T00:00:00"/>
    <x v="3"/>
    <x v="3"/>
    <s v="Tuesday"/>
    <x v="16"/>
    <d v="2026-04-30T00:00:00"/>
    <s v="Spring"/>
    <x v="0"/>
    <x v="2"/>
    <s v="Half Day"/>
    <n v="1"/>
    <n v="78"/>
    <s v="Cooler Rental"/>
    <n v="10"/>
    <n v="0"/>
    <n v="88"/>
    <x v="0"/>
    <x v="1"/>
    <s v="Debit Card"/>
    <s v="Windy"/>
  </r>
  <r>
    <s v="WSR-2026-0381"/>
    <d v="2026-04-21T00:00:00"/>
    <x v="3"/>
    <x v="3"/>
    <s v="Tuesday"/>
    <x v="16"/>
    <d v="2026-04-30T00:00:00"/>
    <s v="Spring"/>
    <x v="3"/>
    <x v="2"/>
    <s v="1 Hour"/>
    <n v="1"/>
    <n v="34"/>
    <s v="Phone Pouch"/>
    <n v="5"/>
    <n v="0"/>
    <n v="39"/>
    <x v="3"/>
    <x v="2"/>
    <s v="Credit Card"/>
    <s v="Sunny"/>
  </r>
  <r>
    <s v="WSR-2026-0382"/>
    <d v="2026-04-21T00:00:00"/>
    <x v="3"/>
    <x v="3"/>
    <s v="Tuesday"/>
    <x v="16"/>
    <d v="2026-04-30T00:00:00"/>
    <s v="Spring"/>
    <x v="2"/>
    <x v="6"/>
    <s v="2 Hours"/>
    <n v="1"/>
    <n v="58"/>
    <s v="None"/>
    <n v="0"/>
    <n v="0"/>
    <n v="58"/>
    <x v="5"/>
    <x v="2"/>
    <s v="Credit Card"/>
    <s v="Sunny"/>
  </r>
  <r>
    <s v="WSR-2026-0383"/>
    <d v="2026-04-22T00:00:00"/>
    <x v="3"/>
    <x v="3"/>
    <s v="Wednesday"/>
    <x v="16"/>
    <d v="2026-04-30T00:00:00"/>
    <s v="Spring"/>
    <x v="2"/>
    <x v="9"/>
    <s v="1 Hour"/>
    <n v="1"/>
    <n v="30"/>
    <s v="Phone Pouch"/>
    <n v="5"/>
    <n v="1.75"/>
    <n v="33.25"/>
    <x v="8"/>
    <x v="1"/>
    <s v="Credit Card"/>
    <s v="Windy"/>
  </r>
  <r>
    <s v="WSR-2026-0384"/>
    <d v="2026-04-23T00:00:00"/>
    <x v="3"/>
    <x v="3"/>
    <s v="Thursday"/>
    <x v="16"/>
    <d v="2026-04-30T00:00:00"/>
    <s v="Spring"/>
    <x v="3"/>
    <x v="5"/>
    <s v="1 Hour"/>
    <n v="1"/>
    <n v="26"/>
    <s v="Premium Life Jacket"/>
    <n v="7"/>
    <n v="0"/>
    <n v="33"/>
    <x v="8"/>
    <x v="1"/>
    <s v="Credit Card"/>
    <s v="Windy"/>
  </r>
  <r>
    <s v="WSR-2026-0385"/>
    <d v="2026-04-23T00:00:00"/>
    <x v="3"/>
    <x v="3"/>
    <s v="Thursday"/>
    <x v="16"/>
    <d v="2026-04-30T00:00:00"/>
    <s v="Spring"/>
    <x v="2"/>
    <x v="6"/>
    <s v="1 Hour"/>
    <n v="1"/>
    <n v="36"/>
    <s v="Dry Bag"/>
    <n v="6"/>
    <n v="0"/>
    <n v="42"/>
    <x v="8"/>
    <x v="3"/>
    <s v="Mobile Pay"/>
    <s v="Windy"/>
  </r>
  <r>
    <s v="WSR-2026-0386"/>
    <d v="2026-04-23T00:00:00"/>
    <x v="3"/>
    <x v="3"/>
    <s v="Thursday"/>
    <x v="16"/>
    <d v="2026-04-30T00:00:00"/>
    <s v="Spring"/>
    <x v="3"/>
    <x v="2"/>
    <s v="Half Day"/>
    <n v="1"/>
    <n v="78"/>
    <s v="None"/>
    <n v="0"/>
    <n v="0"/>
    <n v="78"/>
    <x v="3"/>
    <x v="3"/>
    <s v="Cash"/>
    <s v="Windy"/>
  </r>
  <r>
    <s v="WSR-2026-0387"/>
    <d v="2026-04-23T00:00:00"/>
    <x v="3"/>
    <x v="3"/>
    <s v="Thursday"/>
    <x v="16"/>
    <d v="2026-04-30T00:00:00"/>
    <s v="Spring"/>
    <x v="3"/>
    <x v="4"/>
    <s v="Full Day"/>
    <n v="1"/>
    <n v="40"/>
    <s v="None"/>
    <n v="0"/>
    <n v="0"/>
    <n v="40"/>
    <x v="3"/>
    <x v="4"/>
    <s v="Credit Card"/>
    <s v="Cloudy"/>
  </r>
  <r>
    <s v="WSR-2026-0388"/>
    <d v="2026-04-23T00:00:00"/>
    <x v="3"/>
    <x v="3"/>
    <s v="Thursday"/>
    <x v="16"/>
    <d v="2026-04-30T00:00:00"/>
    <s v="Spring"/>
    <x v="4"/>
    <x v="5"/>
    <s v="2 Hours"/>
    <n v="1"/>
    <n v="42"/>
    <s v="None"/>
    <n v="0"/>
    <n v="6.3"/>
    <n v="35.700000000000003"/>
    <x v="2"/>
    <x v="2"/>
    <s v="Mobile Pay"/>
    <s v="Windy"/>
  </r>
  <r>
    <s v="WSR-2026-0389"/>
    <d v="2026-04-24T00:00:00"/>
    <x v="3"/>
    <x v="3"/>
    <s v="Friday"/>
    <x v="16"/>
    <d v="2026-04-30T00:00:00"/>
    <s v="Spring"/>
    <x v="0"/>
    <x v="8"/>
    <s v="2 Hours"/>
    <n v="1"/>
    <n v="16"/>
    <s v="Cooler Rental"/>
    <n v="10"/>
    <n v="1.3"/>
    <n v="24.7"/>
    <x v="6"/>
    <x v="3"/>
    <s v="Credit Card"/>
    <s v="Cloudy"/>
  </r>
  <r>
    <s v="WSR-2026-0390"/>
    <d v="2026-04-24T00:00:00"/>
    <x v="3"/>
    <x v="3"/>
    <s v="Friday"/>
    <x v="16"/>
    <d v="2026-04-30T00:00:00"/>
    <s v="Spring"/>
    <x v="1"/>
    <x v="9"/>
    <s v="1 Hour"/>
    <n v="1"/>
    <n v="30"/>
    <s v="Phone Pouch"/>
    <n v="5"/>
    <n v="1.75"/>
    <n v="33.25"/>
    <x v="1"/>
    <x v="0"/>
    <s v="Debit Card"/>
    <s v="Cloudy"/>
  </r>
  <r>
    <s v="WSR-2026-0391"/>
    <d v="2026-04-24T00:00:00"/>
    <x v="3"/>
    <x v="3"/>
    <s v="Friday"/>
    <x v="16"/>
    <d v="2026-04-30T00:00:00"/>
    <s v="Spring"/>
    <x v="2"/>
    <x v="0"/>
    <s v="Half Day"/>
    <n v="1"/>
    <n v="76"/>
    <s v="None"/>
    <n v="0"/>
    <n v="0"/>
    <n v="76"/>
    <x v="5"/>
    <x v="4"/>
    <s v="Mobile Pay"/>
    <s v="Windy"/>
  </r>
  <r>
    <s v="WSR-2026-0392"/>
    <d v="2026-04-24T00:00:00"/>
    <x v="3"/>
    <x v="3"/>
    <s v="Friday"/>
    <x v="16"/>
    <d v="2026-04-30T00:00:00"/>
    <s v="Spring"/>
    <x v="0"/>
    <x v="5"/>
    <s v="Full Day"/>
    <n v="1"/>
    <n v="88"/>
    <s v="None"/>
    <n v="0"/>
    <n v="0"/>
    <n v="88"/>
    <x v="4"/>
    <x v="4"/>
    <s v="Debit Card"/>
    <s v="Windy"/>
  </r>
  <r>
    <s v="WSR-2026-0393"/>
    <d v="2026-04-24T00:00:00"/>
    <x v="3"/>
    <x v="3"/>
    <s v="Friday"/>
    <x v="16"/>
    <d v="2026-04-30T00:00:00"/>
    <s v="Spring"/>
    <x v="3"/>
    <x v="4"/>
    <s v="2 Hours"/>
    <n v="1"/>
    <n v="18"/>
    <s v="Cooler Rental"/>
    <n v="10"/>
    <n v="0"/>
    <n v="28"/>
    <x v="6"/>
    <x v="4"/>
    <s v="Cash"/>
    <s v="Windy"/>
  </r>
  <r>
    <s v="WSR-2026-0394"/>
    <d v="2026-04-24T00:00:00"/>
    <x v="3"/>
    <x v="3"/>
    <s v="Friday"/>
    <x v="16"/>
    <d v="2026-04-30T00:00:00"/>
    <s v="Spring"/>
    <x v="1"/>
    <x v="5"/>
    <s v="2 Hours"/>
    <n v="1"/>
    <n v="42"/>
    <s v="None"/>
    <n v="0"/>
    <n v="0"/>
    <n v="42"/>
    <x v="8"/>
    <x v="3"/>
    <s v="Credit Card"/>
    <s v="Sunny"/>
  </r>
  <r>
    <s v="WSR-2026-0395"/>
    <d v="2026-04-24T00:00:00"/>
    <x v="3"/>
    <x v="3"/>
    <s v="Friday"/>
    <x v="16"/>
    <d v="2026-04-30T00:00:00"/>
    <s v="Spring"/>
    <x v="3"/>
    <x v="4"/>
    <s v="2 Hours"/>
    <n v="1"/>
    <n v="18"/>
    <s v="Phone Pouch"/>
    <n v="5"/>
    <n v="0"/>
    <n v="23"/>
    <x v="8"/>
    <x v="2"/>
    <s v="Debit Card"/>
    <s v="Cloudy"/>
  </r>
  <r>
    <s v="WSR-2026-0396"/>
    <d v="2026-04-24T00:00:00"/>
    <x v="3"/>
    <x v="3"/>
    <s v="Friday"/>
    <x v="16"/>
    <d v="2026-04-30T00:00:00"/>
    <s v="Spring"/>
    <x v="2"/>
    <x v="1"/>
    <s v="2 Hours"/>
    <n v="1"/>
    <n v="38"/>
    <s v="None"/>
    <n v="0"/>
    <n v="0"/>
    <n v="38"/>
    <x v="4"/>
    <x v="3"/>
    <s v="Cash"/>
    <s v="Cloudy"/>
  </r>
  <r>
    <s v="WSR-2026-0397"/>
    <d v="2026-04-24T00:00:00"/>
    <x v="3"/>
    <x v="3"/>
    <s v="Friday"/>
    <x v="16"/>
    <d v="2026-04-30T00:00:00"/>
    <s v="Spring"/>
    <x v="2"/>
    <x v="7"/>
    <s v="1 Hour"/>
    <n v="1"/>
    <n v="14"/>
    <s v="None"/>
    <n v="0"/>
    <n v="0"/>
    <n v="14"/>
    <x v="2"/>
    <x v="2"/>
    <s v="Credit Card"/>
    <s v="Cloudy"/>
  </r>
  <r>
    <s v="WSR-2026-0398"/>
    <d v="2026-04-25T00:00:00"/>
    <x v="3"/>
    <x v="3"/>
    <s v="Saturday"/>
    <x v="16"/>
    <d v="2026-04-30T00:00:00"/>
    <s v="Spring"/>
    <x v="3"/>
    <x v="6"/>
    <s v="Half Day"/>
    <n v="1"/>
    <n v="92.88"/>
    <s v="None"/>
    <n v="0"/>
    <n v="0"/>
    <n v="92.88"/>
    <x v="0"/>
    <x v="3"/>
    <s v="Credit Card"/>
    <s v="Rainy"/>
  </r>
  <r>
    <s v="WSR-2026-0399"/>
    <d v="2026-04-25T00:00:00"/>
    <x v="3"/>
    <x v="3"/>
    <s v="Saturday"/>
    <x v="16"/>
    <d v="2026-04-30T00:00:00"/>
    <s v="Spring"/>
    <x v="2"/>
    <x v="0"/>
    <s v="2 Hours"/>
    <n v="1"/>
    <n v="54"/>
    <s v="Waterproof Speaker"/>
    <n v="12"/>
    <n v="0"/>
    <n v="66"/>
    <x v="4"/>
    <x v="2"/>
    <s v="Credit Card"/>
    <s v="Cloudy"/>
  </r>
  <r>
    <s v="WSR-2026-0400"/>
    <d v="2026-04-25T00:00:00"/>
    <x v="3"/>
    <x v="3"/>
    <s v="Saturday"/>
    <x v="16"/>
    <d v="2026-04-30T00:00:00"/>
    <s v="Spring"/>
    <x v="4"/>
    <x v="3"/>
    <s v="1 Hour"/>
    <n v="1"/>
    <n v="23.76"/>
    <s v="None"/>
    <n v="0"/>
    <n v="2.38"/>
    <n v="21.38"/>
    <x v="5"/>
    <x v="3"/>
    <s v="Credit Card"/>
    <s v="Windy"/>
  </r>
  <r>
    <s v="WSR-2026-0401"/>
    <d v="2026-04-25T00:00:00"/>
    <x v="3"/>
    <x v="3"/>
    <s v="Saturday"/>
    <x v="16"/>
    <d v="2026-04-30T00:00:00"/>
    <s v="Spring"/>
    <x v="3"/>
    <x v="5"/>
    <s v="Half Day"/>
    <n v="1"/>
    <n v="66.959999999999994"/>
    <s v="Phone Pouch"/>
    <n v="5"/>
    <n v="0"/>
    <n v="71.959999999999994"/>
    <x v="0"/>
    <x v="0"/>
    <s v="Credit Card"/>
    <s v="Sunny"/>
  </r>
  <r>
    <s v="WSR-2026-0402"/>
    <d v="2026-04-25T00:00:00"/>
    <x v="3"/>
    <x v="3"/>
    <s v="Saturday"/>
    <x v="16"/>
    <d v="2026-04-30T00:00:00"/>
    <s v="Spring"/>
    <x v="2"/>
    <x v="1"/>
    <s v="Half Day"/>
    <n v="1"/>
    <n v="62.64"/>
    <s v="Premium Life Jacket"/>
    <n v="7"/>
    <n v="0"/>
    <n v="69.64"/>
    <x v="8"/>
    <x v="4"/>
    <s v="Credit Card"/>
    <s v="Cloudy"/>
  </r>
  <r>
    <s v="WSR-2026-0403"/>
    <d v="2026-04-25T00:00:00"/>
    <x v="3"/>
    <x v="3"/>
    <s v="Saturday"/>
    <x v="16"/>
    <d v="2026-04-30T00:00:00"/>
    <s v="Spring"/>
    <x v="3"/>
    <x v="1"/>
    <s v="Full Day"/>
    <n v="1"/>
    <n v="90.72"/>
    <s v="None"/>
    <n v="0"/>
    <n v="0"/>
    <n v="90.72"/>
    <x v="1"/>
    <x v="4"/>
    <s v="Credit Card"/>
    <s v="Sunny"/>
  </r>
  <r>
    <s v="WSR-2026-0404"/>
    <d v="2026-04-25T00:00:00"/>
    <x v="3"/>
    <x v="3"/>
    <s v="Saturday"/>
    <x v="16"/>
    <d v="2026-04-30T00:00:00"/>
    <s v="Spring"/>
    <x v="2"/>
    <x v="0"/>
    <s v="Full Day"/>
    <n v="1"/>
    <n v="118.8"/>
    <s v="None"/>
    <n v="0"/>
    <n v="0"/>
    <n v="118.8"/>
    <x v="9"/>
    <x v="3"/>
    <s v="Credit Card"/>
    <s v="Sunny"/>
  </r>
  <r>
    <s v="WSR-2026-0405"/>
    <d v="2026-04-25T00:00:00"/>
    <x v="3"/>
    <x v="3"/>
    <s v="Saturday"/>
    <x v="16"/>
    <d v="2026-04-30T00:00:00"/>
    <s v="Spring"/>
    <x v="3"/>
    <x v="1"/>
    <s v="2 Hours"/>
    <n v="1"/>
    <n v="41.04"/>
    <s v="Waterproof Speaker"/>
    <n v="12"/>
    <n v="0"/>
    <n v="53.04"/>
    <x v="6"/>
    <x v="3"/>
    <s v="Debit Card"/>
    <s v="Windy"/>
  </r>
  <r>
    <s v="WSR-2026-0406"/>
    <d v="2026-04-26T00:00:00"/>
    <x v="3"/>
    <x v="3"/>
    <s v="Sunday"/>
    <x v="17"/>
    <d v="2026-04-30T00:00:00"/>
    <s v="Spring"/>
    <x v="2"/>
    <x v="1"/>
    <s v="2 Hours"/>
    <n v="1"/>
    <n v="41.04"/>
    <s v="Premium Life Jacket"/>
    <n v="7"/>
    <n v="0"/>
    <n v="48.04"/>
    <x v="4"/>
    <x v="3"/>
    <s v="Credit Card"/>
    <s v="Sunny"/>
  </r>
  <r>
    <s v="WSR-2026-0407"/>
    <d v="2026-04-26T00:00:00"/>
    <x v="3"/>
    <x v="3"/>
    <s v="Sunday"/>
    <x v="17"/>
    <d v="2026-04-30T00:00:00"/>
    <s v="Spring"/>
    <x v="3"/>
    <x v="1"/>
    <s v="2 Hours"/>
    <n v="1"/>
    <n v="41.04"/>
    <s v="None"/>
    <n v="0"/>
    <n v="0"/>
    <n v="41.04"/>
    <x v="8"/>
    <x v="4"/>
    <s v="Credit Card"/>
    <s v="Sunny"/>
  </r>
  <r>
    <s v="WSR-2026-0408"/>
    <d v="2026-04-26T00:00:00"/>
    <x v="3"/>
    <x v="3"/>
    <s v="Sunday"/>
    <x v="17"/>
    <d v="2026-04-30T00:00:00"/>
    <s v="Spring"/>
    <x v="1"/>
    <x v="1"/>
    <s v="1 Hour"/>
    <n v="1"/>
    <n v="25.92"/>
    <s v="Cooler Rental"/>
    <n v="10"/>
    <n v="3.59"/>
    <n v="32.33"/>
    <x v="9"/>
    <x v="4"/>
    <s v="Credit Card"/>
    <s v="Windy"/>
  </r>
  <r>
    <s v="WSR-2026-0409"/>
    <d v="2026-04-26T00:00:00"/>
    <x v="3"/>
    <x v="3"/>
    <s v="Sunday"/>
    <x v="17"/>
    <d v="2026-04-30T00:00:00"/>
    <s v="Spring"/>
    <x v="3"/>
    <x v="7"/>
    <s v="Half Day"/>
    <n v="1"/>
    <n v="36.72"/>
    <s v="None"/>
    <n v="0"/>
    <n v="0"/>
    <n v="36.72"/>
    <x v="3"/>
    <x v="4"/>
    <s v="Cash"/>
    <s v="Sunny"/>
  </r>
  <r>
    <s v="WSR-2026-0410"/>
    <d v="2026-04-26T00:00:00"/>
    <x v="3"/>
    <x v="3"/>
    <s v="Sunday"/>
    <x v="17"/>
    <d v="2026-04-30T00:00:00"/>
    <s v="Spring"/>
    <x v="0"/>
    <x v="6"/>
    <s v="2 Hours"/>
    <n v="1"/>
    <n v="62.64"/>
    <s v="None"/>
    <n v="0"/>
    <n v="0"/>
    <n v="62.64"/>
    <x v="3"/>
    <x v="1"/>
    <s v="Debit Card"/>
    <s v="Sunny"/>
  </r>
  <r>
    <s v="WSR-2026-0411"/>
    <d v="2026-04-26T00:00:00"/>
    <x v="3"/>
    <x v="3"/>
    <s v="Sunday"/>
    <x v="17"/>
    <d v="2026-04-30T00:00:00"/>
    <s v="Spring"/>
    <x v="1"/>
    <x v="5"/>
    <s v="1 Hour"/>
    <n v="1"/>
    <n v="28.08"/>
    <s v="Dry Bag"/>
    <n v="6"/>
    <n v="1.7"/>
    <n v="32.380000000000003"/>
    <x v="9"/>
    <x v="3"/>
    <s v="Debit Card"/>
    <s v="Sunny"/>
  </r>
  <r>
    <s v="WSR-2026-0412"/>
    <d v="2026-04-26T00:00:00"/>
    <x v="3"/>
    <x v="3"/>
    <s v="Sunday"/>
    <x v="17"/>
    <d v="2026-04-30T00:00:00"/>
    <s v="Spring"/>
    <x v="3"/>
    <x v="6"/>
    <s v="Half Day"/>
    <n v="1"/>
    <n v="92.88"/>
    <s v="None"/>
    <n v="0"/>
    <n v="0"/>
    <n v="92.88"/>
    <x v="4"/>
    <x v="2"/>
    <s v="Cash"/>
    <s v="Windy"/>
  </r>
  <r>
    <s v="WSR-2026-0413"/>
    <d v="2026-04-26T00:00:00"/>
    <x v="3"/>
    <x v="3"/>
    <s v="Sunday"/>
    <x v="17"/>
    <d v="2026-04-30T00:00:00"/>
    <s v="Spring"/>
    <x v="3"/>
    <x v="3"/>
    <s v="2 Hours"/>
    <n v="1"/>
    <n v="38.880000000000003"/>
    <s v="Premium Life Jacket"/>
    <n v="7"/>
    <n v="2.29"/>
    <n v="43.59"/>
    <x v="7"/>
    <x v="2"/>
    <s v="Credit Card"/>
    <s v="Sunny"/>
  </r>
  <r>
    <s v="WSR-2026-0414"/>
    <d v="2026-04-26T00:00:00"/>
    <x v="3"/>
    <x v="3"/>
    <s v="Sunday"/>
    <x v="17"/>
    <d v="2026-04-30T00:00:00"/>
    <s v="Spring"/>
    <x v="1"/>
    <x v="4"/>
    <s v="Half Day"/>
    <n v="1"/>
    <n v="30.24"/>
    <s v="None"/>
    <n v="0"/>
    <n v="3.02"/>
    <n v="27.22"/>
    <x v="6"/>
    <x v="1"/>
    <s v="Credit Card"/>
    <s v="Cloudy"/>
  </r>
  <r>
    <s v="WSR-2026-0415"/>
    <d v="2026-04-26T00:00:00"/>
    <x v="3"/>
    <x v="3"/>
    <s v="Sunday"/>
    <x v="17"/>
    <d v="2026-04-30T00:00:00"/>
    <s v="Spring"/>
    <x v="3"/>
    <x v="8"/>
    <s v="Half Day"/>
    <n v="1"/>
    <n v="25.92"/>
    <s v="None"/>
    <n v="0"/>
    <n v="0"/>
    <n v="25.92"/>
    <x v="8"/>
    <x v="4"/>
    <s v="Debit Card"/>
    <s v="Sunny"/>
  </r>
  <r>
    <s v="WSR-2026-0416"/>
    <d v="2026-04-26T00:00:00"/>
    <x v="3"/>
    <x v="3"/>
    <s v="Sunday"/>
    <x v="17"/>
    <d v="2026-04-30T00:00:00"/>
    <s v="Spring"/>
    <x v="3"/>
    <x v="7"/>
    <s v="1 Hour"/>
    <n v="1"/>
    <n v="15.12"/>
    <s v="Phone Pouch"/>
    <n v="5"/>
    <n v="0"/>
    <n v="20.12"/>
    <x v="6"/>
    <x v="3"/>
    <s v="Credit Card"/>
    <s v="Windy"/>
  </r>
  <r>
    <s v="WSR-2026-0417"/>
    <d v="2026-04-26T00:00:00"/>
    <x v="3"/>
    <x v="3"/>
    <s v="Sunday"/>
    <x v="17"/>
    <d v="2026-04-30T00:00:00"/>
    <s v="Spring"/>
    <x v="0"/>
    <x v="9"/>
    <s v="1 Hour"/>
    <n v="1"/>
    <n v="32.4"/>
    <s v="GoPro Mount"/>
    <n v="8"/>
    <n v="0"/>
    <n v="40.4"/>
    <x v="1"/>
    <x v="1"/>
    <s v="Credit Card"/>
    <s v="Sunny"/>
  </r>
  <r>
    <s v="WSR-2026-0418"/>
    <d v="2026-04-26T00:00:00"/>
    <x v="3"/>
    <x v="3"/>
    <s v="Sunday"/>
    <x v="17"/>
    <d v="2026-04-30T00:00:00"/>
    <s v="Spring"/>
    <x v="3"/>
    <x v="8"/>
    <s v="Half Day"/>
    <n v="1"/>
    <n v="25.92"/>
    <s v="Cooler Rental"/>
    <n v="10"/>
    <n v="0"/>
    <n v="35.92"/>
    <x v="7"/>
    <x v="0"/>
    <s v="Debit Card"/>
    <s v="Rainy"/>
  </r>
  <r>
    <s v="WSR-2026-0419"/>
    <d v="2026-04-26T00:00:00"/>
    <x v="3"/>
    <x v="3"/>
    <s v="Sunday"/>
    <x v="17"/>
    <d v="2026-04-30T00:00:00"/>
    <s v="Spring"/>
    <x v="1"/>
    <x v="1"/>
    <s v="1 Hour"/>
    <n v="1"/>
    <n v="25.92"/>
    <s v="Phone Pouch"/>
    <n v="5"/>
    <n v="1.55"/>
    <n v="29.37"/>
    <x v="6"/>
    <x v="3"/>
    <s v="Credit Card"/>
    <s v="Cloudy"/>
  </r>
  <r>
    <s v="WSR-2026-0420"/>
    <d v="2026-04-26T00:00:00"/>
    <x v="3"/>
    <x v="3"/>
    <s v="Sunday"/>
    <x v="17"/>
    <d v="2026-04-30T00:00:00"/>
    <s v="Spring"/>
    <x v="2"/>
    <x v="6"/>
    <s v="2 Hours"/>
    <n v="1"/>
    <n v="62.64"/>
    <s v="Cooler Rental"/>
    <n v="10"/>
    <n v="0"/>
    <n v="72.64"/>
    <x v="1"/>
    <x v="4"/>
    <s v="Credit Card"/>
    <s v="Sunny"/>
  </r>
  <r>
    <s v="WSR-2026-0421"/>
    <d v="2026-04-27T00:00:00"/>
    <x v="3"/>
    <x v="3"/>
    <s v="Monday"/>
    <x v="17"/>
    <d v="2026-04-30T00:00:00"/>
    <s v="Spring"/>
    <x v="2"/>
    <x v="5"/>
    <s v="1 Hour"/>
    <n v="1"/>
    <n v="26"/>
    <s v="None"/>
    <n v="0"/>
    <n v="0"/>
    <n v="26"/>
    <x v="6"/>
    <x v="2"/>
    <s v="Debit Card"/>
    <s v="Cloudy"/>
  </r>
  <r>
    <s v="WSR-2026-0422"/>
    <d v="2026-04-27T00:00:00"/>
    <x v="3"/>
    <x v="3"/>
    <s v="Monday"/>
    <x v="17"/>
    <d v="2026-04-30T00:00:00"/>
    <s v="Spring"/>
    <x v="2"/>
    <x v="8"/>
    <s v="2 Hours"/>
    <n v="1"/>
    <n v="16"/>
    <s v="None"/>
    <n v="0"/>
    <n v="0"/>
    <n v="16"/>
    <x v="5"/>
    <x v="4"/>
    <s v="Credit Card"/>
    <s v="Rainy"/>
  </r>
  <r>
    <s v="WSR-2026-0423"/>
    <d v="2026-04-27T00:00:00"/>
    <x v="3"/>
    <x v="3"/>
    <s v="Monday"/>
    <x v="17"/>
    <d v="2026-04-30T00:00:00"/>
    <s v="Spring"/>
    <x v="3"/>
    <x v="4"/>
    <s v="1 Hour"/>
    <n v="1"/>
    <n v="12"/>
    <s v="None"/>
    <n v="0"/>
    <n v="0"/>
    <n v="12"/>
    <x v="1"/>
    <x v="1"/>
    <s v="Debit Card"/>
    <s v="Sunny"/>
  </r>
  <r>
    <s v="WSR-2026-0424"/>
    <d v="2026-04-27T00:00:00"/>
    <x v="3"/>
    <x v="3"/>
    <s v="Monday"/>
    <x v="17"/>
    <d v="2026-04-30T00:00:00"/>
    <s v="Spring"/>
    <x v="0"/>
    <x v="5"/>
    <s v="2 Hours"/>
    <n v="1"/>
    <n v="42"/>
    <s v="GoPro Mount"/>
    <n v="8"/>
    <n v="0"/>
    <n v="50"/>
    <x v="1"/>
    <x v="3"/>
    <s v="Credit Card"/>
    <s v="Cloudy"/>
  </r>
  <r>
    <s v="WSR-2026-0425"/>
    <d v="2026-04-27T00:00:00"/>
    <x v="3"/>
    <x v="3"/>
    <s v="Monday"/>
    <x v="17"/>
    <d v="2026-04-30T00:00:00"/>
    <s v="Spring"/>
    <x v="1"/>
    <x v="5"/>
    <s v="Half Day"/>
    <n v="1"/>
    <n v="62"/>
    <s v="None"/>
    <n v="0"/>
    <n v="3.1"/>
    <n v="58.9"/>
    <x v="0"/>
    <x v="0"/>
    <s v="Credit Card"/>
    <s v="Cloudy"/>
  </r>
  <r>
    <s v="WSR-2026-0426"/>
    <d v="2026-04-27T00:00:00"/>
    <x v="3"/>
    <x v="3"/>
    <s v="Monday"/>
    <x v="17"/>
    <d v="2026-04-30T00:00:00"/>
    <s v="Spring"/>
    <x v="0"/>
    <x v="4"/>
    <s v="2 Hours"/>
    <n v="1"/>
    <n v="18"/>
    <s v="None"/>
    <n v="0"/>
    <n v="0"/>
    <n v="18"/>
    <x v="7"/>
    <x v="2"/>
    <s v="Credit Card"/>
    <s v="Cloudy"/>
  </r>
  <r>
    <s v="WSR-2026-0427"/>
    <d v="2026-04-27T00:00:00"/>
    <x v="3"/>
    <x v="3"/>
    <s v="Monday"/>
    <x v="17"/>
    <d v="2026-04-30T00:00:00"/>
    <s v="Spring"/>
    <x v="3"/>
    <x v="7"/>
    <s v="Half Day"/>
    <n v="1"/>
    <n v="34"/>
    <s v="Dry Bag"/>
    <n v="6"/>
    <n v="2"/>
    <n v="38"/>
    <x v="5"/>
    <x v="2"/>
    <s v="Debit Card"/>
    <s v="Sunny"/>
  </r>
  <r>
    <s v="WSR-2026-0428"/>
    <d v="2026-04-27T00:00:00"/>
    <x v="3"/>
    <x v="3"/>
    <s v="Monday"/>
    <x v="17"/>
    <d v="2026-04-30T00:00:00"/>
    <s v="Spring"/>
    <x v="0"/>
    <x v="5"/>
    <s v="2 Hours"/>
    <n v="1"/>
    <n v="42"/>
    <s v="Phone Pouch"/>
    <n v="5"/>
    <n v="0"/>
    <n v="47"/>
    <x v="7"/>
    <x v="3"/>
    <s v="Credit Card"/>
    <s v="Cloudy"/>
  </r>
  <r>
    <s v="WSR-2026-0429"/>
    <d v="2026-04-28T00:00:00"/>
    <x v="3"/>
    <x v="3"/>
    <s v="Tuesday"/>
    <x v="17"/>
    <d v="2026-04-30T00:00:00"/>
    <s v="Spring"/>
    <x v="3"/>
    <x v="4"/>
    <s v="2 Hours"/>
    <n v="1"/>
    <n v="18"/>
    <s v="None"/>
    <n v="0"/>
    <n v="0.9"/>
    <n v="17.100000000000001"/>
    <x v="5"/>
    <x v="1"/>
    <s v="Debit Card"/>
    <s v="Sunny"/>
  </r>
  <r>
    <s v="WSR-2026-0430"/>
    <d v="2026-04-28T00:00:00"/>
    <x v="3"/>
    <x v="3"/>
    <s v="Tuesday"/>
    <x v="17"/>
    <d v="2026-04-30T00:00:00"/>
    <s v="Spring"/>
    <x v="3"/>
    <x v="1"/>
    <s v="2 Hours"/>
    <n v="1"/>
    <n v="38"/>
    <s v="None"/>
    <n v="0"/>
    <n v="0"/>
    <n v="38"/>
    <x v="0"/>
    <x v="3"/>
    <s v="Credit Card"/>
    <s v="Sunny"/>
  </r>
  <r>
    <s v="WSR-2026-0431"/>
    <d v="2026-04-28T00:00:00"/>
    <x v="3"/>
    <x v="3"/>
    <s v="Tuesday"/>
    <x v="17"/>
    <d v="2026-04-30T00:00:00"/>
    <s v="Spring"/>
    <x v="3"/>
    <x v="5"/>
    <s v="2 Hours"/>
    <n v="1"/>
    <n v="42"/>
    <s v="None"/>
    <n v="0"/>
    <n v="0"/>
    <n v="42"/>
    <x v="8"/>
    <x v="4"/>
    <s v="Debit Card"/>
    <s v="Windy"/>
  </r>
  <r>
    <s v="WSR-2026-0432"/>
    <d v="2026-04-29T00:00:00"/>
    <x v="3"/>
    <x v="3"/>
    <s v="Wednesday"/>
    <x v="17"/>
    <d v="2026-04-30T00:00:00"/>
    <s v="Spring"/>
    <x v="2"/>
    <x v="3"/>
    <s v="1 Hour"/>
    <n v="1"/>
    <n v="22"/>
    <s v="Cooler Rental"/>
    <n v="10"/>
    <n v="1.6"/>
    <n v="30.4"/>
    <x v="5"/>
    <x v="4"/>
    <s v="Gift Card"/>
    <s v="Windy"/>
  </r>
  <r>
    <s v="WSR-2026-0433"/>
    <d v="2026-04-29T00:00:00"/>
    <x v="3"/>
    <x v="3"/>
    <s v="Wednesday"/>
    <x v="17"/>
    <d v="2026-04-30T00:00:00"/>
    <s v="Spring"/>
    <x v="2"/>
    <x v="4"/>
    <s v="2 Hours"/>
    <n v="1"/>
    <n v="18"/>
    <s v="None"/>
    <n v="0"/>
    <n v="0"/>
    <n v="18"/>
    <x v="2"/>
    <x v="3"/>
    <s v="Cash"/>
    <s v="Windy"/>
  </r>
  <r>
    <s v="WSR-2026-0434"/>
    <d v="2026-04-29T00:00:00"/>
    <x v="3"/>
    <x v="3"/>
    <s v="Wednesday"/>
    <x v="17"/>
    <d v="2026-04-30T00:00:00"/>
    <s v="Spring"/>
    <x v="3"/>
    <x v="0"/>
    <s v="Half Day"/>
    <n v="1"/>
    <n v="76"/>
    <s v="None"/>
    <n v="0"/>
    <n v="3.8"/>
    <n v="72.2"/>
    <x v="1"/>
    <x v="3"/>
    <s v="Credit Card"/>
    <s v="Windy"/>
  </r>
  <r>
    <s v="WSR-2026-0435"/>
    <d v="2026-04-29T00:00:00"/>
    <x v="3"/>
    <x v="3"/>
    <s v="Wednesday"/>
    <x v="17"/>
    <d v="2026-04-30T00:00:00"/>
    <s v="Spring"/>
    <x v="2"/>
    <x v="5"/>
    <s v="2 Hours"/>
    <n v="1"/>
    <n v="42"/>
    <s v="Waterproof Speaker"/>
    <n v="12"/>
    <n v="0"/>
    <n v="54"/>
    <x v="8"/>
    <x v="1"/>
    <s v="Credit Card"/>
    <s v="Cloudy"/>
  </r>
  <r>
    <s v="WSR-2026-0436"/>
    <d v="2026-04-29T00:00:00"/>
    <x v="3"/>
    <x v="3"/>
    <s v="Wednesday"/>
    <x v="17"/>
    <d v="2026-04-30T00:00:00"/>
    <s v="Spring"/>
    <x v="2"/>
    <x v="5"/>
    <s v="2 Hours"/>
    <n v="1"/>
    <n v="42"/>
    <s v="Dry Bag"/>
    <n v="6"/>
    <n v="0"/>
    <n v="48"/>
    <x v="6"/>
    <x v="4"/>
    <s v="Credit Card"/>
    <s v="Sunny"/>
  </r>
  <r>
    <s v="WSR-2026-0437"/>
    <d v="2026-04-30T00:00:00"/>
    <x v="3"/>
    <x v="3"/>
    <s v="Thursday"/>
    <x v="17"/>
    <d v="2026-04-30T00:00:00"/>
    <s v="Spring"/>
    <x v="0"/>
    <x v="4"/>
    <s v="Full Day"/>
    <n v="1"/>
    <n v="40"/>
    <s v="Phone Pouch"/>
    <n v="5"/>
    <n v="0"/>
    <n v="45"/>
    <x v="7"/>
    <x v="2"/>
    <s v="Debit Card"/>
    <s v="Sunny"/>
  </r>
  <r>
    <s v="WSR-2026-0438"/>
    <d v="2026-05-01T00:00:00"/>
    <x v="4"/>
    <x v="4"/>
    <s v="Friday"/>
    <x v="17"/>
    <d v="2026-05-31T00:00:00"/>
    <s v="Spring"/>
    <x v="3"/>
    <x v="4"/>
    <s v="2 Hours"/>
    <n v="1"/>
    <n v="18"/>
    <s v="None"/>
    <n v="0"/>
    <n v="0"/>
    <n v="18"/>
    <x v="5"/>
    <x v="4"/>
    <s v="Mobile Pay"/>
    <s v="Sunny"/>
  </r>
  <r>
    <s v="WSR-2026-0439"/>
    <d v="2026-05-01T00:00:00"/>
    <x v="4"/>
    <x v="4"/>
    <s v="Friday"/>
    <x v="17"/>
    <d v="2026-05-31T00:00:00"/>
    <s v="Spring"/>
    <x v="4"/>
    <x v="2"/>
    <s v="2 Hours"/>
    <n v="1"/>
    <n v="52"/>
    <s v="None"/>
    <n v="0"/>
    <n v="7.8"/>
    <n v="44.2"/>
    <x v="9"/>
    <x v="2"/>
    <s v="Credit Card"/>
    <s v="Windy"/>
  </r>
  <r>
    <s v="WSR-2026-0440"/>
    <d v="2026-05-01T00:00:00"/>
    <x v="4"/>
    <x v="4"/>
    <s v="Friday"/>
    <x v="17"/>
    <d v="2026-05-31T00:00:00"/>
    <s v="Spring"/>
    <x v="3"/>
    <x v="3"/>
    <s v="Half Day"/>
    <n v="1"/>
    <n v="54"/>
    <s v="None"/>
    <n v="0"/>
    <n v="0"/>
    <n v="54"/>
    <x v="1"/>
    <x v="4"/>
    <s v="Credit Card"/>
    <s v="Sunny"/>
  </r>
  <r>
    <s v="WSR-2026-0441"/>
    <d v="2026-05-01T00:00:00"/>
    <x v="4"/>
    <x v="4"/>
    <s v="Friday"/>
    <x v="17"/>
    <d v="2026-05-31T00:00:00"/>
    <s v="Spring"/>
    <x v="1"/>
    <x v="5"/>
    <s v="1 Hour"/>
    <n v="1"/>
    <n v="26"/>
    <s v="None"/>
    <n v="0"/>
    <n v="0"/>
    <n v="26"/>
    <x v="0"/>
    <x v="3"/>
    <s v="Debit Card"/>
    <s v="Sunny"/>
  </r>
  <r>
    <s v="WSR-2026-0442"/>
    <d v="2026-05-01T00:00:00"/>
    <x v="4"/>
    <x v="4"/>
    <s v="Friday"/>
    <x v="17"/>
    <d v="2026-05-31T00:00:00"/>
    <s v="Spring"/>
    <x v="0"/>
    <x v="1"/>
    <s v="Full Day"/>
    <n v="1"/>
    <n v="84"/>
    <s v="Premium Life Jacket"/>
    <n v="7"/>
    <n v="0"/>
    <n v="91"/>
    <x v="6"/>
    <x v="3"/>
    <s v="Debit Card"/>
    <s v="Windy"/>
  </r>
  <r>
    <s v="WSR-2026-0443"/>
    <d v="2026-05-01T00:00:00"/>
    <x v="4"/>
    <x v="4"/>
    <s v="Friday"/>
    <x v="17"/>
    <d v="2026-05-31T00:00:00"/>
    <s v="Spring"/>
    <x v="2"/>
    <x v="1"/>
    <s v="2 Hours"/>
    <n v="1"/>
    <n v="38"/>
    <s v="None"/>
    <n v="0"/>
    <n v="0"/>
    <n v="38"/>
    <x v="4"/>
    <x v="0"/>
    <s v="Credit Card"/>
    <s v="Sunny"/>
  </r>
  <r>
    <s v="WSR-2026-0444"/>
    <d v="2026-05-02T00:00:00"/>
    <x v="4"/>
    <x v="4"/>
    <s v="Saturday"/>
    <x v="17"/>
    <d v="2026-05-31T00:00:00"/>
    <s v="Spring"/>
    <x v="0"/>
    <x v="5"/>
    <s v="2 Hours"/>
    <n v="1"/>
    <n v="45.36"/>
    <s v="None"/>
    <n v="0"/>
    <n v="0"/>
    <n v="45.36"/>
    <x v="3"/>
    <x v="2"/>
    <s v="Credit Card"/>
    <s v="Sunny"/>
  </r>
  <r>
    <s v="WSR-2026-0445"/>
    <d v="2026-05-02T00:00:00"/>
    <x v="4"/>
    <x v="4"/>
    <s v="Saturday"/>
    <x v="17"/>
    <d v="2026-05-31T00:00:00"/>
    <s v="Spring"/>
    <x v="3"/>
    <x v="8"/>
    <s v="Half Day"/>
    <n v="1"/>
    <n v="25.92"/>
    <s v="Cooler Rental"/>
    <n v="10"/>
    <n v="0"/>
    <n v="35.92"/>
    <x v="3"/>
    <x v="2"/>
    <s v="Credit Card"/>
    <s v="Sunny"/>
  </r>
  <r>
    <s v="WSR-2026-0446"/>
    <d v="2026-05-02T00:00:00"/>
    <x v="4"/>
    <x v="4"/>
    <s v="Saturday"/>
    <x v="17"/>
    <d v="2026-05-31T00:00:00"/>
    <s v="Spring"/>
    <x v="0"/>
    <x v="4"/>
    <s v="2 Hours"/>
    <n v="1"/>
    <n v="19.440000000000001"/>
    <s v="None"/>
    <n v="0"/>
    <n v="0"/>
    <n v="19.440000000000001"/>
    <x v="9"/>
    <x v="2"/>
    <s v="Credit Card"/>
    <s v="Sunny"/>
  </r>
  <r>
    <s v="WSR-2026-0447"/>
    <d v="2026-05-02T00:00:00"/>
    <x v="4"/>
    <x v="4"/>
    <s v="Saturday"/>
    <x v="17"/>
    <d v="2026-05-31T00:00:00"/>
    <s v="Spring"/>
    <x v="4"/>
    <x v="0"/>
    <s v="Full Day"/>
    <n v="1"/>
    <n v="118.8"/>
    <s v="Dry Bag"/>
    <n v="6"/>
    <n v="18.72"/>
    <n v="106.08"/>
    <x v="6"/>
    <x v="4"/>
    <s v="Credit Card"/>
    <s v="Sunny"/>
  </r>
  <r>
    <s v="WSR-2026-0448"/>
    <d v="2026-05-02T00:00:00"/>
    <x v="4"/>
    <x v="4"/>
    <s v="Saturday"/>
    <x v="17"/>
    <d v="2026-05-31T00:00:00"/>
    <s v="Spring"/>
    <x v="3"/>
    <x v="9"/>
    <s v="Full Day"/>
    <n v="1"/>
    <n v="112.32"/>
    <s v="None"/>
    <n v="0"/>
    <n v="0"/>
    <n v="112.32"/>
    <x v="4"/>
    <x v="1"/>
    <s v="Credit Card"/>
    <s v="Sunny"/>
  </r>
  <r>
    <s v="WSR-2026-0449"/>
    <d v="2026-05-02T00:00:00"/>
    <x v="4"/>
    <x v="4"/>
    <s v="Saturday"/>
    <x v="17"/>
    <d v="2026-05-31T00:00:00"/>
    <s v="Spring"/>
    <x v="2"/>
    <x v="0"/>
    <s v="1 Hour"/>
    <n v="1"/>
    <n v="34.56"/>
    <s v="Premium Life Jacket"/>
    <n v="7"/>
    <n v="0"/>
    <n v="41.56"/>
    <x v="7"/>
    <x v="3"/>
    <s v="Gift Card"/>
    <s v="Sunny"/>
  </r>
  <r>
    <s v="WSR-2026-0450"/>
    <d v="2026-05-02T00:00:00"/>
    <x v="4"/>
    <x v="4"/>
    <s v="Saturday"/>
    <x v="17"/>
    <d v="2026-05-31T00:00:00"/>
    <s v="Spring"/>
    <x v="1"/>
    <x v="0"/>
    <s v="Half Day"/>
    <n v="1"/>
    <n v="82.08"/>
    <s v="Phone Pouch"/>
    <n v="5"/>
    <n v="4.3499999999999996"/>
    <n v="82.73"/>
    <x v="6"/>
    <x v="1"/>
    <s v="Cash"/>
    <s v="Windy"/>
  </r>
  <r>
    <s v="WSR-2026-0451"/>
    <d v="2026-05-02T00:00:00"/>
    <x v="4"/>
    <x v="4"/>
    <s v="Saturday"/>
    <x v="17"/>
    <d v="2026-05-31T00:00:00"/>
    <s v="Spring"/>
    <x v="2"/>
    <x v="7"/>
    <s v="1 Hour"/>
    <n v="1"/>
    <n v="15.12"/>
    <s v="Phone Pouch"/>
    <n v="5"/>
    <n v="0"/>
    <n v="20.12"/>
    <x v="1"/>
    <x v="3"/>
    <s v="Debit Card"/>
    <s v="Cloudy"/>
  </r>
  <r>
    <s v="WSR-2026-0452"/>
    <d v="2026-05-02T00:00:00"/>
    <x v="4"/>
    <x v="4"/>
    <s v="Saturday"/>
    <x v="17"/>
    <d v="2026-05-31T00:00:00"/>
    <s v="Spring"/>
    <x v="2"/>
    <x v="0"/>
    <s v="Half Day"/>
    <n v="1"/>
    <n v="82.08"/>
    <s v="None"/>
    <n v="0"/>
    <n v="0"/>
    <n v="82.08"/>
    <x v="5"/>
    <x v="0"/>
    <s v="Credit Card"/>
    <s v="Cloudy"/>
  </r>
  <r>
    <s v="WSR-2026-0453"/>
    <d v="2026-05-02T00:00:00"/>
    <x v="4"/>
    <x v="4"/>
    <s v="Saturday"/>
    <x v="17"/>
    <d v="2026-05-31T00:00:00"/>
    <s v="Spring"/>
    <x v="2"/>
    <x v="0"/>
    <s v="2 Hours"/>
    <n v="1"/>
    <n v="54"/>
    <s v="None"/>
    <n v="0"/>
    <n v="0"/>
    <n v="54"/>
    <x v="3"/>
    <x v="0"/>
    <s v="Cash"/>
    <s v="Sunny"/>
  </r>
  <r>
    <s v="WSR-2026-0454"/>
    <d v="2026-05-02T00:00:00"/>
    <x v="4"/>
    <x v="4"/>
    <s v="Saturday"/>
    <x v="17"/>
    <d v="2026-05-31T00:00:00"/>
    <s v="Spring"/>
    <x v="2"/>
    <x v="1"/>
    <s v="Half Day"/>
    <n v="1"/>
    <n v="62.64"/>
    <s v="None"/>
    <n v="0"/>
    <n v="0"/>
    <n v="62.64"/>
    <x v="8"/>
    <x v="3"/>
    <s v="Credit Card"/>
    <s v="Sunny"/>
  </r>
  <r>
    <s v="WSR-2026-0455"/>
    <d v="2026-05-03T00:00:00"/>
    <x v="4"/>
    <x v="4"/>
    <s v="Sunday"/>
    <x v="18"/>
    <d v="2026-05-31T00:00:00"/>
    <s v="Spring"/>
    <x v="3"/>
    <x v="5"/>
    <s v="2 Hours"/>
    <n v="1"/>
    <n v="45.36"/>
    <s v="None"/>
    <n v="0"/>
    <n v="0"/>
    <n v="45.36"/>
    <x v="4"/>
    <x v="0"/>
    <s v="Debit Card"/>
    <s v="Sunny"/>
  </r>
  <r>
    <s v="WSR-2026-0456"/>
    <d v="2026-05-03T00:00:00"/>
    <x v="4"/>
    <x v="4"/>
    <s v="Sunday"/>
    <x v="18"/>
    <d v="2026-05-31T00:00:00"/>
    <s v="Spring"/>
    <x v="0"/>
    <x v="5"/>
    <s v="1 Hour"/>
    <n v="1"/>
    <n v="28.08"/>
    <s v="Dry Bag"/>
    <n v="6"/>
    <n v="0"/>
    <n v="34.08"/>
    <x v="6"/>
    <x v="3"/>
    <s v="Mobile Pay"/>
    <s v="Sunny"/>
  </r>
  <r>
    <s v="WSR-2026-0457"/>
    <d v="2026-05-03T00:00:00"/>
    <x v="4"/>
    <x v="4"/>
    <s v="Sunday"/>
    <x v="18"/>
    <d v="2026-05-31T00:00:00"/>
    <s v="Spring"/>
    <x v="1"/>
    <x v="2"/>
    <s v="2 Hours"/>
    <n v="1"/>
    <n v="56.16"/>
    <s v="Dry Bag"/>
    <n v="6"/>
    <n v="0"/>
    <n v="62.16"/>
    <x v="8"/>
    <x v="3"/>
    <s v="Cash"/>
    <s v="Sunny"/>
  </r>
  <r>
    <s v="WSR-2026-0458"/>
    <d v="2026-05-03T00:00:00"/>
    <x v="4"/>
    <x v="4"/>
    <s v="Sunday"/>
    <x v="18"/>
    <d v="2026-05-31T00:00:00"/>
    <s v="Spring"/>
    <x v="0"/>
    <x v="3"/>
    <s v="1 Hour"/>
    <n v="1"/>
    <n v="23.76"/>
    <s v="None"/>
    <n v="0"/>
    <n v="0"/>
    <n v="23.76"/>
    <x v="9"/>
    <x v="4"/>
    <s v="Credit Card"/>
    <s v="Sunny"/>
  </r>
  <r>
    <s v="WSR-2026-0459"/>
    <d v="2026-05-03T00:00:00"/>
    <x v="4"/>
    <x v="4"/>
    <s v="Sunday"/>
    <x v="18"/>
    <d v="2026-05-31T00:00:00"/>
    <s v="Spring"/>
    <x v="2"/>
    <x v="0"/>
    <s v="2 Hours"/>
    <n v="1"/>
    <n v="54"/>
    <s v="None"/>
    <n v="0"/>
    <n v="0"/>
    <n v="54"/>
    <x v="1"/>
    <x v="3"/>
    <s v="Cash"/>
    <s v="Windy"/>
  </r>
  <r>
    <s v="WSR-2026-0460"/>
    <d v="2026-05-03T00:00:00"/>
    <x v="4"/>
    <x v="4"/>
    <s v="Sunday"/>
    <x v="18"/>
    <d v="2026-05-31T00:00:00"/>
    <s v="Spring"/>
    <x v="4"/>
    <x v="3"/>
    <s v="2 Hours"/>
    <n v="1"/>
    <n v="38.880000000000003"/>
    <s v="Phone Pouch"/>
    <n v="5"/>
    <n v="6.58"/>
    <n v="37.299999999999997"/>
    <x v="8"/>
    <x v="4"/>
    <s v="Cash"/>
    <s v="Sunny"/>
  </r>
  <r>
    <s v="WSR-2026-0461"/>
    <d v="2026-05-03T00:00:00"/>
    <x v="4"/>
    <x v="4"/>
    <s v="Sunday"/>
    <x v="18"/>
    <d v="2026-05-31T00:00:00"/>
    <s v="Spring"/>
    <x v="3"/>
    <x v="1"/>
    <s v="Half Day"/>
    <n v="1"/>
    <n v="62.64"/>
    <s v="Phone Pouch"/>
    <n v="5"/>
    <n v="0"/>
    <n v="67.64"/>
    <x v="5"/>
    <x v="2"/>
    <s v="Credit Card"/>
    <s v="Sunny"/>
  </r>
  <r>
    <s v="WSR-2026-0462"/>
    <d v="2026-05-03T00:00:00"/>
    <x v="4"/>
    <x v="4"/>
    <s v="Sunday"/>
    <x v="18"/>
    <d v="2026-05-31T00:00:00"/>
    <s v="Spring"/>
    <x v="1"/>
    <x v="1"/>
    <s v="2 Hours"/>
    <n v="1"/>
    <n v="41.04"/>
    <s v="None"/>
    <n v="0"/>
    <n v="2.0499999999999998"/>
    <n v="38.99"/>
    <x v="5"/>
    <x v="0"/>
    <s v="Debit Card"/>
    <s v="Sunny"/>
  </r>
  <r>
    <s v="WSR-2026-0463"/>
    <d v="2026-05-03T00:00:00"/>
    <x v="4"/>
    <x v="4"/>
    <s v="Sunday"/>
    <x v="18"/>
    <d v="2026-05-31T00:00:00"/>
    <s v="Spring"/>
    <x v="4"/>
    <x v="1"/>
    <s v="2 Hours"/>
    <n v="1"/>
    <n v="41.04"/>
    <s v="None"/>
    <n v="0"/>
    <n v="6.16"/>
    <n v="34.880000000000003"/>
    <x v="5"/>
    <x v="2"/>
    <s v="Credit Card"/>
    <s v="Cloudy"/>
  </r>
  <r>
    <s v="WSR-2026-0464"/>
    <d v="2026-05-03T00:00:00"/>
    <x v="4"/>
    <x v="4"/>
    <s v="Sunday"/>
    <x v="18"/>
    <d v="2026-05-31T00:00:00"/>
    <s v="Spring"/>
    <x v="1"/>
    <x v="1"/>
    <s v="Full Day"/>
    <n v="1"/>
    <n v="90.72"/>
    <s v="None"/>
    <n v="0"/>
    <n v="9.07"/>
    <n v="81.650000000000006"/>
    <x v="2"/>
    <x v="1"/>
    <s v="Debit Card"/>
    <s v="Sunny"/>
  </r>
  <r>
    <s v="WSR-2026-0465"/>
    <d v="2026-05-03T00:00:00"/>
    <x v="4"/>
    <x v="4"/>
    <s v="Sunday"/>
    <x v="18"/>
    <d v="2026-05-31T00:00:00"/>
    <s v="Spring"/>
    <x v="3"/>
    <x v="1"/>
    <s v="2 Hours"/>
    <n v="1"/>
    <n v="41.04"/>
    <s v="None"/>
    <n v="0"/>
    <n v="0"/>
    <n v="41.04"/>
    <x v="9"/>
    <x v="3"/>
    <s v="Credit Card"/>
    <s v="Sunny"/>
  </r>
  <r>
    <s v="WSR-2026-0466"/>
    <d v="2026-05-03T00:00:00"/>
    <x v="4"/>
    <x v="4"/>
    <s v="Sunday"/>
    <x v="18"/>
    <d v="2026-05-31T00:00:00"/>
    <s v="Spring"/>
    <x v="0"/>
    <x v="7"/>
    <s v="Half Day"/>
    <n v="1"/>
    <n v="36.72"/>
    <s v="None"/>
    <n v="0"/>
    <n v="0"/>
    <n v="36.72"/>
    <x v="5"/>
    <x v="3"/>
    <s v="Debit Card"/>
    <s v="Sunny"/>
  </r>
  <r>
    <s v="WSR-2026-0467"/>
    <d v="2026-05-03T00:00:00"/>
    <x v="4"/>
    <x v="4"/>
    <s v="Sunday"/>
    <x v="18"/>
    <d v="2026-05-31T00:00:00"/>
    <s v="Spring"/>
    <x v="2"/>
    <x v="2"/>
    <s v="2 Hours"/>
    <n v="1"/>
    <n v="56.16"/>
    <s v="Premium Life Jacket"/>
    <n v="7"/>
    <n v="0"/>
    <n v="63.16"/>
    <x v="7"/>
    <x v="1"/>
    <s v="Mobile Pay"/>
    <s v="Cloudy"/>
  </r>
  <r>
    <s v="WSR-2026-0468"/>
    <d v="2026-05-03T00:00:00"/>
    <x v="4"/>
    <x v="4"/>
    <s v="Sunday"/>
    <x v="18"/>
    <d v="2026-05-31T00:00:00"/>
    <s v="Spring"/>
    <x v="0"/>
    <x v="3"/>
    <s v="Half Day"/>
    <n v="1"/>
    <n v="58.32"/>
    <s v="Dry Bag"/>
    <n v="6"/>
    <n v="0"/>
    <n v="64.319999999999993"/>
    <x v="1"/>
    <x v="2"/>
    <s v="Mobile Pay"/>
    <s v="Sunny"/>
  </r>
  <r>
    <s v="WSR-2026-0469"/>
    <d v="2026-05-04T00:00:00"/>
    <x v="4"/>
    <x v="4"/>
    <s v="Monday"/>
    <x v="18"/>
    <d v="2026-05-31T00:00:00"/>
    <s v="Spring"/>
    <x v="2"/>
    <x v="4"/>
    <s v="Full Day"/>
    <n v="1"/>
    <n v="40"/>
    <s v="GoPro Mount"/>
    <n v="8"/>
    <n v="0"/>
    <n v="48"/>
    <x v="5"/>
    <x v="3"/>
    <s v="Credit Card"/>
    <s v="Sunny"/>
  </r>
  <r>
    <s v="WSR-2026-0470"/>
    <d v="2026-05-04T00:00:00"/>
    <x v="4"/>
    <x v="4"/>
    <s v="Monday"/>
    <x v="18"/>
    <d v="2026-05-31T00:00:00"/>
    <s v="Spring"/>
    <x v="0"/>
    <x v="9"/>
    <s v="1 Hour"/>
    <n v="1"/>
    <n v="30"/>
    <s v="Cooler Rental"/>
    <n v="10"/>
    <n v="0"/>
    <n v="40"/>
    <x v="7"/>
    <x v="3"/>
    <s v="Credit Card"/>
    <s v="Cloudy"/>
  </r>
  <r>
    <s v="WSR-2026-0471"/>
    <d v="2026-05-04T00:00:00"/>
    <x v="4"/>
    <x v="4"/>
    <s v="Monday"/>
    <x v="18"/>
    <d v="2026-05-31T00:00:00"/>
    <s v="Spring"/>
    <x v="3"/>
    <x v="5"/>
    <s v="Full Day"/>
    <n v="1"/>
    <n v="88"/>
    <s v="None"/>
    <n v="0"/>
    <n v="4.4000000000000004"/>
    <n v="83.6"/>
    <x v="2"/>
    <x v="4"/>
    <s v="Credit Card"/>
    <s v="Sunny"/>
  </r>
  <r>
    <s v="WSR-2026-0472"/>
    <d v="2026-05-04T00:00:00"/>
    <x v="4"/>
    <x v="4"/>
    <s v="Monday"/>
    <x v="18"/>
    <d v="2026-05-31T00:00:00"/>
    <s v="Spring"/>
    <x v="3"/>
    <x v="1"/>
    <s v="1 Hour"/>
    <n v="1"/>
    <n v="24"/>
    <s v="None"/>
    <n v="0"/>
    <n v="0"/>
    <n v="24"/>
    <x v="3"/>
    <x v="4"/>
    <s v="Debit Card"/>
    <s v="Sunny"/>
  </r>
  <r>
    <s v="WSR-2026-0473"/>
    <d v="2026-05-05T00:00:00"/>
    <x v="4"/>
    <x v="4"/>
    <s v="Tuesday"/>
    <x v="18"/>
    <d v="2026-05-31T00:00:00"/>
    <s v="Spring"/>
    <x v="0"/>
    <x v="8"/>
    <s v="1 Hour"/>
    <n v="1"/>
    <n v="10"/>
    <s v="None"/>
    <n v="0"/>
    <n v="0"/>
    <n v="10"/>
    <x v="4"/>
    <x v="0"/>
    <s v="Credit Card"/>
    <s v="Rainy"/>
  </r>
  <r>
    <s v="WSR-2026-0474"/>
    <d v="2026-05-05T00:00:00"/>
    <x v="4"/>
    <x v="4"/>
    <s v="Tuesday"/>
    <x v="18"/>
    <d v="2026-05-31T00:00:00"/>
    <s v="Spring"/>
    <x v="3"/>
    <x v="0"/>
    <s v="1 Hour"/>
    <n v="1"/>
    <n v="32"/>
    <s v="Dry Bag"/>
    <n v="6"/>
    <n v="0"/>
    <n v="38"/>
    <x v="2"/>
    <x v="3"/>
    <s v="Credit Card"/>
    <s v="Sunny"/>
  </r>
  <r>
    <s v="WSR-2026-0475"/>
    <d v="2026-05-05T00:00:00"/>
    <x v="4"/>
    <x v="4"/>
    <s v="Tuesday"/>
    <x v="18"/>
    <d v="2026-05-31T00:00:00"/>
    <s v="Spring"/>
    <x v="2"/>
    <x v="1"/>
    <s v="2 Hours"/>
    <n v="1"/>
    <n v="38"/>
    <s v="Dry Bag"/>
    <n v="6"/>
    <n v="0"/>
    <n v="44"/>
    <x v="3"/>
    <x v="1"/>
    <s v="Credit Card"/>
    <s v="Rainy"/>
  </r>
  <r>
    <s v="WSR-2026-0476"/>
    <d v="2026-05-05T00:00:00"/>
    <x v="4"/>
    <x v="4"/>
    <s v="Tuesday"/>
    <x v="18"/>
    <d v="2026-05-31T00:00:00"/>
    <s v="Spring"/>
    <x v="2"/>
    <x v="7"/>
    <s v="1 Hour"/>
    <n v="1"/>
    <n v="14"/>
    <s v="GoPro Mount"/>
    <n v="8"/>
    <n v="0"/>
    <n v="22"/>
    <x v="9"/>
    <x v="1"/>
    <s v="Mobile Pay"/>
    <s v="Sunny"/>
  </r>
  <r>
    <s v="WSR-2026-0477"/>
    <d v="2026-05-05T00:00:00"/>
    <x v="4"/>
    <x v="4"/>
    <s v="Tuesday"/>
    <x v="18"/>
    <d v="2026-05-31T00:00:00"/>
    <s v="Spring"/>
    <x v="2"/>
    <x v="9"/>
    <s v="1 Hour"/>
    <n v="1"/>
    <n v="30"/>
    <s v="None"/>
    <n v="0"/>
    <n v="0"/>
    <n v="30"/>
    <x v="6"/>
    <x v="3"/>
    <s v="Credit Card"/>
    <s v="Sunny"/>
  </r>
  <r>
    <s v="WSR-2026-0478"/>
    <d v="2026-05-05T00:00:00"/>
    <x v="4"/>
    <x v="4"/>
    <s v="Tuesday"/>
    <x v="18"/>
    <d v="2026-05-31T00:00:00"/>
    <s v="Spring"/>
    <x v="3"/>
    <x v="5"/>
    <s v="Half Day"/>
    <n v="1"/>
    <n v="62"/>
    <s v="Premium Life Jacket"/>
    <n v="7"/>
    <n v="3.45"/>
    <n v="65.55"/>
    <x v="6"/>
    <x v="4"/>
    <s v="Credit Card"/>
    <s v="Sunny"/>
  </r>
  <r>
    <s v="WSR-2026-0479"/>
    <d v="2026-05-06T00:00:00"/>
    <x v="4"/>
    <x v="4"/>
    <s v="Wednesday"/>
    <x v="18"/>
    <d v="2026-05-31T00:00:00"/>
    <s v="Spring"/>
    <x v="1"/>
    <x v="4"/>
    <s v="Full Day"/>
    <n v="1"/>
    <n v="40"/>
    <s v="None"/>
    <n v="0"/>
    <n v="4"/>
    <n v="36"/>
    <x v="3"/>
    <x v="2"/>
    <s v="Cash"/>
    <s v="Cloudy"/>
  </r>
  <r>
    <s v="WSR-2026-0480"/>
    <d v="2026-05-06T00:00:00"/>
    <x v="4"/>
    <x v="4"/>
    <s v="Wednesday"/>
    <x v="18"/>
    <d v="2026-05-31T00:00:00"/>
    <s v="Spring"/>
    <x v="3"/>
    <x v="5"/>
    <s v="2 Hours"/>
    <n v="1"/>
    <n v="42"/>
    <s v="None"/>
    <n v="0"/>
    <n v="0"/>
    <n v="42"/>
    <x v="3"/>
    <x v="4"/>
    <s v="Credit Card"/>
    <s v="Sunny"/>
  </r>
  <r>
    <s v="WSR-2026-0481"/>
    <d v="2026-05-07T00:00:00"/>
    <x v="4"/>
    <x v="4"/>
    <s v="Thursday"/>
    <x v="18"/>
    <d v="2026-05-31T00:00:00"/>
    <s v="Spring"/>
    <x v="4"/>
    <x v="9"/>
    <s v="Half Day"/>
    <n v="1"/>
    <n v="72"/>
    <s v="Phone Pouch"/>
    <n v="5"/>
    <n v="11.55"/>
    <n v="65.45"/>
    <x v="3"/>
    <x v="0"/>
    <s v="Credit Card"/>
    <s v="Sunny"/>
  </r>
  <r>
    <s v="WSR-2026-0482"/>
    <d v="2026-05-07T00:00:00"/>
    <x v="4"/>
    <x v="4"/>
    <s v="Thursday"/>
    <x v="18"/>
    <d v="2026-05-31T00:00:00"/>
    <s v="Spring"/>
    <x v="0"/>
    <x v="3"/>
    <s v="1 Hour"/>
    <n v="1"/>
    <n v="22"/>
    <s v="Phone Pouch"/>
    <n v="5"/>
    <n v="1.35"/>
    <n v="25.65"/>
    <x v="2"/>
    <x v="1"/>
    <s v="Debit Card"/>
    <s v="Sunny"/>
  </r>
  <r>
    <s v="WSR-2026-0483"/>
    <d v="2026-05-07T00:00:00"/>
    <x v="4"/>
    <x v="4"/>
    <s v="Thursday"/>
    <x v="18"/>
    <d v="2026-05-31T00:00:00"/>
    <s v="Spring"/>
    <x v="0"/>
    <x v="0"/>
    <s v="Half Day"/>
    <n v="1"/>
    <n v="76"/>
    <s v="Dry Bag"/>
    <n v="6"/>
    <n v="0"/>
    <n v="82"/>
    <x v="8"/>
    <x v="1"/>
    <s v="Debit Card"/>
    <s v="Windy"/>
  </r>
  <r>
    <s v="WSR-2026-0484"/>
    <d v="2026-05-07T00:00:00"/>
    <x v="4"/>
    <x v="4"/>
    <s v="Thursday"/>
    <x v="18"/>
    <d v="2026-05-31T00:00:00"/>
    <s v="Spring"/>
    <x v="3"/>
    <x v="9"/>
    <s v="2 Hours"/>
    <n v="1"/>
    <n v="48"/>
    <s v="Premium Life Jacket"/>
    <n v="7"/>
    <n v="0"/>
    <n v="55"/>
    <x v="1"/>
    <x v="4"/>
    <s v="Credit Card"/>
    <s v="Cloudy"/>
  </r>
  <r>
    <s v="WSR-2026-0485"/>
    <d v="2026-05-07T00:00:00"/>
    <x v="4"/>
    <x v="4"/>
    <s v="Thursday"/>
    <x v="18"/>
    <d v="2026-05-31T00:00:00"/>
    <s v="Spring"/>
    <x v="2"/>
    <x v="4"/>
    <s v="1 Hour"/>
    <n v="1"/>
    <n v="12"/>
    <s v="Waterproof Speaker"/>
    <n v="12"/>
    <n v="0"/>
    <n v="24"/>
    <x v="3"/>
    <x v="1"/>
    <s v="Cash"/>
    <s v="Cloudy"/>
  </r>
  <r>
    <s v="WSR-2026-0486"/>
    <d v="2026-05-08T00:00:00"/>
    <x v="4"/>
    <x v="4"/>
    <s v="Friday"/>
    <x v="18"/>
    <d v="2026-05-31T00:00:00"/>
    <s v="Spring"/>
    <x v="0"/>
    <x v="4"/>
    <s v="1 Hour"/>
    <n v="1"/>
    <n v="12"/>
    <s v="Phone Pouch"/>
    <n v="5"/>
    <n v="0"/>
    <n v="17"/>
    <x v="3"/>
    <x v="4"/>
    <s v="Mobile Pay"/>
    <s v="Sunny"/>
  </r>
  <r>
    <s v="WSR-2026-0487"/>
    <d v="2026-05-08T00:00:00"/>
    <x v="4"/>
    <x v="4"/>
    <s v="Friday"/>
    <x v="18"/>
    <d v="2026-05-31T00:00:00"/>
    <s v="Spring"/>
    <x v="2"/>
    <x v="5"/>
    <s v="Half Day"/>
    <n v="1"/>
    <n v="62"/>
    <s v="None"/>
    <n v="0"/>
    <n v="0"/>
    <n v="62"/>
    <x v="8"/>
    <x v="1"/>
    <s v="Mobile Pay"/>
    <s v="Cloudy"/>
  </r>
  <r>
    <s v="WSR-2026-0488"/>
    <d v="2026-05-08T00:00:00"/>
    <x v="4"/>
    <x v="4"/>
    <s v="Friday"/>
    <x v="18"/>
    <d v="2026-05-31T00:00:00"/>
    <s v="Spring"/>
    <x v="2"/>
    <x v="3"/>
    <s v="2 Hours"/>
    <n v="1"/>
    <n v="36"/>
    <s v="Dry Bag"/>
    <n v="6"/>
    <n v="0"/>
    <n v="42"/>
    <x v="1"/>
    <x v="1"/>
    <s v="Debit Card"/>
    <s v="Cloudy"/>
  </r>
  <r>
    <s v="WSR-2026-0489"/>
    <d v="2026-05-08T00:00:00"/>
    <x v="4"/>
    <x v="4"/>
    <s v="Friday"/>
    <x v="18"/>
    <d v="2026-05-31T00:00:00"/>
    <s v="Spring"/>
    <x v="1"/>
    <x v="1"/>
    <s v="Full Day"/>
    <n v="1"/>
    <n v="84"/>
    <s v="Cooler Rental"/>
    <n v="10"/>
    <n v="9.4"/>
    <n v="84.6"/>
    <x v="7"/>
    <x v="2"/>
    <s v="Mobile Pay"/>
    <s v="Sunny"/>
  </r>
  <r>
    <s v="WSR-2026-0490"/>
    <d v="2026-05-08T00:00:00"/>
    <x v="4"/>
    <x v="4"/>
    <s v="Friday"/>
    <x v="18"/>
    <d v="2026-05-31T00:00:00"/>
    <s v="Spring"/>
    <x v="2"/>
    <x v="8"/>
    <s v="Half Day"/>
    <n v="1"/>
    <n v="24"/>
    <s v="Phone Pouch"/>
    <n v="5"/>
    <n v="0"/>
    <n v="29"/>
    <x v="5"/>
    <x v="4"/>
    <s v="Debit Card"/>
    <s v="Rainy"/>
  </r>
  <r>
    <s v="WSR-2026-0491"/>
    <d v="2026-05-08T00:00:00"/>
    <x v="4"/>
    <x v="4"/>
    <s v="Friday"/>
    <x v="18"/>
    <d v="2026-05-31T00:00:00"/>
    <s v="Spring"/>
    <x v="2"/>
    <x v="1"/>
    <s v="Full Day"/>
    <n v="1"/>
    <n v="84"/>
    <s v="Premium Life Jacket"/>
    <n v="7"/>
    <n v="0"/>
    <n v="91"/>
    <x v="8"/>
    <x v="4"/>
    <s v="Debit Card"/>
    <s v="Sunny"/>
  </r>
  <r>
    <s v="WSR-2026-0492"/>
    <d v="2026-05-08T00:00:00"/>
    <x v="4"/>
    <x v="4"/>
    <s v="Friday"/>
    <x v="18"/>
    <d v="2026-05-31T00:00:00"/>
    <s v="Spring"/>
    <x v="3"/>
    <x v="1"/>
    <s v="Half Day"/>
    <n v="1"/>
    <n v="58"/>
    <s v="Waterproof Speaker"/>
    <n v="12"/>
    <n v="0"/>
    <n v="70"/>
    <x v="3"/>
    <x v="4"/>
    <s v="Credit Card"/>
    <s v="Sunny"/>
  </r>
  <r>
    <s v="WSR-2026-0493"/>
    <d v="2026-05-08T00:00:00"/>
    <x v="4"/>
    <x v="4"/>
    <s v="Friday"/>
    <x v="18"/>
    <d v="2026-05-31T00:00:00"/>
    <s v="Spring"/>
    <x v="0"/>
    <x v="3"/>
    <s v="1 Hour"/>
    <n v="1"/>
    <n v="22"/>
    <s v="Premium Life Jacket"/>
    <n v="7"/>
    <n v="0"/>
    <n v="29"/>
    <x v="5"/>
    <x v="2"/>
    <s v="Credit Card"/>
    <s v="Sunny"/>
  </r>
  <r>
    <s v="WSR-2026-0494"/>
    <d v="2026-05-08T00:00:00"/>
    <x v="4"/>
    <x v="4"/>
    <s v="Friday"/>
    <x v="18"/>
    <d v="2026-05-31T00:00:00"/>
    <s v="Spring"/>
    <x v="3"/>
    <x v="1"/>
    <s v="2 Hours"/>
    <n v="1"/>
    <n v="38"/>
    <s v="None"/>
    <n v="0"/>
    <n v="1.9"/>
    <n v="36.1"/>
    <x v="7"/>
    <x v="0"/>
    <s v="Mobile Pay"/>
    <s v="Sunny"/>
  </r>
  <r>
    <s v="WSR-2026-0495"/>
    <d v="2026-05-08T00:00:00"/>
    <x v="4"/>
    <x v="4"/>
    <s v="Friday"/>
    <x v="18"/>
    <d v="2026-05-31T00:00:00"/>
    <s v="Spring"/>
    <x v="0"/>
    <x v="5"/>
    <s v="Full Day"/>
    <n v="1"/>
    <n v="88"/>
    <s v="Cooler Rental"/>
    <n v="10"/>
    <n v="0"/>
    <n v="98"/>
    <x v="3"/>
    <x v="1"/>
    <s v="Cash"/>
    <s v="Cloudy"/>
  </r>
  <r>
    <s v="WSR-2026-0496"/>
    <d v="2026-05-09T00:00:00"/>
    <x v="4"/>
    <x v="4"/>
    <s v="Saturday"/>
    <x v="18"/>
    <d v="2026-05-31T00:00:00"/>
    <s v="Spring"/>
    <x v="2"/>
    <x v="4"/>
    <s v="2 Hours"/>
    <n v="1"/>
    <n v="19.440000000000001"/>
    <s v="None"/>
    <n v="0"/>
    <n v="0"/>
    <n v="19.440000000000001"/>
    <x v="5"/>
    <x v="0"/>
    <s v="Mobile Pay"/>
    <s v="Cloudy"/>
  </r>
  <r>
    <s v="WSR-2026-0497"/>
    <d v="2026-05-09T00:00:00"/>
    <x v="4"/>
    <x v="4"/>
    <s v="Saturday"/>
    <x v="18"/>
    <d v="2026-05-31T00:00:00"/>
    <s v="Spring"/>
    <x v="1"/>
    <x v="9"/>
    <s v="1 Hour"/>
    <n v="1"/>
    <n v="32.4"/>
    <s v="None"/>
    <n v="0"/>
    <n v="3.24"/>
    <n v="29.16"/>
    <x v="1"/>
    <x v="1"/>
    <s v="Credit Card"/>
    <s v="Sunny"/>
  </r>
  <r>
    <s v="WSR-2026-0498"/>
    <d v="2026-05-09T00:00:00"/>
    <x v="4"/>
    <x v="4"/>
    <s v="Saturday"/>
    <x v="18"/>
    <d v="2026-05-31T00:00:00"/>
    <s v="Spring"/>
    <x v="2"/>
    <x v="1"/>
    <s v="Half Day"/>
    <n v="1"/>
    <n v="62.64"/>
    <s v="Dry Bag"/>
    <n v="6"/>
    <n v="0"/>
    <n v="68.64"/>
    <x v="0"/>
    <x v="3"/>
    <s v="Credit Card"/>
    <s v="Sunny"/>
  </r>
  <r>
    <s v="WSR-2026-0499"/>
    <d v="2026-05-09T00:00:00"/>
    <x v="4"/>
    <x v="4"/>
    <s v="Saturday"/>
    <x v="18"/>
    <d v="2026-05-31T00:00:00"/>
    <s v="Spring"/>
    <x v="2"/>
    <x v="9"/>
    <s v="Half Day"/>
    <n v="1"/>
    <n v="77.760000000000005"/>
    <s v="None"/>
    <n v="0"/>
    <n v="0"/>
    <n v="77.760000000000005"/>
    <x v="7"/>
    <x v="4"/>
    <s v="Debit Card"/>
    <s v="Cloudy"/>
  </r>
  <r>
    <s v="WSR-2026-0500"/>
    <d v="2026-05-09T00:00:00"/>
    <x v="4"/>
    <x v="4"/>
    <s v="Saturday"/>
    <x v="18"/>
    <d v="2026-05-31T00:00:00"/>
    <s v="Spring"/>
    <x v="0"/>
    <x v="1"/>
    <s v="1 Hour"/>
    <n v="1"/>
    <n v="25.92"/>
    <s v="Dry Bag"/>
    <n v="6"/>
    <n v="0"/>
    <n v="31.92"/>
    <x v="6"/>
    <x v="2"/>
    <s v="Debit Card"/>
    <s v="Sunny"/>
  </r>
  <r>
    <s v="WSR-2026-0501"/>
    <d v="2026-05-09T00:00:00"/>
    <x v="4"/>
    <x v="4"/>
    <s v="Saturday"/>
    <x v="18"/>
    <d v="2026-05-31T00:00:00"/>
    <s v="Spring"/>
    <x v="2"/>
    <x v="5"/>
    <s v="Half Day"/>
    <n v="1"/>
    <n v="66.959999999999994"/>
    <s v="None"/>
    <n v="0"/>
    <n v="0"/>
    <n v="66.959999999999994"/>
    <x v="5"/>
    <x v="0"/>
    <s v="Debit Card"/>
    <s v="Sunny"/>
  </r>
  <r>
    <s v="WSR-2026-0502"/>
    <d v="2026-05-09T00:00:00"/>
    <x v="4"/>
    <x v="4"/>
    <s v="Saturday"/>
    <x v="18"/>
    <d v="2026-05-31T00:00:00"/>
    <s v="Spring"/>
    <x v="2"/>
    <x v="7"/>
    <s v="2 Hours"/>
    <n v="1"/>
    <n v="23.76"/>
    <s v="Dry Bag"/>
    <n v="6"/>
    <n v="0"/>
    <n v="29.76"/>
    <x v="2"/>
    <x v="3"/>
    <s v="Credit Card"/>
    <s v="Sunny"/>
  </r>
  <r>
    <s v="WSR-2026-0503"/>
    <d v="2026-05-09T00:00:00"/>
    <x v="4"/>
    <x v="4"/>
    <s v="Saturday"/>
    <x v="18"/>
    <d v="2026-05-31T00:00:00"/>
    <s v="Spring"/>
    <x v="0"/>
    <x v="1"/>
    <s v="2 Hours"/>
    <n v="1"/>
    <n v="41.04"/>
    <s v="None"/>
    <n v="0"/>
    <n v="0"/>
    <n v="41.04"/>
    <x v="0"/>
    <x v="1"/>
    <s v="Credit Card"/>
    <s v="Sunny"/>
  </r>
  <r>
    <s v="WSR-2026-0504"/>
    <d v="2026-05-09T00:00:00"/>
    <x v="4"/>
    <x v="4"/>
    <s v="Saturday"/>
    <x v="18"/>
    <d v="2026-05-31T00:00:00"/>
    <s v="Spring"/>
    <x v="0"/>
    <x v="2"/>
    <s v="Full Day"/>
    <n v="1"/>
    <n v="120.96"/>
    <s v="None"/>
    <n v="0"/>
    <n v="0"/>
    <n v="120.96"/>
    <x v="8"/>
    <x v="4"/>
    <s v="Debit Card"/>
    <s v="Sunny"/>
  </r>
  <r>
    <s v="WSR-2026-0505"/>
    <d v="2026-05-09T00:00:00"/>
    <x v="4"/>
    <x v="4"/>
    <s v="Saturday"/>
    <x v="18"/>
    <d v="2026-05-31T00:00:00"/>
    <s v="Spring"/>
    <x v="2"/>
    <x v="3"/>
    <s v="Full Day"/>
    <n v="1"/>
    <n v="82.08"/>
    <s v="None"/>
    <n v="0"/>
    <n v="0"/>
    <n v="82.08"/>
    <x v="2"/>
    <x v="1"/>
    <s v="Debit Card"/>
    <s v="Windy"/>
  </r>
  <r>
    <s v="WSR-2026-0506"/>
    <d v="2026-05-09T00:00:00"/>
    <x v="4"/>
    <x v="4"/>
    <s v="Saturday"/>
    <x v="18"/>
    <d v="2026-05-31T00:00:00"/>
    <s v="Spring"/>
    <x v="2"/>
    <x v="7"/>
    <s v="Half Day"/>
    <n v="1"/>
    <n v="36.72"/>
    <s v="None"/>
    <n v="0"/>
    <n v="0"/>
    <n v="36.72"/>
    <x v="7"/>
    <x v="0"/>
    <s v="Cash"/>
    <s v="Sunny"/>
  </r>
  <r>
    <s v="WSR-2026-0507"/>
    <d v="2026-05-09T00:00:00"/>
    <x v="4"/>
    <x v="4"/>
    <s v="Saturday"/>
    <x v="18"/>
    <d v="2026-05-31T00:00:00"/>
    <s v="Spring"/>
    <x v="3"/>
    <x v="5"/>
    <s v="Half Day"/>
    <n v="1"/>
    <n v="66.959999999999994"/>
    <s v="None"/>
    <n v="0"/>
    <n v="0"/>
    <n v="66.959999999999994"/>
    <x v="1"/>
    <x v="2"/>
    <s v="Credit Card"/>
    <s v="Sunny"/>
  </r>
  <r>
    <s v="WSR-2026-0508"/>
    <d v="2026-05-10T00:00:00"/>
    <x v="4"/>
    <x v="4"/>
    <s v="Sunday"/>
    <x v="19"/>
    <d v="2026-05-31T00:00:00"/>
    <s v="Spring"/>
    <x v="3"/>
    <x v="3"/>
    <s v="Half Day"/>
    <n v="1"/>
    <n v="58.32"/>
    <s v="None"/>
    <n v="0"/>
    <n v="0"/>
    <n v="58.32"/>
    <x v="4"/>
    <x v="0"/>
    <s v="Cash"/>
    <s v="Sunny"/>
  </r>
  <r>
    <s v="WSR-2026-0509"/>
    <d v="2026-05-10T00:00:00"/>
    <x v="4"/>
    <x v="4"/>
    <s v="Sunday"/>
    <x v="19"/>
    <d v="2026-05-31T00:00:00"/>
    <s v="Spring"/>
    <x v="3"/>
    <x v="3"/>
    <s v="1 Hour"/>
    <n v="1"/>
    <n v="23.76"/>
    <s v="Cooler Rental"/>
    <n v="10"/>
    <n v="0"/>
    <n v="33.76"/>
    <x v="5"/>
    <x v="2"/>
    <s v="Credit Card"/>
    <s v="Cloudy"/>
  </r>
  <r>
    <s v="WSR-2026-0510"/>
    <d v="2026-05-10T00:00:00"/>
    <x v="4"/>
    <x v="4"/>
    <s v="Sunday"/>
    <x v="19"/>
    <d v="2026-05-31T00:00:00"/>
    <s v="Spring"/>
    <x v="3"/>
    <x v="1"/>
    <s v="Full Day"/>
    <n v="1"/>
    <n v="90.72"/>
    <s v="None"/>
    <n v="0"/>
    <n v="0"/>
    <n v="90.72"/>
    <x v="8"/>
    <x v="3"/>
    <s v="Gift Card"/>
    <s v="Rainy"/>
  </r>
  <r>
    <s v="WSR-2026-0511"/>
    <d v="2026-05-10T00:00:00"/>
    <x v="4"/>
    <x v="4"/>
    <s v="Sunday"/>
    <x v="19"/>
    <d v="2026-05-31T00:00:00"/>
    <s v="Spring"/>
    <x v="3"/>
    <x v="0"/>
    <s v="Half Day"/>
    <n v="1"/>
    <n v="82.08"/>
    <s v="None"/>
    <n v="0"/>
    <n v="0"/>
    <n v="82.08"/>
    <x v="7"/>
    <x v="2"/>
    <s v="Debit Card"/>
    <s v="Cloudy"/>
  </r>
  <r>
    <s v="WSR-2026-0512"/>
    <d v="2026-05-10T00:00:00"/>
    <x v="4"/>
    <x v="4"/>
    <s v="Sunday"/>
    <x v="19"/>
    <d v="2026-05-31T00:00:00"/>
    <s v="Spring"/>
    <x v="2"/>
    <x v="5"/>
    <s v="2 Hours"/>
    <n v="1"/>
    <n v="45.36"/>
    <s v="Waterproof Speaker"/>
    <n v="12"/>
    <n v="0"/>
    <n v="57.36"/>
    <x v="1"/>
    <x v="3"/>
    <s v="Credit Card"/>
    <s v="Sunny"/>
  </r>
  <r>
    <s v="WSR-2026-0513"/>
    <d v="2026-05-10T00:00:00"/>
    <x v="4"/>
    <x v="4"/>
    <s v="Sunday"/>
    <x v="19"/>
    <d v="2026-05-31T00:00:00"/>
    <s v="Spring"/>
    <x v="3"/>
    <x v="2"/>
    <s v="2 Hours"/>
    <n v="1"/>
    <n v="56.16"/>
    <s v="None"/>
    <n v="0"/>
    <n v="0"/>
    <n v="56.16"/>
    <x v="1"/>
    <x v="4"/>
    <s v="Credit Card"/>
    <s v="Sunny"/>
  </r>
  <r>
    <s v="WSR-2026-0514"/>
    <d v="2026-05-10T00:00:00"/>
    <x v="4"/>
    <x v="4"/>
    <s v="Sunday"/>
    <x v="19"/>
    <d v="2026-05-31T00:00:00"/>
    <s v="Spring"/>
    <x v="3"/>
    <x v="5"/>
    <s v="2 Hours"/>
    <n v="1"/>
    <n v="45.36"/>
    <s v="Dry Bag"/>
    <n v="6"/>
    <n v="0"/>
    <n v="51.36"/>
    <x v="8"/>
    <x v="3"/>
    <s v="Credit Card"/>
    <s v="Sunny"/>
  </r>
  <r>
    <s v="WSR-2026-0515"/>
    <d v="2026-05-11T00:00:00"/>
    <x v="4"/>
    <x v="4"/>
    <s v="Monday"/>
    <x v="19"/>
    <d v="2026-05-31T00:00:00"/>
    <s v="Spring"/>
    <x v="2"/>
    <x v="2"/>
    <s v="Half Day"/>
    <n v="1"/>
    <n v="78"/>
    <s v="Dry Bag"/>
    <n v="6"/>
    <n v="0"/>
    <n v="84"/>
    <x v="2"/>
    <x v="3"/>
    <s v="Credit Card"/>
    <s v="Windy"/>
  </r>
  <r>
    <s v="WSR-2026-0516"/>
    <d v="2026-05-11T00:00:00"/>
    <x v="4"/>
    <x v="4"/>
    <s v="Monday"/>
    <x v="19"/>
    <d v="2026-05-31T00:00:00"/>
    <s v="Spring"/>
    <x v="3"/>
    <x v="3"/>
    <s v="1 Hour"/>
    <n v="1"/>
    <n v="22"/>
    <s v="None"/>
    <n v="0"/>
    <n v="0"/>
    <n v="22"/>
    <x v="9"/>
    <x v="0"/>
    <s v="Credit Card"/>
    <s v="Sunny"/>
  </r>
  <r>
    <s v="WSR-2026-0517"/>
    <d v="2026-05-11T00:00:00"/>
    <x v="4"/>
    <x v="4"/>
    <s v="Monday"/>
    <x v="19"/>
    <d v="2026-05-31T00:00:00"/>
    <s v="Spring"/>
    <x v="3"/>
    <x v="1"/>
    <s v="Half Day"/>
    <n v="1"/>
    <n v="58"/>
    <s v="None"/>
    <n v="0"/>
    <n v="0"/>
    <n v="58"/>
    <x v="3"/>
    <x v="3"/>
    <s v="Credit Card"/>
    <s v="Cloudy"/>
  </r>
  <r>
    <s v="WSR-2026-0518"/>
    <d v="2026-05-11T00:00:00"/>
    <x v="4"/>
    <x v="4"/>
    <s v="Monday"/>
    <x v="19"/>
    <d v="2026-05-31T00:00:00"/>
    <s v="Spring"/>
    <x v="2"/>
    <x v="5"/>
    <s v="2 Hours"/>
    <n v="1"/>
    <n v="42"/>
    <s v="None"/>
    <n v="0"/>
    <n v="0"/>
    <n v="42"/>
    <x v="7"/>
    <x v="0"/>
    <s v="Credit Card"/>
    <s v="Sunny"/>
  </r>
  <r>
    <s v="WSR-2026-0519"/>
    <d v="2026-05-11T00:00:00"/>
    <x v="4"/>
    <x v="4"/>
    <s v="Monday"/>
    <x v="19"/>
    <d v="2026-05-31T00:00:00"/>
    <s v="Spring"/>
    <x v="3"/>
    <x v="5"/>
    <s v="1 Hour"/>
    <n v="1"/>
    <n v="26"/>
    <s v="Waterproof Speaker"/>
    <n v="12"/>
    <n v="0"/>
    <n v="38"/>
    <x v="2"/>
    <x v="3"/>
    <s v="Debit Card"/>
    <s v="Cloudy"/>
  </r>
  <r>
    <s v="WSR-2026-0520"/>
    <d v="2026-05-11T00:00:00"/>
    <x v="4"/>
    <x v="4"/>
    <s v="Monday"/>
    <x v="19"/>
    <d v="2026-05-31T00:00:00"/>
    <s v="Spring"/>
    <x v="3"/>
    <x v="0"/>
    <s v="1 Hour"/>
    <n v="1"/>
    <n v="32"/>
    <s v="None"/>
    <n v="0"/>
    <n v="0"/>
    <n v="32"/>
    <x v="4"/>
    <x v="0"/>
    <s v="Credit Card"/>
    <s v="Cloudy"/>
  </r>
  <r>
    <s v="WSR-2026-0521"/>
    <d v="2026-05-11T00:00:00"/>
    <x v="4"/>
    <x v="4"/>
    <s v="Monday"/>
    <x v="19"/>
    <d v="2026-05-31T00:00:00"/>
    <s v="Spring"/>
    <x v="3"/>
    <x v="4"/>
    <s v="Half Day"/>
    <n v="1"/>
    <n v="28"/>
    <s v="Dry Bag"/>
    <n v="6"/>
    <n v="0"/>
    <n v="34"/>
    <x v="0"/>
    <x v="3"/>
    <s v="Mobile Pay"/>
    <s v="Sunny"/>
  </r>
  <r>
    <s v="WSR-2026-0522"/>
    <d v="2026-05-11T00:00:00"/>
    <x v="4"/>
    <x v="4"/>
    <s v="Monday"/>
    <x v="19"/>
    <d v="2026-05-31T00:00:00"/>
    <s v="Spring"/>
    <x v="0"/>
    <x v="2"/>
    <s v="Half Day"/>
    <n v="1"/>
    <n v="78"/>
    <s v="None"/>
    <n v="0"/>
    <n v="0"/>
    <n v="78"/>
    <x v="1"/>
    <x v="1"/>
    <s v="Debit Card"/>
    <s v="Sunny"/>
  </r>
  <r>
    <s v="WSR-2026-0523"/>
    <d v="2026-05-11T00:00:00"/>
    <x v="4"/>
    <x v="4"/>
    <s v="Monday"/>
    <x v="19"/>
    <d v="2026-05-31T00:00:00"/>
    <s v="Spring"/>
    <x v="2"/>
    <x v="4"/>
    <s v="1 Hour"/>
    <n v="1"/>
    <n v="12"/>
    <s v="None"/>
    <n v="0"/>
    <n v="0"/>
    <n v="12"/>
    <x v="2"/>
    <x v="3"/>
    <s v="Debit Card"/>
    <s v="Cloudy"/>
  </r>
  <r>
    <s v="WSR-2026-0524"/>
    <d v="2026-05-11T00:00:00"/>
    <x v="4"/>
    <x v="4"/>
    <s v="Monday"/>
    <x v="19"/>
    <d v="2026-05-31T00:00:00"/>
    <s v="Spring"/>
    <x v="3"/>
    <x v="5"/>
    <s v="Half Day"/>
    <n v="1"/>
    <n v="62"/>
    <s v="None"/>
    <n v="0"/>
    <n v="0"/>
    <n v="62"/>
    <x v="9"/>
    <x v="4"/>
    <s v="Credit Card"/>
    <s v="Sunny"/>
  </r>
  <r>
    <s v="WSR-2026-0525"/>
    <d v="2026-05-11T00:00:00"/>
    <x v="4"/>
    <x v="4"/>
    <s v="Monday"/>
    <x v="19"/>
    <d v="2026-05-31T00:00:00"/>
    <s v="Spring"/>
    <x v="2"/>
    <x v="3"/>
    <s v="2 Hours"/>
    <n v="1"/>
    <n v="36"/>
    <s v="None"/>
    <n v="0"/>
    <n v="0"/>
    <n v="36"/>
    <x v="5"/>
    <x v="0"/>
    <s v="Credit Card"/>
    <s v="Sunny"/>
  </r>
  <r>
    <s v="WSR-2026-0526"/>
    <d v="2026-05-11T00:00:00"/>
    <x v="4"/>
    <x v="4"/>
    <s v="Monday"/>
    <x v="19"/>
    <d v="2026-05-31T00:00:00"/>
    <s v="Spring"/>
    <x v="0"/>
    <x v="4"/>
    <s v="2 Hours"/>
    <n v="1"/>
    <n v="18"/>
    <s v="Dry Bag"/>
    <n v="6"/>
    <n v="0"/>
    <n v="24"/>
    <x v="5"/>
    <x v="1"/>
    <s v="Mobile Pay"/>
    <s v="Sunny"/>
  </r>
  <r>
    <s v="WSR-2026-0527"/>
    <d v="2026-05-12T00:00:00"/>
    <x v="4"/>
    <x v="4"/>
    <s v="Tuesday"/>
    <x v="19"/>
    <d v="2026-05-31T00:00:00"/>
    <s v="Spring"/>
    <x v="2"/>
    <x v="8"/>
    <s v="2 Hours"/>
    <n v="1"/>
    <n v="16"/>
    <s v="Dry Bag"/>
    <n v="6"/>
    <n v="0"/>
    <n v="22"/>
    <x v="0"/>
    <x v="4"/>
    <s v="Credit Card"/>
    <s v="Sunny"/>
  </r>
  <r>
    <s v="WSR-2026-0528"/>
    <d v="2026-05-12T00:00:00"/>
    <x v="4"/>
    <x v="4"/>
    <s v="Tuesday"/>
    <x v="19"/>
    <d v="2026-05-31T00:00:00"/>
    <s v="Spring"/>
    <x v="3"/>
    <x v="3"/>
    <s v="1 Hour"/>
    <n v="1"/>
    <n v="22"/>
    <s v="Dry Bag"/>
    <n v="6"/>
    <n v="0"/>
    <n v="28"/>
    <x v="0"/>
    <x v="1"/>
    <s v="Credit Card"/>
    <s v="Cloudy"/>
  </r>
  <r>
    <s v="WSR-2026-0529"/>
    <d v="2026-05-13T00:00:00"/>
    <x v="4"/>
    <x v="4"/>
    <s v="Wednesday"/>
    <x v="19"/>
    <d v="2026-05-31T00:00:00"/>
    <s v="Spring"/>
    <x v="2"/>
    <x v="1"/>
    <s v="Half Day"/>
    <n v="1"/>
    <n v="58"/>
    <s v="None"/>
    <n v="0"/>
    <n v="0"/>
    <n v="58"/>
    <x v="6"/>
    <x v="4"/>
    <s v="Credit Card"/>
    <s v="Sunny"/>
  </r>
  <r>
    <s v="WSR-2026-0530"/>
    <d v="2026-05-13T00:00:00"/>
    <x v="4"/>
    <x v="4"/>
    <s v="Wednesday"/>
    <x v="19"/>
    <d v="2026-05-31T00:00:00"/>
    <s v="Spring"/>
    <x v="3"/>
    <x v="7"/>
    <s v="1 Hour"/>
    <n v="1"/>
    <n v="14"/>
    <s v="Dry Bag"/>
    <n v="6"/>
    <n v="0"/>
    <n v="20"/>
    <x v="0"/>
    <x v="4"/>
    <s v="Credit Card"/>
    <s v="Rainy"/>
  </r>
  <r>
    <s v="WSR-2026-0531"/>
    <d v="2026-05-13T00:00:00"/>
    <x v="4"/>
    <x v="4"/>
    <s v="Wednesday"/>
    <x v="19"/>
    <d v="2026-05-31T00:00:00"/>
    <s v="Spring"/>
    <x v="0"/>
    <x v="1"/>
    <s v="2 Hours"/>
    <n v="1"/>
    <n v="38"/>
    <s v="None"/>
    <n v="0"/>
    <n v="0"/>
    <n v="38"/>
    <x v="4"/>
    <x v="2"/>
    <s v="Credit Card"/>
    <s v="Windy"/>
  </r>
  <r>
    <s v="WSR-2026-0532"/>
    <d v="2026-05-13T00:00:00"/>
    <x v="4"/>
    <x v="4"/>
    <s v="Wednesday"/>
    <x v="19"/>
    <d v="2026-05-31T00:00:00"/>
    <s v="Spring"/>
    <x v="2"/>
    <x v="7"/>
    <s v="1 Hour"/>
    <n v="1"/>
    <n v="14"/>
    <s v="None"/>
    <n v="0"/>
    <n v="0"/>
    <n v="14"/>
    <x v="8"/>
    <x v="4"/>
    <s v="Credit Card"/>
    <s v="Sunny"/>
  </r>
  <r>
    <s v="WSR-2026-0533"/>
    <d v="2026-05-13T00:00:00"/>
    <x v="4"/>
    <x v="4"/>
    <s v="Wednesday"/>
    <x v="19"/>
    <d v="2026-05-31T00:00:00"/>
    <s v="Spring"/>
    <x v="2"/>
    <x v="1"/>
    <s v="1 Hour"/>
    <n v="1"/>
    <n v="24"/>
    <s v="GoPro Mount"/>
    <n v="8"/>
    <n v="0"/>
    <n v="32"/>
    <x v="6"/>
    <x v="4"/>
    <s v="Debit Card"/>
    <s v="Cloudy"/>
  </r>
  <r>
    <s v="WSR-2026-0534"/>
    <d v="2026-05-13T00:00:00"/>
    <x v="4"/>
    <x v="4"/>
    <s v="Wednesday"/>
    <x v="19"/>
    <d v="2026-05-31T00:00:00"/>
    <s v="Spring"/>
    <x v="1"/>
    <x v="4"/>
    <s v="1 Hour"/>
    <n v="1"/>
    <n v="12"/>
    <s v="None"/>
    <n v="0"/>
    <n v="1.2"/>
    <n v="10.8"/>
    <x v="0"/>
    <x v="0"/>
    <s v="Credit Card"/>
    <s v="Windy"/>
  </r>
  <r>
    <s v="WSR-2026-0535"/>
    <d v="2026-05-14T00:00:00"/>
    <x v="4"/>
    <x v="4"/>
    <s v="Thursday"/>
    <x v="19"/>
    <d v="2026-05-31T00:00:00"/>
    <s v="Spring"/>
    <x v="3"/>
    <x v="6"/>
    <s v="2 Hours"/>
    <n v="1"/>
    <n v="58"/>
    <s v="Dry Bag"/>
    <n v="6"/>
    <n v="0"/>
    <n v="64"/>
    <x v="9"/>
    <x v="2"/>
    <s v="Debit Card"/>
    <s v="Sunny"/>
  </r>
  <r>
    <s v="WSR-2026-0536"/>
    <d v="2026-05-14T00:00:00"/>
    <x v="4"/>
    <x v="4"/>
    <s v="Thursday"/>
    <x v="19"/>
    <d v="2026-05-31T00:00:00"/>
    <s v="Spring"/>
    <x v="1"/>
    <x v="4"/>
    <s v="1 Hour"/>
    <n v="1"/>
    <n v="12"/>
    <s v="None"/>
    <n v="0"/>
    <n v="1.2"/>
    <n v="10.8"/>
    <x v="2"/>
    <x v="1"/>
    <s v="Debit Card"/>
    <s v="Cloudy"/>
  </r>
  <r>
    <s v="WSR-2026-0537"/>
    <d v="2026-05-14T00:00:00"/>
    <x v="4"/>
    <x v="4"/>
    <s v="Thursday"/>
    <x v="19"/>
    <d v="2026-05-31T00:00:00"/>
    <s v="Spring"/>
    <x v="4"/>
    <x v="2"/>
    <s v="2 Hours"/>
    <n v="1"/>
    <n v="52"/>
    <s v="Dry Bag"/>
    <n v="6"/>
    <n v="8.6999999999999993"/>
    <n v="49.3"/>
    <x v="5"/>
    <x v="1"/>
    <s v="Debit Card"/>
    <s v="Cloudy"/>
  </r>
  <r>
    <s v="WSR-2026-0538"/>
    <d v="2026-05-14T00:00:00"/>
    <x v="4"/>
    <x v="4"/>
    <s v="Thursday"/>
    <x v="19"/>
    <d v="2026-05-31T00:00:00"/>
    <s v="Spring"/>
    <x v="3"/>
    <x v="5"/>
    <s v="1 Hour"/>
    <n v="1"/>
    <n v="26"/>
    <s v="None"/>
    <n v="0"/>
    <n v="1.3"/>
    <n v="24.7"/>
    <x v="8"/>
    <x v="4"/>
    <s v="Credit Card"/>
    <s v="Cloudy"/>
  </r>
  <r>
    <s v="WSR-2026-0539"/>
    <d v="2026-05-14T00:00:00"/>
    <x v="4"/>
    <x v="4"/>
    <s v="Thursday"/>
    <x v="19"/>
    <d v="2026-05-31T00:00:00"/>
    <s v="Spring"/>
    <x v="3"/>
    <x v="6"/>
    <s v="2 Hours"/>
    <n v="1"/>
    <n v="58"/>
    <s v="None"/>
    <n v="0"/>
    <n v="0"/>
    <n v="58"/>
    <x v="3"/>
    <x v="4"/>
    <s v="Debit Card"/>
    <s v="Sunny"/>
  </r>
  <r>
    <s v="WSR-2026-0540"/>
    <d v="2026-05-15T00:00:00"/>
    <x v="4"/>
    <x v="4"/>
    <s v="Friday"/>
    <x v="19"/>
    <d v="2026-05-31T00:00:00"/>
    <s v="Spring"/>
    <x v="4"/>
    <x v="3"/>
    <s v="1 Hour"/>
    <n v="1"/>
    <n v="22"/>
    <s v="None"/>
    <n v="0"/>
    <n v="3.3"/>
    <n v="18.7"/>
    <x v="0"/>
    <x v="2"/>
    <s v="Mobile Pay"/>
    <s v="Cloudy"/>
  </r>
  <r>
    <s v="WSR-2026-0541"/>
    <d v="2026-05-15T00:00:00"/>
    <x v="4"/>
    <x v="4"/>
    <s v="Friday"/>
    <x v="19"/>
    <d v="2026-05-31T00:00:00"/>
    <s v="Spring"/>
    <x v="0"/>
    <x v="1"/>
    <s v="1 Hour"/>
    <n v="1"/>
    <n v="24"/>
    <s v="None"/>
    <n v="0"/>
    <n v="0"/>
    <n v="24"/>
    <x v="5"/>
    <x v="0"/>
    <s v="Credit Card"/>
    <s v="Sunny"/>
  </r>
  <r>
    <s v="WSR-2026-0542"/>
    <d v="2026-05-15T00:00:00"/>
    <x v="4"/>
    <x v="4"/>
    <s v="Friday"/>
    <x v="19"/>
    <d v="2026-05-31T00:00:00"/>
    <s v="Spring"/>
    <x v="2"/>
    <x v="2"/>
    <s v="1 Hour"/>
    <n v="1"/>
    <n v="34"/>
    <s v="None"/>
    <n v="0"/>
    <n v="0"/>
    <n v="34"/>
    <x v="0"/>
    <x v="3"/>
    <s v="Debit Card"/>
    <s v="Cloudy"/>
  </r>
  <r>
    <s v="WSR-2026-0543"/>
    <d v="2026-05-15T00:00:00"/>
    <x v="4"/>
    <x v="4"/>
    <s v="Friday"/>
    <x v="19"/>
    <d v="2026-05-31T00:00:00"/>
    <s v="Spring"/>
    <x v="3"/>
    <x v="0"/>
    <s v="2 Hours"/>
    <n v="1"/>
    <n v="50"/>
    <s v="None"/>
    <n v="0"/>
    <n v="2.5"/>
    <n v="47.5"/>
    <x v="7"/>
    <x v="2"/>
    <s v="Mobile Pay"/>
    <s v="Sunny"/>
  </r>
  <r>
    <s v="WSR-2026-0544"/>
    <d v="2026-05-16T00:00:00"/>
    <x v="4"/>
    <x v="4"/>
    <s v="Saturday"/>
    <x v="19"/>
    <d v="2026-05-31T00:00:00"/>
    <s v="Spring"/>
    <x v="2"/>
    <x v="2"/>
    <s v="1 Hour"/>
    <n v="1"/>
    <n v="36.72"/>
    <s v="Premium Life Jacket"/>
    <n v="7"/>
    <n v="0"/>
    <n v="43.72"/>
    <x v="4"/>
    <x v="1"/>
    <s v="Credit Card"/>
    <s v="Windy"/>
  </r>
  <r>
    <s v="WSR-2026-0545"/>
    <d v="2026-05-16T00:00:00"/>
    <x v="4"/>
    <x v="4"/>
    <s v="Saturday"/>
    <x v="19"/>
    <d v="2026-05-31T00:00:00"/>
    <s v="Spring"/>
    <x v="3"/>
    <x v="9"/>
    <s v="Half Day"/>
    <n v="1"/>
    <n v="77.760000000000005"/>
    <s v="None"/>
    <n v="0"/>
    <n v="0"/>
    <n v="77.760000000000005"/>
    <x v="5"/>
    <x v="0"/>
    <s v="Credit Card"/>
    <s v="Cloudy"/>
  </r>
  <r>
    <s v="WSR-2026-0546"/>
    <d v="2026-05-16T00:00:00"/>
    <x v="4"/>
    <x v="4"/>
    <s v="Saturday"/>
    <x v="19"/>
    <d v="2026-05-31T00:00:00"/>
    <s v="Spring"/>
    <x v="2"/>
    <x v="7"/>
    <s v="Full Day"/>
    <n v="1"/>
    <n v="51.84"/>
    <s v="None"/>
    <n v="0"/>
    <n v="0"/>
    <n v="51.84"/>
    <x v="5"/>
    <x v="0"/>
    <s v="Credit Card"/>
    <s v="Sunny"/>
  </r>
  <r>
    <s v="WSR-2026-0547"/>
    <d v="2026-05-16T00:00:00"/>
    <x v="4"/>
    <x v="4"/>
    <s v="Saturday"/>
    <x v="19"/>
    <d v="2026-05-31T00:00:00"/>
    <s v="Spring"/>
    <x v="2"/>
    <x v="5"/>
    <s v="2 Hours"/>
    <n v="1"/>
    <n v="45.36"/>
    <s v="None"/>
    <n v="0"/>
    <n v="0"/>
    <n v="45.36"/>
    <x v="8"/>
    <x v="0"/>
    <s v="Credit Card"/>
    <s v="Windy"/>
  </r>
  <r>
    <s v="WSR-2026-0548"/>
    <d v="2026-05-16T00:00:00"/>
    <x v="4"/>
    <x v="4"/>
    <s v="Saturday"/>
    <x v="19"/>
    <d v="2026-05-31T00:00:00"/>
    <s v="Spring"/>
    <x v="2"/>
    <x v="5"/>
    <s v="Half Day"/>
    <n v="1"/>
    <n v="66.959999999999994"/>
    <s v="Premium Life Jacket"/>
    <n v="7"/>
    <n v="0"/>
    <n v="73.959999999999994"/>
    <x v="7"/>
    <x v="3"/>
    <s v="Credit Card"/>
    <s v="Rainy"/>
  </r>
  <r>
    <s v="WSR-2026-0549"/>
    <d v="2026-05-16T00:00:00"/>
    <x v="4"/>
    <x v="4"/>
    <s v="Saturday"/>
    <x v="19"/>
    <d v="2026-05-31T00:00:00"/>
    <s v="Spring"/>
    <x v="0"/>
    <x v="3"/>
    <s v="Full Day"/>
    <n v="1"/>
    <n v="82.08"/>
    <s v="Phone Pouch"/>
    <n v="5"/>
    <n v="0"/>
    <n v="87.08"/>
    <x v="8"/>
    <x v="0"/>
    <s v="Credit Card"/>
    <s v="Cloudy"/>
  </r>
  <r>
    <s v="WSR-2026-0550"/>
    <d v="2026-05-16T00:00:00"/>
    <x v="4"/>
    <x v="4"/>
    <s v="Saturday"/>
    <x v="19"/>
    <d v="2026-05-31T00:00:00"/>
    <s v="Spring"/>
    <x v="0"/>
    <x v="4"/>
    <s v="Full Day"/>
    <n v="1"/>
    <n v="43.2"/>
    <s v="None"/>
    <n v="0"/>
    <n v="2.16"/>
    <n v="41.04"/>
    <x v="6"/>
    <x v="4"/>
    <s v="Credit Card"/>
    <s v="Cloudy"/>
  </r>
  <r>
    <s v="WSR-2026-0551"/>
    <d v="2026-05-16T00:00:00"/>
    <x v="4"/>
    <x v="4"/>
    <s v="Saturday"/>
    <x v="19"/>
    <d v="2026-05-31T00:00:00"/>
    <s v="Spring"/>
    <x v="4"/>
    <x v="2"/>
    <s v="2 Hours"/>
    <n v="1"/>
    <n v="56.16"/>
    <s v="None"/>
    <n v="0"/>
    <n v="5.62"/>
    <n v="50.54"/>
    <x v="3"/>
    <x v="4"/>
    <s v="Cash"/>
    <s v="Cloudy"/>
  </r>
  <r>
    <s v="WSR-2026-0552"/>
    <d v="2026-05-16T00:00:00"/>
    <x v="4"/>
    <x v="4"/>
    <s v="Saturday"/>
    <x v="19"/>
    <d v="2026-05-31T00:00:00"/>
    <s v="Spring"/>
    <x v="3"/>
    <x v="1"/>
    <s v="2 Hours"/>
    <n v="1"/>
    <n v="41.04"/>
    <s v="None"/>
    <n v="0"/>
    <n v="0"/>
    <n v="41.04"/>
    <x v="5"/>
    <x v="3"/>
    <s v="Gift Card"/>
    <s v="Sunny"/>
  </r>
  <r>
    <s v="WSR-2026-0553"/>
    <d v="2026-05-16T00:00:00"/>
    <x v="4"/>
    <x v="4"/>
    <s v="Saturday"/>
    <x v="19"/>
    <d v="2026-05-31T00:00:00"/>
    <s v="Spring"/>
    <x v="3"/>
    <x v="0"/>
    <s v="1 Hour"/>
    <n v="1"/>
    <n v="34.56"/>
    <s v="GoPro Mount"/>
    <n v="8"/>
    <n v="2.13"/>
    <n v="40.43"/>
    <x v="7"/>
    <x v="4"/>
    <s v="Debit Card"/>
    <s v="Sunny"/>
  </r>
  <r>
    <s v="WSR-2026-0554"/>
    <d v="2026-05-16T00:00:00"/>
    <x v="4"/>
    <x v="4"/>
    <s v="Saturday"/>
    <x v="19"/>
    <d v="2026-05-31T00:00:00"/>
    <s v="Spring"/>
    <x v="3"/>
    <x v="1"/>
    <s v="Half Day"/>
    <n v="1"/>
    <n v="62.64"/>
    <s v="None"/>
    <n v="0"/>
    <n v="0"/>
    <n v="62.64"/>
    <x v="6"/>
    <x v="2"/>
    <s v="Cash"/>
    <s v="Cloudy"/>
  </r>
  <r>
    <s v="WSR-2026-0555"/>
    <d v="2026-05-17T00:00:00"/>
    <x v="4"/>
    <x v="4"/>
    <s v="Sunday"/>
    <x v="20"/>
    <d v="2026-05-31T00:00:00"/>
    <s v="Spring"/>
    <x v="2"/>
    <x v="2"/>
    <s v="Half Day"/>
    <n v="1"/>
    <n v="84.24"/>
    <s v="None"/>
    <n v="0"/>
    <n v="0"/>
    <n v="84.24"/>
    <x v="5"/>
    <x v="4"/>
    <s v="Credit Card"/>
    <s v="Sunny"/>
  </r>
  <r>
    <s v="WSR-2026-0556"/>
    <d v="2026-05-17T00:00:00"/>
    <x v="4"/>
    <x v="4"/>
    <s v="Sunday"/>
    <x v="20"/>
    <d v="2026-05-31T00:00:00"/>
    <s v="Spring"/>
    <x v="3"/>
    <x v="7"/>
    <s v="1 Hour"/>
    <n v="1"/>
    <n v="15.12"/>
    <s v="None"/>
    <n v="0"/>
    <n v="0"/>
    <n v="15.12"/>
    <x v="0"/>
    <x v="2"/>
    <s v="Credit Card"/>
    <s v="Sunny"/>
  </r>
  <r>
    <s v="WSR-2026-0557"/>
    <d v="2026-05-17T00:00:00"/>
    <x v="4"/>
    <x v="4"/>
    <s v="Sunday"/>
    <x v="20"/>
    <d v="2026-05-31T00:00:00"/>
    <s v="Spring"/>
    <x v="0"/>
    <x v="4"/>
    <s v="1 Hour"/>
    <n v="1"/>
    <n v="12.96"/>
    <s v="None"/>
    <n v="0"/>
    <n v="0"/>
    <n v="12.96"/>
    <x v="3"/>
    <x v="0"/>
    <s v="Debit Card"/>
    <s v="Rainy"/>
  </r>
  <r>
    <s v="WSR-2026-0558"/>
    <d v="2026-05-17T00:00:00"/>
    <x v="4"/>
    <x v="4"/>
    <s v="Sunday"/>
    <x v="20"/>
    <d v="2026-05-31T00:00:00"/>
    <s v="Spring"/>
    <x v="2"/>
    <x v="2"/>
    <s v="Half Day"/>
    <n v="1"/>
    <n v="84.24"/>
    <s v="Premium Life Jacket"/>
    <n v="7"/>
    <n v="0"/>
    <n v="91.24"/>
    <x v="9"/>
    <x v="4"/>
    <s v="Credit Card"/>
    <s v="Sunny"/>
  </r>
  <r>
    <s v="WSR-2026-0559"/>
    <d v="2026-05-17T00:00:00"/>
    <x v="4"/>
    <x v="4"/>
    <s v="Sunday"/>
    <x v="20"/>
    <d v="2026-05-31T00:00:00"/>
    <s v="Spring"/>
    <x v="1"/>
    <x v="4"/>
    <s v="Half Day"/>
    <n v="1"/>
    <n v="30.24"/>
    <s v="GoPro Mount"/>
    <n v="8"/>
    <n v="0"/>
    <n v="38.24"/>
    <x v="7"/>
    <x v="4"/>
    <s v="Mobile Pay"/>
    <s v="Cloudy"/>
  </r>
  <r>
    <s v="WSR-2026-0560"/>
    <d v="2026-05-17T00:00:00"/>
    <x v="4"/>
    <x v="4"/>
    <s v="Sunday"/>
    <x v="20"/>
    <d v="2026-05-31T00:00:00"/>
    <s v="Spring"/>
    <x v="3"/>
    <x v="0"/>
    <s v="2 Hours"/>
    <n v="1"/>
    <n v="54"/>
    <s v="Phone Pouch"/>
    <n v="5"/>
    <n v="0"/>
    <n v="59"/>
    <x v="2"/>
    <x v="4"/>
    <s v="Credit Card"/>
    <s v="Cloudy"/>
  </r>
  <r>
    <s v="WSR-2026-0561"/>
    <d v="2026-05-17T00:00:00"/>
    <x v="4"/>
    <x v="4"/>
    <s v="Sunday"/>
    <x v="20"/>
    <d v="2026-05-31T00:00:00"/>
    <s v="Spring"/>
    <x v="0"/>
    <x v="5"/>
    <s v="2 Hours"/>
    <n v="1"/>
    <n v="45.36"/>
    <s v="None"/>
    <n v="0"/>
    <n v="0"/>
    <n v="45.36"/>
    <x v="5"/>
    <x v="3"/>
    <s v="Cash"/>
    <s v="Sunny"/>
  </r>
  <r>
    <s v="WSR-2026-0562"/>
    <d v="2026-05-18T00:00:00"/>
    <x v="4"/>
    <x v="4"/>
    <s v="Monday"/>
    <x v="20"/>
    <d v="2026-05-31T00:00:00"/>
    <s v="Spring"/>
    <x v="2"/>
    <x v="5"/>
    <s v="2 Hours"/>
    <n v="1"/>
    <n v="42"/>
    <s v="GoPro Mount"/>
    <n v="8"/>
    <n v="0"/>
    <n v="50"/>
    <x v="3"/>
    <x v="3"/>
    <s v="Credit Card"/>
    <s v="Windy"/>
  </r>
  <r>
    <s v="WSR-2026-0563"/>
    <d v="2026-05-18T00:00:00"/>
    <x v="4"/>
    <x v="4"/>
    <s v="Monday"/>
    <x v="20"/>
    <d v="2026-05-31T00:00:00"/>
    <s v="Spring"/>
    <x v="1"/>
    <x v="8"/>
    <s v="1 Hour"/>
    <n v="1"/>
    <n v="10"/>
    <s v="None"/>
    <n v="0"/>
    <n v="0.5"/>
    <n v="9.5"/>
    <x v="6"/>
    <x v="0"/>
    <s v="Debit Card"/>
    <s v="Sunny"/>
  </r>
  <r>
    <s v="WSR-2026-0564"/>
    <d v="2026-05-18T00:00:00"/>
    <x v="4"/>
    <x v="4"/>
    <s v="Monday"/>
    <x v="20"/>
    <d v="2026-05-31T00:00:00"/>
    <s v="Spring"/>
    <x v="2"/>
    <x v="4"/>
    <s v="Half Day"/>
    <n v="1"/>
    <n v="28"/>
    <s v="Waterproof Speaker"/>
    <n v="12"/>
    <n v="0"/>
    <n v="40"/>
    <x v="3"/>
    <x v="1"/>
    <s v="Mobile Pay"/>
    <s v="Sunny"/>
  </r>
  <r>
    <s v="WSR-2026-0565"/>
    <d v="2026-05-18T00:00:00"/>
    <x v="4"/>
    <x v="4"/>
    <s v="Monday"/>
    <x v="20"/>
    <d v="2026-05-31T00:00:00"/>
    <s v="Spring"/>
    <x v="2"/>
    <x v="4"/>
    <s v="1 Hour"/>
    <n v="1"/>
    <n v="12"/>
    <s v="None"/>
    <n v="0"/>
    <n v="0"/>
    <n v="12"/>
    <x v="6"/>
    <x v="2"/>
    <s v="Credit Card"/>
    <s v="Cloudy"/>
  </r>
  <r>
    <s v="WSR-2026-0566"/>
    <d v="2026-05-18T00:00:00"/>
    <x v="4"/>
    <x v="4"/>
    <s v="Monday"/>
    <x v="20"/>
    <d v="2026-05-31T00:00:00"/>
    <s v="Spring"/>
    <x v="3"/>
    <x v="8"/>
    <s v="Half Day"/>
    <n v="1"/>
    <n v="24"/>
    <s v="GoPro Mount"/>
    <n v="8"/>
    <n v="0"/>
    <n v="32"/>
    <x v="6"/>
    <x v="4"/>
    <s v="Debit Card"/>
    <s v="Rainy"/>
  </r>
  <r>
    <s v="WSR-2026-0567"/>
    <d v="2026-05-19T00:00:00"/>
    <x v="4"/>
    <x v="4"/>
    <s v="Tuesday"/>
    <x v="20"/>
    <d v="2026-05-31T00:00:00"/>
    <s v="Spring"/>
    <x v="1"/>
    <x v="1"/>
    <s v="Full Day"/>
    <n v="1"/>
    <n v="84"/>
    <s v="None"/>
    <n v="0"/>
    <n v="4.2"/>
    <n v="79.8"/>
    <x v="3"/>
    <x v="0"/>
    <s v="Debit Card"/>
    <s v="Sunny"/>
  </r>
  <r>
    <s v="WSR-2026-0568"/>
    <d v="2026-05-19T00:00:00"/>
    <x v="4"/>
    <x v="4"/>
    <s v="Tuesday"/>
    <x v="20"/>
    <d v="2026-05-31T00:00:00"/>
    <s v="Spring"/>
    <x v="0"/>
    <x v="0"/>
    <s v="2 Hours"/>
    <n v="1"/>
    <n v="50"/>
    <s v="GoPro Mount"/>
    <n v="8"/>
    <n v="0"/>
    <n v="58"/>
    <x v="0"/>
    <x v="1"/>
    <s v="Debit Card"/>
    <s v="Cloudy"/>
  </r>
  <r>
    <s v="WSR-2026-0569"/>
    <d v="2026-05-19T00:00:00"/>
    <x v="4"/>
    <x v="4"/>
    <s v="Tuesday"/>
    <x v="20"/>
    <d v="2026-05-31T00:00:00"/>
    <s v="Spring"/>
    <x v="0"/>
    <x v="5"/>
    <s v="1 Hour"/>
    <n v="1"/>
    <n v="26"/>
    <s v="Waterproof Speaker"/>
    <n v="12"/>
    <n v="0"/>
    <n v="38"/>
    <x v="3"/>
    <x v="2"/>
    <s v="Cash"/>
    <s v="Sunny"/>
  </r>
  <r>
    <s v="WSR-2026-0570"/>
    <d v="2026-05-20T00:00:00"/>
    <x v="4"/>
    <x v="4"/>
    <s v="Wednesday"/>
    <x v="20"/>
    <d v="2026-05-31T00:00:00"/>
    <s v="Spring"/>
    <x v="2"/>
    <x v="1"/>
    <s v="Half Day"/>
    <n v="1"/>
    <n v="58"/>
    <s v="Phone Pouch"/>
    <n v="5"/>
    <n v="0"/>
    <n v="63"/>
    <x v="4"/>
    <x v="0"/>
    <s v="Credit Card"/>
    <s v="Sunny"/>
  </r>
  <r>
    <s v="WSR-2026-0571"/>
    <d v="2026-05-20T00:00:00"/>
    <x v="4"/>
    <x v="4"/>
    <s v="Wednesday"/>
    <x v="20"/>
    <d v="2026-05-31T00:00:00"/>
    <s v="Spring"/>
    <x v="3"/>
    <x v="5"/>
    <s v="2 Hours"/>
    <n v="1"/>
    <n v="42"/>
    <s v="Dry Bag"/>
    <n v="6"/>
    <n v="0"/>
    <n v="48"/>
    <x v="4"/>
    <x v="2"/>
    <s v="Cash"/>
    <s v="Sunny"/>
  </r>
  <r>
    <s v="WSR-2026-0572"/>
    <d v="2026-05-21T00:00:00"/>
    <x v="4"/>
    <x v="4"/>
    <s v="Thursday"/>
    <x v="20"/>
    <d v="2026-05-31T00:00:00"/>
    <s v="Spring"/>
    <x v="2"/>
    <x v="8"/>
    <s v="Half Day"/>
    <n v="1"/>
    <n v="24"/>
    <s v="Waterproof Speaker"/>
    <n v="12"/>
    <n v="0"/>
    <n v="36"/>
    <x v="8"/>
    <x v="1"/>
    <s v="Credit Card"/>
    <s v="Sunny"/>
  </r>
  <r>
    <s v="WSR-2026-0573"/>
    <d v="2026-05-21T00:00:00"/>
    <x v="4"/>
    <x v="4"/>
    <s v="Thursday"/>
    <x v="20"/>
    <d v="2026-05-31T00:00:00"/>
    <s v="Spring"/>
    <x v="2"/>
    <x v="2"/>
    <s v="2 Hours"/>
    <n v="1"/>
    <n v="52"/>
    <s v="None"/>
    <n v="0"/>
    <n v="0"/>
    <n v="52"/>
    <x v="5"/>
    <x v="1"/>
    <s v="Credit Card"/>
    <s v="Rainy"/>
  </r>
  <r>
    <s v="WSR-2026-0574"/>
    <d v="2026-05-21T00:00:00"/>
    <x v="4"/>
    <x v="4"/>
    <s v="Thursday"/>
    <x v="20"/>
    <d v="2026-05-31T00:00:00"/>
    <s v="Spring"/>
    <x v="3"/>
    <x v="7"/>
    <s v="Half Day"/>
    <n v="1"/>
    <n v="34"/>
    <s v="None"/>
    <n v="0"/>
    <n v="0"/>
    <n v="34"/>
    <x v="9"/>
    <x v="3"/>
    <s v="Gift Card"/>
    <s v="Cloudy"/>
  </r>
  <r>
    <s v="WSR-2026-0575"/>
    <d v="2026-05-21T00:00:00"/>
    <x v="4"/>
    <x v="4"/>
    <s v="Thursday"/>
    <x v="20"/>
    <d v="2026-05-31T00:00:00"/>
    <s v="Spring"/>
    <x v="3"/>
    <x v="8"/>
    <s v="2 Hours"/>
    <n v="1"/>
    <n v="16"/>
    <s v="None"/>
    <n v="0"/>
    <n v="0"/>
    <n v="16"/>
    <x v="0"/>
    <x v="0"/>
    <s v="Cash"/>
    <s v="Rainy"/>
  </r>
  <r>
    <s v="WSR-2026-0576"/>
    <d v="2026-05-21T00:00:00"/>
    <x v="4"/>
    <x v="4"/>
    <s v="Thursday"/>
    <x v="20"/>
    <d v="2026-05-31T00:00:00"/>
    <s v="Spring"/>
    <x v="3"/>
    <x v="7"/>
    <s v="2 Hours"/>
    <n v="1"/>
    <n v="22"/>
    <s v="None"/>
    <n v="0"/>
    <n v="0"/>
    <n v="22"/>
    <x v="5"/>
    <x v="4"/>
    <s v="Mobile Pay"/>
    <s v="Sunny"/>
  </r>
  <r>
    <s v="WSR-2026-0577"/>
    <d v="2026-05-21T00:00:00"/>
    <x v="4"/>
    <x v="4"/>
    <s v="Thursday"/>
    <x v="20"/>
    <d v="2026-05-31T00:00:00"/>
    <s v="Spring"/>
    <x v="3"/>
    <x v="6"/>
    <s v="Full Day"/>
    <n v="1"/>
    <n v="124"/>
    <s v="None"/>
    <n v="0"/>
    <n v="0"/>
    <n v="124"/>
    <x v="6"/>
    <x v="2"/>
    <s v="Credit Card"/>
    <s v="Cloudy"/>
  </r>
  <r>
    <s v="WSR-2026-0578"/>
    <d v="2026-05-21T00:00:00"/>
    <x v="4"/>
    <x v="4"/>
    <s v="Thursday"/>
    <x v="20"/>
    <d v="2026-05-31T00:00:00"/>
    <s v="Spring"/>
    <x v="2"/>
    <x v="7"/>
    <s v="2 Hours"/>
    <n v="1"/>
    <n v="22"/>
    <s v="None"/>
    <n v="0"/>
    <n v="0"/>
    <n v="22"/>
    <x v="6"/>
    <x v="0"/>
    <s v="Credit Card"/>
    <s v="Sunny"/>
  </r>
  <r>
    <s v="WSR-2026-0579"/>
    <d v="2026-05-21T00:00:00"/>
    <x v="4"/>
    <x v="4"/>
    <s v="Thursday"/>
    <x v="20"/>
    <d v="2026-05-31T00:00:00"/>
    <s v="Spring"/>
    <x v="3"/>
    <x v="1"/>
    <s v="Half Day"/>
    <n v="1"/>
    <n v="58"/>
    <s v="None"/>
    <n v="0"/>
    <n v="0"/>
    <n v="58"/>
    <x v="9"/>
    <x v="3"/>
    <s v="Cash"/>
    <s v="Sunny"/>
  </r>
  <r>
    <s v="WSR-2026-0580"/>
    <d v="2026-05-22T00:00:00"/>
    <x v="4"/>
    <x v="4"/>
    <s v="Friday"/>
    <x v="20"/>
    <d v="2026-05-31T00:00:00"/>
    <s v="Spring"/>
    <x v="2"/>
    <x v="8"/>
    <s v="Full Day"/>
    <n v="1"/>
    <n v="34"/>
    <s v="Phone Pouch"/>
    <n v="5"/>
    <n v="0"/>
    <n v="39"/>
    <x v="5"/>
    <x v="4"/>
    <s v="Credit Card"/>
    <s v="Sunny"/>
  </r>
  <r>
    <s v="WSR-2026-0581"/>
    <d v="2026-05-22T00:00:00"/>
    <x v="4"/>
    <x v="4"/>
    <s v="Friday"/>
    <x v="20"/>
    <d v="2026-05-31T00:00:00"/>
    <s v="Spring"/>
    <x v="2"/>
    <x v="1"/>
    <s v="2 Hours"/>
    <n v="1"/>
    <n v="38"/>
    <s v="Cooler Rental"/>
    <n v="10"/>
    <n v="0"/>
    <n v="48"/>
    <x v="4"/>
    <x v="1"/>
    <s v="Credit Card"/>
    <s v="Cloudy"/>
  </r>
  <r>
    <s v="WSR-2026-0582"/>
    <d v="2026-05-22T00:00:00"/>
    <x v="4"/>
    <x v="4"/>
    <s v="Friday"/>
    <x v="20"/>
    <d v="2026-05-31T00:00:00"/>
    <s v="Spring"/>
    <x v="3"/>
    <x v="3"/>
    <s v="Half Day"/>
    <n v="1"/>
    <n v="54"/>
    <s v="None"/>
    <n v="0"/>
    <n v="0"/>
    <n v="54"/>
    <x v="8"/>
    <x v="2"/>
    <s v="Credit Card"/>
    <s v="Sunny"/>
  </r>
  <r>
    <s v="WSR-2026-0583"/>
    <d v="2026-05-22T00:00:00"/>
    <x v="4"/>
    <x v="4"/>
    <s v="Friday"/>
    <x v="20"/>
    <d v="2026-05-31T00:00:00"/>
    <s v="Spring"/>
    <x v="3"/>
    <x v="8"/>
    <s v="Half Day"/>
    <n v="1"/>
    <n v="24"/>
    <s v="Premium Life Jacket"/>
    <n v="7"/>
    <n v="1.55"/>
    <n v="29.45"/>
    <x v="6"/>
    <x v="0"/>
    <s v="Mobile Pay"/>
    <s v="Cloudy"/>
  </r>
  <r>
    <s v="WSR-2026-0584"/>
    <d v="2026-05-22T00:00:00"/>
    <x v="4"/>
    <x v="4"/>
    <s v="Friday"/>
    <x v="20"/>
    <d v="2026-05-31T00:00:00"/>
    <s v="Spring"/>
    <x v="2"/>
    <x v="2"/>
    <s v="1 Hour"/>
    <n v="1"/>
    <n v="34"/>
    <s v="Cooler Rental"/>
    <n v="10"/>
    <n v="0"/>
    <n v="44"/>
    <x v="4"/>
    <x v="3"/>
    <s v="Debit Card"/>
    <s v="Sunny"/>
  </r>
  <r>
    <s v="WSR-2026-0585"/>
    <d v="2026-05-22T00:00:00"/>
    <x v="4"/>
    <x v="4"/>
    <s v="Friday"/>
    <x v="20"/>
    <d v="2026-05-31T00:00:00"/>
    <s v="Spring"/>
    <x v="3"/>
    <x v="9"/>
    <s v="2 Hours"/>
    <n v="1"/>
    <n v="48"/>
    <s v="Dry Bag"/>
    <n v="6"/>
    <n v="0"/>
    <n v="54"/>
    <x v="5"/>
    <x v="0"/>
    <s v="Credit Card"/>
    <s v="Cloudy"/>
  </r>
  <r>
    <s v="WSR-2026-0586"/>
    <d v="2026-05-22T00:00:00"/>
    <x v="4"/>
    <x v="4"/>
    <s v="Friday"/>
    <x v="20"/>
    <d v="2026-05-31T00:00:00"/>
    <s v="Spring"/>
    <x v="2"/>
    <x v="4"/>
    <s v="2 Hours"/>
    <n v="1"/>
    <n v="18"/>
    <s v="Dry Bag"/>
    <n v="6"/>
    <n v="0"/>
    <n v="24"/>
    <x v="7"/>
    <x v="2"/>
    <s v="Credit Card"/>
    <s v="Sunny"/>
  </r>
  <r>
    <s v="WSR-2026-0587"/>
    <d v="2026-05-22T00:00:00"/>
    <x v="4"/>
    <x v="4"/>
    <s v="Friday"/>
    <x v="20"/>
    <d v="2026-05-31T00:00:00"/>
    <s v="Spring"/>
    <x v="2"/>
    <x v="1"/>
    <s v="2 Hours"/>
    <n v="1"/>
    <n v="38"/>
    <s v="None"/>
    <n v="0"/>
    <n v="0"/>
    <n v="38"/>
    <x v="1"/>
    <x v="2"/>
    <s v="Mobile Pay"/>
    <s v="Rainy"/>
  </r>
  <r>
    <s v="WSR-2026-0588"/>
    <d v="2026-05-22T00:00:00"/>
    <x v="4"/>
    <x v="4"/>
    <s v="Friday"/>
    <x v="20"/>
    <d v="2026-05-31T00:00:00"/>
    <s v="Spring"/>
    <x v="3"/>
    <x v="3"/>
    <s v="1 Hour"/>
    <n v="1"/>
    <n v="22"/>
    <s v="Dry Bag"/>
    <n v="6"/>
    <n v="0"/>
    <n v="28"/>
    <x v="6"/>
    <x v="0"/>
    <s v="Cash"/>
    <s v="Cloudy"/>
  </r>
  <r>
    <s v="WSR-2026-0589"/>
    <d v="2026-05-23T00:00:00"/>
    <x v="4"/>
    <x v="4"/>
    <s v="Saturday"/>
    <x v="20"/>
    <d v="2026-05-31T00:00:00"/>
    <s v="Spring"/>
    <x v="0"/>
    <x v="8"/>
    <s v="1 Hour"/>
    <n v="1"/>
    <n v="10.8"/>
    <s v="Dry Bag"/>
    <n v="6"/>
    <n v="0"/>
    <n v="16.8"/>
    <x v="5"/>
    <x v="4"/>
    <s v="Credit Card"/>
    <s v="Windy"/>
  </r>
  <r>
    <s v="WSR-2026-0590"/>
    <d v="2026-05-23T00:00:00"/>
    <x v="4"/>
    <x v="4"/>
    <s v="Saturday"/>
    <x v="20"/>
    <d v="2026-05-31T00:00:00"/>
    <s v="Spring"/>
    <x v="0"/>
    <x v="2"/>
    <s v="1 Hour"/>
    <n v="1"/>
    <n v="36.72"/>
    <s v="None"/>
    <n v="0"/>
    <n v="0"/>
    <n v="36.72"/>
    <x v="7"/>
    <x v="1"/>
    <s v="Debit Card"/>
    <s v="Sunny"/>
  </r>
  <r>
    <s v="WSR-2026-0591"/>
    <d v="2026-05-23T00:00:00"/>
    <x v="4"/>
    <x v="4"/>
    <s v="Saturday"/>
    <x v="20"/>
    <d v="2026-05-31T00:00:00"/>
    <s v="Spring"/>
    <x v="4"/>
    <x v="8"/>
    <s v="1 Hour"/>
    <n v="1"/>
    <n v="10.8"/>
    <s v="Phone Pouch"/>
    <n v="5"/>
    <n v="2.37"/>
    <n v="13.43"/>
    <x v="8"/>
    <x v="2"/>
    <s v="Debit Card"/>
    <s v="Cloudy"/>
  </r>
  <r>
    <s v="WSR-2026-0592"/>
    <d v="2026-05-23T00:00:00"/>
    <x v="4"/>
    <x v="4"/>
    <s v="Saturday"/>
    <x v="20"/>
    <d v="2026-05-31T00:00:00"/>
    <s v="Spring"/>
    <x v="3"/>
    <x v="5"/>
    <s v="Full Day"/>
    <n v="1"/>
    <n v="95.04"/>
    <s v="Cooler Rental"/>
    <n v="10"/>
    <n v="0"/>
    <n v="105.04"/>
    <x v="8"/>
    <x v="2"/>
    <s v="Debit Card"/>
    <s v="Sunny"/>
  </r>
  <r>
    <s v="WSR-2026-0593"/>
    <d v="2026-05-23T00:00:00"/>
    <x v="4"/>
    <x v="4"/>
    <s v="Saturday"/>
    <x v="20"/>
    <d v="2026-05-31T00:00:00"/>
    <s v="Spring"/>
    <x v="2"/>
    <x v="6"/>
    <s v="1 Hour"/>
    <n v="1"/>
    <n v="38.880000000000003"/>
    <s v="None"/>
    <n v="0"/>
    <n v="0"/>
    <n v="38.880000000000003"/>
    <x v="8"/>
    <x v="2"/>
    <s v="Gift Card"/>
    <s v="Sunny"/>
  </r>
  <r>
    <s v="WSR-2026-0594"/>
    <d v="2026-05-23T00:00:00"/>
    <x v="4"/>
    <x v="4"/>
    <s v="Saturday"/>
    <x v="20"/>
    <d v="2026-05-31T00:00:00"/>
    <s v="Spring"/>
    <x v="4"/>
    <x v="5"/>
    <s v="Half Day"/>
    <n v="1"/>
    <n v="66.959999999999994"/>
    <s v="GoPro Mount"/>
    <n v="8"/>
    <n v="11.24"/>
    <n v="63.72"/>
    <x v="5"/>
    <x v="0"/>
    <s v="Credit Card"/>
    <s v="Windy"/>
  </r>
  <r>
    <s v="WSR-2026-0595"/>
    <d v="2026-05-23T00:00:00"/>
    <x v="4"/>
    <x v="4"/>
    <s v="Saturday"/>
    <x v="20"/>
    <d v="2026-05-31T00:00:00"/>
    <s v="Spring"/>
    <x v="3"/>
    <x v="4"/>
    <s v="2 Hours"/>
    <n v="1"/>
    <n v="19.440000000000001"/>
    <s v="None"/>
    <n v="0"/>
    <n v="0"/>
    <n v="19.440000000000001"/>
    <x v="0"/>
    <x v="1"/>
    <s v="Mobile Pay"/>
    <s v="Cloudy"/>
  </r>
  <r>
    <s v="WSR-2026-0596"/>
    <d v="2026-05-23T00:00:00"/>
    <x v="4"/>
    <x v="4"/>
    <s v="Saturday"/>
    <x v="20"/>
    <d v="2026-05-31T00:00:00"/>
    <s v="Spring"/>
    <x v="3"/>
    <x v="5"/>
    <s v="1 Hour"/>
    <n v="1"/>
    <n v="28.08"/>
    <s v="Phone Pouch"/>
    <n v="5"/>
    <n v="0"/>
    <n v="33.08"/>
    <x v="4"/>
    <x v="2"/>
    <s v="Cash"/>
    <s v="Sunny"/>
  </r>
  <r>
    <s v="WSR-2026-0597"/>
    <d v="2026-05-23T00:00:00"/>
    <x v="4"/>
    <x v="4"/>
    <s v="Saturday"/>
    <x v="20"/>
    <d v="2026-05-31T00:00:00"/>
    <s v="Spring"/>
    <x v="1"/>
    <x v="7"/>
    <s v="2 Hours"/>
    <n v="1"/>
    <n v="23.76"/>
    <s v="None"/>
    <n v="0"/>
    <n v="0"/>
    <n v="23.76"/>
    <x v="9"/>
    <x v="4"/>
    <s v="Debit Card"/>
    <s v="Sunny"/>
  </r>
  <r>
    <s v="WSR-2026-0598"/>
    <d v="2026-05-23T00:00:00"/>
    <x v="4"/>
    <x v="4"/>
    <s v="Saturday"/>
    <x v="20"/>
    <d v="2026-05-31T00:00:00"/>
    <s v="Spring"/>
    <x v="2"/>
    <x v="1"/>
    <s v="2 Hours"/>
    <n v="1"/>
    <n v="41.04"/>
    <s v="Premium Life Jacket"/>
    <n v="7"/>
    <n v="0"/>
    <n v="48.04"/>
    <x v="2"/>
    <x v="0"/>
    <s v="Debit Card"/>
    <s v="Rainy"/>
  </r>
  <r>
    <s v="WSR-2026-0599"/>
    <d v="2026-05-23T00:00:00"/>
    <x v="4"/>
    <x v="4"/>
    <s v="Saturday"/>
    <x v="20"/>
    <d v="2026-05-31T00:00:00"/>
    <s v="Spring"/>
    <x v="3"/>
    <x v="7"/>
    <s v="2 Hours"/>
    <n v="1"/>
    <n v="23.76"/>
    <s v="None"/>
    <n v="0"/>
    <n v="0"/>
    <n v="23.76"/>
    <x v="8"/>
    <x v="2"/>
    <s v="Debit Card"/>
    <s v="Sunny"/>
  </r>
  <r>
    <s v="WSR-2026-0600"/>
    <d v="2026-05-23T00:00:00"/>
    <x v="4"/>
    <x v="4"/>
    <s v="Saturday"/>
    <x v="20"/>
    <d v="2026-05-31T00:00:00"/>
    <s v="Spring"/>
    <x v="0"/>
    <x v="4"/>
    <s v="Half Day"/>
    <n v="1"/>
    <n v="30.24"/>
    <s v="GoPro Mount"/>
    <n v="8"/>
    <n v="0"/>
    <n v="38.24"/>
    <x v="8"/>
    <x v="0"/>
    <s v="Debit Card"/>
    <s v="Sunny"/>
  </r>
  <r>
    <s v="WSR-2026-0601"/>
    <d v="2026-05-23T00:00:00"/>
    <x v="4"/>
    <x v="4"/>
    <s v="Saturday"/>
    <x v="20"/>
    <d v="2026-05-31T00:00:00"/>
    <s v="Spring"/>
    <x v="3"/>
    <x v="1"/>
    <s v="1 Hour"/>
    <n v="1"/>
    <n v="25.92"/>
    <s v="Phone Pouch"/>
    <n v="5"/>
    <n v="0"/>
    <n v="30.92"/>
    <x v="3"/>
    <x v="3"/>
    <s v="Debit Card"/>
    <s v="Cloudy"/>
  </r>
  <r>
    <s v="WSR-2026-0602"/>
    <d v="2026-05-23T00:00:00"/>
    <x v="4"/>
    <x v="4"/>
    <s v="Saturday"/>
    <x v="20"/>
    <d v="2026-05-31T00:00:00"/>
    <s v="Spring"/>
    <x v="0"/>
    <x v="2"/>
    <s v="Half Day"/>
    <n v="1"/>
    <n v="84.24"/>
    <s v="None"/>
    <n v="0"/>
    <n v="0"/>
    <n v="84.24"/>
    <x v="8"/>
    <x v="4"/>
    <s v="Credit Card"/>
    <s v="Sunny"/>
  </r>
  <r>
    <s v="WSR-2026-0603"/>
    <d v="2026-05-23T00:00:00"/>
    <x v="4"/>
    <x v="4"/>
    <s v="Saturday"/>
    <x v="20"/>
    <d v="2026-05-31T00:00:00"/>
    <s v="Spring"/>
    <x v="1"/>
    <x v="5"/>
    <s v="Half Day"/>
    <n v="1"/>
    <n v="66.959999999999994"/>
    <s v="Dry Bag"/>
    <n v="6"/>
    <n v="3.65"/>
    <n v="69.31"/>
    <x v="7"/>
    <x v="1"/>
    <s v="Credit Card"/>
    <s v="Windy"/>
  </r>
  <r>
    <s v="WSR-2026-0604"/>
    <d v="2026-05-24T00:00:00"/>
    <x v="4"/>
    <x v="4"/>
    <s v="Sunday"/>
    <x v="21"/>
    <d v="2026-05-31T00:00:00"/>
    <s v="Spring"/>
    <x v="3"/>
    <x v="9"/>
    <s v="2 Hours"/>
    <n v="1"/>
    <n v="51.84"/>
    <s v="Cooler Rental"/>
    <n v="10"/>
    <n v="0"/>
    <n v="61.84"/>
    <x v="0"/>
    <x v="1"/>
    <s v="Cash"/>
    <s v="Sunny"/>
  </r>
  <r>
    <s v="WSR-2026-0605"/>
    <d v="2026-05-24T00:00:00"/>
    <x v="4"/>
    <x v="4"/>
    <s v="Sunday"/>
    <x v="21"/>
    <d v="2026-05-31T00:00:00"/>
    <s v="Spring"/>
    <x v="1"/>
    <x v="7"/>
    <s v="1 Hour"/>
    <n v="1"/>
    <n v="15.12"/>
    <s v="Phone Pouch"/>
    <n v="5"/>
    <n v="0"/>
    <n v="20.12"/>
    <x v="1"/>
    <x v="0"/>
    <s v="Credit Card"/>
    <s v="Sunny"/>
  </r>
  <r>
    <s v="WSR-2026-0606"/>
    <d v="2026-05-24T00:00:00"/>
    <x v="4"/>
    <x v="4"/>
    <s v="Sunday"/>
    <x v="21"/>
    <d v="2026-05-31T00:00:00"/>
    <s v="Spring"/>
    <x v="2"/>
    <x v="2"/>
    <s v="1 Hour"/>
    <n v="1"/>
    <n v="36.72"/>
    <s v="Cooler Rental"/>
    <n v="10"/>
    <n v="2.34"/>
    <n v="44.38"/>
    <x v="6"/>
    <x v="3"/>
    <s v="Credit Card"/>
    <s v="Rainy"/>
  </r>
  <r>
    <s v="WSR-2026-0607"/>
    <d v="2026-05-24T00:00:00"/>
    <x v="4"/>
    <x v="4"/>
    <s v="Sunday"/>
    <x v="21"/>
    <d v="2026-05-31T00:00:00"/>
    <s v="Spring"/>
    <x v="0"/>
    <x v="1"/>
    <s v="Full Day"/>
    <n v="1"/>
    <n v="90.72"/>
    <s v="None"/>
    <n v="0"/>
    <n v="4.54"/>
    <n v="86.18"/>
    <x v="6"/>
    <x v="0"/>
    <s v="Debit Card"/>
    <s v="Sunny"/>
  </r>
  <r>
    <s v="WSR-2026-0608"/>
    <d v="2026-05-24T00:00:00"/>
    <x v="4"/>
    <x v="4"/>
    <s v="Sunday"/>
    <x v="21"/>
    <d v="2026-05-31T00:00:00"/>
    <s v="Spring"/>
    <x v="2"/>
    <x v="3"/>
    <s v="Half Day"/>
    <n v="1"/>
    <n v="58.32"/>
    <s v="Premium Life Jacket"/>
    <n v="7"/>
    <n v="0"/>
    <n v="65.319999999999993"/>
    <x v="2"/>
    <x v="2"/>
    <s v="Debit Card"/>
    <s v="Cloudy"/>
  </r>
  <r>
    <s v="WSR-2026-0609"/>
    <d v="2026-05-25T00:00:00"/>
    <x v="4"/>
    <x v="4"/>
    <s v="Monday"/>
    <x v="21"/>
    <d v="2026-05-31T00:00:00"/>
    <s v="Spring"/>
    <x v="3"/>
    <x v="1"/>
    <s v="1 Hour"/>
    <n v="1"/>
    <n v="27.6"/>
    <s v="Cooler Rental"/>
    <n v="10"/>
    <n v="0"/>
    <n v="37.6"/>
    <x v="4"/>
    <x v="3"/>
    <s v="Credit Card"/>
    <s v="Sunny"/>
  </r>
  <r>
    <s v="WSR-2026-0610"/>
    <d v="2026-05-25T00:00:00"/>
    <x v="4"/>
    <x v="4"/>
    <s v="Monday"/>
    <x v="21"/>
    <d v="2026-05-31T00:00:00"/>
    <s v="Spring"/>
    <x v="3"/>
    <x v="1"/>
    <s v="2 Hours"/>
    <n v="1"/>
    <n v="43.7"/>
    <s v="None"/>
    <n v="0"/>
    <n v="0"/>
    <n v="43.7"/>
    <x v="6"/>
    <x v="4"/>
    <s v="Credit Card"/>
    <s v="Rainy"/>
  </r>
  <r>
    <s v="WSR-2026-0611"/>
    <d v="2026-05-25T00:00:00"/>
    <x v="4"/>
    <x v="4"/>
    <s v="Monday"/>
    <x v="21"/>
    <d v="2026-05-31T00:00:00"/>
    <s v="Spring"/>
    <x v="3"/>
    <x v="7"/>
    <s v="Full Day"/>
    <n v="1"/>
    <n v="55.2"/>
    <s v="None"/>
    <n v="0"/>
    <n v="0"/>
    <n v="55.2"/>
    <x v="3"/>
    <x v="2"/>
    <s v="Cash"/>
    <s v="Cloudy"/>
  </r>
  <r>
    <s v="WSR-2026-0612"/>
    <d v="2026-05-25T00:00:00"/>
    <x v="4"/>
    <x v="4"/>
    <s v="Monday"/>
    <x v="21"/>
    <d v="2026-05-31T00:00:00"/>
    <s v="Spring"/>
    <x v="3"/>
    <x v="7"/>
    <s v="2 Hours"/>
    <n v="1"/>
    <n v="25.3"/>
    <s v="Cooler Rental"/>
    <n v="10"/>
    <n v="0"/>
    <n v="35.299999999999997"/>
    <x v="7"/>
    <x v="4"/>
    <s v="Credit Card"/>
    <s v="Cloudy"/>
  </r>
  <r>
    <s v="WSR-2026-0613"/>
    <d v="2026-05-25T00:00:00"/>
    <x v="4"/>
    <x v="4"/>
    <s v="Monday"/>
    <x v="21"/>
    <d v="2026-05-31T00:00:00"/>
    <s v="Spring"/>
    <x v="3"/>
    <x v="1"/>
    <s v="1 Hour"/>
    <n v="1"/>
    <n v="27.6"/>
    <s v="Dry Bag"/>
    <n v="6"/>
    <n v="0"/>
    <n v="33.6"/>
    <x v="8"/>
    <x v="0"/>
    <s v="Mobile Pay"/>
    <s v="Cloudy"/>
  </r>
  <r>
    <s v="WSR-2026-0614"/>
    <d v="2026-05-25T00:00:00"/>
    <x v="4"/>
    <x v="4"/>
    <s v="Monday"/>
    <x v="21"/>
    <d v="2026-05-31T00:00:00"/>
    <s v="Spring"/>
    <x v="3"/>
    <x v="1"/>
    <s v="Half Day"/>
    <n v="1"/>
    <n v="66.7"/>
    <s v="None"/>
    <n v="0"/>
    <n v="0"/>
    <n v="66.7"/>
    <x v="3"/>
    <x v="1"/>
    <s v="Cash"/>
    <s v="Sunny"/>
  </r>
  <r>
    <s v="WSR-2026-0615"/>
    <d v="2026-05-25T00:00:00"/>
    <x v="4"/>
    <x v="4"/>
    <s v="Monday"/>
    <x v="21"/>
    <d v="2026-05-31T00:00:00"/>
    <s v="Spring"/>
    <x v="2"/>
    <x v="3"/>
    <s v="Half Day"/>
    <n v="1"/>
    <n v="62.1"/>
    <s v="GoPro Mount"/>
    <n v="8"/>
    <n v="0"/>
    <n v="70.099999999999994"/>
    <x v="9"/>
    <x v="3"/>
    <s v="Mobile Pay"/>
    <s v="Cloudy"/>
  </r>
  <r>
    <s v="WSR-2026-0616"/>
    <d v="2026-05-25T00:00:00"/>
    <x v="4"/>
    <x v="4"/>
    <s v="Monday"/>
    <x v="21"/>
    <d v="2026-05-31T00:00:00"/>
    <s v="Spring"/>
    <x v="3"/>
    <x v="7"/>
    <s v="Full Day"/>
    <n v="1"/>
    <n v="55.2"/>
    <s v="Premium Life Jacket"/>
    <n v="7"/>
    <n v="0"/>
    <n v="62.2"/>
    <x v="9"/>
    <x v="3"/>
    <s v="Debit Card"/>
    <s v="Windy"/>
  </r>
  <r>
    <s v="WSR-2026-0617"/>
    <d v="2026-05-25T00:00:00"/>
    <x v="4"/>
    <x v="4"/>
    <s v="Monday"/>
    <x v="21"/>
    <d v="2026-05-31T00:00:00"/>
    <s v="Spring"/>
    <x v="3"/>
    <x v="5"/>
    <s v="2 Hours"/>
    <n v="1"/>
    <n v="48.3"/>
    <s v="Phone Pouch"/>
    <n v="5"/>
    <n v="0"/>
    <n v="53.3"/>
    <x v="8"/>
    <x v="2"/>
    <s v="Credit Card"/>
    <s v="Cloudy"/>
  </r>
  <r>
    <s v="WSR-2026-0618"/>
    <d v="2026-05-25T00:00:00"/>
    <x v="4"/>
    <x v="4"/>
    <s v="Monday"/>
    <x v="21"/>
    <d v="2026-05-31T00:00:00"/>
    <s v="Spring"/>
    <x v="4"/>
    <x v="1"/>
    <s v="Half Day"/>
    <n v="1"/>
    <n v="66.7"/>
    <s v="Phone Pouch"/>
    <n v="5"/>
    <n v="7.17"/>
    <n v="64.53"/>
    <x v="8"/>
    <x v="4"/>
    <s v="Debit Card"/>
    <s v="Sunny"/>
  </r>
  <r>
    <s v="WSR-2026-0619"/>
    <d v="2026-05-25T00:00:00"/>
    <x v="4"/>
    <x v="4"/>
    <s v="Monday"/>
    <x v="21"/>
    <d v="2026-05-31T00:00:00"/>
    <s v="Spring"/>
    <x v="2"/>
    <x v="8"/>
    <s v="Half Day"/>
    <n v="1"/>
    <n v="27.6"/>
    <s v="None"/>
    <n v="0"/>
    <n v="0"/>
    <n v="27.6"/>
    <x v="6"/>
    <x v="2"/>
    <s v="Credit Card"/>
    <s v="Windy"/>
  </r>
  <r>
    <s v="WSR-2026-0620"/>
    <d v="2026-05-25T00:00:00"/>
    <x v="4"/>
    <x v="4"/>
    <s v="Monday"/>
    <x v="21"/>
    <d v="2026-05-31T00:00:00"/>
    <s v="Spring"/>
    <x v="3"/>
    <x v="8"/>
    <s v="2 Hours"/>
    <n v="1"/>
    <n v="18.399999999999999"/>
    <s v="None"/>
    <n v="0"/>
    <n v="0"/>
    <n v="18.399999999999999"/>
    <x v="8"/>
    <x v="1"/>
    <s v="Credit Card"/>
    <s v="Sunny"/>
  </r>
  <r>
    <s v="WSR-2026-0621"/>
    <d v="2026-05-25T00:00:00"/>
    <x v="4"/>
    <x v="4"/>
    <s v="Monday"/>
    <x v="21"/>
    <d v="2026-05-31T00:00:00"/>
    <s v="Spring"/>
    <x v="2"/>
    <x v="4"/>
    <s v="2 Hours"/>
    <n v="1"/>
    <n v="20.7"/>
    <s v="Cooler Rental"/>
    <n v="10"/>
    <n v="0"/>
    <n v="30.7"/>
    <x v="9"/>
    <x v="3"/>
    <s v="Mobile Pay"/>
    <s v="Sunny"/>
  </r>
  <r>
    <s v="WSR-2026-0622"/>
    <d v="2026-05-25T00:00:00"/>
    <x v="4"/>
    <x v="4"/>
    <s v="Monday"/>
    <x v="21"/>
    <d v="2026-05-31T00:00:00"/>
    <s v="Spring"/>
    <x v="2"/>
    <x v="3"/>
    <s v="Half Day"/>
    <n v="1"/>
    <n v="62.1"/>
    <s v="Dry Bag"/>
    <n v="6"/>
    <n v="0"/>
    <n v="68.099999999999994"/>
    <x v="5"/>
    <x v="2"/>
    <s v="Mobile Pay"/>
    <s v="Cloudy"/>
  </r>
  <r>
    <s v="WSR-2026-0623"/>
    <d v="2026-05-26T00:00:00"/>
    <x v="4"/>
    <x v="4"/>
    <s v="Tuesday"/>
    <x v="21"/>
    <d v="2026-05-31T00:00:00"/>
    <s v="Spring"/>
    <x v="0"/>
    <x v="4"/>
    <s v="Half Day"/>
    <n v="1"/>
    <n v="28"/>
    <s v="None"/>
    <n v="0"/>
    <n v="0"/>
    <n v="28"/>
    <x v="6"/>
    <x v="3"/>
    <s v="Debit Card"/>
    <s v="Sunny"/>
  </r>
  <r>
    <s v="WSR-2026-0624"/>
    <d v="2026-05-26T00:00:00"/>
    <x v="4"/>
    <x v="4"/>
    <s v="Tuesday"/>
    <x v="21"/>
    <d v="2026-05-31T00:00:00"/>
    <s v="Spring"/>
    <x v="1"/>
    <x v="5"/>
    <s v="1 Hour"/>
    <n v="1"/>
    <n v="26"/>
    <s v="GoPro Mount"/>
    <n v="8"/>
    <n v="0"/>
    <n v="34"/>
    <x v="4"/>
    <x v="0"/>
    <s v="Mobile Pay"/>
    <s v="Sunny"/>
  </r>
  <r>
    <s v="WSR-2026-0625"/>
    <d v="2026-05-26T00:00:00"/>
    <x v="4"/>
    <x v="4"/>
    <s v="Tuesday"/>
    <x v="21"/>
    <d v="2026-05-31T00:00:00"/>
    <s v="Spring"/>
    <x v="3"/>
    <x v="8"/>
    <s v="2 Hours"/>
    <n v="1"/>
    <n v="16"/>
    <s v="None"/>
    <n v="0"/>
    <n v="0"/>
    <n v="16"/>
    <x v="6"/>
    <x v="2"/>
    <s v="Mobile Pay"/>
    <s v="Windy"/>
  </r>
  <r>
    <s v="WSR-2026-0626"/>
    <d v="2026-05-26T00:00:00"/>
    <x v="4"/>
    <x v="4"/>
    <s v="Tuesday"/>
    <x v="21"/>
    <d v="2026-05-31T00:00:00"/>
    <s v="Spring"/>
    <x v="2"/>
    <x v="6"/>
    <s v="1 Hour"/>
    <n v="1"/>
    <n v="36"/>
    <s v="None"/>
    <n v="0"/>
    <n v="1.8"/>
    <n v="34.200000000000003"/>
    <x v="8"/>
    <x v="4"/>
    <s v="Credit Card"/>
    <s v="Sunny"/>
  </r>
  <r>
    <s v="WSR-2026-0627"/>
    <d v="2026-05-26T00:00:00"/>
    <x v="4"/>
    <x v="4"/>
    <s v="Tuesday"/>
    <x v="21"/>
    <d v="2026-05-31T00:00:00"/>
    <s v="Spring"/>
    <x v="0"/>
    <x v="8"/>
    <s v="2 Hours"/>
    <n v="1"/>
    <n v="16"/>
    <s v="None"/>
    <n v="0"/>
    <n v="0"/>
    <n v="16"/>
    <x v="1"/>
    <x v="4"/>
    <s v="Credit Card"/>
    <s v="Sunny"/>
  </r>
  <r>
    <s v="WSR-2026-0628"/>
    <d v="2026-05-27T00:00:00"/>
    <x v="4"/>
    <x v="4"/>
    <s v="Wednesday"/>
    <x v="21"/>
    <d v="2026-05-31T00:00:00"/>
    <s v="Spring"/>
    <x v="3"/>
    <x v="5"/>
    <s v="1 Hour"/>
    <n v="1"/>
    <n v="26"/>
    <s v="None"/>
    <n v="0"/>
    <n v="0"/>
    <n v="26"/>
    <x v="9"/>
    <x v="1"/>
    <s v="Credit Card"/>
    <s v="Sunny"/>
  </r>
  <r>
    <s v="WSR-2026-0629"/>
    <d v="2026-05-27T00:00:00"/>
    <x v="4"/>
    <x v="4"/>
    <s v="Wednesday"/>
    <x v="21"/>
    <d v="2026-05-31T00:00:00"/>
    <s v="Spring"/>
    <x v="3"/>
    <x v="1"/>
    <s v="2 Hours"/>
    <n v="1"/>
    <n v="38"/>
    <s v="None"/>
    <n v="0"/>
    <n v="0"/>
    <n v="38"/>
    <x v="4"/>
    <x v="0"/>
    <s v="Credit Card"/>
    <s v="Sunny"/>
  </r>
  <r>
    <s v="WSR-2026-0630"/>
    <d v="2026-05-27T00:00:00"/>
    <x v="4"/>
    <x v="4"/>
    <s v="Wednesday"/>
    <x v="21"/>
    <d v="2026-05-31T00:00:00"/>
    <s v="Spring"/>
    <x v="3"/>
    <x v="2"/>
    <s v="2 Hours"/>
    <n v="1"/>
    <n v="52"/>
    <s v="GoPro Mount"/>
    <n v="8"/>
    <n v="0"/>
    <n v="60"/>
    <x v="2"/>
    <x v="4"/>
    <s v="Credit Card"/>
    <s v="Sunny"/>
  </r>
  <r>
    <s v="WSR-2026-0631"/>
    <d v="2026-05-27T00:00:00"/>
    <x v="4"/>
    <x v="4"/>
    <s v="Wednesday"/>
    <x v="21"/>
    <d v="2026-05-31T00:00:00"/>
    <s v="Spring"/>
    <x v="1"/>
    <x v="5"/>
    <s v="2 Hours"/>
    <n v="1"/>
    <n v="42"/>
    <s v="None"/>
    <n v="0"/>
    <n v="0"/>
    <n v="42"/>
    <x v="3"/>
    <x v="2"/>
    <s v="Credit Card"/>
    <s v="Cloudy"/>
  </r>
  <r>
    <s v="WSR-2026-0632"/>
    <d v="2026-05-28T00:00:00"/>
    <x v="4"/>
    <x v="4"/>
    <s v="Thursday"/>
    <x v="21"/>
    <d v="2026-05-31T00:00:00"/>
    <s v="Spring"/>
    <x v="3"/>
    <x v="0"/>
    <s v="1 Hour"/>
    <n v="1"/>
    <n v="32"/>
    <s v="None"/>
    <n v="0"/>
    <n v="0"/>
    <n v="32"/>
    <x v="3"/>
    <x v="4"/>
    <s v="Debit Card"/>
    <s v="Sunny"/>
  </r>
  <r>
    <s v="WSR-2026-0633"/>
    <d v="2026-05-28T00:00:00"/>
    <x v="4"/>
    <x v="4"/>
    <s v="Thursday"/>
    <x v="21"/>
    <d v="2026-05-31T00:00:00"/>
    <s v="Spring"/>
    <x v="0"/>
    <x v="4"/>
    <s v="1 Hour"/>
    <n v="1"/>
    <n v="12"/>
    <s v="GoPro Mount"/>
    <n v="8"/>
    <n v="0"/>
    <n v="20"/>
    <x v="8"/>
    <x v="4"/>
    <s v="Credit Card"/>
    <s v="Rainy"/>
  </r>
  <r>
    <s v="WSR-2026-0634"/>
    <d v="2026-05-28T00:00:00"/>
    <x v="4"/>
    <x v="4"/>
    <s v="Thursday"/>
    <x v="21"/>
    <d v="2026-05-31T00:00:00"/>
    <s v="Spring"/>
    <x v="3"/>
    <x v="9"/>
    <s v="1 Hour"/>
    <n v="1"/>
    <n v="30"/>
    <s v="None"/>
    <n v="0"/>
    <n v="0"/>
    <n v="30"/>
    <x v="5"/>
    <x v="0"/>
    <s v="Credit Card"/>
    <s v="Cloudy"/>
  </r>
  <r>
    <s v="WSR-2026-0635"/>
    <d v="2026-05-28T00:00:00"/>
    <x v="4"/>
    <x v="4"/>
    <s v="Thursday"/>
    <x v="21"/>
    <d v="2026-05-31T00:00:00"/>
    <s v="Spring"/>
    <x v="3"/>
    <x v="1"/>
    <s v="2 Hours"/>
    <n v="1"/>
    <n v="38"/>
    <s v="None"/>
    <n v="0"/>
    <n v="0"/>
    <n v="38"/>
    <x v="1"/>
    <x v="3"/>
    <s v="Credit Card"/>
    <s v="Sunny"/>
  </r>
  <r>
    <s v="WSR-2026-0636"/>
    <d v="2026-05-28T00:00:00"/>
    <x v="4"/>
    <x v="4"/>
    <s v="Thursday"/>
    <x v="21"/>
    <d v="2026-05-31T00:00:00"/>
    <s v="Spring"/>
    <x v="0"/>
    <x v="1"/>
    <s v="1 Hour"/>
    <n v="1"/>
    <n v="24"/>
    <s v="Phone Pouch"/>
    <n v="5"/>
    <n v="0"/>
    <n v="29"/>
    <x v="2"/>
    <x v="1"/>
    <s v="Debit Card"/>
    <s v="Sunny"/>
  </r>
  <r>
    <s v="WSR-2026-0637"/>
    <d v="2026-05-28T00:00:00"/>
    <x v="4"/>
    <x v="4"/>
    <s v="Thursday"/>
    <x v="21"/>
    <d v="2026-05-31T00:00:00"/>
    <s v="Spring"/>
    <x v="2"/>
    <x v="2"/>
    <s v="Full Day"/>
    <n v="1"/>
    <n v="112"/>
    <s v="Phone Pouch"/>
    <n v="5"/>
    <n v="0"/>
    <n v="117"/>
    <x v="4"/>
    <x v="1"/>
    <s v="Credit Card"/>
    <s v="Sunny"/>
  </r>
  <r>
    <s v="WSR-2026-0638"/>
    <d v="2026-05-28T00:00:00"/>
    <x v="4"/>
    <x v="4"/>
    <s v="Thursday"/>
    <x v="21"/>
    <d v="2026-05-31T00:00:00"/>
    <s v="Spring"/>
    <x v="3"/>
    <x v="1"/>
    <s v="1 Hour"/>
    <n v="1"/>
    <n v="24"/>
    <s v="Cooler Rental"/>
    <n v="10"/>
    <n v="0"/>
    <n v="34"/>
    <x v="2"/>
    <x v="2"/>
    <s v="Credit Card"/>
    <s v="Sunny"/>
  </r>
  <r>
    <s v="WSR-2026-0639"/>
    <d v="2026-05-28T00:00:00"/>
    <x v="4"/>
    <x v="4"/>
    <s v="Thursday"/>
    <x v="21"/>
    <d v="2026-05-31T00:00:00"/>
    <s v="Spring"/>
    <x v="3"/>
    <x v="1"/>
    <s v="2 Hours"/>
    <n v="1"/>
    <n v="38"/>
    <s v="None"/>
    <n v="0"/>
    <n v="0"/>
    <n v="38"/>
    <x v="6"/>
    <x v="4"/>
    <s v="Credit Card"/>
    <s v="Windy"/>
  </r>
  <r>
    <s v="WSR-2026-0640"/>
    <d v="2026-05-28T00:00:00"/>
    <x v="4"/>
    <x v="4"/>
    <s v="Thursday"/>
    <x v="21"/>
    <d v="2026-05-31T00:00:00"/>
    <s v="Spring"/>
    <x v="2"/>
    <x v="2"/>
    <s v="1 Hour"/>
    <n v="1"/>
    <n v="34"/>
    <s v="None"/>
    <n v="0"/>
    <n v="0"/>
    <n v="34"/>
    <x v="3"/>
    <x v="3"/>
    <s v="Credit Card"/>
    <s v="Sunny"/>
  </r>
  <r>
    <s v="WSR-2026-0641"/>
    <d v="2026-05-28T00:00:00"/>
    <x v="4"/>
    <x v="4"/>
    <s v="Thursday"/>
    <x v="21"/>
    <d v="2026-05-31T00:00:00"/>
    <s v="Spring"/>
    <x v="3"/>
    <x v="8"/>
    <s v="2 Hours"/>
    <n v="1"/>
    <n v="16"/>
    <s v="None"/>
    <n v="0"/>
    <n v="0.8"/>
    <n v="15.2"/>
    <x v="1"/>
    <x v="2"/>
    <s v="Credit Card"/>
    <s v="Cloudy"/>
  </r>
  <r>
    <s v="WSR-2026-0642"/>
    <d v="2026-05-28T00:00:00"/>
    <x v="4"/>
    <x v="4"/>
    <s v="Thursday"/>
    <x v="21"/>
    <d v="2026-05-31T00:00:00"/>
    <s v="Spring"/>
    <x v="2"/>
    <x v="5"/>
    <s v="Half Day"/>
    <n v="1"/>
    <n v="62"/>
    <s v="None"/>
    <n v="0"/>
    <n v="0"/>
    <n v="62"/>
    <x v="4"/>
    <x v="4"/>
    <s v="Credit Card"/>
    <s v="Sunny"/>
  </r>
  <r>
    <s v="WSR-2026-0643"/>
    <d v="2026-05-29T00:00:00"/>
    <x v="4"/>
    <x v="4"/>
    <s v="Friday"/>
    <x v="21"/>
    <d v="2026-05-31T00:00:00"/>
    <s v="Spring"/>
    <x v="3"/>
    <x v="7"/>
    <s v="2 Hours"/>
    <n v="1"/>
    <n v="22"/>
    <s v="Premium Life Jacket"/>
    <n v="7"/>
    <n v="0"/>
    <n v="29"/>
    <x v="0"/>
    <x v="2"/>
    <s v="Debit Card"/>
    <s v="Windy"/>
  </r>
  <r>
    <s v="WSR-2026-0644"/>
    <d v="2026-05-29T00:00:00"/>
    <x v="4"/>
    <x v="4"/>
    <s v="Friday"/>
    <x v="21"/>
    <d v="2026-05-31T00:00:00"/>
    <s v="Spring"/>
    <x v="3"/>
    <x v="1"/>
    <s v="2 Hours"/>
    <n v="1"/>
    <n v="38"/>
    <s v="Phone Pouch"/>
    <n v="5"/>
    <n v="0"/>
    <n v="43"/>
    <x v="4"/>
    <x v="2"/>
    <s v="Credit Card"/>
    <s v="Sunny"/>
  </r>
  <r>
    <s v="WSR-2026-0645"/>
    <d v="2026-05-29T00:00:00"/>
    <x v="4"/>
    <x v="4"/>
    <s v="Friday"/>
    <x v="21"/>
    <d v="2026-05-31T00:00:00"/>
    <s v="Spring"/>
    <x v="1"/>
    <x v="3"/>
    <s v="1 Hour"/>
    <n v="1"/>
    <n v="22"/>
    <s v="Cooler Rental"/>
    <n v="10"/>
    <n v="3.2"/>
    <n v="28.8"/>
    <x v="6"/>
    <x v="0"/>
    <s v="Credit Card"/>
    <s v="Cloudy"/>
  </r>
  <r>
    <s v="WSR-2026-0646"/>
    <d v="2026-05-29T00:00:00"/>
    <x v="4"/>
    <x v="4"/>
    <s v="Friday"/>
    <x v="21"/>
    <d v="2026-05-31T00:00:00"/>
    <s v="Spring"/>
    <x v="2"/>
    <x v="0"/>
    <s v="1 Hour"/>
    <n v="1"/>
    <n v="32"/>
    <s v="Waterproof Speaker"/>
    <n v="12"/>
    <n v="0"/>
    <n v="44"/>
    <x v="5"/>
    <x v="3"/>
    <s v="Credit Card"/>
    <s v="Rainy"/>
  </r>
  <r>
    <s v="WSR-2026-0647"/>
    <d v="2026-05-29T00:00:00"/>
    <x v="4"/>
    <x v="4"/>
    <s v="Friday"/>
    <x v="21"/>
    <d v="2026-05-31T00:00:00"/>
    <s v="Spring"/>
    <x v="3"/>
    <x v="2"/>
    <s v="Full Day"/>
    <n v="1"/>
    <n v="112"/>
    <s v="Premium Life Jacket"/>
    <n v="7"/>
    <n v="0"/>
    <n v="119"/>
    <x v="7"/>
    <x v="4"/>
    <s v="Debit Card"/>
    <s v="Windy"/>
  </r>
  <r>
    <s v="WSR-2026-0648"/>
    <d v="2026-05-29T00:00:00"/>
    <x v="4"/>
    <x v="4"/>
    <s v="Friday"/>
    <x v="21"/>
    <d v="2026-05-31T00:00:00"/>
    <s v="Spring"/>
    <x v="0"/>
    <x v="8"/>
    <s v="1 Hour"/>
    <n v="1"/>
    <n v="10"/>
    <s v="None"/>
    <n v="0"/>
    <n v="0"/>
    <n v="10"/>
    <x v="9"/>
    <x v="0"/>
    <s v="Credit Card"/>
    <s v="Sunny"/>
  </r>
  <r>
    <s v="WSR-2026-0649"/>
    <d v="2026-05-29T00:00:00"/>
    <x v="4"/>
    <x v="4"/>
    <s v="Friday"/>
    <x v="21"/>
    <d v="2026-05-31T00:00:00"/>
    <s v="Spring"/>
    <x v="3"/>
    <x v="3"/>
    <s v="2 Hours"/>
    <n v="1"/>
    <n v="36"/>
    <s v="Waterproof Speaker"/>
    <n v="12"/>
    <n v="0"/>
    <n v="48"/>
    <x v="2"/>
    <x v="3"/>
    <s v="Credit Card"/>
    <s v="Windy"/>
  </r>
  <r>
    <s v="WSR-2026-0650"/>
    <d v="2026-05-29T00:00:00"/>
    <x v="4"/>
    <x v="4"/>
    <s v="Friday"/>
    <x v="21"/>
    <d v="2026-05-31T00:00:00"/>
    <s v="Spring"/>
    <x v="3"/>
    <x v="2"/>
    <s v="1 Hour"/>
    <n v="1"/>
    <n v="34"/>
    <s v="None"/>
    <n v="0"/>
    <n v="0"/>
    <n v="34"/>
    <x v="3"/>
    <x v="2"/>
    <s v="Mobile Pay"/>
    <s v="Sunny"/>
  </r>
  <r>
    <s v="WSR-2026-0651"/>
    <d v="2026-05-29T00:00:00"/>
    <x v="4"/>
    <x v="4"/>
    <s v="Friday"/>
    <x v="21"/>
    <d v="2026-05-31T00:00:00"/>
    <s v="Spring"/>
    <x v="3"/>
    <x v="1"/>
    <s v="Half Day"/>
    <n v="1"/>
    <n v="58"/>
    <s v="Premium Life Jacket"/>
    <n v="7"/>
    <n v="0"/>
    <n v="65"/>
    <x v="4"/>
    <x v="1"/>
    <s v="Credit Card"/>
    <s v="Sunny"/>
  </r>
  <r>
    <s v="WSR-2026-0652"/>
    <d v="2026-05-29T00:00:00"/>
    <x v="4"/>
    <x v="4"/>
    <s v="Friday"/>
    <x v="21"/>
    <d v="2026-05-31T00:00:00"/>
    <s v="Spring"/>
    <x v="3"/>
    <x v="7"/>
    <s v="2 Hours"/>
    <n v="1"/>
    <n v="22"/>
    <s v="Phone Pouch"/>
    <n v="5"/>
    <n v="0"/>
    <n v="27"/>
    <x v="8"/>
    <x v="4"/>
    <s v="Mobile Pay"/>
    <s v="Sunny"/>
  </r>
  <r>
    <s v="WSR-2026-0653"/>
    <d v="2026-05-30T00:00:00"/>
    <x v="4"/>
    <x v="4"/>
    <s v="Saturday"/>
    <x v="21"/>
    <d v="2026-05-31T00:00:00"/>
    <s v="Spring"/>
    <x v="3"/>
    <x v="8"/>
    <s v="2 Hours"/>
    <n v="1"/>
    <n v="17.28"/>
    <s v="None"/>
    <n v="0"/>
    <n v="0"/>
    <n v="17.28"/>
    <x v="3"/>
    <x v="0"/>
    <s v="Gift Card"/>
    <s v="Sunny"/>
  </r>
  <r>
    <s v="WSR-2026-0654"/>
    <d v="2026-05-30T00:00:00"/>
    <x v="4"/>
    <x v="4"/>
    <s v="Saturday"/>
    <x v="21"/>
    <d v="2026-05-31T00:00:00"/>
    <s v="Spring"/>
    <x v="0"/>
    <x v="8"/>
    <s v="Half Day"/>
    <n v="1"/>
    <n v="25.92"/>
    <s v="None"/>
    <n v="0"/>
    <n v="0"/>
    <n v="25.92"/>
    <x v="9"/>
    <x v="0"/>
    <s v="Mobile Pay"/>
    <s v="Cloudy"/>
  </r>
  <r>
    <s v="WSR-2026-0655"/>
    <d v="2026-05-30T00:00:00"/>
    <x v="4"/>
    <x v="4"/>
    <s v="Saturday"/>
    <x v="21"/>
    <d v="2026-05-31T00:00:00"/>
    <s v="Spring"/>
    <x v="3"/>
    <x v="3"/>
    <s v="Half Day"/>
    <n v="1"/>
    <n v="58.32"/>
    <s v="None"/>
    <n v="0"/>
    <n v="0"/>
    <n v="58.32"/>
    <x v="7"/>
    <x v="4"/>
    <s v="Credit Card"/>
    <s v="Sunny"/>
  </r>
  <r>
    <s v="WSR-2026-0656"/>
    <d v="2026-05-30T00:00:00"/>
    <x v="4"/>
    <x v="4"/>
    <s v="Saturday"/>
    <x v="21"/>
    <d v="2026-05-31T00:00:00"/>
    <s v="Spring"/>
    <x v="1"/>
    <x v="4"/>
    <s v="2 Hours"/>
    <n v="1"/>
    <n v="19.440000000000001"/>
    <s v="None"/>
    <n v="0"/>
    <n v="0"/>
    <n v="19.440000000000001"/>
    <x v="2"/>
    <x v="2"/>
    <s v="Credit Card"/>
    <s v="Sunny"/>
  </r>
  <r>
    <s v="WSR-2026-0657"/>
    <d v="2026-05-30T00:00:00"/>
    <x v="4"/>
    <x v="4"/>
    <s v="Saturday"/>
    <x v="21"/>
    <d v="2026-05-31T00:00:00"/>
    <s v="Spring"/>
    <x v="3"/>
    <x v="4"/>
    <s v="2 Hours"/>
    <n v="1"/>
    <n v="19.440000000000001"/>
    <s v="None"/>
    <n v="0"/>
    <n v="0"/>
    <n v="19.440000000000001"/>
    <x v="9"/>
    <x v="3"/>
    <s v="Credit Card"/>
    <s v="Sunny"/>
  </r>
  <r>
    <s v="WSR-2026-0658"/>
    <d v="2026-05-30T00:00:00"/>
    <x v="4"/>
    <x v="4"/>
    <s v="Saturday"/>
    <x v="21"/>
    <d v="2026-05-31T00:00:00"/>
    <s v="Spring"/>
    <x v="0"/>
    <x v="5"/>
    <s v="2 Hours"/>
    <n v="1"/>
    <n v="45.36"/>
    <s v="None"/>
    <n v="0"/>
    <n v="0"/>
    <n v="45.36"/>
    <x v="4"/>
    <x v="1"/>
    <s v="Debit Card"/>
    <s v="Sunny"/>
  </r>
  <r>
    <s v="WSR-2026-0659"/>
    <d v="2026-05-30T00:00:00"/>
    <x v="4"/>
    <x v="4"/>
    <s v="Saturday"/>
    <x v="21"/>
    <d v="2026-05-31T00:00:00"/>
    <s v="Spring"/>
    <x v="0"/>
    <x v="1"/>
    <s v="Half Day"/>
    <n v="1"/>
    <n v="62.64"/>
    <s v="Phone Pouch"/>
    <n v="5"/>
    <n v="3.38"/>
    <n v="64.260000000000005"/>
    <x v="3"/>
    <x v="1"/>
    <s v="Credit Card"/>
    <s v="Windy"/>
  </r>
  <r>
    <s v="WSR-2026-0660"/>
    <d v="2026-05-30T00:00:00"/>
    <x v="4"/>
    <x v="4"/>
    <s v="Saturday"/>
    <x v="21"/>
    <d v="2026-05-31T00:00:00"/>
    <s v="Spring"/>
    <x v="3"/>
    <x v="3"/>
    <s v="Half Day"/>
    <n v="1"/>
    <n v="58.32"/>
    <s v="GoPro Mount"/>
    <n v="8"/>
    <n v="0"/>
    <n v="66.319999999999993"/>
    <x v="0"/>
    <x v="1"/>
    <s v="Credit Card"/>
    <s v="Sunny"/>
  </r>
  <r>
    <s v="WSR-2026-0661"/>
    <d v="2026-05-31T00:00:00"/>
    <x v="4"/>
    <x v="4"/>
    <s v="Sunday"/>
    <x v="22"/>
    <d v="2026-05-31T00:00:00"/>
    <s v="Spring"/>
    <x v="3"/>
    <x v="3"/>
    <s v="2 Hours"/>
    <n v="1"/>
    <n v="38.880000000000003"/>
    <s v="None"/>
    <n v="0"/>
    <n v="0"/>
    <n v="38.880000000000003"/>
    <x v="5"/>
    <x v="0"/>
    <s v="Debit Card"/>
    <s v="Sunny"/>
  </r>
  <r>
    <s v="WSR-2026-0662"/>
    <d v="2026-05-31T00:00:00"/>
    <x v="4"/>
    <x v="4"/>
    <s v="Sunday"/>
    <x v="22"/>
    <d v="2026-05-31T00:00:00"/>
    <s v="Spring"/>
    <x v="3"/>
    <x v="6"/>
    <s v="1 Hour"/>
    <n v="1"/>
    <n v="38.880000000000003"/>
    <s v="Dry Bag"/>
    <n v="6"/>
    <n v="0"/>
    <n v="44.88"/>
    <x v="4"/>
    <x v="2"/>
    <s v="Credit Card"/>
    <s v="Sunny"/>
  </r>
  <r>
    <s v="WSR-2026-0663"/>
    <d v="2026-05-31T00:00:00"/>
    <x v="4"/>
    <x v="4"/>
    <s v="Sunday"/>
    <x v="22"/>
    <d v="2026-05-31T00:00:00"/>
    <s v="Spring"/>
    <x v="3"/>
    <x v="1"/>
    <s v="2 Hours"/>
    <n v="1"/>
    <n v="41.04"/>
    <s v="Cooler Rental"/>
    <n v="10"/>
    <n v="0"/>
    <n v="51.04"/>
    <x v="0"/>
    <x v="1"/>
    <s v="Debit Card"/>
    <s v="Rainy"/>
  </r>
  <r>
    <s v="WSR-2026-0664"/>
    <d v="2026-05-31T00:00:00"/>
    <x v="4"/>
    <x v="4"/>
    <s v="Sunday"/>
    <x v="22"/>
    <d v="2026-05-31T00:00:00"/>
    <s v="Spring"/>
    <x v="3"/>
    <x v="2"/>
    <s v="Full Day"/>
    <n v="1"/>
    <n v="120.96"/>
    <s v="None"/>
    <n v="0"/>
    <n v="0"/>
    <n v="120.96"/>
    <x v="9"/>
    <x v="1"/>
    <s v="Mobile Pay"/>
    <s v="Cloudy"/>
  </r>
  <r>
    <s v="WSR-2026-0665"/>
    <d v="2026-05-31T00:00:00"/>
    <x v="4"/>
    <x v="4"/>
    <s v="Sunday"/>
    <x v="22"/>
    <d v="2026-05-31T00:00:00"/>
    <s v="Spring"/>
    <x v="2"/>
    <x v="2"/>
    <s v="2 Hours"/>
    <n v="1"/>
    <n v="56.16"/>
    <s v="Phone Pouch"/>
    <n v="5"/>
    <n v="0"/>
    <n v="61.16"/>
    <x v="8"/>
    <x v="0"/>
    <s v="Debit Card"/>
    <s v="Sunny"/>
  </r>
  <r>
    <s v="WSR-2026-0666"/>
    <d v="2026-05-31T00:00:00"/>
    <x v="4"/>
    <x v="4"/>
    <s v="Sunday"/>
    <x v="22"/>
    <d v="2026-05-31T00:00:00"/>
    <s v="Spring"/>
    <x v="2"/>
    <x v="0"/>
    <s v="1 Hour"/>
    <n v="1"/>
    <n v="34.56"/>
    <s v="None"/>
    <n v="0"/>
    <n v="0"/>
    <n v="34.56"/>
    <x v="6"/>
    <x v="1"/>
    <s v="Cash"/>
    <s v="Windy"/>
  </r>
  <r>
    <s v="WSR-2026-0667"/>
    <d v="2026-05-31T00:00:00"/>
    <x v="4"/>
    <x v="4"/>
    <s v="Sunday"/>
    <x v="22"/>
    <d v="2026-05-31T00:00:00"/>
    <s v="Spring"/>
    <x v="3"/>
    <x v="8"/>
    <s v="Half Day"/>
    <n v="1"/>
    <n v="25.92"/>
    <s v="None"/>
    <n v="0"/>
    <n v="0"/>
    <n v="25.92"/>
    <x v="7"/>
    <x v="4"/>
    <s v="Cash"/>
    <s v="Sunny"/>
  </r>
  <r>
    <s v="WSR-2026-0668"/>
    <d v="2026-05-31T00:00:00"/>
    <x v="4"/>
    <x v="4"/>
    <s v="Sunday"/>
    <x v="22"/>
    <d v="2026-05-31T00:00:00"/>
    <s v="Spring"/>
    <x v="3"/>
    <x v="5"/>
    <s v="Half Day"/>
    <n v="1"/>
    <n v="66.959999999999994"/>
    <s v="None"/>
    <n v="0"/>
    <n v="0"/>
    <n v="66.959999999999994"/>
    <x v="7"/>
    <x v="0"/>
    <s v="Credit Card"/>
    <s v="Sunny"/>
  </r>
  <r>
    <s v="WSR-2026-0669"/>
    <d v="2026-06-01T00:00:00"/>
    <x v="5"/>
    <x v="5"/>
    <s v="Monday"/>
    <x v="22"/>
    <d v="2026-06-30T00:00:00"/>
    <s v="Summer"/>
    <x v="0"/>
    <x v="7"/>
    <s v="2 Hours"/>
    <n v="1"/>
    <n v="24.64"/>
    <s v="None"/>
    <n v="0"/>
    <n v="0"/>
    <n v="24.64"/>
    <x v="8"/>
    <x v="2"/>
    <s v="Credit Card"/>
    <s v="Sunny"/>
  </r>
  <r>
    <s v="WSR-2026-0670"/>
    <d v="2026-06-01T00:00:00"/>
    <x v="5"/>
    <x v="5"/>
    <s v="Monday"/>
    <x v="22"/>
    <d v="2026-06-30T00:00:00"/>
    <s v="Summer"/>
    <x v="2"/>
    <x v="3"/>
    <s v="2 Hours"/>
    <n v="1"/>
    <n v="40.32"/>
    <s v="None"/>
    <n v="0"/>
    <n v="0"/>
    <n v="40.32"/>
    <x v="8"/>
    <x v="3"/>
    <s v="Debit Card"/>
    <s v="Sunny"/>
  </r>
  <r>
    <s v="WSR-2026-0671"/>
    <d v="2026-06-01T00:00:00"/>
    <x v="5"/>
    <x v="5"/>
    <s v="Monday"/>
    <x v="22"/>
    <d v="2026-06-30T00:00:00"/>
    <s v="Summer"/>
    <x v="3"/>
    <x v="4"/>
    <s v="Half Day"/>
    <n v="1"/>
    <n v="31.36"/>
    <s v="None"/>
    <n v="0"/>
    <n v="0"/>
    <n v="31.36"/>
    <x v="5"/>
    <x v="3"/>
    <s v="Debit Card"/>
    <s v="Sunny"/>
  </r>
  <r>
    <s v="WSR-2026-0672"/>
    <d v="2026-06-01T00:00:00"/>
    <x v="5"/>
    <x v="5"/>
    <s v="Monday"/>
    <x v="22"/>
    <d v="2026-06-30T00:00:00"/>
    <s v="Summer"/>
    <x v="2"/>
    <x v="1"/>
    <s v="Full Day"/>
    <n v="1"/>
    <n v="94.08"/>
    <s v="Cooler Rental"/>
    <n v="10"/>
    <n v="0"/>
    <n v="104.08"/>
    <x v="4"/>
    <x v="4"/>
    <s v="Credit Card"/>
    <s v="Cloudy"/>
  </r>
  <r>
    <s v="WSR-2026-0673"/>
    <d v="2026-06-01T00:00:00"/>
    <x v="5"/>
    <x v="5"/>
    <s v="Monday"/>
    <x v="22"/>
    <d v="2026-06-30T00:00:00"/>
    <s v="Summer"/>
    <x v="3"/>
    <x v="8"/>
    <s v="Full Day"/>
    <n v="1"/>
    <n v="38.08"/>
    <s v="Cooler Rental"/>
    <n v="10"/>
    <n v="2.4"/>
    <n v="45.68"/>
    <x v="4"/>
    <x v="2"/>
    <s v="Credit Card"/>
    <s v="Sunny"/>
  </r>
  <r>
    <s v="WSR-2026-0674"/>
    <d v="2026-06-01T00:00:00"/>
    <x v="5"/>
    <x v="5"/>
    <s v="Monday"/>
    <x v="22"/>
    <d v="2026-06-30T00:00:00"/>
    <s v="Summer"/>
    <x v="0"/>
    <x v="8"/>
    <s v="2 Hours"/>
    <n v="1"/>
    <n v="17.920000000000002"/>
    <s v="Phone Pouch"/>
    <n v="5"/>
    <n v="0"/>
    <n v="22.92"/>
    <x v="0"/>
    <x v="2"/>
    <s v="Credit Card"/>
    <s v="Sunny"/>
  </r>
  <r>
    <s v="WSR-2026-0675"/>
    <d v="2026-06-01T00:00:00"/>
    <x v="5"/>
    <x v="5"/>
    <s v="Monday"/>
    <x v="22"/>
    <d v="2026-06-30T00:00:00"/>
    <s v="Summer"/>
    <x v="2"/>
    <x v="1"/>
    <s v="1 Hour"/>
    <n v="1"/>
    <n v="26.88"/>
    <s v="GoPro Mount"/>
    <n v="8"/>
    <n v="0"/>
    <n v="34.880000000000003"/>
    <x v="4"/>
    <x v="2"/>
    <s v="Cash"/>
    <s v="Sunny"/>
  </r>
  <r>
    <s v="WSR-2026-0676"/>
    <d v="2026-06-01T00:00:00"/>
    <x v="5"/>
    <x v="5"/>
    <s v="Monday"/>
    <x v="22"/>
    <d v="2026-06-30T00:00:00"/>
    <s v="Summer"/>
    <x v="3"/>
    <x v="2"/>
    <s v="2 Hours"/>
    <n v="1"/>
    <n v="58.24"/>
    <s v="GoPro Mount"/>
    <n v="8"/>
    <n v="0"/>
    <n v="66.239999999999995"/>
    <x v="3"/>
    <x v="2"/>
    <s v="Credit Card"/>
    <s v="Sunny"/>
  </r>
  <r>
    <s v="WSR-2026-0677"/>
    <d v="2026-06-01T00:00:00"/>
    <x v="5"/>
    <x v="5"/>
    <s v="Monday"/>
    <x v="22"/>
    <d v="2026-06-30T00:00:00"/>
    <s v="Summer"/>
    <x v="3"/>
    <x v="3"/>
    <s v="1 Hour"/>
    <n v="1"/>
    <n v="24.64"/>
    <s v="None"/>
    <n v="0"/>
    <n v="0"/>
    <n v="24.64"/>
    <x v="6"/>
    <x v="4"/>
    <s v="Debit Card"/>
    <s v="Cloudy"/>
  </r>
  <r>
    <s v="WSR-2026-0678"/>
    <d v="2026-06-01T00:00:00"/>
    <x v="5"/>
    <x v="5"/>
    <s v="Monday"/>
    <x v="22"/>
    <d v="2026-06-30T00:00:00"/>
    <s v="Summer"/>
    <x v="0"/>
    <x v="0"/>
    <s v="2 Hours"/>
    <n v="1"/>
    <n v="56"/>
    <s v="None"/>
    <n v="0"/>
    <n v="0"/>
    <n v="56"/>
    <x v="6"/>
    <x v="3"/>
    <s v="Credit Card"/>
    <s v="Windy"/>
  </r>
  <r>
    <s v="WSR-2026-0679"/>
    <d v="2026-06-01T00:00:00"/>
    <x v="5"/>
    <x v="5"/>
    <s v="Monday"/>
    <x v="22"/>
    <d v="2026-06-30T00:00:00"/>
    <s v="Summer"/>
    <x v="3"/>
    <x v="4"/>
    <s v="2 Hours"/>
    <n v="1"/>
    <n v="20.16"/>
    <s v="None"/>
    <n v="0"/>
    <n v="0"/>
    <n v="20.16"/>
    <x v="6"/>
    <x v="3"/>
    <s v="Mobile Pay"/>
    <s v="Cloudy"/>
  </r>
  <r>
    <s v="WSR-2026-0680"/>
    <d v="2026-06-02T00:00:00"/>
    <x v="5"/>
    <x v="5"/>
    <s v="Tuesday"/>
    <x v="22"/>
    <d v="2026-06-30T00:00:00"/>
    <s v="Summer"/>
    <x v="2"/>
    <x v="5"/>
    <s v="1 Hour"/>
    <n v="1"/>
    <n v="29.12"/>
    <s v="Cooler Rental"/>
    <n v="10"/>
    <n v="0"/>
    <n v="39.119999999999997"/>
    <x v="7"/>
    <x v="4"/>
    <s v="Credit Card"/>
    <s v="Sunny"/>
  </r>
  <r>
    <s v="WSR-2026-0681"/>
    <d v="2026-06-02T00:00:00"/>
    <x v="5"/>
    <x v="5"/>
    <s v="Tuesday"/>
    <x v="22"/>
    <d v="2026-06-30T00:00:00"/>
    <s v="Summer"/>
    <x v="0"/>
    <x v="1"/>
    <s v="2 Hours"/>
    <n v="1"/>
    <n v="42.56"/>
    <s v="None"/>
    <n v="0"/>
    <n v="0"/>
    <n v="42.56"/>
    <x v="1"/>
    <x v="1"/>
    <s v="Credit Card"/>
    <s v="Sunny"/>
  </r>
  <r>
    <s v="WSR-2026-0682"/>
    <d v="2026-06-02T00:00:00"/>
    <x v="5"/>
    <x v="5"/>
    <s v="Tuesday"/>
    <x v="22"/>
    <d v="2026-06-30T00:00:00"/>
    <s v="Summer"/>
    <x v="3"/>
    <x v="0"/>
    <s v="1 Hour"/>
    <n v="1"/>
    <n v="35.840000000000003"/>
    <s v="Waterproof Speaker"/>
    <n v="12"/>
    <n v="0"/>
    <n v="47.84"/>
    <x v="5"/>
    <x v="3"/>
    <s v="Debit Card"/>
    <s v="Sunny"/>
  </r>
  <r>
    <s v="WSR-2026-0683"/>
    <d v="2026-06-02T00:00:00"/>
    <x v="5"/>
    <x v="5"/>
    <s v="Tuesday"/>
    <x v="22"/>
    <d v="2026-06-30T00:00:00"/>
    <s v="Summer"/>
    <x v="3"/>
    <x v="4"/>
    <s v="1 Hour"/>
    <n v="1"/>
    <n v="13.44"/>
    <s v="Premium Life Jacket"/>
    <n v="7"/>
    <n v="1.02"/>
    <n v="19.420000000000002"/>
    <x v="9"/>
    <x v="0"/>
    <s v="Mobile Pay"/>
    <s v="Sunny"/>
  </r>
  <r>
    <s v="WSR-2026-0684"/>
    <d v="2026-06-02T00:00:00"/>
    <x v="5"/>
    <x v="5"/>
    <s v="Tuesday"/>
    <x v="22"/>
    <d v="2026-06-30T00:00:00"/>
    <s v="Summer"/>
    <x v="2"/>
    <x v="2"/>
    <s v="2 Hours"/>
    <n v="1"/>
    <n v="58.24"/>
    <s v="None"/>
    <n v="0"/>
    <n v="0"/>
    <n v="58.24"/>
    <x v="3"/>
    <x v="3"/>
    <s v="Credit Card"/>
    <s v="Cloudy"/>
  </r>
  <r>
    <s v="WSR-2026-0685"/>
    <d v="2026-06-02T00:00:00"/>
    <x v="5"/>
    <x v="5"/>
    <s v="Tuesday"/>
    <x v="22"/>
    <d v="2026-06-30T00:00:00"/>
    <s v="Summer"/>
    <x v="2"/>
    <x v="1"/>
    <s v="2 Hours"/>
    <n v="1"/>
    <n v="42.56"/>
    <s v="Dry Bag"/>
    <n v="6"/>
    <n v="0"/>
    <n v="48.56"/>
    <x v="3"/>
    <x v="2"/>
    <s v="Debit Card"/>
    <s v="Sunny"/>
  </r>
  <r>
    <s v="WSR-2026-0686"/>
    <d v="2026-06-02T00:00:00"/>
    <x v="5"/>
    <x v="5"/>
    <s v="Tuesday"/>
    <x v="22"/>
    <d v="2026-06-30T00:00:00"/>
    <s v="Summer"/>
    <x v="3"/>
    <x v="3"/>
    <s v="Full Day"/>
    <n v="1"/>
    <n v="85.12"/>
    <s v="None"/>
    <n v="0"/>
    <n v="0"/>
    <n v="85.12"/>
    <x v="4"/>
    <x v="2"/>
    <s v="Gift Card"/>
    <s v="Sunny"/>
  </r>
  <r>
    <s v="WSR-2026-0687"/>
    <d v="2026-06-02T00:00:00"/>
    <x v="5"/>
    <x v="5"/>
    <s v="Tuesday"/>
    <x v="22"/>
    <d v="2026-06-30T00:00:00"/>
    <s v="Summer"/>
    <x v="2"/>
    <x v="8"/>
    <s v="2 Hours"/>
    <n v="1"/>
    <n v="17.920000000000002"/>
    <s v="GoPro Mount"/>
    <n v="8"/>
    <n v="0"/>
    <n v="25.92"/>
    <x v="4"/>
    <x v="0"/>
    <s v="Credit Card"/>
    <s v="Cloudy"/>
  </r>
  <r>
    <s v="WSR-2026-0688"/>
    <d v="2026-06-03T00:00:00"/>
    <x v="5"/>
    <x v="5"/>
    <s v="Wednesday"/>
    <x v="22"/>
    <d v="2026-06-30T00:00:00"/>
    <s v="Summer"/>
    <x v="0"/>
    <x v="5"/>
    <s v="Full Day"/>
    <n v="1"/>
    <n v="98.56"/>
    <s v="None"/>
    <n v="0"/>
    <n v="0"/>
    <n v="98.56"/>
    <x v="1"/>
    <x v="1"/>
    <s v="Mobile Pay"/>
    <s v="Sunny"/>
  </r>
  <r>
    <s v="WSR-2026-0689"/>
    <d v="2026-06-03T00:00:00"/>
    <x v="5"/>
    <x v="5"/>
    <s v="Wednesday"/>
    <x v="22"/>
    <d v="2026-06-30T00:00:00"/>
    <s v="Summer"/>
    <x v="3"/>
    <x v="8"/>
    <s v="1 Hour"/>
    <n v="1"/>
    <n v="11.2"/>
    <s v="GoPro Mount"/>
    <n v="8"/>
    <n v="0"/>
    <n v="19.2"/>
    <x v="0"/>
    <x v="1"/>
    <s v="Debit Card"/>
    <s v="Sunny"/>
  </r>
  <r>
    <s v="WSR-2026-0690"/>
    <d v="2026-06-03T00:00:00"/>
    <x v="5"/>
    <x v="5"/>
    <s v="Wednesday"/>
    <x v="22"/>
    <d v="2026-06-30T00:00:00"/>
    <s v="Summer"/>
    <x v="3"/>
    <x v="1"/>
    <s v="1 Hour"/>
    <n v="1"/>
    <n v="26.88"/>
    <s v="Dry Bag"/>
    <n v="6"/>
    <n v="0"/>
    <n v="32.880000000000003"/>
    <x v="5"/>
    <x v="4"/>
    <s v="Credit Card"/>
    <s v="Sunny"/>
  </r>
  <r>
    <s v="WSR-2026-0691"/>
    <d v="2026-06-03T00:00:00"/>
    <x v="5"/>
    <x v="5"/>
    <s v="Wednesday"/>
    <x v="22"/>
    <d v="2026-06-30T00:00:00"/>
    <s v="Summer"/>
    <x v="2"/>
    <x v="2"/>
    <s v="Half Day"/>
    <n v="1"/>
    <n v="87.36"/>
    <s v="None"/>
    <n v="0"/>
    <n v="0"/>
    <n v="87.36"/>
    <x v="1"/>
    <x v="1"/>
    <s v="Credit Card"/>
    <s v="Sunny"/>
  </r>
  <r>
    <s v="WSR-2026-0692"/>
    <d v="2026-06-03T00:00:00"/>
    <x v="5"/>
    <x v="5"/>
    <s v="Wednesday"/>
    <x v="22"/>
    <d v="2026-06-30T00:00:00"/>
    <s v="Summer"/>
    <x v="0"/>
    <x v="5"/>
    <s v="2 Hours"/>
    <n v="1"/>
    <n v="47.04"/>
    <s v="None"/>
    <n v="0"/>
    <n v="0"/>
    <n v="47.04"/>
    <x v="1"/>
    <x v="0"/>
    <s v="Credit Card"/>
    <s v="Sunny"/>
  </r>
  <r>
    <s v="WSR-2026-0693"/>
    <d v="2026-06-03T00:00:00"/>
    <x v="5"/>
    <x v="5"/>
    <s v="Wednesday"/>
    <x v="22"/>
    <d v="2026-06-30T00:00:00"/>
    <s v="Summer"/>
    <x v="1"/>
    <x v="5"/>
    <s v="1 Hour"/>
    <n v="1"/>
    <n v="29.12"/>
    <s v="Phone Pouch"/>
    <n v="5"/>
    <n v="3.41"/>
    <n v="30.71"/>
    <x v="6"/>
    <x v="1"/>
    <s v="Cash"/>
    <s v="Sunny"/>
  </r>
  <r>
    <s v="WSR-2026-0694"/>
    <d v="2026-06-03T00:00:00"/>
    <x v="5"/>
    <x v="5"/>
    <s v="Wednesday"/>
    <x v="22"/>
    <d v="2026-06-30T00:00:00"/>
    <s v="Summer"/>
    <x v="1"/>
    <x v="9"/>
    <s v="1 Hour"/>
    <n v="1"/>
    <n v="33.6"/>
    <s v="None"/>
    <n v="0"/>
    <n v="0"/>
    <n v="33.6"/>
    <x v="1"/>
    <x v="1"/>
    <s v="Credit Card"/>
    <s v="Cloudy"/>
  </r>
  <r>
    <s v="WSR-2026-0695"/>
    <d v="2026-06-03T00:00:00"/>
    <x v="5"/>
    <x v="5"/>
    <s v="Wednesday"/>
    <x v="22"/>
    <d v="2026-06-30T00:00:00"/>
    <s v="Summer"/>
    <x v="2"/>
    <x v="7"/>
    <s v="2 Hours"/>
    <n v="1"/>
    <n v="24.64"/>
    <s v="Dry Bag"/>
    <n v="6"/>
    <n v="0"/>
    <n v="30.64"/>
    <x v="5"/>
    <x v="2"/>
    <s v="Cash"/>
    <s v="Windy"/>
  </r>
  <r>
    <s v="WSR-2026-0696"/>
    <d v="2026-06-03T00:00:00"/>
    <x v="5"/>
    <x v="5"/>
    <s v="Wednesday"/>
    <x v="22"/>
    <d v="2026-06-30T00:00:00"/>
    <s v="Summer"/>
    <x v="3"/>
    <x v="0"/>
    <s v="Half Day"/>
    <n v="1"/>
    <n v="85.12"/>
    <s v="None"/>
    <n v="0"/>
    <n v="0"/>
    <n v="85.12"/>
    <x v="6"/>
    <x v="4"/>
    <s v="Credit Card"/>
    <s v="Sunny"/>
  </r>
  <r>
    <s v="WSR-2026-0697"/>
    <d v="2026-06-04T00:00:00"/>
    <x v="5"/>
    <x v="5"/>
    <s v="Thursday"/>
    <x v="22"/>
    <d v="2026-06-30T00:00:00"/>
    <s v="Summer"/>
    <x v="2"/>
    <x v="1"/>
    <s v="2 Hours"/>
    <n v="1"/>
    <n v="42.56"/>
    <s v="Premium Life Jacket"/>
    <n v="7"/>
    <n v="0"/>
    <n v="49.56"/>
    <x v="4"/>
    <x v="3"/>
    <s v="Credit Card"/>
    <s v="Sunny"/>
  </r>
  <r>
    <s v="WSR-2026-0698"/>
    <d v="2026-06-04T00:00:00"/>
    <x v="5"/>
    <x v="5"/>
    <s v="Thursday"/>
    <x v="22"/>
    <d v="2026-06-30T00:00:00"/>
    <s v="Summer"/>
    <x v="2"/>
    <x v="5"/>
    <s v="Full Day"/>
    <n v="1"/>
    <n v="98.56"/>
    <s v="None"/>
    <n v="0"/>
    <n v="0"/>
    <n v="98.56"/>
    <x v="5"/>
    <x v="1"/>
    <s v="Mobile Pay"/>
    <s v="Sunny"/>
  </r>
  <r>
    <s v="WSR-2026-0699"/>
    <d v="2026-06-04T00:00:00"/>
    <x v="5"/>
    <x v="5"/>
    <s v="Thursday"/>
    <x v="22"/>
    <d v="2026-06-30T00:00:00"/>
    <s v="Summer"/>
    <x v="3"/>
    <x v="2"/>
    <s v="2 Hours"/>
    <n v="1"/>
    <n v="58.24"/>
    <s v="None"/>
    <n v="0"/>
    <n v="0"/>
    <n v="58.24"/>
    <x v="3"/>
    <x v="4"/>
    <s v="Mobile Pay"/>
    <s v="Sunny"/>
  </r>
  <r>
    <s v="WSR-2026-0700"/>
    <d v="2026-06-04T00:00:00"/>
    <x v="5"/>
    <x v="5"/>
    <s v="Thursday"/>
    <x v="22"/>
    <d v="2026-06-30T00:00:00"/>
    <s v="Summer"/>
    <x v="0"/>
    <x v="7"/>
    <s v="1 Hour"/>
    <n v="1"/>
    <n v="15.68"/>
    <s v="None"/>
    <n v="0"/>
    <n v="0"/>
    <n v="15.68"/>
    <x v="9"/>
    <x v="0"/>
    <s v="Credit Card"/>
    <s v="Sunny"/>
  </r>
  <r>
    <s v="WSR-2026-0701"/>
    <d v="2026-06-04T00:00:00"/>
    <x v="5"/>
    <x v="5"/>
    <s v="Thursday"/>
    <x v="22"/>
    <d v="2026-06-30T00:00:00"/>
    <s v="Summer"/>
    <x v="0"/>
    <x v="5"/>
    <s v="2 Hours"/>
    <n v="1"/>
    <n v="47.04"/>
    <s v="None"/>
    <n v="0"/>
    <n v="0"/>
    <n v="47.04"/>
    <x v="9"/>
    <x v="3"/>
    <s v="Credit Card"/>
    <s v="Sunny"/>
  </r>
  <r>
    <s v="WSR-2026-0702"/>
    <d v="2026-06-04T00:00:00"/>
    <x v="5"/>
    <x v="5"/>
    <s v="Thursday"/>
    <x v="22"/>
    <d v="2026-06-30T00:00:00"/>
    <s v="Summer"/>
    <x v="3"/>
    <x v="4"/>
    <s v="2 Hours"/>
    <n v="1"/>
    <n v="20.16"/>
    <s v="Phone Pouch"/>
    <n v="5"/>
    <n v="0"/>
    <n v="25.16"/>
    <x v="3"/>
    <x v="0"/>
    <s v="Credit Card"/>
    <s v="Cloudy"/>
  </r>
  <r>
    <s v="WSR-2026-0703"/>
    <d v="2026-06-04T00:00:00"/>
    <x v="5"/>
    <x v="5"/>
    <s v="Thursday"/>
    <x v="22"/>
    <d v="2026-06-30T00:00:00"/>
    <s v="Summer"/>
    <x v="3"/>
    <x v="0"/>
    <s v="2 Hours"/>
    <n v="1"/>
    <n v="56"/>
    <s v="GoPro Mount"/>
    <n v="8"/>
    <n v="0"/>
    <n v="64"/>
    <x v="3"/>
    <x v="1"/>
    <s v="Gift Card"/>
    <s v="Windy"/>
  </r>
  <r>
    <s v="WSR-2026-0704"/>
    <d v="2026-06-04T00:00:00"/>
    <x v="5"/>
    <x v="5"/>
    <s v="Thursday"/>
    <x v="22"/>
    <d v="2026-06-30T00:00:00"/>
    <s v="Summer"/>
    <x v="2"/>
    <x v="6"/>
    <s v="2 Hours"/>
    <n v="1"/>
    <n v="64.959999999999994"/>
    <s v="Dry Bag"/>
    <n v="6"/>
    <n v="3.55"/>
    <n v="67.41"/>
    <x v="7"/>
    <x v="2"/>
    <s v="Credit Card"/>
    <s v="Sunny"/>
  </r>
  <r>
    <s v="WSR-2026-0705"/>
    <d v="2026-06-04T00:00:00"/>
    <x v="5"/>
    <x v="5"/>
    <s v="Thursday"/>
    <x v="22"/>
    <d v="2026-06-30T00:00:00"/>
    <s v="Summer"/>
    <x v="2"/>
    <x v="1"/>
    <s v="2 Hours"/>
    <n v="1"/>
    <n v="42.56"/>
    <s v="Premium Life Jacket"/>
    <n v="7"/>
    <n v="0"/>
    <n v="49.56"/>
    <x v="1"/>
    <x v="1"/>
    <s v="Credit Card"/>
    <s v="Sunny"/>
  </r>
  <r>
    <s v="WSR-2026-0706"/>
    <d v="2026-06-04T00:00:00"/>
    <x v="5"/>
    <x v="5"/>
    <s v="Thursday"/>
    <x v="22"/>
    <d v="2026-06-30T00:00:00"/>
    <s v="Summer"/>
    <x v="0"/>
    <x v="2"/>
    <s v="1 Hour"/>
    <n v="1"/>
    <n v="38.08"/>
    <s v="None"/>
    <n v="0"/>
    <n v="0"/>
    <n v="38.08"/>
    <x v="6"/>
    <x v="4"/>
    <s v="Credit Card"/>
    <s v="Sunny"/>
  </r>
  <r>
    <s v="WSR-2026-0707"/>
    <d v="2026-06-04T00:00:00"/>
    <x v="5"/>
    <x v="5"/>
    <s v="Thursday"/>
    <x v="22"/>
    <d v="2026-06-30T00:00:00"/>
    <s v="Summer"/>
    <x v="0"/>
    <x v="3"/>
    <s v="2 Hours"/>
    <n v="1"/>
    <n v="40.32"/>
    <s v="None"/>
    <n v="0"/>
    <n v="0"/>
    <n v="40.32"/>
    <x v="9"/>
    <x v="2"/>
    <s v="Debit Card"/>
    <s v="Sunny"/>
  </r>
  <r>
    <s v="WSR-2026-0708"/>
    <d v="2026-06-04T00:00:00"/>
    <x v="5"/>
    <x v="5"/>
    <s v="Thursday"/>
    <x v="22"/>
    <d v="2026-06-30T00:00:00"/>
    <s v="Summer"/>
    <x v="2"/>
    <x v="5"/>
    <s v="1 Hour"/>
    <n v="1"/>
    <n v="29.12"/>
    <s v="Phone Pouch"/>
    <n v="5"/>
    <n v="0"/>
    <n v="34.119999999999997"/>
    <x v="8"/>
    <x v="1"/>
    <s v="Gift Card"/>
    <s v="Cloudy"/>
  </r>
  <r>
    <s v="WSR-2026-0709"/>
    <d v="2026-06-04T00:00:00"/>
    <x v="5"/>
    <x v="5"/>
    <s v="Thursday"/>
    <x v="22"/>
    <d v="2026-06-30T00:00:00"/>
    <s v="Summer"/>
    <x v="2"/>
    <x v="1"/>
    <s v="2 Hours"/>
    <n v="1"/>
    <n v="42.56"/>
    <s v="None"/>
    <n v="0"/>
    <n v="0"/>
    <n v="42.56"/>
    <x v="7"/>
    <x v="3"/>
    <s v="Credit Card"/>
    <s v="Sunny"/>
  </r>
  <r>
    <s v="WSR-2026-0710"/>
    <d v="2026-06-04T00:00:00"/>
    <x v="5"/>
    <x v="5"/>
    <s v="Thursday"/>
    <x v="22"/>
    <d v="2026-06-30T00:00:00"/>
    <s v="Summer"/>
    <x v="3"/>
    <x v="3"/>
    <s v="1 Hour"/>
    <n v="1"/>
    <n v="24.64"/>
    <s v="None"/>
    <n v="0"/>
    <n v="0"/>
    <n v="24.64"/>
    <x v="2"/>
    <x v="4"/>
    <s v="Credit Card"/>
    <s v="Cloudy"/>
  </r>
  <r>
    <s v="WSR-2026-0711"/>
    <d v="2026-06-04T00:00:00"/>
    <x v="5"/>
    <x v="5"/>
    <s v="Thursday"/>
    <x v="22"/>
    <d v="2026-06-30T00:00:00"/>
    <s v="Summer"/>
    <x v="0"/>
    <x v="8"/>
    <s v="2 Hours"/>
    <n v="1"/>
    <n v="17.920000000000002"/>
    <s v="None"/>
    <n v="0"/>
    <n v="0"/>
    <n v="17.920000000000002"/>
    <x v="8"/>
    <x v="4"/>
    <s v="Credit Card"/>
    <s v="Sunny"/>
  </r>
  <r>
    <s v="WSR-2026-0712"/>
    <d v="2026-06-05T00:00:00"/>
    <x v="5"/>
    <x v="5"/>
    <s v="Friday"/>
    <x v="22"/>
    <d v="2026-06-30T00:00:00"/>
    <s v="Summer"/>
    <x v="1"/>
    <x v="2"/>
    <s v="1 Hour"/>
    <n v="1"/>
    <n v="38.08"/>
    <s v="None"/>
    <n v="0"/>
    <n v="1.9"/>
    <n v="36.18"/>
    <x v="8"/>
    <x v="1"/>
    <s v="Mobile Pay"/>
    <s v="Sunny"/>
  </r>
  <r>
    <s v="WSR-2026-0713"/>
    <d v="2026-06-05T00:00:00"/>
    <x v="5"/>
    <x v="5"/>
    <s v="Friday"/>
    <x v="22"/>
    <d v="2026-06-30T00:00:00"/>
    <s v="Summer"/>
    <x v="2"/>
    <x v="1"/>
    <s v="1 Hour"/>
    <n v="1"/>
    <n v="26.88"/>
    <s v="GoPro Mount"/>
    <n v="8"/>
    <n v="0"/>
    <n v="34.880000000000003"/>
    <x v="1"/>
    <x v="0"/>
    <s v="Credit Card"/>
    <s v="Sunny"/>
  </r>
  <r>
    <s v="WSR-2026-0714"/>
    <d v="2026-06-05T00:00:00"/>
    <x v="5"/>
    <x v="5"/>
    <s v="Friday"/>
    <x v="22"/>
    <d v="2026-06-30T00:00:00"/>
    <s v="Summer"/>
    <x v="2"/>
    <x v="5"/>
    <s v="2 Hours"/>
    <n v="1"/>
    <n v="47.04"/>
    <s v="Dry Bag"/>
    <n v="6"/>
    <n v="0"/>
    <n v="53.04"/>
    <x v="5"/>
    <x v="3"/>
    <s v="Credit Card"/>
    <s v="Windy"/>
  </r>
  <r>
    <s v="WSR-2026-0715"/>
    <d v="2026-06-05T00:00:00"/>
    <x v="5"/>
    <x v="5"/>
    <s v="Friday"/>
    <x v="22"/>
    <d v="2026-06-30T00:00:00"/>
    <s v="Summer"/>
    <x v="2"/>
    <x v="5"/>
    <s v="Half Day"/>
    <n v="1"/>
    <n v="69.44"/>
    <s v="None"/>
    <n v="0"/>
    <n v="0"/>
    <n v="69.44"/>
    <x v="3"/>
    <x v="2"/>
    <s v="Debit Card"/>
    <s v="Sunny"/>
  </r>
  <r>
    <s v="WSR-2026-0716"/>
    <d v="2026-06-05T00:00:00"/>
    <x v="5"/>
    <x v="5"/>
    <s v="Friday"/>
    <x v="22"/>
    <d v="2026-06-30T00:00:00"/>
    <s v="Summer"/>
    <x v="2"/>
    <x v="4"/>
    <s v="Half Day"/>
    <n v="1"/>
    <n v="31.36"/>
    <s v="None"/>
    <n v="0"/>
    <n v="0"/>
    <n v="31.36"/>
    <x v="6"/>
    <x v="2"/>
    <s v="Credit Card"/>
    <s v="Sunny"/>
  </r>
  <r>
    <s v="WSR-2026-0717"/>
    <d v="2026-06-05T00:00:00"/>
    <x v="5"/>
    <x v="5"/>
    <s v="Friday"/>
    <x v="22"/>
    <d v="2026-06-30T00:00:00"/>
    <s v="Summer"/>
    <x v="3"/>
    <x v="1"/>
    <s v="Half Day"/>
    <n v="1"/>
    <n v="64.959999999999994"/>
    <s v="Dry Bag"/>
    <n v="6"/>
    <n v="0"/>
    <n v="70.959999999999994"/>
    <x v="6"/>
    <x v="3"/>
    <s v="Credit Card"/>
    <s v="Sunny"/>
  </r>
  <r>
    <s v="WSR-2026-0718"/>
    <d v="2026-06-05T00:00:00"/>
    <x v="5"/>
    <x v="5"/>
    <s v="Friday"/>
    <x v="22"/>
    <d v="2026-06-30T00:00:00"/>
    <s v="Summer"/>
    <x v="2"/>
    <x v="1"/>
    <s v="2 Hours"/>
    <n v="1"/>
    <n v="42.56"/>
    <s v="None"/>
    <n v="0"/>
    <n v="0"/>
    <n v="42.56"/>
    <x v="6"/>
    <x v="0"/>
    <s v="Credit Card"/>
    <s v="Cloudy"/>
  </r>
  <r>
    <s v="WSR-2026-0719"/>
    <d v="2026-06-05T00:00:00"/>
    <x v="5"/>
    <x v="5"/>
    <s v="Friday"/>
    <x v="22"/>
    <d v="2026-06-30T00:00:00"/>
    <s v="Summer"/>
    <x v="2"/>
    <x v="4"/>
    <s v="Half Day"/>
    <n v="1"/>
    <n v="31.36"/>
    <s v="None"/>
    <n v="0"/>
    <n v="1.57"/>
    <n v="29.79"/>
    <x v="5"/>
    <x v="2"/>
    <s v="Debit Card"/>
    <s v="Sunny"/>
  </r>
  <r>
    <s v="WSR-2026-0720"/>
    <d v="2026-06-05T00:00:00"/>
    <x v="5"/>
    <x v="5"/>
    <s v="Friday"/>
    <x v="22"/>
    <d v="2026-06-30T00:00:00"/>
    <s v="Summer"/>
    <x v="2"/>
    <x v="3"/>
    <s v="1 Hour"/>
    <n v="1"/>
    <n v="24.64"/>
    <s v="Dry Bag"/>
    <n v="6"/>
    <n v="0"/>
    <n v="30.64"/>
    <x v="3"/>
    <x v="2"/>
    <s v="Credit Card"/>
    <s v="Sunny"/>
  </r>
  <r>
    <s v="WSR-2026-0721"/>
    <d v="2026-06-05T00:00:00"/>
    <x v="5"/>
    <x v="5"/>
    <s v="Friday"/>
    <x v="22"/>
    <d v="2026-06-30T00:00:00"/>
    <s v="Summer"/>
    <x v="2"/>
    <x v="5"/>
    <s v="Half Day"/>
    <n v="1"/>
    <n v="69.44"/>
    <s v="Dry Bag"/>
    <n v="6"/>
    <n v="3.77"/>
    <n v="71.67"/>
    <x v="5"/>
    <x v="1"/>
    <s v="Credit Card"/>
    <s v="Sunny"/>
  </r>
  <r>
    <s v="WSR-2026-0722"/>
    <d v="2026-06-05T00:00:00"/>
    <x v="5"/>
    <x v="5"/>
    <s v="Friday"/>
    <x v="22"/>
    <d v="2026-06-30T00:00:00"/>
    <s v="Summer"/>
    <x v="2"/>
    <x v="0"/>
    <s v="2 Hours"/>
    <n v="1"/>
    <n v="56"/>
    <s v="None"/>
    <n v="0"/>
    <n v="0"/>
    <n v="56"/>
    <x v="6"/>
    <x v="3"/>
    <s v="Debit Card"/>
    <s v="Cloudy"/>
  </r>
  <r>
    <s v="WSR-2026-0723"/>
    <d v="2026-06-05T00:00:00"/>
    <x v="5"/>
    <x v="5"/>
    <s v="Friday"/>
    <x v="22"/>
    <d v="2026-06-30T00:00:00"/>
    <s v="Summer"/>
    <x v="2"/>
    <x v="1"/>
    <s v="2 Hours"/>
    <n v="1"/>
    <n v="42.56"/>
    <s v="Premium Life Jacket"/>
    <n v="7"/>
    <n v="0"/>
    <n v="49.56"/>
    <x v="5"/>
    <x v="3"/>
    <s v="Cash"/>
    <s v="Windy"/>
  </r>
  <r>
    <s v="WSR-2026-0724"/>
    <d v="2026-06-05T00:00:00"/>
    <x v="5"/>
    <x v="5"/>
    <s v="Friday"/>
    <x v="22"/>
    <d v="2026-06-30T00:00:00"/>
    <s v="Summer"/>
    <x v="3"/>
    <x v="1"/>
    <s v="1 Hour"/>
    <n v="1"/>
    <n v="26.88"/>
    <s v="Dry Bag"/>
    <n v="6"/>
    <n v="0"/>
    <n v="32.880000000000003"/>
    <x v="0"/>
    <x v="1"/>
    <s v="Mobile Pay"/>
    <s v="Sunny"/>
  </r>
  <r>
    <s v="WSR-2026-0725"/>
    <d v="2026-06-05T00:00:00"/>
    <x v="5"/>
    <x v="5"/>
    <s v="Friday"/>
    <x v="22"/>
    <d v="2026-06-30T00:00:00"/>
    <s v="Summer"/>
    <x v="0"/>
    <x v="1"/>
    <s v="1 Hour"/>
    <n v="1"/>
    <n v="26.88"/>
    <s v="None"/>
    <n v="0"/>
    <n v="0"/>
    <n v="26.88"/>
    <x v="4"/>
    <x v="1"/>
    <s v="Credit Card"/>
    <s v="Sunny"/>
  </r>
  <r>
    <s v="WSR-2026-0726"/>
    <d v="2026-06-05T00:00:00"/>
    <x v="5"/>
    <x v="5"/>
    <s v="Friday"/>
    <x v="22"/>
    <d v="2026-06-30T00:00:00"/>
    <s v="Summer"/>
    <x v="2"/>
    <x v="2"/>
    <s v="Half Day"/>
    <n v="1"/>
    <n v="87.36"/>
    <s v="Dry Bag"/>
    <n v="6"/>
    <n v="0"/>
    <n v="93.36"/>
    <x v="4"/>
    <x v="2"/>
    <s v="Credit Card"/>
    <s v="Cloudy"/>
  </r>
  <r>
    <s v="WSR-2026-0727"/>
    <d v="2026-06-05T00:00:00"/>
    <x v="5"/>
    <x v="5"/>
    <s v="Friday"/>
    <x v="22"/>
    <d v="2026-06-30T00:00:00"/>
    <s v="Summer"/>
    <x v="3"/>
    <x v="7"/>
    <s v="Full Day"/>
    <n v="1"/>
    <n v="53.76"/>
    <s v="GoPro Mount"/>
    <n v="8"/>
    <n v="0"/>
    <n v="61.76"/>
    <x v="4"/>
    <x v="2"/>
    <s v="Mobile Pay"/>
    <s v="Sunny"/>
  </r>
  <r>
    <s v="WSR-2026-0728"/>
    <d v="2026-06-05T00:00:00"/>
    <x v="5"/>
    <x v="5"/>
    <s v="Friday"/>
    <x v="22"/>
    <d v="2026-06-30T00:00:00"/>
    <s v="Summer"/>
    <x v="0"/>
    <x v="0"/>
    <s v="2 Hours"/>
    <n v="1"/>
    <n v="56"/>
    <s v="GoPro Mount"/>
    <n v="8"/>
    <n v="0"/>
    <n v="64"/>
    <x v="1"/>
    <x v="4"/>
    <s v="Credit Card"/>
    <s v="Sunny"/>
  </r>
  <r>
    <s v="WSR-2026-0729"/>
    <d v="2026-06-05T00:00:00"/>
    <x v="5"/>
    <x v="5"/>
    <s v="Friday"/>
    <x v="22"/>
    <d v="2026-06-30T00:00:00"/>
    <s v="Summer"/>
    <x v="2"/>
    <x v="0"/>
    <s v="Half Day"/>
    <n v="1"/>
    <n v="85.12"/>
    <s v="Cooler Rental"/>
    <n v="10"/>
    <n v="0"/>
    <n v="95.12"/>
    <x v="3"/>
    <x v="4"/>
    <s v="Credit Card"/>
    <s v="Cloudy"/>
  </r>
  <r>
    <s v="WSR-2026-0730"/>
    <d v="2026-06-05T00:00:00"/>
    <x v="5"/>
    <x v="5"/>
    <s v="Friday"/>
    <x v="22"/>
    <d v="2026-06-30T00:00:00"/>
    <s v="Summer"/>
    <x v="2"/>
    <x v="3"/>
    <s v="Full Day"/>
    <n v="1"/>
    <n v="85.12"/>
    <s v="None"/>
    <n v="0"/>
    <n v="0"/>
    <n v="85.12"/>
    <x v="3"/>
    <x v="2"/>
    <s v="Credit Card"/>
    <s v="Sunny"/>
  </r>
  <r>
    <s v="WSR-2026-0731"/>
    <d v="2026-06-05T00:00:00"/>
    <x v="5"/>
    <x v="5"/>
    <s v="Friday"/>
    <x v="22"/>
    <d v="2026-06-30T00:00:00"/>
    <s v="Summer"/>
    <x v="0"/>
    <x v="7"/>
    <s v="2 Hours"/>
    <n v="1"/>
    <n v="24.64"/>
    <s v="None"/>
    <n v="0"/>
    <n v="0"/>
    <n v="24.64"/>
    <x v="5"/>
    <x v="0"/>
    <s v="Credit Card"/>
    <s v="Sunny"/>
  </r>
  <r>
    <s v="WSR-2026-0732"/>
    <d v="2026-06-05T00:00:00"/>
    <x v="5"/>
    <x v="5"/>
    <s v="Friday"/>
    <x v="22"/>
    <d v="2026-06-30T00:00:00"/>
    <s v="Summer"/>
    <x v="3"/>
    <x v="2"/>
    <s v="1 Hour"/>
    <n v="1"/>
    <n v="38.08"/>
    <s v="None"/>
    <n v="0"/>
    <n v="0"/>
    <n v="38.08"/>
    <x v="4"/>
    <x v="3"/>
    <s v="Credit Card"/>
    <s v="Sunny"/>
  </r>
  <r>
    <s v="WSR-2026-0733"/>
    <d v="2026-06-05T00:00:00"/>
    <x v="5"/>
    <x v="5"/>
    <s v="Friday"/>
    <x v="22"/>
    <d v="2026-06-30T00:00:00"/>
    <s v="Summer"/>
    <x v="3"/>
    <x v="0"/>
    <s v="Half Day"/>
    <n v="1"/>
    <n v="85.12"/>
    <s v="Cooler Rental"/>
    <n v="10"/>
    <n v="0"/>
    <n v="95.12"/>
    <x v="7"/>
    <x v="0"/>
    <s v="Cash"/>
    <s v="Sunny"/>
  </r>
  <r>
    <s v="WSR-2026-0734"/>
    <d v="2026-06-05T00:00:00"/>
    <x v="5"/>
    <x v="5"/>
    <s v="Friday"/>
    <x v="22"/>
    <d v="2026-06-30T00:00:00"/>
    <s v="Summer"/>
    <x v="3"/>
    <x v="1"/>
    <s v="2 Hours"/>
    <n v="1"/>
    <n v="42.56"/>
    <s v="None"/>
    <n v="0"/>
    <n v="0"/>
    <n v="42.56"/>
    <x v="2"/>
    <x v="3"/>
    <s v="Credit Card"/>
    <s v="Sunny"/>
  </r>
  <r>
    <s v="WSR-2026-0735"/>
    <d v="2026-06-05T00:00:00"/>
    <x v="5"/>
    <x v="5"/>
    <s v="Friday"/>
    <x v="22"/>
    <d v="2026-06-30T00:00:00"/>
    <s v="Summer"/>
    <x v="2"/>
    <x v="3"/>
    <s v="1 Hour"/>
    <n v="1"/>
    <n v="24.64"/>
    <s v="Cooler Rental"/>
    <n v="10"/>
    <n v="0"/>
    <n v="34.64"/>
    <x v="6"/>
    <x v="0"/>
    <s v="Credit Card"/>
    <s v="Windy"/>
  </r>
  <r>
    <s v="WSR-2026-0736"/>
    <d v="2026-06-05T00:00:00"/>
    <x v="5"/>
    <x v="5"/>
    <s v="Friday"/>
    <x v="22"/>
    <d v="2026-06-30T00:00:00"/>
    <s v="Summer"/>
    <x v="2"/>
    <x v="1"/>
    <s v="2 Hours"/>
    <n v="1"/>
    <n v="42.56"/>
    <s v="None"/>
    <n v="0"/>
    <n v="2.13"/>
    <n v="40.43"/>
    <x v="2"/>
    <x v="4"/>
    <s v="Cash"/>
    <s v="Sunny"/>
  </r>
  <r>
    <s v="WSR-2026-0737"/>
    <d v="2026-06-06T00:00:00"/>
    <x v="5"/>
    <x v="5"/>
    <s v="Saturday"/>
    <x v="22"/>
    <d v="2026-06-30T00:00:00"/>
    <s v="Summer"/>
    <x v="2"/>
    <x v="4"/>
    <s v="2 Hours"/>
    <n v="1"/>
    <n v="21.6"/>
    <s v="None"/>
    <n v="0"/>
    <n v="0"/>
    <n v="21.6"/>
    <x v="9"/>
    <x v="4"/>
    <s v="Debit Card"/>
    <s v="Sunny"/>
  </r>
  <r>
    <s v="WSR-2026-0738"/>
    <d v="2026-06-06T00:00:00"/>
    <x v="5"/>
    <x v="5"/>
    <s v="Saturday"/>
    <x v="22"/>
    <d v="2026-06-30T00:00:00"/>
    <s v="Summer"/>
    <x v="1"/>
    <x v="0"/>
    <s v="Half Day"/>
    <n v="1"/>
    <n v="91.2"/>
    <s v="None"/>
    <n v="0"/>
    <n v="0"/>
    <n v="91.2"/>
    <x v="5"/>
    <x v="1"/>
    <s v="Credit Card"/>
    <s v="Rainy"/>
  </r>
  <r>
    <s v="WSR-2026-0739"/>
    <d v="2026-06-06T00:00:00"/>
    <x v="5"/>
    <x v="5"/>
    <s v="Saturday"/>
    <x v="22"/>
    <d v="2026-06-30T00:00:00"/>
    <s v="Summer"/>
    <x v="3"/>
    <x v="6"/>
    <s v="Half Day"/>
    <n v="1"/>
    <n v="103.2"/>
    <s v="None"/>
    <n v="0"/>
    <n v="0"/>
    <n v="103.2"/>
    <x v="7"/>
    <x v="3"/>
    <s v="Gift Card"/>
    <s v="Windy"/>
  </r>
  <r>
    <s v="WSR-2026-0740"/>
    <d v="2026-06-06T00:00:00"/>
    <x v="5"/>
    <x v="5"/>
    <s v="Saturday"/>
    <x v="22"/>
    <d v="2026-06-30T00:00:00"/>
    <s v="Summer"/>
    <x v="0"/>
    <x v="6"/>
    <s v="1 Hour"/>
    <n v="1"/>
    <n v="43.2"/>
    <s v="None"/>
    <n v="0"/>
    <n v="0"/>
    <n v="43.2"/>
    <x v="5"/>
    <x v="0"/>
    <s v="Debit Card"/>
    <s v="Cloudy"/>
  </r>
  <r>
    <s v="WSR-2026-0741"/>
    <d v="2026-06-06T00:00:00"/>
    <x v="5"/>
    <x v="5"/>
    <s v="Saturday"/>
    <x v="22"/>
    <d v="2026-06-30T00:00:00"/>
    <s v="Summer"/>
    <x v="1"/>
    <x v="5"/>
    <s v="Half Day"/>
    <n v="1"/>
    <n v="74.400000000000006"/>
    <s v="Dry Bag"/>
    <n v="6"/>
    <n v="0"/>
    <n v="80.400000000000006"/>
    <x v="4"/>
    <x v="2"/>
    <s v="Cash"/>
    <s v="Cloudy"/>
  </r>
  <r>
    <s v="WSR-2026-0742"/>
    <d v="2026-06-06T00:00:00"/>
    <x v="5"/>
    <x v="5"/>
    <s v="Saturday"/>
    <x v="22"/>
    <d v="2026-06-30T00:00:00"/>
    <s v="Summer"/>
    <x v="2"/>
    <x v="8"/>
    <s v="2 Hours"/>
    <n v="1"/>
    <n v="19.2"/>
    <s v="None"/>
    <n v="0"/>
    <n v="0"/>
    <n v="19.2"/>
    <x v="1"/>
    <x v="4"/>
    <s v="Gift Card"/>
    <s v="Sunny"/>
  </r>
  <r>
    <s v="WSR-2026-0743"/>
    <d v="2026-06-06T00:00:00"/>
    <x v="5"/>
    <x v="5"/>
    <s v="Saturday"/>
    <x v="22"/>
    <d v="2026-06-30T00:00:00"/>
    <s v="Summer"/>
    <x v="3"/>
    <x v="4"/>
    <s v="1 Hour"/>
    <n v="1"/>
    <n v="14.4"/>
    <s v="None"/>
    <n v="0"/>
    <n v="0"/>
    <n v="14.4"/>
    <x v="1"/>
    <x v="2"/>
    <s v="Debit Card"/>
    <s v="Sunny"/>
  </r>
  <r>
    <s v="WSR-2026-0744"/>
    <d v="2026-06-06T00:00:00"/>
    <x v="5"/>
    <x v="5"/>
    <s v="Saturday"/>
    <x v="22"/>
    <d v="2026-06-30T00:00:00"/>
    <s v="Summer"/>
    <x v="4"/>
    <x v="2"/>
    <s v="1 Hour"/>
    <n v="1"/>
    <n v="40.799999999999997"/>
    <s v="None"/>
    <n v="0"/>
    <n v="4.08"/>
    <n v="36.72"/>
    <x v="8"/>
    <x v="4"/>
    <s v="Cash"/>
    <s v="Sunny"/>
  </r>
  <r>
    <s v="WSR-2026-0745"/>
    <d v="2026-06-06T00:00:00"/>
    <x v="5"/>
    <x v="5"/>
    <s v="Saturday"/>
    <x v="22"/>
    <d v="2026-06-30T00:00:00"/>
    <s v="Summer"/>
    <x v="2"/>
    <x v="1"/>
    <s v="1 Hour"/>
    <n v="1"/>
    <n v="28.8"/>
    <s v="Dry Bag"/>
    <n v="6"/>
    <n v="0"/>
    <n v="34.799999999999997"/>
    <x v="7"/>
    <x v="0"/>
    <s v="Debit Card"/>
    <s v="Sunny"/>
  </r>
  <r>
    <s v="WSR-2026-0746"/>
    <d v="2026-06-06T00:00:00"/>
    <x v="5"/>
    <x v="5"/>
    <s v="Saturday"/>
    <x v="22"/>
    <d v="2026-06-30T00:00:00"/>
    <s v="Summer"/>
    <x v="3"/>
    <x v="6"/>
    <s v="1 Hour"/>
    <n v="1"/>
    <n v="43.2"/>
    <s v="Waterproof Speaker"/>
    <n v="12"/>
    <n v="0"/>
    <n v="55.2"/>
    <x v="2"/>
    <x v="3"/>
    <s v="Debit Card"/>
    <s v="Cloudy"/>
  </r>
  <r>
    <s v="WSR-2026-0747"/>
    <d v="2026-06-06T00:00:00"/>
    <x v="5"/>
    <x v="5"/>
    <s v="Saturday"/>
    <x v="22"/>
    <d v="2026-06-30T00:00:00"/>
    <s v="Summer"/>
    <x v="3"/>
    <x v="2"/>
    <s v="1 Hour"/>
    <n v="1"/>
    <n v="40.799999999999997"/>
    <s v="None"/>
    <n v="0"/>
    <n v="0"/>
    <n v="40.799999999999997"/>
    <x v="8"/>
    <x v="2"/>
    <s v="Debit Card"/>
    <s v="Sunny"/>
  </r>
  <r>
    <s v="WSR-2026-0748"/>
    <d v="2026-06-06T00:00:00"/>
    <x v="5"/>
    <x v="5"/>
    <s v="Saturday"/>
    <x v="22"/>
    <d v="2026-06-30T00:00:00"/>
    <s v="Summer"/>
    <x v="2"/>
    <x v="1"/>
    <s v="1 Hour"/>
    <n v="1"/>
    <n v="28.8"/>
    <s v="None"/>
    <n v="0"/>
    <n v="0"/>
    <n v="28.8"/>
    <x v="2"/>
    <x v="0"/>
    <s v="Credit Card"/>
    <s v="Windy"/>
  </r>
  <r>
    <s v="WSR-2026-0749"/>
    <d v="2026-06-06T00:00:00"/>
    <x v="5"/>
    <x v="5"/>
    <s v="Saturday"/>
    <x v="22"/>
    <d v="2026-06-30T00:00:00"/>
    <s v="Summer"/>
    <x v="3"/>
    <x v="1"/>
    <s v="2 Hours"/>
    <n v="1"/>
    <n v="45.6"/>
    <s v="Dry Bag"/>
    <n v="6"/>
    <n v="0"/>
    <n v="51.6"/>
    <x v="5"/>
    <x v="0"/>
    <s v="Credit Card"/>
    <s v="Sunny"/>
  </r>
  <r>
    <s v="WSR-2026-0750"/>
    <d v="2026-06-06T00:00:00"/>
    <x v="5"/>
    <x v="5"/>
    <s v="Saturday"/>
    <x v="22"/>
    <d v="2026-06-30T00:00:00"/>
    <s v="Summer"/>
    <x v="3"/>
    <x v="5"/>
    <s v="Full Day"/>
    <n v="1"/>
    <n v="105.6"/>
    <s v="None"/>
    <n v="0"/>
    <n v="0"/>
    <n v="105.6"/>
    <x v="3"/>
    <x v="3"/>
    <s v="Debit Card"/>
    <s v="Sunny"/>
  </r>
  <r>
    <s v="WSR-2026-0751"/>
    <d v="2026-06-06T00:00:00"/>
    <x v="5"/>
    <x v="5"/>
    <s v="Saturday"/>
    <x v="22"/>
    <d v="2026-06-30T00:00:00"/>
    <s v="Summer"/>
    <x v="4"/>
    <x v="7"/>
    <s v="2 Hours"/>
    <n v="1"/>
    <n v="26.4"/>
    <s v="None"/>
    <n v="0"/>
    <n v="2.64"/>
    <n v="23.76"/>
    <x v="0"/>
    <x v="3"/>
    <s v="Credit Card"/>
    <s v="Sunny"/>
  </r>
  <r>
    <s v="WSR-2026-0752"/>
    <d v="2026-06-06T00:00:00"/>
    <x v="5"/>
    <x v="5"/>
    <s v="Saturday"/>
    <x v="22"/>
    <d v="2026-06-30T00:00:00"/>
    <s v="Summer"/>
    <x v="2"/>
    <x v="1"/>
    <s v="1 Hour"/>
    <n v="1"/>
    <n v="28.8"/>
    <s v="Phone Pouch"/>
    <n v="5"/>
    <n v="0"/>
    <n v="33.799999999999997"/>
    <x v="5"/>
    <x v="0"/>
    <s v="Debit Card"/>
    <s v="Sunny"/>
  </r>
  <r>
    <s v="WSR-2026-0753"/>
    <d v="2026-06-06T00:00:00"/>
    <x v="5"/>
    <x v="5"/>
    <s v="Saturday"/>
    <x v="22"/>
    <d v="2026-06-30T00:00:00"/>
    <s v="Summer"/>
    <x v="0"/>
    <x v="2"/>
    <s v="2 Hours"/>
    <n v="1"/>
    <n v="62.4"/>
    <s v="None"/>
    <n v="0"/>
    <n v="3.12"/>
    <n v="59.28"/>
    <x v="4"/>
    <x v="3"/>
    <s v="Debit Card"/>
    <s v="Sunny"/>
  </r>
  <r>
    <s v="WSR-2026-0754"/>
    <d v="2026-06-06T00:00:00"/>
    <x v="5"/>
    <x v="5"/>
    <s v="Saturday"/>
    <x v="22"/>
    <d v="2026-06-30T00:00:00"/>
    <s v="Summer"/>
    <x v="3"/>
    <x v="0"/>
    <s v="1 Hour"/>
    <n v="1"/>
    <n v="38.4"/>
    <s v="None"/>
    <n v="0"/>
    <n v="0"/>
    <n v="38.4"/>
    <x v="6"/>
    <x v="2"/>
    <s v="Mobile Pay"/>
    <s v="Sunny"/>
  </r>
  <r>
    <s v="WSR-2026-0755"/>
    <d v="2026-06-06T00:00:00"/>
    <x v="5"/>
    <x v="5"/>
    <s v="Saturday"/>
    <x v="22"/>
    <d v="2026-06-30T00:00:00"/>
    <s v="Summer"/>
    <x v="4"/>
    <x v="5"/>
    <s v="1 Hour"/>
    <n v="1"/>
    <n v="31.2"/>
    <s v="Cooler Rental"/>
    <n v="10"/>
    <n v="4.12"/>
    <n v="37.08"/>
    <x v="8"/>
    <x v="1"/>
    <s v="Debit Card"/>
    <s v="Windy"/>
  </r>
  <r>
    <s v="WSR-2026-0756"/>
    <d v="2026-06-07T00:00:00"/>
    <x v="5"/>
    <x v="5"/>
    <s v="Sunday"/>
    <x v="23"/>
    <d v="2026-06-30T00:00:00"/>
    <s v="Summer"/>
    <x v="3"/>
    <x v="3"/>
    <s v="2 Hours"/>
    <n v="1"/>
    <n v="43.2"/>
    <s v="None"/>
    <n v="0"/>
    <n v="0"/>
    <n v="43.2"/>
    <x v="1"/>
    <x v="0"/>
    <s v="Mobile Pay"/>
    <s v="Sunny"/>
  </r>
  <r>
    <s v="WSR-2026-0757"/>
    <d v="2026-06-07T00:00:00"/>
    <x v="5"/>
    <x v="5"/>
    <s v="Sunday"/>
    <x v="23"/>
    <d v="2026-06-30T00:00:00"/>
    <s v="Summer"/>
    <x v="3"/>
    <x v="1"/>
    <s v="1 Hour"/>
    <n v="1"/>
    <n v="28.8"/>
    <s v="None"/>
    <n v="0"/>
    <n v="0"/>
    <n v="28.8"/>
    <x v="2"/>
    <x v="0"/>
    <s v="Gift Card"/>
    <s v="Sunny"/>
  </r>
  <r>
    <s v="WSR-2026-0758"/>
    <d v="2026-06-07T00:00:00"/>
    <x v="5"/>
    <x v="5"/>
    <s v="Sunday"/>
    <x v="23"/>
    <d v="2026-06-30T00:00:00"/>
    <s v="Summer"/>
    <x v="3"/>
    <x v="5"/>
    <s v="2 Hours"/>
    <n v="1"/>
    <n v="50.4"/>
    <s v="None"/>
    <n v="0"/>
    <n v="0"/>
    <n v="50.4"/>
    <x v="0"/>
    <x v="3"/>
    <s v="Debit Card"/>
    <s v="Sunny"/>
  </r>
  <r>
    <s v="WSR-2026-0759"/>
    <d v="2026-06-07T00:00:00"/>
    <x v="5"/>
    <x v="5"/>
    <s v="Sunday"/>
    <x v="23"/>
    <d v="2026-06-30T00:00:00"/>
    <s v="Summer"/>
    <x v="3"/>
    <x v="5"/>
    <s v="2 Hours"/>
    <n v="1"/>
    <n v="50.4"/>
    <s v="None"/>
    <n v="0"/>
    <n v="0"/>
    <n v="50.4"/>
    <x v="6"/>
    <x v="0"/>
    <s v="Debit Card"/>
    <s v="Sunny"/>
  </r>
  <r>
    <s v="WSR-2026-0760"/>
    <d v="2026-06-07T00:00:00"/>
    <x v="5"/>
    <x v="5"/>
    <s v="Sunday"/>
    <x v="23"/>
    <d v="2026-06-30T00:00:00"/>
    <s v="Summer"/>
    <x v="2"/>
    <x v="4"/>
    <s v="Full Day"/>
    <n v="1"/>
    <n v="48"/>
    <s v="GoPro Mount"/>
    <n v="8"/>
    <n v="0"/>
    <n v="56"/>
    <x v="6"/>
    <x v="1"/>
    <s v="Mobile Pay"/>
    <s v="Cloudy"/>
  </r>
  <r>
    <s v="WSR-2026-0761"/>
    <d v="2026-06-07T00:00:00"/>
    <x v="5"/>
    <x v="5"/>
    <s v="Sunday"/>
    <x v="23"/>
    <d v="2026-06-30T00:00:00"/>
    <s v="Summer"/>
    <x v="2"/>
    <x v="7"/>
    <s v="Full Day"/>
    <n v="1"/>
    <n v="57.6"/>
    <s v="Premium Life Jacket"/>
    <n v="7"/>
    <n v="0"/>
    <n v="64.599999999999994"/>
    <x v="3"/>
    <x v="0"/>
    <s v="Mobile Pay"/>
    <s v="Sunny"/>
  </r>
  <r>
    <s v="WSR-2026-0762"/>
    <d v="2026-06-07T00:00:00"/>
    <x v="5"/>
    <x v="5"/>
    <s v="Sunday"/>
    <x v="23"/>
    <d v="2026-06-30T00:00:00"/>
    <s v="Summer"/>
    <x v="3"/>
    <x v="5"/>
    <s v="Full Day"/>
    <n v="1"/>
    <n v="105.6"/>
    <s v="None"/>
    <n v="0"/>
    <n v="0"/>
    <n v="105.6"/>
    <x v="9"/>
    <x v="3"/>
    <s v="Credit Card"/>
    <s v="Cloudy"/>
  </r>
  <r>
    <s v="WSR-2026-0763"/>
    <d v="2026-06-07T00:00:00"/>
    <x v="5"/>
    <x v="5"/>
    <s v="Sunday"/>
    <x v="23"/>
    <d v="2026-06-30T00:00:00"/>
    <s v="Summer"/>
    <x v="2"/>
    <x v="3"/>
    <s v="Half Day"/>
    <n v="1"/>
    <n v="64.8"/>
    <s v="None"/>
    <n v="0"/>
    <n v="3.24"/>
    <n v="61.56"/>
    <x v="6"/>
    <x v="2"/>
    <s v="Debit Card"/>
    <s v="Sunny"/>
  </r>
  <r>
    <s v="WSR-2026-0764"/>
    <d v="2026-06-07T00:00:00"/>
    <x v="5"/>
    <x v="5"/>
    <s v="Sunday"/>
    <x v="23"/>
    <d v="2026-06-30T00:00:00"/>
    <s v="Summer"/>
    <x v="0"/>
    <x v="8"/>
    <s v="2 Hours"/>
    <n v="1"/>
    <n v="19.2"/>
    <s v="None"/>
    <n v="0"/>
    <n v="0"/>
    <n v="19.2"/>
    <x v="7"/>
    <x v="1"/>
    <s v="Credit Card"/>
    <s v="Sunny"/>
  </r>
  <r>
    <s v="WSR-2026-0765"/>
    <d v="2026-06-07T00:00:00"/>
    <x v="5"/>
    <x v="5"/>
    <s v="Sunday"/>
    <x v="23"/>
    <d v="2026-06-30T00:00:00"/>
    <s v="Summer"/>
    <x v="2"/>
    <x v="9"/>
    <s v="1 Hour"/>
    <n v="1"/>
    <n v="36"/>
    <s v="None"/>
    <n v="0"/>
    <n v="0"/>
    <n v="36"/>
    <x v="0"/>
    <x v="1"/>
    <s v="Credit Card"/>
    <s v="Sunny"/>
  </r>
  <r>
    <s v="WSR-2026-0766"/>
    <d v="2026-06-07T00:00:00"/>
    <x v="5"/>
    <x v="5"/>
    <s v="Sunday"/>
    <x v="23"/>
    <d v="2026-06-30T00:00:00"/>
    <s v="Summer"/>
    <x v="0"/>
    <x v="2"/>
    <s v="Half Day"/>
    <n v="1"/>
    <n v="93.6"/>
    <s v="GoPro Mount"/>
    <n v="8"/>
    <n v="0"/>
    <n v="101.6"/>
    <x v="5"/>
    <x v="0"/>
    <s v="Credit Card"/>
    <s v="Sunny"/>
  </r>
  <r>
    <s v="WSR-2026-0767"/>
    <d v="2026-06-07T00:00:00"/>
    <x v="5"/>
    <x v="5"/>
    <s v="Sunday"/>
    <x v="23"/>
    <d v="2026-06-30T00:00:00"/>
    <s v="Summer"/>
    <x v="3"/>
    <x v="5"/>
    <s v="Full Day"/>
    <n v="1"/>
    <n v="105.6"/>
    <s v="None"/>
    <n v="0"/>
    <n v="0"/>
    <n v="105.6"/>
    <x v="3"/>
    <x v="4"/>
    <s v="Credit Card"/>
    <s v="Windy"/>
  </r>
  <r>
    <s v="WSR-2026-0768"/>
    <d v="2026-06-07T00:00:00"/>
    <x v="5"/>
    <x v="5"/>
    <s v="Sunday"/>
    <x v="23"/>
    <d v="2026-06-30T00:00:00"/>
    <s v="Summer"/>
    <x v="3"/>
    <x v="1"/>
    <s v="1 Hour"/>
    <n v="1"/>
    <n v="28.8"/>
    <s v="None"/>
    <n v="0"/>
    <n v="0"/>
    <n v="28.8"/>
    <x v="8"/>
    <x v="0"/>
    <s v="Cash"/>
    <s v="Sunny"/>
  </r>
  <r>
    <s v="WSR-2026-0769"/>
    <d v="2026-06-07T00:00:00"/>
    <x v="5"/>
    <x v="5"/>
    <s v="Sunday"/>
    <x v="23"/>
    <d v="2026-06-30T00:00:00"/>
    <s v="Summer"/>
    <x v="2"/>
    <x v="4"/>
    <s v="1 Hour"/>
    <n v="1"/>
    <n v="14.4"/>
    <s v="None"/>
    <n v="0"/>
    <n v="0"/>
    <n v="14.4"/>
    <x v="3"/>
    <x v="4"/>
    <s v="Debit Card"/>
    <s v="Sunny"/>
  </r>
  <r>
    <s v="WSR-2026-0770"/>
    <d v="2026-06-07T00:00:00"/>
    <x v="5"/>
    <x v="5"/>
    <s v="Sunday"/>
    <x v="23"/>
    <d v="2026-06-30T00:00:00"/>
    <s v="Summer"/>
    <x v="3"/>
    <x v="6"/>
    <s v="2 Hours"/>
    <n v="1"/>
    <n v="69.599999999999994"/>
    <s v="None"/>
    <n v="0"/>
    <n v="0"/>
    <n v="69.599999999999994"/>
    <x v="6"/>
    <x v="0"/>
    <s v="Debit Card"/>
    <s v="Sunny"/>
  </r>
  <r>
    <s v="WSR-2026-0771"/>
    <d v="2026-06-07T00:00:00"/>
    <x v="5"/>
    <x v="5"/>
    <s v="Sunday"/>
    <x v="23"/>
    <d v="2026-06-30T00:00:00"/>
    <s v="Summer"/>
    <x v="3"/>
    <x v="5"/>
    <s v="2 Hours"/>
    <n v="1"/>
    <n v="50.4"/>
    <s v="Dry Bag"/>
    <n v="6"/>
    <n v="0"/>
    <n v="56.4"/>
    <x v="9"/>
    <x v="2"/>
    <s v="Debit Card"/>
    <s v="Sunny"/>
  </r>
  <r>
    <s v="WSR-2026-0772"/>
    <d v="2026-06-07T00:00:00"/>
    <x v="5"/>
    <x v="5"/>
    <s v="Sunday"/>
    <x v="23"/>
    <d v="2026-06-30T00:00:00"/>
    <s v="Summer"/>
    <x v="3"/>
    <x v="2"/>
    <s v="2 Hours"/>
    <n v="1"/>
    <n v="62.4"/>
    <s v="Dry Bag"/>
    <n v="6"/>
    <n v="0"/>
    <n v="68.400000000000006"/>
    <x v="3"/>
    <x v="4"/>
    <s v="Credit Card"/>
    <s v="Sunny"/>
  </r>
  <r>
    <s v="WSR-2026-0773"/>
    <d v="2026-06-07T00:00:00"/>
    <x v="5"/>
    <x v="5"/>
    <s v="Sunday"/>
    <x v="23"/>
    <d v="2026-06-30T00:00:00"/>
    <s v="Summer"/>
    <x v="2"/>
    <x v="5"/>
    <s v="Half Day"/>
    <n v="1"/>
    <n v="74.400000000000006"/>
    <s v="Cooler Rental"/>
    <n v="10"/>
    <n v="0"/>
    <n v="84.4"/>
    <x v="3"/>
    <x v="1"/>
    <s v="Credit Card"/>
    <s v="Sunny"/>
  </r>
  <r>
    <s v="WSR-2026-0774"/>
    <d v="2026-06-07T00:00:00"/>
    <x v="5"/>
    <x v="5"/>
    <s v="Sunday"/>
    <x v="23"/>
    <d v="2026-06-30T00:00:00"/>
    <s v="Summer"/>
    <x v="2"/>
    <x v="2"/>
    <s v="2 Hours"/>
    <n v="1"/>
    <n v="62.4"/>
    <s v="None"/>
    <n v="0"/>
    <n v="0"/>
    <n v="62.4"/>
    <x v="8"/>
    <x v="1"/>
    <s v="Debit Card"/>
    <s v="Sunny"/>
  </r>
  <r>
    <s v="WSR-2026-0775"/>
    <d v="2026-06-07T00:00:00"/>
    <x v="5"/>
    <x v="5"/>
    <s v="Sunday"/>
    <x v="23"/>
    <d v="2026-06-30T00:00:00"/>
    <s v="Summer"/>
    <x v="3"/>
    <x v="3"/>
    <s v="Full Day"/>
    <n v="1"/>
    <n v="91.2"/>
    <s v="Cooler Rental"/>
    <n v="10"/>
    <n v="0"/>
    <n v="101.2"/>
    <x v="4"/>
    <x v="0"/>
    <s v="Cash"/>
    <s v="Windy"/>
  </r>
  <r>
    <s v="WSR-2026-0776"/>
    <d v="2026-06-07T00:00:00"/>
    <x v="5"/>
    <x v="5"/>
    <s v="Sunday"/>
    <x v="23"/>
    <d v="2026-06-30T00:00:00"/>
    <s v="Summer"/>
    <x v="3"/>
    <x v="9"/>
    <s v="2 Hours"/>
    <n v="1"/>
    <n v="57.6"/>
    <s v="None"/>
    <n v="0"/>
    <n v="0"/>
    <n v="57.6"/>
    <x v="0"/>
    <x v="3"/>
    <s v="Credit Card"/>
    <s v="Sunny"/>
  </r>
  <r>
    <s v="WSR-2026-0777"/>
    <d v="2026-06-07T00:00:00"/>
    <x v="5"/>
    <x v="5"/>
    <s v="Sunday"/>
    <x v="23"/>
    <d v="2026-06-30T00:00:00"/>
    <s v="Summer"/>
    <x v="2"/>
    <x v="5"/>
    <s v="Half Day"/>
    <n v="1"/>
    <n v="74.400000000000006"/>
    <s v="None"/>
    <n v="0"/>
    <n v="0"/>
    <n v="74.400000000000006"/>
    <x v="9"/>
    <x v="2"/>
    <s v="Cash"/>
    <s v="Cloudy"/>
  </r>
  <r>
    <s v="WSR-2026-0778"/>
    <d v="2026-06-08T00:00:00"/>
    <x v="5"/>
    <x v="5"/>
    <s v="Monday"/>
    <x v="23"/>
    <d v="2026-06-30T00:00:00"/>
    <s v="Summer"/>
    <x v="0"/>
    <x v="3"/>
    <s v="Half Day"/>
    <n v="1"/>
    <n v="60.48"/>
    <s v="Cooler Rental"/>
    <n v="10"/>
    <n v="0"/>
    <n v="70.48"/>
    <x v="2"/>
    <x v="1"/>
    <s v="Credit Card"/>
    <s v="Cloudy"/>
  </r>
  <r>
    <s v="WSR-2026-0779"/>
    <d v="2026-06-08T00:00:00"/>
    <x v="5"/>
    <x v="5"/>
    <s v="Monday"/>
    <x v="23"/>
    <d v="2026-06-30T00:00:00"/>
    <s v="Summer"/>
    <x v="0"/>
    <x v="7"/>
    <s v="1 Hour"/>
    <n v="1"/>
    <n v="15.68"/>
    <s v="Dry Bag"/>
    <n v="6"/>
    <n v="0"/>
    <n v="21.68"/>
    <x v="3"/>
    <x v="1"/>
    <s v="Mobile Pay"/>
    <s v="Sunny"/>
  </r>
  <r>
    <s v="WSR-2026-0780"/>
    <d v="2026-06-08T00:00:00"/>
    <x v="5"/>
    <x v="5"/>
    <s v="Monday"/>
    <x v="23"/>
    <d v="2026-06-30T00:00:00"/>
    <s v="Summer"/>
    <x v="0"/>
    <x v="7"/>
    <s v="2 Hours"/>
    <n v="1"/>
    <n v="24.64"/>
    <s v="None"/>
    <n v="0"/>
    <n v="0"/>
    <n v="24.64"/>
    <x v="9"/>
    <x v="1"/>
    <s v="Credit Card"/>
    <s v="Sunny"/>
  </r>
  <r>
    <s v="WSR-2026-0781"/>
    <d v="2026-06-08T00:00:00"/>
    <x v="5"/>
    <x v="5"/>
    <s v="Monday"/>
    <x v="23"/>
    <d v="2026-06-30T00:00:00"/>
    <s v="Summer"/>
    <x v="3"/>
    <x v="5"/>
    <s v="2 Hours"/>
    <n v="1"/>
    <n v="47.04"/>
    <s v="Phone Pouch"/>
    <n v="5"/>
    <n v="0"/>
    <n v="52.04"/>
    <x v="2"/>
    <x v="0"/>
    <s v="Mobile Pay"/>
    <s v="Sunny"/>
  </r>
  <r>
    <s v="WSR-2026-0782"/>
    <d v="2026-06-08T00:00:00"/>
    <x v="5"/>
    <x v="5"/>
    <s v="Monday"/>
    <x v="23"/>
    <d v="2026-06-30T00:00:00"/>
    <s v="Summer"/>
    <x v="4"/>
    <x v="4"/>
    <s v="1 Hour"/>
    <n v="1"/>
    <n v="13.44"/>
    <s v="None"/>
    <n v="0"/>
    <n v="1.34"/>
    <n v="12.1"/>
    <x v="9"/>
    <x v="3"/>
    <s v="Credit Card"/>
    <s v="Sunny"/>
  </r>
  <r>
    <s v="WSR-2026-0783"/>
    <d v="2026-06-08T00:00:00"/>
    <x v="5"/>
    <x v="5"/>
    <s v="Monday"/>
    <x v="23"/>
    <d v="2026-06-30T00:00:00"/>
    <s v="Summer"/>
    <x v="0"/>
    <x v="7"/>
    <s v="2 Hours"/>
    <n v="1"/>
    <n v="24.64"/>
    <s v="None"/>
    <n v="0"/>
    <n v="0"/>
    <n v="24.64"/>
    <x v="7"/>
    <x v="0"/>
    <s v="Cash"/>
    <s v="Sunny"/>
  </r>
  <r>
    <s v="WSR-2026-0784"/>
    <d v="2026-06-08T00:00:00"/>
    <x v="5"/>
    <x v="5"/>
    <s v="Monday"/>
    <x v="23"/>
    <d v="2026-06-30T00:00:00"/>
    <s v="Summer"/>
    <x v="0"/>
    <x v="0"/>
    <s v="1 Hour"/>
    <n v="1"/>
    <n v="35.840000000000003"/>
    <s v="Dry Bag"/>
    <n v="6"/>
    <n v="0"/>
    <n v="41.84"/>
    <x v="1"/>
    <x v="2"/>
    <s v="Debit Card"/>
    <s v="Windy"/>
  </r>
  <r>
    <s v="WSR-2026-0785"/>
    <d v="2026-06-08T00:00:00"/>
    <x v="5"/>
    <x v="5"/>
    <s v="Monday"/>
    <x v="23"/>
    <d v="2026-06-30T00:00:00"/>
    <s v="Summer"/>
    <x v="3"/>
    <x v="4"/>
    <s v="2 Hours"/>
    <n v="1"/>
    <n v="20.16"/>
    <s v="None"/>
    <n v="0"/>
    <n v="0"/>
    <n v="20.16"/>
    <x v="9"/>
    <x v="3"/>
    <s v="Cash"/>
    <s v="Sunny"/>
  </r>
  <r>
    <s v="WSR-2026-0786"/>
    <d v="2026-06-08T00:00:00"/>
    <x v="5"/>
    <x v="5"/>
    <s v="Monday"/>
    <x v="23"/>
    <d v="2026-06-30T00:00:00"/>
    <s v="Summer"/>
    <x v="3"/>
    <x v="1"/>
    <s v="Half Day"/>
    <n v="1"/>
    <n v="64.959999999999994"/>
    <s v="Phone Pouch"/>
    <n v="5"/>
    <n v="0"/>
    <n v="69.959999999999994"/>
    <x v="8"/>
    <x v="0"/>
    <s v="Cash"/>
    <s v="Rainy"/>
  </r>
  <r>
    <s v="WSR-2026-0787"/>
    <d v="2026-06-08T00:00:00"/>
    <x v="5"/>
    <x v="5"/>
    <s v="Monday"/>
    <x v="23"/>
    <d v="2026-06-30T00:00:00"/>
    <s v="Summer"/>
    <x v="3"/>
    <x v="9"/>
    <s v="Half Day"/>
    <n v="1"/>
    <n v="80.64"/>
    <s v="Cooler Rental"/>
    <n v="10"/>
    <n v="0"/>
    <n v="90.64"/>
    <x v="0"/>
    <x v="4"/>
    <s v="Mobile Pay"/>
    <s v="Sunny"/>
  </r>
  <r>
    <s v="WSR-2026-0788"/>
    <d v="2026-06-08T00:00:00"/>
    <x v="5"/>
    <x v="5"/>
    <s v="Monday"/>
    <x v="23"/>
    <d v="2026-06-30T00:00:00"/>
    <s v="Summer"/>
    <x v="0"/>
    <x v="2"/>
    <s v="1 Hour"/>
    <n v="1"/>
    <n v="38.08"/>
    <s v="None"/>
    <n v="0"/>
    <n v="0"/>
    <n v="38.08"/>
    <x v="8"/>
    <x v="1"/>
    <s v="Mobile Pay"/>
    <s v="Sunny"/>
  </r>
  <r>
    <s v="WSR-2026-0789"/>
    <d v="2026-06-08T00:00:00"/>
    <x v="5"/>
    <x v="5"/>
    <s v="Monday"/>
    <x v="23"/>
    <d v="2026-06-30T00:00:00"/>
    <s v="Summer"/>
    <x v="4"/>
    <x v="7"/>
    <s v="2 Hours"/>
    <n v="1"/>
    <n v="24.64"/>
    <s v="Dry Bag"/>
    <n v="6"/>
    <n v="3.06"/>
    <n v="27.58"/>
    <x v="4"/>
    <x v="4"/>
    <s v="Credit Card"/>
    <s v="Sunny"/>
  </r>
  <r>
    <s v="WSR-2026-0790"/>
    <d v="2026-06-08T00:00:00"/>
    <x v="5"/>
    <x v="5"/>
    <s v="Monday"/>
    <x v="23"/>
    <d v="2026-06-30T00:00:00"/>
    <s v="Summer"/>
    <x v="0"/>
    <x v="2"/>
    <s v="1 Hour"/>
    <n v="1"/>
    <n v="38.08"/>
    <s v="GoPro Mount"/>
    <n v="8"/>
    <n v="0"/>
    <n v="46.08"/>
    <x v="1"/>
    <x v="1"/>
    <s v="Credit Card"/>
    <s v="Cloudy"/>
  </r>
  <r>
    <s v="WSR-2026-0791"/>
    <d v="2026-06-08T00:00:00"/>
    <x v="5"/>
    <x v="5"/>
    <s v="Monday"/>
    <x v="23"/>
    <d v="2026-06-30T00:00:00"/>
    <s v="Summer"/>
    <x v="2"/>
    <x v="0"/>
    <s v="2 Hours"/>
    <n v="1"/>
    <n v="56"/>
    <s v="Dry Bag"/>
    <n v="6"/>
    <n v="0"/>
    <n v="62"/>
    <x v="4"/>
    <x v="3"/>
    <s v="Debit Card"/>
    <s v="Cloudy"/>
  </r>
  <r>
    <s v="WSR-2026-0792"/>
    <d v="2026-06-08T00:00:00"/>
    <x v="5"/>
    <x v="5"/>
    <s v="Monday"/>
    <x v="23"/>
    <d v="2026-06-30T00:00:00"/>
    <s v="Summer"/>
    <x v="2"/>
    <x v="3"/>
    <s v="2 Hours"/>
    <n v="1"/>
    <n v="40.32"/>
    <s v="Dry Bag"/>
    <n v="6"/>
    <n v="0"/>
    <n v="46.32"/>
    <x v="4"/>
    <x v="1"/>
    <s v="Credit Card"/>
    <s v="Sunny"/>
  </r>
  <r>
    <s v="WSR-2026-0793"/>
    <d v="2026-06-09T00:00:00"/>
    <x v="5"/>
    <x v="5"/>
    <s v="Tuesday"/>
    <x v="23"/>
    <d v="2026-06-30T00:00:00"/>
    <s v="Summer"/>
    <x v="3"/>
    <x v="6"/>
    <s v="2 Hours"/>
    <n v="1"/>
    <n v="64.959999999999994"/>
    <s v="Dry Bag"/>
    <n v="6"/>
    <n v="0"/>
    <n v="70.959999999999994"/>
    <x v="2"/>
    <x v="1"/>
    <s v="Debit Card"/>
    <s v="Sunny"/>
  </r>
  <r>
    <s v="WSR-2026-0794"/>
    <d v="2026-06-09T00:00:00"/>
    <x v="5"/>
    <x v="5"/>
    <s v="Tuesday"/>
    <x v="23"/>
    <d v="2026-06-30T00:00:00"/>
    <s v="Summer"/>
    <x v="1"/>
    <x v="2"/>
    <s v="Full Day"/>
    <n v="1"/>
    <n v="125.44"/>
    <s v="None"/>
    <n v="0"/>
    <n v="12.54"/>
    <n v="112.9"/>
    <x v="9"/>
    <x v="2"/>
    <s v="Mobile Pay"/>
    <s v="Sunny"/>
  </r>
  <r>
    <s v="WSR-2026-0795"/>
    <d v="2026-06-09T00:00:00"/>
    <x v="5"/>
    <x v="5"/>
    <s v="Tuesday"/>
    <x v="23"/>
    <d v="2026-06-30T00:00:00"/>
    <s v="Summer"/>
    <x v="1"/>
    <x v="3"/>
    <s v="Half Day"/>
    <n v="1"/>
    <n v="60.48"/>
    <s v="Dry Bag"/>
    <n v="6"/>
    <n v="3.32"/>
    <n v="63.16"/>
    <x v="1"/>
    <x v="3"/>
    <s v="Debit Card"/>
    <s v="Sunny"/>
  </r>
  <r>
    <s v="WSR-2026-0796"/>
    <d v="2026-06-09T00:00:00"/>
    <x v="5"/>
    <x v="5"/>
    <s v="Tuesday"/>
    <x v="23"/>
    <d v="2026-06-30T00:00:00"/>
    <s v="Summer"/>
    <x v="3"/>
    <x v="5"/>
    <s v="Full Day"/>
    <n v="1"/>
    <n v="98.56"/>
    <s v="None"/>
    <n v="0"/>
    <n v="0"/>
    <n v="98.56"/>
    <x v="3"/>
    <x v="0"/>
    <s v="Mobile Pay"/>
    <s v="Sunny"/>
  </r>
  <r>
    <s v="WSR-2026-0797"/>
    <d v="2026-06-09T00:00:00"/>
    <x v="5"/>
    <x v="5"/>
    <s v="Tuesday"/>
    <x v="23"/>
    <d v="2026-06-30T00:00:00"/>
    <s v="Summer"/>
    <x v="3"/>
    <x v="2"/>
    <s v="Half Day"/>
    <n v="1"/>
    <n v="87.36"/>
    <s v="GoPro Mount"/>
    <n v="8"/>
    <n v="0"/>
    <n v="95.36"/>
    <x v="5"/>
    <x v="4"/>
    <s v="Credit Card"/>
    <s v="Windy"/>
  </r>
  <r>
    <s v="WSR-2026-0798"/>
    <d v="2026-06-09T00:00:00"/>
    <x v="5"/>
    <x v="5"/>
    <s v="Tuesday"/>
    <x v="23"/>
    <d v="2026-06-30T00:00:00"/>
    <s v="Summer"/>
    <x v="0"/>
    <x v="0"/>
    <s v="Half Day"/>
    <n v="1"/>
    <n v="85.12"/>
    <s v="None"/>
    <n v="0"/>
    <n v="0"/>
    <n v="85.12"/>
    <x v="6"/>
    <x v="3"/>
    <s v="Cash"/>
    <s v="Windy"/>
  </r>
  <r>
    <s v="WSR-2026-0799"/>
    <d v="2026-06-09T00:00:00"/>
    <x v="5"/>
    <x v="5"/>
    <s v="Tuesday"/>
    <x v="23"/>
    <d v="2026-06-30T00:00:00"/>
    <s v="Summer"/>
    <x v="3"/>
    <x v="0"/>
    <s v="2 Hours"/>
    <n v="1"/>
    <n v="56"/>
    <s v="Phone Pouch"/>
    <n v="5"/>
    <n v="0"/>
    <n v="61"/>
    <x v="2"/>
    <x v="2"/>
    <s v="Debit Card"/>
    <s v="Sunny"/>
  </r>
  <r>
    <s v="WSR-2026-0800"/>
    <d v="2026-06-09T00:00:00"/>
    <x v="5"/>
    <x v="5"/>
    <s v="Tuesday"/>
    <x v="23"/>
    <d v="2026-06-30T00:00:00"/>
    <s v="Summer"/>
    <x v="4"/>
    <x v="2"/>
    <s v="Half Day"/>
    <n v="1"/>
    <n v="87.36"/>
    <s v="None"/>
    <n v="0"/>
    <n v="8.74"/>
    <n v="78.62"/>
    <x v="5"/>
    <x v="2"/>
    <s v="Debit Card"/>
    <s v="Cloudy"/>
  </r>
  <r>
    <s v="WSR-2026-0801"/>
    <d v="2026-06-09T00:00:00"/>
    <x v="5"/>
    <x v="5"/>
    <s v="Tuesday"/>
    <x v="23"/>
    <d v="2026-06-30T00:00:00"/>
    <s v="Summer"/>
    <x v="2"/>
    <x v="7"/>
    <s v="Half Day"/>
    <n v="1"/>
    <n v="38.08"/>
    <s v="None"/>
    <n v="0"/>
    <n v="0"/>
    <n v="38.08"/>
    <x v="8"/>
    <x v="4"/>
    <s v="Debit Card"/>
    <s v="Sunny"/>
  </r>
  <r>
    <s v="WSR-2026-0802"/>
    <d v="2026-06-09T00:00:00"/>
    <x v="5"/>
    <x v="5"/>
    <s v="Tuesday"/>
    <x v="23"/>
    <d v="2026-06-30T00:00:00"/>
    <s v="Summer"/>
    <x v="2"/>
    <x v="1"/>
    <s v="1 Hour"/>
    <n v="1"/>
    <n v="26.88"/>
    <s v="Waterproof Speaker"/>
    <n v="12"/>
    <n v="0"/>
    <n v="38.880000000000003"/>
    <x v="9"/>
    <x v="1"/>
    <s v="Credit Card"/>
    <s v="Sunny"/>
  </r>
  <r>
    <s v="WSR-2026-0803"/>
    <d v="2026-06-10T00:00:00"/>
    <x v="5"/>
    <x v="5"/>
    <s v="Wednesday"/>
    <x v="23"/>
    <d v="2026-06-30T00:00:00"/>
    <s v="Summer"/>
    <x v="0"/>
    <x v="1"/>
    <s v="2 Hours"/>
    <n v="1"/>
    <n v="42.56"/>
    <s v="GoPro Mount"/>
    <n v="8"/>
    <n v="0"/>
    <n v="50.56"/>
    <x v="5"/>
    <x v="1"/>
    <s v="Mobile Pay"/>
    <s v="Sunny"/>
  </r>
  <r>
    <s v="WSR-2026-0804"/>
    <d v="2026-06-10T00:00:00"/>
    <x v="5"/>
    <x v="5"/>
    <s v="Wednesday"/>
    <x v="23"/>
    <d v="2026-06-30T00:00:00"/>
    <s v="Summer"/>
    <x v="2"/>
    <x v="1"/>
    <s v="1 Hour"/>
    <n v="1"/>
    <n v="26.88"/>
    <s v="None"/>
    <n v="0"/>
    <n v="0"/>
    <n v="26.88"/>
    <x v="1"/>
    <x v="2"/>
    <s v="Gift Card"/>
    <s v="Sunny"/>
  </r>
  <r>
    <s v="WSR-2026-0805"/>
    <d v="2026-06-10T00:00:00"/>
    <x v="5"/>
    <x v="5"/>
    <s v="Wednesday"/>
    <x v="23"/>
    <d v="2026-06-30T00:00:00"/>
    <s v="Summer"/>
    <x v="2"/>
    <x v="5"/>
    <s v="2 Hours"/>
    <n v="1"/>
    <n v="47.04"/>
    <s v="None"/>
    <n v="0"/>
    <n v="0"/>
    <n v="47.04"/>
    <x v="4"/>
    <x v="0"/>
    <s v="Mobile Pay"/>
    <s v="Cloudy"/>
  </r>
  <r>
    <s v="WSR-2026-0806"/>
    <d v="2026-06-10T00:00:00"/>
    <x v="5"/>
    <x v="5"/>
    <s v="Wednesday"/>
    <x v="23"/>
    <d v="2026-06-30T00:00:00"/>
    <s v="Summer"/>
    <x v="2"/>
    <x v="5"/>
    <s v="1 Hour"/>
    <n v="1"/>
    <n v="29.12"/>
    <s v="Dry Bag"/>
    <n v="6"/>
    <n v="0"/>
    <n v="35.119999999999997"/>
    <x v="3"/>
    <x v="0"/>
    <s v="Credit Card"/>
    <s v="Sunny"/>
  </r>
  <r>
    <s v="WSR-2026-0807"/>
    <d v="2026-06-10T00:00:00"/>
    <x v="5"/>
    <x v="5"/>
    <s v="Wednesday"/>
    <x v="23"/>
    <d v="2026-06-30T00:00:00"/>
    <s v="Summer"/>
    <x v="2"/>
    <x v="1"/>
    <s v="2 Hours"/>
    <n v="1"/>
    <n v="42.56"/>
    <s v="Premium Life Jacket"/>
    <n v="7"/>
    <n v="0"/>
    <n v="49.56"/>
    <x v="5"/>
    <x v="2"/>
    <s v="Mobile Pay"/>
    <s v="Sunny"/>
  </r>
  <r>
    <s v="WSR-2026-0808"/>
    <d v="2026-06-10T00:00:00"/>
    <x v="5"/>
    <x v="5"/>
    <s v="Wednesday"/>
    <x v="23"/>
    <d v="2026-06-30T00:00:00"/>
    <s v="Summer"/>
    <x v="3"/>
    <x v="2"/>
    <s v="2 Hours"/>
    <n v="1"/>
    <n v="58.24"/>
    <s v="Phone Pouch"/>
    <n v="5"/>
    <n v="0"/>
    <n v="63.24"/>
    <x v="5"/>
    <x v="2"/>
    <s v="Debit Card"/>
    <s v="Sunny"/>
  </r>
  <r>
    <s v="WSR-2026-0809"/>
    <d v="2026-06-10T00:00:00"/>
    <x v="5"/>
    <x v="5"/>
    <s v="Wednesday"/>
    <x v="23"/>
    <d v="2026-06-30T00:00:00"/>
    <s v="Summer"/>
    <x v="2"/>
    <x v="5"/>
    <s v="1 Hour"/>
    <n v="1"/>
    <n v="29.12"/>
    <s v="None"/>
    <n v="0"/>
    <n v="0"/>
    <n v="29.12"/>
    <x v="9"/>
    <x v="1"/>
    <s v="Credit Card"/>
    <s v="Cloudy"/>
  </r>
  <r>
    <s v="WSR-2026-0810"/>
    <d v="2026-06-10T00:00:00"/>
    <x v="5"/>
    <x v="5"/>
    <s v="Wednesday"/>
    <x v="23"/>
    <d v="2026-06-30T00:00:00"/>
    <s v="Summer"/>
    <x v="2"/>
    <x v="5"/>
    <s v="1 Hour"/>
    <n v="1"/>
    <n v="29.12"/>
    <s v="None"/>
    <n v="0"/>
    <n v="0"/>
    <n v="29.12"/>
    <x v="9"/>
    <x v="4"/>
    <s v="Debit Card"/>
    <s v="Sunny"/>
  </r>
  <r>
    <s v="WSR-2026-0811"/>
    <d v="2026-06-10T00:00:00"/>
    <x v="5"/>
    <x v="5"/>
    <s v="Wednesday"/>
    <x v="23"/>
    <d v="2026-06-30T00:00:00"/>
    <s v="Summer"/>
    <x v="1"/>
    <x v="1"/>
    <s v="Half Day"/>
    <n v="1"/>
    <n v="64.959999999999994"/>
    <s v="Waterproof Speaker"/>
    <n v="12"/>
    <n v="3.85"/>
    <n v="73.11"/>
    <x v="6"/>
    <x v="0"/>
    <s v="Cash"/>
    <s v="Sunny"/>
  </r>
  <r>
    <s v="WSR-2026-0812"/>
    <d v="2026-06-10T00:00:00"/>
    <x v="5"/>
    <x v="5"/>
    <s v="Wednesday"/>
    <x v="23"/>
    <d v="2026-06-30T00:00:00"/>
    <s v="Summer"/>
    <x v="0"/>
    <x v="4"/>
    <s v="2 Hours"/>
    <n v="1"/>
    <n v="20.16"/>
    <s v="None"/>
    <n v="0"/>
    <n v="0"/>
    <n v="20.16"/>
    <x v="8"/>
    <x v="1"/>
    <s v="Cash"/>
    <s v="Sunny"/>
  </r>
  <r>
    <s v="WSR-2026-0813"/>
    <d v="2026-06-10T00:00:00"/>
    <x v="5"/>
    <x v="5"/>
    <s v="Wednesday"/>
    <x v="23"/>
    <d v="2026-06-30T00:00:00"/>
    <s v="Summer"/>
    <x v="3"/>
    <x v="8"/>
    <s v="Full Day"/>
    <n v="1"/>
    <n v="38.08"/>
    <s v="Premium Life Jacket"/>
    <n v="7"/>
    <n v="0"/>
    <n v="45.08"/>
    <x v="9"/>
    <x v="3"/>
    <s v="Cash"/>
    <s v="Sunny"/>
  </r>
  <r>
    <s v="WSR-2026-0814"/>
    <d v="2026-06-10T00:00:00"/>
    <x v="5"/>
    <x v="5"/>
    <s v="Wednesday"/>
    <x v="23"/>
    <d v="2026-06-30T00:00:00"/>
    <s v="Summer"/>
    <x v="4"/>
    <x v="8"/>
    <s v="2 Hours"/>
    <n v="1"/>
    <n v="17.920000000000002"/>
    <s v="None"/>
    <n v="0"/>
    <n v="1.79"/>
    <n v="16.13"/>
    <x v="3"/>
    <x v="0"/>
    <s v="Credit Card"/>
    <s v="Sunny"/>
  </r>
  <r>
    <s v="WSR-2026-0815"/>
    <d v="2026-06-10T00:00:00"/>
    <x v="5"/>
    <x v="5"/>
    <s v="Wednesday"/>
    <x v="23"/>
    <d v="2026-06-30T00:00:00"/>
    <s v="Summer"/>
    <x v="2"/>
    <x v="3"/>
    <s v="2 Hours"/>
    <n v="1"/>
    <n v="40.32"/>
    <s v="Dry Bag"/>
    <n v="6"/>
    <n v="0"/>
    <n v="46.32"/>
    <x v="8"/>
    <x v="3"/>
    <s v="Credit Card"/>
    <s v="Sunny"/>
  </r>
  <r>
    <s v="WSR-2026-0816"/>
    <d v="2026-06-10T00:00:00"/>
    <x v="5"/>
    <x v="5"/>
    <s v="Wednesday"/>
    <x v="23"/>
    <d v="2026-06-30T00:00:00"/>
    <s v="Summer"/>
    <x v="0"/>
    <x v="7"/>
    <s v="Half Day"/>
    <n v="1"/>
    <n v="38.08"/>
    <s v="None"/>
    <n v="0"/>
    <n v="1.9"/>
    <n v="36.18"/>
    <x v="5"/>
    <x v="1"/>
    <s v="Mobile Pay"/>
    <s v="Sunny"/>
  </r>
  <r>
    <s v="WSR-2026-0817"/>
    <d v="2026-06-10T00:00:00"/>
    <x v="5"/>
    <x v="5"/>
    <s v="Wednesday"/>
    <x v="23"/>
    <d v="2026-06-30T00:00:00"/>
    <s v="Summer"/>
    <x v="3"/>
    <x v="9"/>
    <s v="1 Hour"/>
    <n v="1"/>
    <n v="33.6"/>
    <s v="Waterproof Speaker"/>
    <n v="12"/>
    <n v="0"/>
    <n v="45.6"/>
    <x v="1"/>
    <x v="0"/>
    <s v="Mobile Pay"/>
    <s v="Sunny"/>
  </r>
  <r>
    <s v="WSR-2026-0818"/>
    <d v="2026-06-10T00:00:00"/>
    <x v="5"/>
    <x v="5"/>
    <s v="Wednesday"/>
    <x v="23"/>
    <d v="2026-06-30T00:00:00"/>
    <s v="Summer"/>
    <x v="3"/>
    <x v="2"/>
    <s v="Half Day"/>
    <n v="1"/>
    <n v="87.36"/>
    <s v="Dry Bag"/>
    <n v="6"/>
    <n v="0"/>
    <n v="93.36"/>
    <x v="4"/>
    <x v="3"/>
    <s v="Debit Card"/>
    <s v="Sunny"/>
  </r>
  <r>
    <s v="WSR-2026-0819"/>
    <d v="2026-06-10T00:00:00"/>
    <x v="5"/>
    <x v="5"/>
    <s v="Wednesday"/>
    <x v="23"/>
    <d v="2026-06-30T00:00:00"/>
    <s v="Summer"/>
    <x v="2"/>
    <x v="7"/>
    <s v="1 Hour"/>
    <n v="1"/>
    <n v="15.68"/>
    <s v="None"/>
    <n v="0"/>
    <n v="0"/>
    <n v="15.68"/>
    <x v="1"/>
    <x v="2"/>
    <s v="Credit Card"/>
    <s v="Sunny"/>
  </r>
  <r>
    <s v="WSR-2026-0820"/>
    <d v="2026-06-11T00:00:00"/>
    <x v="5"/>
    <x v="5"/>
    <s v="Thursday"/>
    <x v="23"/>
    <d v="2026-06-30T00:00:00"/>
    <s v="Summer"/>
    <x v="2"/>
    <x v="2"/>
    <s v="1 Hour"/>
    <n v="1"/>
    <n v="38.08"/>
    <s v="Cooler Rental"/>
    <n v="10"/>
    <n v="0"/>
    <n v="48.08"/>
    <x v="8"/>
    <x v="3"/>
    <s v="Credit Card"/>
    <s v="Sunny"/>
  </r>
  <r>
    <s v="WSR-2026-0821"/>
    <d v="2026-06-11T00:00:00"/>
    <x v="5"/>
    <x v="5"/>
    <s v="Thursday"/>
    <x v="23"/>
    <d v="2026-06-30T00:00:00"/>
    <s v="Summer"/>
    <x v="3"/>
    <x v="5"/>
    <s v="1 Hour"/>
    <n v="1"/>
    <n v="29.12"/>
    <s v="None"/>
    <n v="0"/>
    <n v="0"/>
    <n v="29.12"/>
    <x v="0"/>
    <x v="4"/>
    <s v="Credit Card"/>
    <s v="Sunny"/>
  </r>
  <r>
    <s v="WSR-2026-0822"/>
    <d v="2026-06-11T00:00:00"/>
    <x v="5"/>
    <x v="5"/>
    <s v="Thursday"/>
    <x v="23"/>
    <d v="2026-06-30T00:00:00"/>
    <s v="Summer"/>
    <x v="2"/>
    <x v="2"/>
    <s v="1 Hour"/>
    <n v="1"/>
    <n v="38.08"/>
    <s v="None"/>
    <n v="0"/>
    <n v="0"/>
    <n v="38.08"/>
    <x v="6"/>
    <x v="0"/>
    <s v="Debit Card"/>
    <s v="Windy"/>
  </r>
  <r>
    <s v="WSR-2026-0823"/>
    <d v="2026-06-11T00:00:00"/>
    <x v="5"/>
    <x v="5"/>
    <s v="Thursday"/>
    <x v="23"/>
    <d v="2026-06-30T00:00:00"/>
    <s v="Summer"/>
    <x v="3"/>
    <x v="3"/>
    <s v="1 Hour"/>
    <n v="1"/>
    <n v="24.64"/>
    <s v="Waterproof Speaker"/>
    <n v="12"/>
    <n v="0"/>
    <n v="36.64"/>
    <x v="5"/>
    <x v="3"/>
    <s v="Credit Card"/>
    <s v="Sunny"/>
  </r>
  <r>
    <s v="WSR-2026-0824"/>
    <d v="2026-06-11T00:00:00"/>
    <x v="5"/>
    <x v="5"/>
    <s v="Thursday"/>
    <x v="23"/>
    <d v="2026-06-30T00:00:00"/>
    <s v="Summer"/>
    <x v="0"/>
    <x v="7"/>
    <s v="Half Day"/>
    <n v="1"/>
    <n v="38.08"/>
    <s v="Phone Pouch"/>
    <n v="5"/>
    <n v="0"/>
    <n v="43.08"/>
    <x v="9"/>
    <x v="3"/>
    <s v="Credit Card"/>
    <s v="Sunny"/>
  </r>
  <r>
    <s v="WSR-2026-0825"/>
    <d v="2026-06-11T00:00:00"/>
    <x v="5"/>
    <x v="5"/>
    <s v="Thursday"/>
    <x v="23"/>
    <d v="2026-06-30T00:00:00"/>
    <s v="Summer"/>
    <x v="3"/>
    <x v="5"/>
    <s v="Full Day"/>
    <n v="1"/>
    <n v="98.56"/>
    <s v="None"/>
    <n v="0"/>
    <n v="0"/>
    <n v="98.56"/>
    <x v="3"/>
    <x v="3"/>
    <s v="Gift Card"/>
    <s v="Sunny"/>
  </r>
  <r>
    <s v="WSR-2026-0826"/>
    <d v="2026-06-11T00:00:00"/>
    <x v="5"/>
    <x v="5"/>
    <s v="Thursday"/>
    <x v="23"/>
    <d v="2026-06-30T00:00:00"/>
    <s v="Summer"/>
    <x v="3"/>
    <x v="4"/>
    <s v="2 Hours"/>
    <n v="1"/>
    <n v="20.16"/>
    <s v="Cooler Rental"/>
    <n v="10"/>
    <n v="0"/>
    <n v="30.16"/>
    <x v="1"/>
    <x v="3"/>
    <s v="Debit Card"/>
    <s v="Sunny"/>
  </r>
  <r>
    <s v="WSR-2026-0827"/>
    <d v="2026-06-11T00:00:00"/>
    <x v="5"/>
    <x v="5"/>
    <s v="Thursday"/>
    <x v="23"/>
    <d v="2026-06-30T00:00:00"/>
    <s v="Summer"/>
    <x v="1"/>
    <x v="2"/>
    <s v="2 Hours"/>
    <n v="1"/>
    <n v="58.24"/>
    <s v="None"/>
    <n v="0"/>
    <n v="2.91"/>
    <n v="55.33"/>
    <x v="3"/>
    <x v="0"/>
    <s v="Cash"/>
    <s v="Sunny"/>
  </r>
  <r>
    <s v="WSR-2026-0828"/>
    <d v="2026-06-11T00:00:00"/>
    <x v="5"/>
    <x v="5"/>
    <s v="Thursday"/>
    <x v="23"/>
    <d v="2026-06-30T00:00:00"/>
    <s v="Summer"/>
    <x v="1"/>
    <x v="2"/>
    <s v="Half Day"/>
    <n v="1"/>
    <n v="87.36"/>
    <s v="None"/>
    <n v="0"/>
    <n v="4.37"/>
    <n v="82.99"/>
    <x v="1"/>
    <x v="1"/>
    <s v="Mobile Pay"/>
    <s v="Sunny"/>
  </r>
  <r>
    <s v="WSR-2026-0829"/>
    <d v="2026-06-11T00:00:00"/>
    <x v="5"/>
    <x v="5"/>
    <s v="Thursday"/>
    <x v="23"/>
    <d v="2026-06-30T00:00:00"/>
    <s v="Summer"/>
    <x v="2"/>
    <x v="3"/>
    <s v="2 Hours"/>
    <n v="1"/>
    <n v="40.32"/>
    <s v="Dry Bag"/>
    <n v="6"/>
    <n v="0"/>
    <n v="46.32"/>
    <x v="4"/>
    <x v="3"/>
    <s v="Credit Card"/>
    <s v="Cloudy"/>
  </r>
  <r>
    <s v="WSR-2026-0830"/>
    <d v="2026-06-12T00:00:00"/>
    <x v="5"/>
    <x v="5"/>
    <s v="Friday"/>
    <x v="23"/>
    <d v="2026-06-30T00:00:00"/>
    <s v="Summer"/>
    <x v="2"/>
    <x v="7"/>
    <s v="2 Hours"/>
    <n v="1"/>
    <n v="24.64"/>
    <s v="GoPro Mount"/>
    <n v="8"/>
    <n v="0"/>
    <n v="32.64"/>
    <x v="5"/>
    <x v="4"/>
    <s v="Credit Card"/>
    <s v="Rainy"/>
  </r>
  <r>
    <s v="WSR-2026-0831"/>
    <d v="2026-06-12T00:00:00"/>
    <x v="5"/>
    <x v="5"/>
    <s v="Friday"/>
    <x v="23"/>
    <d v="2026-06-30T00:00:00"/>
    <s v="Summer"/>
    <x v="0"/>
    <x v="3"/>
    <s v="2 Hours"/>
    <n v="1"/>
    <n v="40.32"/>
    <s v="Cooler Rental"/>
    <n v="10"/>
    <n v="0"/>
    <n v="50.32"/>
    <x v="5"/>
    <x v="1"/>
    <s v="Credit Card"/>
    <s v="Cloudy"/>
  </r>
  <r>
    <s v="WSR-2026-0832"/>
    <d v="2026-06-12T00:00:00"/>
    <x v="5"/>
    <x v="5"/>
    <s v="Friday"/>
    <x v="23"/>
    <d v="2026-06-30T00:00:00"/>
    <s v="Summer"/>
    <x v="3"/>
    <x v="7"/>
    <s v="2 Hours"/>
    <n v="1"/>
    <n v="24.64"/>
    <s v="Cooler Rental"/>
    <n v="10"/>
    <n v="0"/>
    <n v="34.64"/>
    <x v="5"/>
    <x v="2"/>
    <s v="Gift Card"/>
    <s v="Sunny"/>
  </r>
  <r>
    <s v="WSR-2026-0833"/>
    <d v="2026-06-12T00:00:00"/>
    <x v="5"/>
    <x v="5"/>
    <s v="Friday"/>
    <x v="23"/>
    <d v="2026-06-30T00:00:00"/>
    <s v="Summer"/>
    <x v="1"/>
    <x v="6"/>
    <s v="Full Day"/>
    <n v="1"/>
    <n v="138.88"/>
    <s v="None"/>
    <n v="0"/>
    <n v="6.94"/>
    <n v="131.94"/>
    <x v="8"/>
    <x v="2"/>
    <s v="Cash"/>
    <s v="Sunny"/>
  </r>
  <r>
    <s v="WSR-2026-0834"/>
    <d v="2026-06-12T00:00:00"/>
    <x v="5"/>
    <x v="5"/>
    <s v="Friday"/>
    <x v="23"/>
    <d v="2026-06-30T00:00:00"/>
    <s v="Summer"/>
    <x v="2"/>
    <x v="0"/>
    <s v="Full Day"/>
    <n v="1"/>
    <n v="123.2"/>
    <s v="Dry Bag"/>
    <n v="6"/>
    <n v="0"/>
    <n v="129.19999999999999"/>
    <x v="5"/>
    <x v="0"/>
    <s v="Mobile Pay"/>
    <s v="Windy"/>
  </r>
  <r>
    <s v="WSR-2026-0835"/>
    <d v="2026-06-12T00:00:00"/>
    <x v="5"/>
    <x v="5"/>
    <s v="Friday"/>
    <x v="23"/>
    <d v="2026-06-30T00:00:00"/>
    <s v="Summer"/>
    <x v="2"/>
    <x v="3"/>
    <s v="Half Day"/>
    <n v="1"/>
    <n v="60.48"/>
    <s v="GoPro Mount"/>
    <n v="8"/>
    <n v="0"/>
    <n v="68.48"/>
    <x v="7"/>
    <x v="3"/>
    <s v="Mobile Pay"/>
    <s v="Windy"/>
  </r>
  <r>
    <s v="WSR-2026-0836"/>
    <d v="2026-06-12T00:00:00"/>
    <x v="5"/>
    <x v="5"/>
    <s v="Friday"/>
    <x v="23"/>
    <d v="2026-06-30T00:00:00"/>
    <s v="Summer"/>
    <x v="2"/>
    <x v="1"/>
    <s v="Full Day"/>
    <n v="1"/>
    <n v="94.08"/>
    <s v="None"/>
    <n v="0"/>
    <n v="0"/>
    <n v="94.08"/>
    <x v="9"/>
    <x v="4"/>
    <s v="Credit Card"/>
    <s v="Sunny"/>
  </r>
  <r>
    <s v="WSR-2026-0837"/>
    <d v="2026-06-12T00:00:00"/>
    <x v="5"/>
    <x v="5"/>
    <s v="Friday"/>
    <x v="23"/>
    <d v="2026-06-30T00:00:00"/>
    <s v="Summer"/>
    <x v="3"/>
    <x v="2"/>
    <s v="Half Day"/>
    <n v="1"/>
    <n v="87.36"/>
    <s v="Dry Bag"/>
    <n v="6"/>
    <n v="4.67"/>
    <n v="88.69"/>
    <x v="2"/>
    <x v="3"/>
    <s v="Debit Card"/>
    <s v="Cloudy"/>
  </r>
  <r>
    <s v="WSR-2026-0838"/>
    <d v="2026-06-12T00:00:00"/>
    <x v="5"/>
    <x v="5"/>
    <s v="Friday"/>
    <x v="23"/>
    <d v="2026-06-30T00:00:00"/>
    <s v="Summer"/>
    <x v="3"/>
    <x v="5"/>
    <s v="1 Hour"/>
    <n v="1"/>
    <n v="29.12"/>
    <s v="None"/>
    <n v="0"/>
    <n v="0"/>
    <n v="29.12"/>
    <x v="7"/>
    <x v="2"/>
    <s v="Credit Card"/>
    <s v="Sunny"/>
  </r>
  <r>
    <s v="WSR-2026-0839"/>
    <d v="2026-06-12T00:00:00"/>
    <x v="5"/>
    <x v="5"/>
    <s v="Friday"/>
    <x v="23"/>
    <d v="2026-06-30T00:00:00"/>
    <s v="Summer"/>
    <x v="2"/>
    <x v="6"/>
    <s v="1 Hour"/>
    <n v="1"/>
    <n v="40.32"/>
    <s v="None"/>
    <n v="0"/>
    <n v="0"/>
    <n v="40.32"/>
    <x v="2"/>
    <x v="2"/>
    <s v="Mobile Pay"/>
    <s v="Sunny"/>
  </r>
  <r>
    <s v="WSR-2026-0840"/>
    <d v="2026-06-12T00:00:00"/>
    <x v="5"/>
    <x v="5"/>
    <s v="Friday"/>
    <x v="23"/>
    <d v="2026-06-30T00:00:00"/>
    <s v="Summer"/>
    <x v="0"/>
    <x v="0"/>
    <s v="Full Day"/>
    <n v="1"/>
    <n v="123.2"/>
    <s v="Waterproof Speaker"/>
    <n v="12"/>
    <n v="0"/>
    <n v="135.19999999999999"/>
    <x v="4"/>
    <x v="2"/>
    <s v="Debit Card"/>
    <s v="Sunny"/>
  </r>
  <r>
    <s v="WSR-2026-0841"/>
    <d v="2026-06-12T00:00:00"/>
    <x v="5"/>
    <x v="5"/>
    <s v="Friday"/>
    <x v="23"/>
    <d v="2026-06-30T00:00:00"/>
    <s v="Summer"/>
    <x v="3"/>
    <x v="1"/>
    <s v="2 Hours"/>
    <n v="1"/>
    <n v="42.56"/>
    <s v="Cooler Rental"/>
    <n v="10"/>
    <n v="0"/>
    <n v="52.56"/>
    <x v="4"/>
    <x v="4"/>
    <s v="Mobile Pay"/>
    <s v="Sunny"/>
  </r>
  <r>
    <s v="WSR-2026-0842"/>
    <d v="2026-06-12T00:00:00"/>
    <x v="5"/>
    <x v="5"/>
    <s v="Friday"/>
    <x v="23"/>
    <d v="2026-06-30T00:00:00"/>
    <s v="Summer"/>
    <x v="2"/>
    <x v="2"/>
    <s v="Full Day"/>
    <n v="1"/>
    <n v="125.44"/>
    <s v="Phone Pouch"/>
    <n v="5"/>
    <n v="0"/>
    <n v="130.44"/>
    <x v="0"/>
    <x v="0"/>
    <s v="Mobile Pay"/>
    <s v="Sunny"/>
  </r>
  <r>
    <s v="WSR-2026-0843"/>
    <d v="2026-06-13T00:00:00"/>
    <x v="5"/>
    <x v="5"/>
    <s v="Saturday"/>
    <x v="23"/>
    <d v="2026-06-30T00:00:00"/>
    <s v="Summer"/>
    <x v="1"/>
    <x v="0"/>
    <s v="1 Hour"/>
    <n v="1"/>
    <n v="38.4"/>
    <s v="Dry Bag"/>
    <n v="6"/>
    <n v="0"/>
    <n v="44.4"/>
    <x v="0"/>
    <x v="0"/>
    <s v="Cash"/>
    <s v="Sunny"/>
  </r>
  <r>
    <s v="WSR-2026-0844"/>
    <d v="2026-06-13T00:00:00"/>
    <x v="5"/>
    <x v="5"/>
    <s v="Saturday"/>
    <x v="23"/>
    <d v="2026-06-30T00:00:00"/>
    <s v="Summer"/>
    <x v="0"/>
    <x v="5"/>
    <s v="1 Hour"/>
    <n v="1"/>
    <n v="31.2"/>
    <s v="Phone Pouch"/>
    <n v="5"/>
    <n v="0"/>
    <n v="36.200000000000003"/>
    <x v="2"/>
    <x v="0"/>
    <s v="Credit Card"/>
    <s v="Sunny"/>
  </r>
  <r>
    <s v="WSR-2026-0845"/>
    <d v="2026-06-13T00:00:00"/>
    <x v="5"/>
    <x v="5"/>
    <s v="Saturday"/>
    <x v="23"/>
    <d v="2026-06-30T00:00:00"/>
    <s v="Summer"/>
    <x v="0"/>
    <x v="7"/>
    <s v="1 Hour"/>
    <n v="1"/>
    <n v="16.8"/>
    <s v="Cooler Rental"/>
    <n v="10"/>
    <n v="1.34"/>
    <n v="25.46"/>
    <x v="5"/>
    <x v="3"/>
    <s v="Credit Card"/>
    <s v="Cloudy"/>
  </r>
  <r>
    <s v="WSR-2026-0846"/>
    <d v="2026-06-13T00:00:00"/>
    <x v="5"/>
    <x v="5"/>
    <s v="Saturday"/>
    <x v="23"/>
    <d v="2026-06-30T00:00:00"/>
    <s v="Summer"/>
    <x v="3"/>
    <x v="7"/>
    <s v="Half Day"/>
    <n v="1"/>
    <n v="40.799999999999997"/>
    <s v="Phone Pouch"/>
    <n v="5"/>
    <n v="2.29"/>
    <n v="43.51"/>
    <x v="4"/>
    <x v="4"/>
    <s v="Mobile Pay"/>
    <s v="Sunny"/>
  </r>
  <r>
    <s v="WSR-2026-0847"/>
    <d v="2026-06-13T00:00:00"/>
    <x v="5"/>
    <x v="5"/>
    <s v="Saturday"/>
    <x v="23"/>
    <d v="2026-06-30T00:00:00"/>
    <s v="Summer"/>
    <x v="2"/>
    <x v="2"/>
    <s v="2 Hours"/>
    <n v="1"/>
    <n v="62.4"/>
    <s v="None"/>
    <n v="0"/>
    <n v="0"/>
    <n v="62.4"/>
    <x v="4"/>
    <x v="1"/>
    <s v="Mobile Pay"/>
    <s v="Cloudy"/>
  </r>
  <r>
    <s v="WSR-2026-0848"/>
    <d v="2026-06-13T00:00:00"/>
    <x v="5"/>
    <x v="5"/>
    <s v="Saturday"/>
    <x v="23"/>
    <d v="2026-06-30T00:00:00"/>
    <s v="Summer"/>
    <x v="3"/>
    <x v="4"/>
    <s v="1 Hour"/>
    <n v="1"/>
    <n v="14.4"/>
    <s v="Dry Bag"/>
    <n v="6"/>
    <n v="0"/>
    <n v="20.399999999999999"/>
    <x v="4"/>
    <x v="4"/>
    <s v="Debit Card"/>
    <s v="Sunny"/>
  </r>
  <r>
    <s v="WSR-2026-0849"/>
    <d v="2026-06-13T00:00:00"/>
    <x v="5"/>
    <x v="5"/>
    <s v="Saturday"/>
    <x v="23"/>
    <d v="2026-06-30T00:00:00"/>
    <s v="Summer"/>
    <x v="2"/>
    <x v="3"/>
    <s v="1 Hour"/>
    <n v="1"/>
    <n v="26.4"/>
    <s v="Dry Bag"/>
    <n v="6"/>
    <n v="0"/>
    <n v="32.4"/>
    <x v="0"/>
    <x v="2"/>
    <s v="Mobile Pay"/>
    <s v="Sunny"/>
  </r>
  <r>
    <s v="WSR-2026-0850"/>
    <d v="2026-06-13T00:00:00"/>
    <x v="5"/>
    <x v="5"/>
    <s v="Saturday"/>
    <x v="23"/>
    <d v="2026-06-30T00:00:00"/>
    <s v="Summer"/>
    <x v="2"/>
    <x v="5"/>
    <s v="2 Hours"/>
    <n v="1"/>
    <n v="50.4"/>
    <s v="Dry Bag"/>
    <n v="6"/>
    <n v="0"/>
    <n v="56.4"/>
    <x v="4"/>
    <x v="0"/>
    <s v="Credit Card"/>
    <s v="Sunny"/>
  </r>
  <r>
    <s v="WSR-2026-0851"/>
    <d v="2026-06-13T00:00:00"/>
    <x v="5"/>
    <x v="5"/>
    <s v="Saturday"/>
    <x v="23"/>
    <d v="2026-06-30T00:00:00"/>
    <s v="Summer"/>
    <x v="3"/>
    <x v="2"/>
    <s v="2 Hours"/>
    <n v="1"/>
    <n v="62.4"/>
    <s v="Premium Life Jacket"/>
    <n v="7"/>
    <n v="0"/>
    <n v="69.400000000000006"/>
    <x v="9"/>
    <x v="4"/>
    <s v="Debit Card"/>
    <s v="Cloudy"/>
  </r>
  <r>
    <s v="WSR-2026-0852"/>
    <d v="2026-06-13T00:00:00"/>
    <x v="5"/>
    <x v="5"/>
    <s v="Saturday"/>
    <x v="23"/>
    <d v="2026-06-30T00:00:00"/>
    <s v="Summer"/>
    <x v="2"/>
    <x v="5"/>
    <s v="Half Day"/>
    <n v="1"/>
    <n v="74.400000000000006"/>
    <s v="None"/>
    <n v="0"/>
    <n v="0"/>
    <n v="74.400000000000006"/>
    <x v="3"/>
    <x v="3"/>
    <s v="Credit Card"/>
    <s v="Cloudy"/>
  </r>
  <r>
    <s v="WSR-2026-0853"/>
    <d v="2026-06-13T00:00:00"/>
    <x v="5"/>
    <x v="5"/>
    <s v="Saturday"/>
    <x v="23"/>
    <d v="2026-06-30T00:00:00"/>
    <s v="Summer"/>
    <x v="2"/>
    <x v="5"/>
    <s v="2 Hours"/>
    <n v="1"/>
    <n v="50.4"/>
    <s v="Phone Pouch"/>
    <n v="5"/>
    <n v="0"/>
    <n v="55.4"/>
    <x v="7"/>
    <x v="4"/>
    <s v="Credit Card"/>
    <s v="Windy"/>
  </r>
  <r>
    <s v="WSR-2026-0854"/>
    <d v="2026-06-13T00:00:00"/>
    <x v="5"/>
    <x v="5"/>
    <s v="Saturday"/>
    <x v="23"/>
    <d v="2026-06-30T00:00:00"/>
    <s v="Summer"/>
    <x v="2"/>
    <x v="2"/>
    <s v="Half Day"/>
    <n v="1"/>
    <n v="93.6"/>
    <s v="GoPro Mount"/>
    <n v="8"/>
    <n v="0"/>
    <n v="101.6"/>
    <x v="9"/>
    <x v="3"/>
    <s v="Mobile Pay"/>
    <s v="Sunny"/>
  </r>
  <r>
    <s v="WSR-2026-0855"/>
    <d v="2026-06-13T00:00:00"/>
    <x v="5"/>
    <x v="5"/>
    <s v="Saturday"/>
    <x v="23"/>
    <d v="2026-06-30T00:00:00"/>
    <s v="Summer"/>
    <x v="4"/>
    <x v="4"/>
    <s v="1 Hour"/>
    <n v="1"/>
    <n v="14.4"/>
    <s v="Dry Bag"/>
    <n v="6"/>
    <n v="2.04"/>
    <n v="18.36"/>
    <x v="1"/>
    <x v="1"/>
    <s v="Mobile Pay"/>
    <s v="Sunny"/>
  </r>
  <r>
    <s v="WSR-2026-0856"/>
    <d v="2026-06-13T00:00:00"/>
    <x v="5"/>
    <x v="5"/>
    <s v="Saturday"/>
    <x v="23"/>
    <d v="2026-06-30T00:00:00"/>
    <s v="Summer"/>
    <x v="2"/>
    <x v="5"/>
    <s v="Half Day"/>
    <n v="1"/>
    <n v="74.400000000000006"/>
    <s v="None"/>
    <n v="0"/>
    <n v="0"/>
    <n v="74.400000000000006"/>
    <x v="5"/>
    <x v="1"/>
    <s v="Debit Card"/>
    <s v="Sunny"/>
  </r>
  <r>
    <s v="WSR-2026-0857"/>
    <d v="2026-06-13T00:00:00"/>
    <x v="5"/>
    <x v="5"/>
    <s v="Saturday"/>
    <x v="23"/>
    <d v="2026-06-30T00:00:00"/>
    <s v="Summer"/>
    <x v="2"/>
    <x v="2"/>
    <s v="1 Hour"/>
    <n v="1"/>
    <n v="40.799999999999997"/>
    <s v="Cooler Rental"/>
    <n v="10"/>
    <n v="0"/>
    <n v="50.8"/>
    <x v="7"/>
    <x v="0"/>
    <s v="Credit Card"/>
    <s v="Sunny"/>
  </r>
  <r>
    <s v="WSR-2026-0858"/>
    <d v="2026-06-13T00:00:00"/>
    <x v="5"/>
    <x v="5"/>
    <s v="Saturday"/>
    <x v="23"/>
    <d v="2026-06-30T00:00:00"/>
    <s v="Summer"/>
    <x v="3"/>
    <x v="4"/>
    <s v="Full Day"/>
    <n v="1"/>
    <n v="48"/>
    <s v="None"/>
    <n v="0"/>
    <n v="0"/>
    <n v="48"/>
    <x v="5"/>
    <x v="4"/>
    <s v="Cash"/>
    <s v="Sunny"/>
  </r>
  <r>
    <s v="WSR-2026-0859"/>
    <d v="2026-06-13T00:00:00"/>
    <x v="5"/>
    <x v="5"/>
    <s v="Saturday"/>
    <x v="23"/>
    <d v="2026-06-30T00:00:00"/>
    <s v="Summer"/>
    <x v="2"/>
    <x v="2"/>
    <s v="1 Hour"/>
    <n v="1"/>
    <n v="40.799999999999997"/>
    <s v="Phone Pouch"/>
    <n v="5"/>
    <n v="2.29"/>
    <n v="43.51"/>
    <x v="7"/>
    <x v="4"/>
    <s v="Debit Card"/>
    <s v="Sunny"/>
  </r>
  <r>
    <s v="WSR-2026-0860"/>
    <d v="2026-06-13T00:00:00"/>
    <x v="5"/>
    <x v="5"/>
    <s v="Saturday"/>
    <x v="23"/>
    <d v="2026-06-30T00:00:00"/>
    <s v="Summer"/>
    <x v="3"/>
    <x v="4"/>
    <s v="1 Hour"/>
    <n v="1"/>
    <n v="14.4"/>
    <s v="None"/>
    <n v="0"/>
    <n v="0"/>
    <n v="14.4"/>
    <x v="7"/>
    <x v="4"/>
    <s v="Credit Card"/>
    <s v="Sunny"/>
  </r>
  <r>
    <s v="WSR-2026-0861"/>
    <d v="2026-06-13T00:00:00"/>
    <x v="5"/>
    <x v="5"/>
    <s v="Saturday"/>
    <x v="23"/>
    <d v="2026-06-30T00:00:00"/>
    <s v="Summer"/>
    <x v="3"/>
    <x v="5"/>
    <s v="Full Day"/>
    <n v="1"/>
    <n v="105.6"/>
    <s v="Dry Bag"/>
    <n v="6"/>
    <n v="0"/>
    <n v="111.6"/>
    <x v="0"/>
    <x v="0"/>
    <s v="Cash"/>
    <s v="Sunny"/>
  </r>
  <r>
    <s v="WSR-2026-0862"/>
    <d v="2026-06-13T00:00:00"/>
    <x v="5"/>
    <x v="5"/>
    <s v="Saturday"/>
    <x v="23"/>
    <d v="2026-06-30T00:00:00"/>
    <s v="Summer"/>
    <x v="2"/>
    <x v="4"/>
    <s v="1 Hour"/>
    <n v="1"/>
    <n v="14.4"/>
    <s v="None"/>
    <n v="0"/>
    <n v="0"/>
    <n v="14.4"/>
    <x v="1"/>
    <x v="4"/>
    <s v="Credit Card"/>
    <s v="Sunny"/>
  </r>
  <r>
    <s v="WSR-2026-0863"/>
    <d v="2026-06-13T00:00:00"/>
    <x v="5"/>
    <x v="5"/>
    <s v="Saturday"/>
    <x v="23"/>
    <d v="2026-06-30T00:00:00"/>
    <s v="Summer"/>
    <x v="2"/>
    <x v="8"/>
    <s v="2 Hours"/>
    <n v="1"/>
    <n v="19.2"/>
    <s v="Waterproof Speaker"/>
    <n v="12"/>
    <n v="0"/>
    <n v="31.2"/>
    <x v="3"/>
    <x v="1"/>
    <s v="Gift Card"/>
    <s v="Sunny"/>
  </r>
  <r>
    <s v="WSR-2026-0864"/>
    <d v="2026-06-14T00:00:00"/>
    <x v="5"/>
    <x v="5"/>
    <s v="Sunday"/>
    <x v="24"/>
    <d v="2026-06-30T00:00:00"/>
    <s v="Summer"/>
    <x v="0"/>
    <x v="8"/>
    <s v="Half Day"/>
    <n v="1"/>
    <n v="28.8"/>
    <s v="None"/>
    <n v="0"/>
    <n v="0"/>
    <n v="28.8"/>
    <x v="5"/>
    <x v="2"/>
    <s v="Credit Card"/>
    <s v="Sunny"/>
  </r>
  <r>
    <s v="WSR-2026-0865"/>
    <d v="2026-06-14T00:00:00"/>
    <x v="5"/>
    <x v="5"/>
    <s v="Sunday"/>
    <x v="24"/>
    <d v="2026-06-30T00:00:00"/>
    <s v="Summer"/>
    <x v="3"/>
    <x v="1"/>
    <s v="1 Hour"/>
    <n v="1"/>
    <n v="28.8"/>
    <s v="Phone Pouch"/>
    <n v="5"/>
    <n v="0"/>
    <n v="33.799999999999997"/>
    <x v="1"/>
    <x v="2"/>
    <s v="Mobile Pay"/>
    <s v="Sunny"/>
  </r>
  <r>
    <s v="WSR-2026-0866"/>
    <d v="2026-06-14T00:00:00"/>
    <x v="5"/>
    <x v="5"/>
    <s v="Sunday"/>
    <x v="24"/>
    <d v="2026-06-30T00:00:00"/>
    <s v="Summer"/>
    <x v="2"/>
    <x v="2"/>
    <s v="1 Hour"/>
    <n v="1"/>
    <n v="40.799999999999997"/>
    <s v="None"/>
    <n v="0"/>
    <n v="0"/>
    <n v="40.799999999999997"/>
    <x v="1"/>
    <x v="2"/>
    <s v="Credit Card"/>
    <s v="Sunny"/>
  </r>
  <r>
    <s v="WSR-2026-0867"/>
    <d v="2026-06-14T00:00:00"/>
    <x v="5"/>
    <x v="5"/>
    <s v="Sunday"/>
    <x v="24"/>
    <d v="2026-06-30T00:00:00"/>
    <s v="Summer"/>
    <x v="1"/>
    <x v="5"/>
    <s v="Half Day"/>
    <n v="1"/>
    <n v="74.400000000000006"/>
    <s v="None"/>
    <n v="0"/>
    <n v="7.44"/>
    <n v="66.959999999999994"/>
    <x v="1"/>
    <x v="4"/>
    <s v="Mobile Pay"/>
    <s v="Sunny"/>
  </r>
  <r>
    <s v="WSR-2026-0868"/>
    <d v="2026-06-14T00:00:00"/>
    <x v="5"/>
    <x v="5"/>
    <s v="Sunday"/>
    <x v="24"/>
    <d v="2026-06-30T00:00:00"/>
    <s v="Summer"/>
    <x v="2"/>
    <x v="2"/>
    <s v="2 Hours"/>
    <n v="1"/>
    <n v="62.4"/>
    <s v="Dry Bag"/>
    <n v="6"/>
    <n v="0"/>
    <n v="68.400000000000006"/>
    <x v="3"/>
    <x v="4"/>
    <s v="Debit Card"/>
    <s v="Sunny"/>
  </r>
  <r>
    <s v="WSR-2026-0869"/>
    <d v="2026-06-14T00:00:00"/>
    <x v="5"/>
    <x v="5"/>
    <s v="Sunday"/>
    <x v="24"/>
    <d v="2026-06-30T00:00:00"/>
    <s v="Summer"/>
    <x v="3"/>
    <x v="6"/>
    <s v="Full Day"/>
    <n v="1"/>
    <n v="148.80000000000001"/>
    <s v="None"/>
    <n v="0"/>
    <n v="0"/>
    <n v="148.80000000000001"/>
    <x v="9"/>
    <x v="1"/>
    <s v="Credit Card"/>
    <s v="Sunny"/>
  </r>
  <r>
    <s v="WSR-2026-0870"/>
    <d v="2026-06-14T00:00:00"/>
    <x v="5"/>
    <x v="5"/>
    <s v="Sunday"/>
    <x v="24"/>
    <d v="2026-06-30T00:00:00"/>
    <s v="Summer"/>
    <x v="4"/>
    <x v="1"/>
    <s v="2 Hours"/>
    <n v="1"/>
    <n v="45.6"/>
    <s v="None"/>
    <n v="0"/>
    <n v="6.84"/>
    <n v="38.76"/>
    <x v="2"/>
    <x v="3"/>
    <s v="Debit Card"/>
    <s v="Sunny"/>
  </r>
  <r>
    <s v="WSR-2026-0871"/>
    <d v="2026-06-14T00:00:00"/>
    <x v="5"/>
    <x v="5"/>
    <s v="Sunday"/>
    <x v="24"/>
    <d v="2026-06-30T00:00:00"/>
    <s v="Summer"/>
    <x v="3"/>
    <x v="3"/>
    <s v="2 Hours"/>
    <n v="1"/>
    <n v="43.2"/>
    <s v="None"/>
    <n v="0"/>
    <n v="0"/>
    <n v="43.2"/>
    <x v="6"/>
    <x v="0"/>
    <s v="Debit Card"/>
    <s v="Sunny"/>
  </r>
  <r>
    <s v="WSR-2026-0872"/>
    <d v="2026-06-14T00:00:00"/>
    <x v="5"/>
    <x v="5"/>
    <s v="Sunday"/>
    <x v="24"/>
    <d v="2026-06-30T00:00:00"/>
    <s v="Summer"/>
    <x v="3"/>
    <x v="5"/>
    <s v="2 Hours"/>
    <n v="1"/>
    <n v="50.4"/>
    <s v="Dry Bag"/>
    <n v="6"/>
    <n v="0"/>
    <n v="56.4"/>
    <x v="1"/>
    <x v="0"/>
    <s v="Debit Card"/>
    <s v="Sunny"/>
  </r>
  <r>
    <s v="WSR-2026-0873"/>
    <d v="2026-06-14T00:00:00"/>
    <x v="5"/>
    <x v="5"/>
    <s v="Sunday"/>
    <x v="24"/>
    <d v="2026-06-30T00:00:00"/>
    <s v="Summer"/>
    <x v="1"/>
    <x v="5"/>
    <s v="Full Day"/>
    <n v="1"/>
    <n v="105.6"/>
    <s v="Phone Pouch"/>
    <n v="5"/>
    <n v="0"/>
    <n v="110.6"/>
    <x v="4"/>
    <x v="4"/>
    <s v="Credit Card"/>
    <s v="Sunny"/>
  </r>
  <r>
    <s v="WSR-2026-0874"/>
    <d v="2026-06-14T00:00:00"/>
    <x v="5"/>
    <x v="5"/>
    <s v="Sunday"/>
    <x v="24"/>
    <d v="2026-06-30T00:00:00"/>
    <s v="Summer"/>
    <x v="4"/>
    <x v="1"/>
    <s v="1 Hour"/>
    <n v="1"/>
    <n v="28.8"/>
    <s v="None"/>
    <n v="0"/>
    <n v="2.88"/>
    <n v="25.92"/>
    <x v="4"/>
    <x v="1"/>
    <s v="Debit Card"/>
    <s v="Sunny"/>
  </r>
  <r>
    <s v="WSR-2026-0875"/>
    <d v="2026-06-14T00:00:00"/>
    <x v="5"/>
    <x v="5"/>
    <s v="Sunday"/>
    <x v="24"/>
    <d v="2026-06-30T00:00:00"/>
    <s v="Summer"/>
    <x v="3"/>
    <x v="1"/>
    <s v="2 Hours"/>
    <n v="1"/>
    <n v="45.6"/>
    <s v="None"/>
    <n v="0"/>
    <n v="0"/>
    <n v="45.6"/>
    <x v="3"/>
    <x v="1"/>
    <s v="Mobile Pay"/>
    <s v="Sunny"/>
  </r>
  <r>
    <s v="WSR-2026-0876"/>
    <d v="2026-06-14T00:00:00"/>
    <x v="5"/>
    <x v="5"/>
    <s v="Sunday"/>
    <x v="24"/>
    <d v="2026-06-30T00:00:00"/>
    <s v="Summer"/>
    <x v="2"/>
    <x v="9"/>
    <s v="Half Day"/>
    <n v="1"/>
    <n v="86.4"/>
    <s v="None"/>
    <n v="0"/>
    <n v="0"/>
    <n v="86.4"/>
    <x v="9"/>
    <x v="0"/>
    <s v="Debit Card"/>
    <s v="Sunny"/>
  </r>
  <r>
    <s v="WSR-2026-0877"/>
    <d v="2026-06-14T00:00:00"/>
    <x v="5"/>
    <x v="5"/>
    <s v="Sunday"/>
    <x v="24"/>
    <d v="2026-06-30T00:00:00"/>
    <s v="Summer"/>
    <x v="3"/>
    <x v="2"/>
    <s v="2 Hours"/>
    <n v="1"/>
    <n v="62.4"/>
    <s v="None"/>
    <n v="0"/>
    <n v="0"/>
    <n v="62.4"/>
    <x v="1"/>
    <x v="2"/>
    <s v="Cash"/>
    <s v="Sunny"/>
  </r>
  <r>
    <s v="WSR-2026-0878"/>
    <d v="2026-06-14T00:00:00"/>
    <x v="5"/>
    <x v="5"/>
    <s v="Sunday"/>
    <x v="24"/>
    <d v="2026-06-30T00:00:00"/>
    <s v="Summer"/>
    <x v="0"/>
    <x v="4"/>
    <s v="2 Hours"/>
    <n v="1"/>
    <n v="21.6"/>
    <s v="Dry Bag"/>
    <n v="6"/>
    <n v="0"/>
    <n v="27.6"/>
    <x v="7"/>
    <x v="3"/>
    <s v="Debit Card"/>
    <s v="Sunny"/>
  </r>
  <r>
    <s v="WSR-2026-0879"/>
    <d v="2026-06-14T00:00:00"/>
    <x v="5"/>
    <x v="5"/>
    <s v="Sunday"/>
    <x v="24"/>
    <d v="2026-06-30T00:00:00"/>
    <s v="Summer"/>
    <x v="4"/>
    <x v="1"/>
    <s v="Half Day"/>
    <n v="1"/>
    <n v="69.599999999999994"/>
    <s v="None"/>
    <n v="0"/>
    <n v="6.96"/>
    <n v="62.64"/>
    <x v="4"/>
    <x v="4"/>
    <s v="Mobile Pay"/>
    <s v="Sunny"/>
  </r>
  <r>
    <s v="WSR-2026-0880"/>
    <d v="2026-06-14T00:00:00"/>
    <x v="5"/>
    <x v="5"/>
    <s v="Sunday"/>
    <x v="24"/>
    <d v="2026-06-30T00:00:00"/>
    <s v="Summer"/>
    <x v="2"/>
    <x v="0"/>
    <s v="1 Hour"/>
    <n v="1"/>
    <n v="38.4"/>
    <s v="None"/>
    <n v="0"/>
    <n v="0"/>
    <n v="38.4"/>
    <x v="3"/>
    <x v="3"/>
    <s v="Cash"/>
    <s v="Sunny"/>
  </r>
  <r>
    <s v="WSR-2026-0881"/>
    <d v="2026-06-14T00:00:00"/>
    <x v="5"/>
    <x v="5"/>
    <s v="Sunday"/>
    <x v="24"/>
    <d v="2026-06-30T00:00:00"/>
    <s v="Summer"/>
    <x v="0"/>
    <x v="5"/>
    <s v="Half Day"/>
    <n v="1"/>
    <n v="74.400000000000006"/>
    <s v="None"/>
    <n v="0"/>
    <n v="0"/>
    <n v="74.400000000000006"/>
    <x v="3"/>
    <x v="1"/>
    <s v="Mobile Pay"/>
    <s v="Cloudy"/>
  </r>
  <r>
    <s v="WSR-2026-0882"/>
    <d v="2026-06-14T00:00:00"/>
    <x v="5"/>
    <x v="5"/>
    <s v="Sunday"/>
    <x v="24"/>
    <d v="2026-06-30T00:00:00"/>
    <s v="Summer"/>
    <x v="1"/>
    <x v="8"/>
    <s v="Full Day"/>
    <n v="1"/>
    <n v="40.799999999999997"/>
    <s v="Phone Pouch"/>
    <n v="5"/>
    <n v="2.29"/>
    <n v="43.51"/>
    <x v="1"/>
    <x v="4"/>
    <s v="Debit Card"/>
    <s v="Sunny"/>
  </r>
  <r>
    <s v="WSR-2026-0883"/>
    <d v="2026-06-14T00:00:00"/>
    <x v="5"/>
    <x v="5"/>
    <s v="Sunday"/>
    <x v="24"/>
    <d v="2026-06-30T00:00:00"/>
    <s v="Summer"/>
    <x v="0"/>
    <x v="1"/>
    <s v="Full Day"/>
    <n v="1"/>
    <n v="100.8"/>
    <s v="None"/>
    <n v="0"/>
    <n v="0"/>
    <n v="100.8"/>
    <x v="0"/>
    <x v="0"/>
    <s v="Cash"/>
    <s v="Sunny"/>
  </r>
  <r>
    <s v="WSR-2026-0884"/>
    <d v="2026-06-14T00:00:00"/>
    <x v="5"/>
    <x v="5"/>
    <s v="Sunday"/>
    <x v="24"/>
    <d v="2026-06-30T00:00:00"/>
    <s v="Summer"/>
    <x v="1"/>
    <x v="3"/>
    <s v="Full Day"/>
    <n v="1"/>
    <n v="91.2"/>
    <s v="None"/>
    <n v="0"/>
    <n v="0"/>
    <n v="91.2"/>
    <x v="6"/>
    <x v="1"/>
    <s v="Credit Card"/>
    <s v="Sunny"/>
  </r>
  <r>
    <s v="WSR-2026-0885"/>
    <d v="2026-06-14T00:00:00"/>
    <x v="5"/>
    <x v="5"/>
    <s v="Sunday"/>
    <x v="24"/>
    <d v="2026-06-30T00:00:00"/>
    <s v="Summer"/>
    <x v="2"/>
    <x v="2"/>
    <s v="2 Hours"/>
    <n v="1"/>
    <n v="62.4"/>
    <s v="Waterproof Speaker"/>
    <n v="12"/>
    <n v="0"/>
    <n v="74.400000000000006"/>
    <x v="2"/>
    <x v="1"/>
    <s v="Debit Card"/>
    <s v="Sunny"/>
  </r>
  <r>
    <s v="WSR-2026-0886"/>
    <d v="2026-06-14T00:00:00"/>
    <x v="5"/>
    <x v="5"/>
    <s v="Sunday"/>
    <x v="24"/>
    <d v="2026-06-30T00:00:00"/>
    <s v="Summer"/>
    <x v="3"/>
    <x v="2"/>
    <s v="2 Hours"/>
    <n v="1"/>
    <n v="62.4"/>
    <s v="Phone Pouch"/>
    <n v="5"/>
    <n v="0"/>
    <n v="67.400000000000006"/>
    <x v="1"/>
    <x v="3"/>
    <s v="Cash"/>
    <s v="Cloudy"/>
  </r>
  <r>
    <s v="WSR-2026-0887"/>
    <d v="2026-06-14T00:00:00"/>
    <x v="5"/>
    <x v="5"/>
    <s v="Sunday"/>
    <x v="24"/>
    <d v="2026-06-30T00:00:00"/>
    <s v="Summer"/>
    <x v="2"/>
    <x v="0"/>
    <s v="Full Day"/>
    <n v="1"/>
    <n v="132"/>
    <s v="Dry Bag"/>
    <n v="6"/>
    <n v="0"/>
    <n v="138"/>
    <x v="0"/>
    <x v="3"/>
    <s v="Cash"/>
    <s v="Sunny"/>
  </r>
  <r>
    <s v="WSR-2026-0888"/>
    <d v="2026-06-14T00:00:00"/>
    <x v="5"/>
    <x v="5"/>
    <s v="Sunday"/>
    <x v="24"/>
    <d v="2026-06-30T00:00:00"/>
    <s v="Summer"/>
    <x v="3"/>
    <x v="1"/>
    <s v="Full Day"/>
    <n v="1"/>
    <n v="100.8"/>
    <s v="Phone Pouch"/>
    <n v="5"/>
    <n v="0"/>
    <n v="105.8"/>
    <x v="4"/>
    <x v="4"/>
    <s v="Mobile Pay"/>
    <s v="Sunny"/>
  </r>
  <r>
    <s v="WSR-2026-0889"/>
    <d v="2026-06-15T00:00:00"/>
    <x v="5"/>
    <x v="5"/>
    <s v="Monday"/>
    <x v="24"/>
    <d v="2026-06-30T00:00:00"/>
    <s v="Summer"/>
    <x v="3"/>
    <x v="5"/>
    <s v="Half Day"/>
    <n v="1"/>
    <n v="69.44"/>
    <s v="Cooler Rental"/>
    <n v="10"/>
    <n v="0"/>
    <n v="79.44"/>
    <x v="0"/>
    <x v="3"/>
    <s v="Cash"/>
    <s v="Sunny"/>
  </r>
  <r>
    <s v="WSR-2026-0890"/>
    <d v="2026-06-15T00:00:00"/>
    <x v="5"/>
    <x v="5"/>
    <s v="Monday"/>
    <x v="24"/>
    <d v="2026-06-30T00:00:00"/>
    <s v="Summer"/>
    <x v="1"/>
    <x v="7"/>
    <s v="Full Day"/>
    <n v="1"/>
    <n v="53.76"/>
    <s v="None"/>
    <n v="0"/>
    <n v="5.38"/>
    <n v="48.38"/>
    <x v="8"/>
    <x v="0"/>
    <s v="Debit Card"/>
    <s v="Windy"/>
  </r>
  <r>
    <s v="WSR-2026-0891"/>
    <d v="2026-06-15T00:00:00"/>
    <x v="5"/>
    <x v="5"/>
    <s v="Monday"/>
    <x v="24"/>
    <d v="2026-06-30T00:00:00"/>
    <s v="Summer"/>
    <x v="2"/>
    <x v="5"/>
    <s v="Half Day"/>
    <n v="1"/>
    <n v="69.44"/>
    <s v="None"/>
    <n v="0"/>
    <n v="0"/>
    <n v="69.44"/>
    <x v="2"/>
    <x v="0"/>
    <s v="Credit Card"/>
    <s v="Sunny"/>
  </r>
  <r>
    <s v="WSR-2026-0892"/>
    <d v="2026-06-15T00:00:00"/>
    <x v="5"/>
    <x v="5"/>
    <s v="Monday"/>
    <x v="24"/>
    <d v="2026-06-30T00:00:00"/>
    <s v="Summer"/>
    <x v="2"/>
    <x v="2"/>
    <s v="1 Hour"/>
    <n v="1"/>
    <n v="38.08"/>
    <s v="None"/>
    <n v="0"/>
    <n v="0"/>
    <n v="38.08"/>
    <x v="0"/>
    <x v="1"/>
    <s v="Credit Card"/>
    <s v="Sunny"/>
  </r>
  <r>
    <s v="WSR-2026-0893"/>
    <d v="2026-06-15T00:00:00"/>
    <x v="5"/>
    <x v="5"/>
    <s v="Monday"/>
    <x v="24"/>
    <d v="2026-06-30T00:00:00"/>
    <s v="Summer"/>
    <x v="0"/>
    <x v="1"/>
    <s v="2 Hours"/>
    <n v="1"/>
    <n v="42.56"/>
    <s v="None"/>
    <n v="0"/>
    <n v="0"/>
    <n v="42.56"/>
    <x v="5"/>
    <x v="1"/>
    <s v="Credit Card"/>
    <s v="Sunny"/>
  </r>
  <r>
    <s v="WSR-2026-0894"/>
    <d v="2026-06-15T00:00:00"/>
    <x v="5"/>
    <x v="5"/>
    <s v="Monday"/>
    <x v="24"/>
    <d v="2026-06-30T00:00:00"/>
    <s v="Summer"/>
    <x v="3"/>
    <x v="2"/>
    <s v="2 Hours"/>
    <n v="1"/>
    <n v="58.24"/>
    <s v="None"/>
    <n v="0"/>
    <n v="2.91"/>
    <n v="55.33"/>
    <x v="8"/>
    <x v="4"/>
    <s v="Credit Card"/>
    <s v="Sunny"/>
  </r>
  <r>
    <s v="WSR-2026-0895"/>
    <d v="2026-06-15T00:00:00"/>
    <x v="5"/>
    <x v="5"/>
    <s v="Monday"/>
    <x v="24"/>
    <d v="2026-06-30T00:00:00"/>
    <s v="Summer"/>
    <x v="2"/>
    <x v="2"/>
    <s v="Half Day"/>
    <n v="1"/>
    <n v="87.36"/>
    <s v="Waterproof Speaker"/>
    <n v="12"/>
    <n v="0"/>
    <n v="99.36"/>
    <x v="7"/>
    <x v="2"/>
    <s v="Credit Card"/>
    <s v="Sunny"/>
  </r>
  <r>
    <s v="WSR-2026-0896"/>
    <d v="2026-06-15T00:00:00"/>
    <x v="5"/>
    <x v="5"/>
    <s v="Monday"/>
    <x v="24"/>
    <d v="2026-06-30T00:00:00"/>
    <s v="Summer"/>
    <x v="2"/>
    <x v="2"/>
    <s v="1 Hour"/>
    <n v="1"/>
    <n v="38.08"/>
    <s v="None"/>
    <n v="0"/>
    <n v="0"/>
    <n v="38.08"/>
    <x v="3"/>
    <x v="2"/>
    <s v="Credit Card"/>
    <s v="Sunny"/>
  </r>
  <r>
    <s v="WSR-2026-0897"/>
    <d v="2026-06-15T00:00:00"/>
    <x v="5"/>
    <x v="5"/>
    <s v="Monday"/>
    <x v="24"/>
    <d v="2026-06-30T00:00:00"/>
    <s v="Summer"/>
    <x v="2"/>
    <x v="7"/>
    <s v="1 Hour"/>
    <n v="1"/>
    <n v="15.68"/>
    <s v="Dry Bag"/>
    <n v="6"/>
    <n v="0"/>
    <n v="21.68"/>
    <x v="8"/>
    <x v="4"/>
    <s v="Cash"/>
    <s v="Sunny"/>
  </r>
  <r>
    <s v="WSR-2026-0898"/>
    <d v="2026-06-15T00:00:00"/>
    <x v="5"/>
    <x v="5"/>
    <s v="Monday"/>
    <x v="24"/>
    <d v="2026-06-30T00:00:00"/>
    <s v="Summer"/>
    <x v="2"/>
    <x v="1"/>
    <s v="Full Day"/>
    <n v="1"/>
    <n v="94.08"/>
    <s v="None"/>
    <n v="0"/>
    <n v="0"/>
    <n v="94.08"/>
    <x v="6"/>
    <x v="4"/>
    <s v="Credit Card"/>
    <s v="Cloudy"/>
  </r>
  <r>
    <s v="WSR-2026-0899"/>
    <d v="2026-06-15T00:00:00"/>
    <x v="5"/>
    <x v="5"/>
    <s v="Monday"/>
    <x v="24"/>
    <d v="2026-06-30T00:00:00"/>
    <s v="Summer"/>
    <x v="0"/>
    <x v="4"/>
    <s v="1 Hour"/>
    <n v="1"/>
    <n v="13.44"/>
    <s v="Dry Bag"/>
    <n v="6"/>
    <n v="0"/>
    <n v="19.440000000000001"/>
    <x v="7"/>
    <x v="1"/>
    <s v="Debit Card"/>
    <s v="Sunny"/>
  </r>
  <r>
    <s v="WSR-2026-0900"/>
    <d v="2026-06-15T00:00:00"/>
    <x v="5"/>
    <x v="5"/>
    <s v="Monday"/>
    <x v="24"/>
    <d v="2026-06-30T00:00:00"/>
    <s v="Summer"/>
    <x v="1"/>
    <x v="2"/>
    <s v="1 Hour"/>
    <n v="1"/>
    <n v="38.08"/>
    <s v="Dry Bag"/>
    <n v="6"/>
    <n v="4.41"/>
    <n v="39.67"/>
    <x v="4"/>
    <x v="2"/>
    <s v="Debit Card"/>
    <s v="Sunny"/>
  </r>
  <r>
    <s v="WSR-2026-0901"/>
    <d v="2026-06-16T00:00:00"/>
    <x v="5"/>
    <x v="5"/>
    <s v="Tuesday"/>
    <x v="24"/>
    <d v="2026-06-30T00:00:00"/>
    <s v="Summer"/>
    <x v="1"/>
    <x v="3"/>
    <s v="2 Hours"/>
    <n v="1"/>
    <n v="40.32"/>
    <s v="None"/>
    <n v="0"/>
    <n v="0"/>
    <n v="40.32"/>
    <x v="8"/>
    <x v="1"/>
    <s v="Credit Card"/>
    <s v="Sunny"/>
  </r>
  <r>
    <s v="WSR-2026-0902"/>
    <d v="2026-06-16T00:00:00"/>
    <x v="5"/>
    <x v="5"/>
    <s v="Tuesday"/>
    <x v="24"/>
    <d v="2026-06-30T00:00:00"/>
    <s v="Summer"/>
    <x v="3"/>
    <x v="5"/>
    <s v="Full Day"/>
    <n v="1"/>
    <n v="98.56"/>
    <s v="None"/>
    <n v="0"/>
    <n v="0"/>
    <n v="98.56"/>
    <x v="1"/>
    <x v="1"/>
    <s v="Credit Card"/>
    <s v="Sunny"/>
  </r>
  <r>
    <s v="WSR-2026-0903"/>
    <d v="2026-06-16T00:00:00"/>
    <x v="5"/>
    <x v="5"/>
    <s v="Tuesday"/>
    <x v="24"/>
    <d v="2026-06-30T00:00:00"/>
    <s v="Summer"/>
    <x v="0"/>
    <x v="3"/>
    <s v="Half Day"/>
    <n v="1"/>
    <n v="60.48"/>
    <s v="None"/>
    <n v="0"/>
    <n v="0"/>
    <n v="60.48"/>
    <x v="8"/>
    <x v="3"/>
    <s v="Credit Card"/>
    <s v="Sunny"/>
  </r>
  <r>
    <s v="WSR-2026-0904"/>
    <d v="2026-06-16T00:00:00"/>
    <x v="5"/>
    <x v="5"/>
    <s v="Tuesday"/>
    <x v="24"/>
    <d v="2026-06-30T00:00:00"/>
    <s v="Summer"/>
    <x v="1"/>
    <x v="2"/>
    <s v="Full Day"/>
    <n v="1"/>
    <n v="125.44"/>
    <s v="GoPro Mount"/>
    <n v="8"/>
    <n v="13.34"/>
    <n v="120.1"/>
    <x v="5"/>
    <x v="4"/>
    <s v="Cash"/>
    <s v="Windy"/>
  </r>
  <r>
    <s v="WSR-2026-0905"/>
    <d v="2026-06-16T00:00:00"/>
    <x v="5"/>
    <x v="5"/>
    <s v="Tuesday"/>
    <x v="24"/>
    <d v="2026-06-30T00:00:00"/>
    <s v="Summer"/>
    <x v="2"/>
    <x v="5"/>
    <s v="1 Hour"/>
    <n v="1"/>
    <n v="29.12"/>
    <s v="Waterproof Speaker"/>
    <n v="12"/>
    <n v="0"/>
    <n v="41.12"/>
    <x v="6"/>
    <x v="3"/>
    <s v="Credit Card"/>
    <s v="Windy"/>
  </r>
  <r>
    <s v="WSR-2026-0906"/>
    <d v="2026-06-16T00:00:00"/>
    <x v="5"/>
    <x v="5"/>
    <s v="Tuesday"/>
    <x v="24"/>
    <d v="2026-06-30T00:00:00"/>
    <s v="Summer"/>
    <x v="3"/>
    <x v="4"/>
    <s v="1 Hour"/>
    <n v="1"/>
    <n v="13.44"/>
    <s v="Premium Life Jacket"/>
    <n v="7"/>
    <n v="0"/>
    <n v="20.440000000000001"/>
    <x v="3"/>
    <x v="2"/>
    <s v="Cash"/>
    <s v="Sunny"/>
  </r>
  <r>
    <s v="WSR-2026-0907"/>
    <d v="2026-06-16T00:00:00"/>
    <x v="5"/>
    <x v="5"/>
    <s v="Tuesday"/>
    <x v="24"/>
    <d v="2026-06-30T00:00:00"/>
    <s v="Summer"/>
    <x v="3"/>
    <x v="1"/>
    <s v="1 Hour"/>
    <n v="1"/>
    <n v="26.88"/>
    <s v="Cooler Rental"/>
    <n v="10"/>
    <n v="0"/>
    <n v="36.880000000000003"/>
    <x v="5"/>
    <x v="2"/>
    <s v="Mobile Pay"/>
    <s v="Sunny"/>
  </r>
  <r>
    <s v="WSR-2026-0908"/>
    <d v="2026-06-16T00:00:00"/>
    <x v="5"/>
    <x v="5"/>
    <s v="Tuesday"/>
    <x v="24"/>
    <d v="2026-06-30T00:00:00"/>
    <s v="Summer"/>
    <x v="2"/>
    <x v="4"/>
    <s v="1 Hour"/>
    <n v="1"/>
    <n v="13.44"/>
    <s v="GoPro Mount"/>
    <n v="8"/>
    <n v="1.07"/>
    <n v="20.37"/>
    <x v="4"/>
    <x v="1"/>
    <s v="Debit Card"/>
    <s v="Sunny"/>
  </r>
  <r>
    <s v="WSR-2026-0909"/>
    <d v="2026-06-16T00:00:00"/>
    <x v="5"/>
    <x v="5"/>
    <s v="Tuesday"/>
    <x v="24"/>
    <d v="2026-06-30T00:00:00"/>
    <s v="Summer"/>
    <x v="2"/>
    <x v="7"/>
    <s v="Full Day"/>
    <n v="1"/>
    <n v="53.76"/>
    <s v="Cooler Rental"/>
    <n v="10"/>
    <n v="0"/>
    <n v="63.76"/>
    <x v="7"/>
    <x v="1"/>
    <s v="Credit Card"/>
    <s v="Sunny"/>
  </r>
  <r>
    <s v="WSR-2026-0910"/>
    <d v="2026-06-16T00:00:00"/>
    <x v="5"/>
    <x v="5"/>
    <s v="Tuesday"/>
    <x v="24"/>
    <d v="2026-06-30T00:00:00"/>
    <s v="Summer"/>
    <x v="3"/>
    <x v="0"/>
    <s v="2 Hours"/>
    <n v="1"/>
    <n v="56"/>
    <s v="None"/>
    <n v="0"/>
    <n v="0"/>
    <n v="56"/>
    <x v="0"/>
    <x v="3"/>
    <s v="Credit Card"/>
    <s v="Sunny"/>
  </r>
  <r>
    <s v="WSR-2026-0911"/>
    <d v="2026-06-17T00:00:00"/>
    <x v="5"/>
    <x v="5"/>
    <s v="Wednesday"/>
    <x v="24"/>
    <d v="2026-06-30T00:00:00"/>
    <s v="Summer"/>
    <x v="2"/>
    <x v="5"/>
    <s v="Half Day"/>
    <n v="1"/>
    <n v="69.44"/>
    <s v="None"/>
    <n v="0"/>
    <n v="0"/>
    <n v="69.44"/>
    <x v="7"/>
    <x v="0"/>
    <s v="Credit Card"/>
    <s v="Sunny"/>
  </r>
  <r>
    <s v="WSR-2026-0912"/>
    <d v="2026-06-17T00:00:00"/>
    <x v="5"/>
    <x v="5"/>
    <s v="Wednesday"/>
    <x v="24"/>
    <d v="2026-06-30T00:00:00"/>
    <s v="Summer"/>
    <x v="2"/>
    <x v="1"/>
    <s v="2 Hours"/>
    <n v="1"/>
    <n v="42.56"/>
    <s v="None"/>
    <n v="0"/>
    <n v="0"/>
    <n v="42.56"/>
    <x v="2"/>
    <x v="1"/>
    <s v="Credit Card"/>
    <s v="Sunny"/>
  </r>
  <r>
    <s v="WSR-2026-0913"/>
    <d v="2026-06-17T00:00:00"/>
    <x v="5"/>
    <x v="5"/>
    <s v="Wednesday"/>
    <x v="24"/>
    <d v="2026-06-30T00:00:00"/>
    <s v="Summer"/>
    <x v="2"/>
    <x v="5"/>
    <s v="2 Hours"/>
    <n v="1"/>
    <n v="47.04"/>
    <s v="None"/>
    <n v="0"/>
    <n v="0"/>
    <n v="47.04"/>
    <x v="0"/>
    <x v="1"/>
    <s v="Credit Card"/>
    <s v="Windy"/>
  </r>
  <r>
    <s v="WSR-2026-0914"/>
    <d v="2026-06-17T00:00:00"/>
    <x v="5"/>
    <x v="5"/>
    <s v="Wednesday"/>
    <x v="24"/>
    <d v="2026-06-30T00:00:00"/>
    <s v="Summer"/>
    <x v="2"/>
    <x v="1"/>
    <s v="2 Hours"/>
    <n v="1"/>
    <n v="42.56"/>
    <s v="None"/>
    <n v="0"/>
    <n v="0"/>
    <n v="42.56"/>
    <x v="9"/>
    <x v="1"/>
    <s v="Debit Card"/>
    <s v="Sunny"/>
  </r>
  <r>
    <s v="WSR-2026-0915"/>
    <d v="2026-06-17T00:00:00"/>
    <x v="5"/>
    <x v="5"/>
    <s v="Wednesday"/>
    <x v="24"/>
    <d v="2026-06-30T00:00:00"/>
    <s v="Summer"/>
    <x v="3"/>
    <x v="9"/>
    <s v="1 Hour"/>
    <n v="1"/>
    <n v="33.6"/>
    <s v="Dry Bag"/>
    <n v="6"/>
    <n v="0"/>
    <n v="39.6"/>
    <x v="5"/>
    <x v="4"/>
    <s v="Credit Card"/>
    <s v="Sunny"/>
  </r>
  <r>
    <s v="WSR-2026-0916"/>
    <d v="2026-06-17T00:00:00"/>
    <x v="5"/>
    <x v="5"/>
    <s v="Wednesday"/>
    <x v="24"/>
    <d v="2026-06-30T00:00:00"/>
    <s v="Summer"/>
    <x v="3"/>
    <x v="5"/>
    <s v="Half Day"/>
    <n v="1"/>
    <n v="69.44"/>
    <s v="GoPro Mount"/>
    <n v="8"/>
    <n v="0"/>
    <n v="77.44"/>
    <x v="2"/>
    <x v="4"/>
    <s v="Cash"/>
    <s v="Cloudy"/>
  </r>
  <r>
    <s v="WSR-2026-0917"/>
    <d v="2026-06-17T00:00:00"/>
    <x v="5"/>
    <x v="5"/>
    <s v="Wednesday"/>
    <x v="24"/>
    <d v="2026-06-30T00:00:00"/>
    <s v="Summer"/>
    <x v="3"/>
    <x v="8"/>
    <s v="1 Hour"/>
    <n v="1"/>
    <n v="11.2"/>
    <s v="None"/>
    <n v="0"/>
    <n v="0"/>
    <n v="11.2"/>
    <x v="0"/>
    <x v="1"/>
    <s v="Credit Card"/>
    <s v="Sunny"/>
  </r>
  <r>
    <s v="WSR-2026-0918"/>
    <d v="2026-06-17T00:00:00"/>
    <x v="5"/>
    <x v="5"/>
    <s v="Wednesday"/>
    <x v="24"/>
    <d v="2026-06-30T00:00:00"/>
    <s v="Summer"/>
    <x v="3"/>
    <x v="0"/>
    <s v="2 Hours"/>
    <n v="1"/>
    <n v="56"/>
    <s v="GoPro Mount"/>
    <n v="8"/>
    <n v="0"/>
    <n v="64"/>
    <x v="2"/>
    <x v="1"/>
    <s v="Debit Card"/>
    <s v="Sunny"/>
  </r>
  <r>
    <s v="WSR-2026-0919"/>
    <d v="2026-06-17T00:00:00"/>
    <x v="5"/>
    <x v="5"/>
    <s v="Wednesday"/>
    <x v="24"/>
    <d v="2026-06-30T00:00:00"/>
    <s v="Summer"/>
    <x v="3"/>
    <x v="6"/>
    <s v="2 Hours"/>
    <n v="1"/>
    <n v="64.959999999999994"/>
    <s v="Dry Bag"/>
    <n v="6"/>
    <n v="0"/>
    <n v="70.959999999999994"/>
    <x v="9"/>
    <x v="0"/>
    <s v="Cash"/>
    <s v="Sunny"/>
  </r>
  <r>
    <s v="WSR-2026-0920"/>
    <d v="2026-06-17T00:00:00"/>
    <x v="5"/>
    <x v="5"/>
    <s v="Wednesday"/>
    <x v="24"/>
    <d v="2026-06-30T00:00:00"/>
    <s v="Summer"/>
    <x v="2"/>
    <x v="2"/>
    <s v="1 Hour"/>
    <n v="1"/>
    <n v="38.08"/>
    <s v="None"/>
    <n v="0"/>
    <n v="0"/>
    <n v="38.08"/>
    <x v="5"/>
    <x v="1"/>
    <s v="Credit Card"/>
    <s v="Sunny"/>
  </r>
  <r>
    <s v="WSR-2026-0921"/>
    <d v="2026-06-17T00:00:00"/>
    <x v="5"/>
    <x v="5"/>
    <s v="Wednesday"/>
    <x v="24"/>
    <d v="2026-06-30T00:00:00"/>
    <s v="Summer"/>
    <x v="3"/>
    <x v="4"/>
    <s v="1 Hour"/>
    <n v="1"/>
    <n v="13.44"/>
    <s v="None"/>
    <n v="0"/>
    <n v="0"/>
    <n v="13.44"/>
    <x v="8"/>
    <x v="4"/>
    <s v="Mobile Pay"/>
    <s v="Sunny"/>
  </r>
  <r>
    <s v="WSR-2026-0922"/>
    <d v="2026-06-17T00:00:00"/>
    <x v="5"/>
    <x v="5"/>
    <s v="Wednesday"/>
    <x v="24"/>
    <d v="2026-06-30T00:00:00"/>
    <s v="Summer"/>
    <x v="1"/>
    <x v="5"/>
    <s v="2 Hours"/>
    <n v="1"/>
    <n v="47.04"/>
    <s v="Waterproof Speaker"/>
    <n v="12"/>
    <n v="5.9"/>
    <n v="53.14"/>
    <x v="0"/>
    <x v="3"/>
    <s v="Credit Card"/>
    <s v="Sunny"/>
  </r>
  <r>
    <s v="WSR-2026-0923"/>
    <d v="2026-06-17T00:00:00"/>
    <x v="5"/>
    <x v="5"/>
    <s v="Wednesday"/>
    <x v="24"/>
    <d v="2026-06-30T00:00:00"/>
    <s v="Summer"/>
    <x v="4"/>
    <x v="5"/>
    <s v="1 Hour"/>
    <n v="1"/>
    <n v="29.12"/>
    <s v="Phone Pouch"/>
    <n v="5"/>
    <n v="3.41"/>
    <n v="30.71"/>
    <x v="9"/>
    <x v="1"/>
    <s v="Credit Card"/>
    <s v="Sunny"/>
  </r>
  <r>
    <s v="WSR-2026-0924"/>
    <d v="2026-06-17T00:00:00"/>
    <x v="5"/>
    <x v="5"/>
    <s v="Wednesday"/>
    <x v="24"/>
    <d v="2026-06-30T00:00:00"/>
    <s v="Summer"/>
    <x v="3"/>
    <x v="2"/>
    <s v="2 Hours"/>
    <n v="1"/>
    <n v="58.24"/>
    <s v="GoPro Mount"/>
    <n v="8"/>
    <n v="0"/>
    <n v="66.239999999999995"/>
    <x v="7"/>
    <x v="1"/>
    <s v="Mobile Pay"/>
    <s v="Sunny"/>
  </r>
  <r>
    <s v="WSR-2026-0925"/>
    <d v="2026-06-17T00:00:00"/>
    <x v="5"/>
    <x v="5"/>
    <s v="Wednesday"/>
    <x v="24"/>
    <d v="2026-06-30T00:00:00"/>
    <s v="Summer"/>
    <x v="3"/>
    <x v="1"/>
    <s v="1 Hour"/>
    <n v="1"/>
    <n v="26.88"/>
    <s v="None"/>
    <n v="0"/>
    <n v="0"/>
    <n v="26.88"/>
    <x v="0"/>
    <x v="2"/>
    <s v="Debit Card"/>
    <s v="Sunny"/>
  </r>
  <r>
    <s v="WSR-2026-0926"/>
    <d v="2026-06-17T00:00:00"/>
    <x v="5"/>
    <x v="5"/>
    <s v="Wednesday"/>
    <x v="24"/>
    <d v="2026-06-30T00:00:00"/>
    <s v="Summer"/>
    <x v="1"/>
    <x v="3"/>
    <s v="1 Hour"/>
    <n v="1"/>
    <n v="24.64"/>
    <s v="None"/>
    <n v="0"/>
    <n v="2.46"/>
    <n v="22.18"/>
    <x v="7"/>
    <x v="0"/>
    <s v="Debit Card"/>
    <s v="Sunny"/>
  </r>
  <r>
    <s v="WSR-2026-0927"/>
    <d v="2026-06-18T00:00:00"/>
    <x v="5"/>
    <x v="5"/>
    <s v="Thursday"/>
    <x v="24"/>
    <d v="2026-06-30T00:00:00"/>
    <s v="Summer"/>
    <x v="3"/>
    <x v="5"/>
    <s v="1 Hour"/>
    <n v="1"/>
    <n v="29.12"/>
    <s v="None"/>
    <n v="0"/>
    <n v="0"/>
    <n v="29.12"/>
    <x v="7"/>
    <x v="2"/>
    <s v="Credit Card"/>
    <s v="Sunny"/>
  </r>
  <r>
    <s v="WSR-2026-0928"/>
    <d v="2026-06-18T00:00:00"/>
    <x v="5"/>
    <x v="5"/>
    <s v="Thursday"/>
    <x v="24"/>
    <d v="2026-06-30T00:00:00"/>
    <s v="Summer"/>
    <x v="3"/>
    <x v="4"/>
    <s v="2 Hours"/>
    <n v="1"/>
    <n v="20.16"/>
    <s v="None"/>
    <n v="0"/>
    <n v="0"/>
    <n v="20.16"/>
    <x v="3"/>
    <x v="3"/>
    <s v="Credit Card"/>
    <s v="Sunny"/>
  </r>
  <r>
    <s v="WSR-2026-0929"/>
    <d v="2026-06-18T00:00:00"/>
    <x v="5"/>
    <x v="5"/>
    <s v="Thursday"/>
    <x v="24"/>
    <d v="2026-06-30T00:00:00"/>
    <s v="Summer"/>
    <x v="2"/>
    <x v="9"/>
    <s v="2 Hours"/>
    <n v="1"/>
    <n v="53.76"/>
    <s v="None"/>
    <n v="0"/>
    <n v="0"/>
    <n v="53.76"/>
    <x v="6"/>
    <x v="1"/>
    <s v="Credit Card"/>
    <s v="Sunny"/>
  </r>
  <r>
    <s v="WSR-2026-0930"/>
    <d v="2026-06-18T00:00:00"/>
    <x v="5"/>
    <x v="5"/>
    <s v="Thursday"/>
    <x v="24"/>
    <d v="2026-06-30T00:00:00"/>
    <s v="Summer"/>
    <x v="1"/>
    <x v="9"/>
    <s v="1 Hour"/>
    <n v="1"/>
    <n v="33.6"/>
    <s v="Dry Bag"/>
    <n v="6"/>
    <n v="3.96"/>
    <n v="35.64"/>
    <x v="8"/>
    <x v="4"/>
    <s v="Credit Card"/>
    <s v="Sunny"/>
  </r>
  <r>
    <s v="WSR-2026-0931"/>
    <d v="2026-06-18T00:00:00"/>
    <x v="5"/>
    <x v="5"/>
    <s v="Thursday"/>
    <x v="24"/>
    <d v="2026-06-30T00:00:00"/>
    <s v="Summer"/>
    <x v="2"/>
    <x v="6"/>
    <s v="Full Day"/>
    <n v="1"/>
    <n v="138.88"/>
    <s v="Dry Bag"/>
    <n v="6"/>
    <n v="0"/>
    <n v="144.88"/>
    <x v="4"/>
    <x v="3"/>
    <s v="Credit Card"/>
    <s v="Sunny"/>
  </r>
  <r>
    <s v="WSR-2026-0932"/>
    <d v="2026-06-18T00:00:00"/>
    <x v="5"/>
    <x v="5"/>
    <s v="Thursday"/>
    <x v="24"/>
    <d v="2026-06-30T00:00:00"/>
    <s v="Summer"/>
    <x v="3"/>
    <x v="2"/>
    <s v="Half Day"/>
    <n v="1"/>
    <n v="87.36"/>
    <s v="Phone Pouch"/>
    <n v="5"/>
    <n v="0"/>
    <n v="92.36"/>
    <x v="9"/>
    <x v="4"/>
    <s v="Credit Card"/>
    <s v="Cloudy"/>
  </r>
  <r>
    <s v="WSR-2026-0933"/>
    <d v="2026-06-18T00:00:00"/>
    <x v="5"/>
    <x v="5"/>
    <s v="Thursday"/>
    <x v="24"/>
    <d v="2026-06-30T00:00:00"/>
    <s v="Summer"/>
    <x v="0"/>
    <x v="4"/>
    <s v="1 Hour"/>
    <n v="1"/>
    <n v="13.44"/>
    <s v="Premium Life Jacket"/>
    <n v="7"/>
    <n v="0"/>
    <n v="20.440000000000001"/>
    <x v="2"/>
    <x v="4"/>
    <s v="Debit Card"/>
    <s v="Cloudy"/>
  </r>
  <r>
    <s v="WSR-2026-0934"/>
    <d v="2026-06-18T00:00:00"/>
    <x v="5"/>
    <x v="5"/>
    <s v="Thursday"/>
    <x v="24"/>
    <d v="2026-06-30T00:00:00"/>
    <s v="Summer"/>
    <x v="4"/>
    <x v="1"/>
    <s v="1 Hour"/>
    <n v="1"/>
    <n v="26.88"/>
    <s v="Dry Bag"/>
    <n v="6"/>
    <n v="3.29"/>
    <n v="29.59"/>
    <x v="0"/>
    <x v="4"/>
    <s v="Debit Card"/>
    <s v="Sunny"/>
  </r>
  <r>
    <s v="WSR-2026-0935"/>
    <d v="2026-06-18T00:00:00"/>
    <x v="5"/>
    <x v="5"/>
    <s v="Thursday"/>
    <x v="24"/>
    <d v="2026-06-30T00:00:00"/>
    <s v="Summer"/>
    <x v="3"/>
    <x v="2"/>
    <s v="Full Day"/>
    <n v="1"/>
    <n v="125.44"/>
    <s v="GoPro Mount"/>
    <n v="8"/>
    <n v="0"/>
    <n v="133.44"/>
    <x v="8"/>
    <x v="0"/>
    <s v="Debit Card"/>
    <s v="Sunny"/>
  </r>
  <r>
    <s v="WSR-2026-0936"/>
    <d v="2026-06-18T00:00:00"/>
    <x v="5"/>
    <x v="5"/>
    <s v="Thursday"/>
    <x v="24"/>
    <d v="2026-06-30T00:00:00"/>
    <s v="Summer"/>
    <x v="0"/>
    <x v="2"/>
    <s v="2 Hours"/>
    <n v="1"/>
    <n v="58.24"/>
    <s v="None"/>
    <n v="0"/>
    <n v="0"/>
    <n v="58.24"/>
    <x v="4"/>
    <x v="2"/>
    <s v="Credit Card"/>
    <s v="Sunny"/>
  </r>
  <r>
    <s v="WSR-2026-0937"/>
    <d v="2026-06-18T00:00:00"/>
    <x v="5"/>
    <x v="5"/>
    <s v="Thursday"/>
    <x v="24"/>
    <d v="2026-06-30T00:00:00"/>
    <s v="Summer"/>
    <x v="2"/>
    <x v="9"/>
    <s v="Half Day"/>
    <n v="1"/>
    <n v="80.64"/>
    <s v="Phone Pouch"/>
    <n v="5"/>
    <n v="0"/>
    <n v="85.64"/>
    <x v="1"/>
    <x v="4"/>
    <s v="Gift Card"/>
    <s v="Sunny"/>
  </r>
  <r>
    <s v="WSR-2026-0938"/>
    <d v="2026-06-18T00:00:00"/>
    <x v="5"/>
    <x v="5"/>
    <s v="Thursday"/>
    <x v="24"/>
    <d v="2026-06-30T00:00:00"/>
    <s v="Summer"/>
    <x v="3"/>
    <x v="3"/>
    <s v="2 Hours"/>
    <n v="1"/>
    <n v="40.32"/>
    <s v="Dry Bag"/>
    <n v="6"/>
    <n v="0"/>
    <n v="46.32"/>
    <x v="1"/>
    <x v="4"/>
    <s v="Mobile Pay"/>
    <s v="Sunny"/>
  </r>
  <r>
    <s v="WSR-2026-0939"/>
    <d v="2026-06-18T00:00:00"/>
    <x v="5"/>
    <x v="5"/>
    <s v="Thursday"/>
    <x v="24"/>
    <d v="2026-06-30T00:00:00"/>
    <s v="Summer"/>
    <x v="2"/>
    <x v="2"/>
    <s v="2 Hours"/>
    <n v="1"/>
    <n v="58.24"/>
    <s v="None"/>
    <n v="0"/>
    <n v="0"/>
    <n v="58.24"/>
    <x v="7"/>
    <x v="4"/>
    <s v="Debit Card"/>
    <s v="Cloudy"/>
  </r>
  <r>
    <s v="WSR-2026-0940"/>
    <d v="2026-06-18T00:00:00"/>
    <x v="5"/>
    <x v="5"/>
    <s v="Thursday"/>
    <x v="24"/>
    <d v="2026-06-30T00:00:00"/>
    <s v="Summer"/>
    <x v="2"/>
    <x v="6"/>
    <s v="1 Hour"/>
    <n v="1"/>
    <n v="40.32"/>
    <s v="Cooler Rental"/>
    <n v="10"/>
    <n v="0"/>
    <n v="50.32"/>
    <x v="6"/>
    <x v="2"/>
    <s v="Credit Card"/>
    <s v="Sunny"/>
  </r>
  <r>
    <s v="WSR-2026-0941"/>
    <d v="2026-06-18T00:00:00"/>
    <x v="5"/>
    <x v="5"/>
    <s v="Thursday"/>
    <x v="24"/>
    <d v="2026-06-30T00:00:00"/>
    <s v="Summer"/>
    <x v="2"/>
    <x v="0"/>
    <s v="1 Hour"/>
    <n v="1"/>
    <n v="35.840000000000003"/>
    <s v="None"/>
    <n v="0"/>
    <n v="0"/>
    <n v="35.840000000000003"/>
    <x v="6"/>
    <x v="2"/>
    <s v="Gift Card"/>
    <s v="Sunny"/>
  </r>
  <r>
    <s v="WSR-2026-0942"/>
    <d v="2026-06-18T00:00:00"/>
    <x v="5"/>
    <x v="5"/>
    <s v="Thursday"/>
    <x v="24"/>
    <d v="2026-06-30T00:00:00"/>
    <s v="Summer"/>
    <x v="3"/>
    <x v="1"/>
    <s v="2 Hours"/>
    <n v="1"/>
    <n v="42.56"/>
    <s v="Waterproof Speaker"/>
    <n v="12"/>
    <n v="0"/>
    <n v="54.56"/>
    <x v="2"/>
    <x v="1"/>
    <s v="Credit Card"/>
    <s v="Sunny"/>
  </r>
  <r>
    <s v="WSR-2026-0943"/>
    <d v="2026-06-18T00:00:00"/>
    <x v="5"/>
    <x v="5"/>
    <s v="Thursday"/>
    <x v="24"/>
    <d v="2026-06-30T00:00:00"/>
    <s v="Summer"/>
    <x v="4"/>
    <x v="7"/>
    <s v="Half Day"/>
    <n v="1"/>
    <n v="38.08"/>
    <s v="Cooler Rental"/>
    <n v="10"/>
    <n v="4.8099999999999996"/>
    <n v="43.27"/>
    <x v="7"/>
    <x v="0"/>
    <s v="Mobile Pay"/>
    <s v="Sunny"/>
  </r>
  <r>
    <s v="WSR-2026-0944"/>
    <d v="2026-06-18T00:00:00"/>
    <x v="5"/>
    <x v="5"/>
    <s v="Thursday"/>
    <x v="24"/>
    <d v="2026-06-30T00:00:00"/>
    <s v="Summer"/>
    <x v="4"/>
    <x v="7"/>
    <s v="2 Hours"/>
    <n v="1"/>
    <n v="24.64"/>
    <s v="Phone Pouch"/>
    <n v="5"/>
    <n v="4.45"/>
    <n v="25.19"/>
    <x v="2"/>
    <x v="1"/>
    <s v="Credit Card"/>
    <s v="Sunny"/>
  </r>
  <r>
    <s v="WSR-2026-0945"/>
    <d v="2026-06-19T00:00:00"/>
    <x v="5"/>
    <x v="5"/>
    <s v="Friday"/>
    <x v="24"/>
    <d v="2026-06-30T00:00:00"/>
    <s v="Summer"/>
    <x v="2"/>
    <x v="9"/>
    <s v="Half Day"/>
    <n v="1"/>
    <n v="80.64"/>
    <s v="Phone Pouch"/>
    <n v="5"/>
    <n v="0"/>
    <n v="85.64"/>
    <x v="8"/>
    <x v="4"/>
    <s v="Cash"/>
    <s v="Sunny"/>
  </r>
  <r>
    <s v="WSR-2026-0946"/>
    <d v="2026-06-19T00:00:00"/>
    <x v="5"/>
    <x v="5"/>
    <s v="Friday"/>
    <x v="24"/>
    <d v="2026-06-30T00:00:00"/>
    <s v="Summer"/>
    <x v="2"/>
    <x v="6"/>
    <s v="Half Day"/>
    <n v="1"/>
    <n v="96.32"/>
    <s v="GoPro Mount"/>
    <n v="8"/>
    <n v="0"/>
    <n v="104.32"/>
    <x v="9"/>
    <x v="0"/>
    <s v="Credit Card"/>
    <s v="Sunny"/>
  </r>
  <r>
    <s v="WSR-2026-0947"/>
    <d v="2026-06-19T00:00:00"/>
    <x v="5"/>
    <x v="5"/>
    <s v="Friday"/>
    <x v="24"/>
    <d v="2026-06-30T00:00:00"/>
    <s v="Summer"/>
    <x v="3"/>
    <x v="5"/>
    <s v="1 Hour"/>
    <n v="1"/>
    <n v="29.12"/>
    <s v="Phone Pouch"/>
    <n v="5"/>
    <n v="0"/>
    <n v="34.119999999999997"/>
    <x v="8"/>
    <x v="2"/>
    <s v="Cash"/>
    <s v="Sunny"/>
  </r>
  <r>
    <s v="WSR-2026-0948"/>
    <d v="2026-06-19T00:00:00"/>
    <x v="5"/>
    <x v="5"/>
    <s v="Friday"/>
    <x v="24"/>
    <d v="2026-06-30T00:00:00"/>
    <s v="Summer"/>
    <x v="2"/>
    <x v="7"/>
    <s v="2 Hours"/>
    <n v="1"/>
    <n v="24.64"/>
    <s v="None"/>
    <n v="0"/>
    <n v="0"/>
    <n v="24.64"/>
    <x v="5"/>
    <x v="2"/>
    <s v="Credit Card"/>
    <s v="Sunny"/>
  </r>
  <r>
    <s v="WSR-2026-0949"/>
    <d v="2026-06-19T00:00:00"/>
    <x v="5"/>
    <x v="5"/>
    <s v="Friday"/>
    <x v="24"/>
    <d v="2026-06-30T00:00:00"/>
    <s v="Summer"/>
    <x v="2"/>
    <x v="2"/>
    <s v="2 Hours"/>
    <n v="1"/>
    <n v="58.24"/>
    <s v="None"/>
    <n v="0"/>
    <n v="0"/>
    <n v="58.24"/>
    <x v="4"/>
    <x v="0"/>
    <s v="Debit Card"/>
    <s v="Sunny"/>
  </r>
  <r>
    <s v="WSR-2026-0950"/>
    <d v="2026-06-19T00:00:00"/>
    <x v="5"/>
    <x v="5"/>
    <s v="Friday"/>
    <x v="24"/>
    <d v="2026-06-30T00:00:00"/>
    <s v="Summer"/>
    <x v="0"/>
    <x v="2"/>
    <s v="Half Day"/>
    <n v="1"/>
    <n v="87.36"/>
    <s v="None"/>
    <n v="0"/>
    <n v="0"/>
    <n v="87.36"/>
    <x v="9"/>
    <x v="2"/>
    <s v="Credit Card"/>
    <s v="Sunny"/>
  </r>
  <r>
    <s v="WSR-2026-0951"/>
    <d v="2026-06-19T00:00:00"/>
    <x v="5"/>
    <x v="5"/>
    <s v="Friday"/>
    <x v="24"/>
    <d v="2026-06-30T00:00:00"/>
    <s v="Summer"/>
    <x v="3"/>
    <x v="2"/>
    <s v="2 Hours"/>
    <n v="1"/>
    <n v="58.24"/>
    <s v="Phone Pouch"/>
    <n v="5"/>
    <n v="0"/>
    <n v="63.24"/>
    <x v="6"/>
    <x v="4"/>
    <s v="Debit Card"/>
    <s v="Cloudy"/>
  </r>
  <r>
    <s v="WSR-2026-0952"/>
    <d v="2026-06-19T00:00:00"/>
    <x v="5"/>
    <x v="5"/>
    <s v="Friday"/>
    <x v="24"/>
    <d v="2026-06-30T00:00:00"/>
    <s v="Summer"/>
    <x v="2"/>
    <x v="8"/>
    <s v="2 Hours"/>
    <n v="1"/>
    <n v="17.920000000000002"/>
    <s v="Dry Bag"/>
    <n v="6"/>
    <n v="0"/>
    <n v="23.92"/>
    <x v="9"/>
    <x v="4"/>
    <s v="Debit Card"/>
    <s v="Cloudy"/>
  </r>
  <r>
    <s v="WSR-2026-0953"/>
    <d v="2026-06-19T00:00:00"/>
    <x v="5"/>
    <x v="5"/>
    <s v="Friday"/>
    <x v="24"/>
    <d v="2026-06-30T00:00:00"/>
    <s v="Summer"/>
    <x v="2"/>
    <x v="5"/>
    <s v="2 Hours"/>
    <n v="1"/>
    <n v="47.04"/>
    <s v="Phone Pouch"/>
    <n v="5"/>
    <n v="0"/>
    <n v="52.04"/>
    <x v="3"/>
    <x v="2"/>
    <s v="Credit Card"/>
    <s v="Sunny"/>
  </r>
  <r>
    <s v="WSR-2026-0954"/>
    <d v="2026-06-19T00:00:00"/>
    <x v="5"/>
    <x v="5"/>
    <s v="Friday"/>
    <x v="24"/>
    <d v="2026-06-30T00:00:00"/>
    <s v="Summer"/>
    <x v="2"/>
    <x v="4"/>
    <s v="Half Day"/>
    <n v="1"/>
    <n v="31.36"/>
    <s v="None"/>
    <n v="0"/>
    <n v="0"/>
    <n v="31.36"/>
    <x v="6"/>
    <x v="1"/>
    <s v="Mobile Pay"/>
    <s v="Cloudy"/>
  </r>
  <r>
    <s v="WSR-2026-0955"/>
    <d v="2026-06-19T00:00:00"/>
    <x v="5"/>
    <x v="5"/>
    <s v="Friday"/>
    <x v="24"/>
    <d v="2026-06-30T00:00:00"/>
    <s v="Summer"/>
    <x v="3"/>
    <x v="4"/>
    <s v="2 Hours"/>
    <n v="1"/>
    <n v="20.16"/>
    <s v="None"/>
    <n v="0"/>
    <n v="0"/>
    <n v="20.16"/>
    <x v="9"/>
    <x v="1"/>
    <s v="Mobile Pay"/>
    <s v="Sunny"/>
  </r>
  <r>
    <s v="WSR-2026-0956"/>
    <d v="2026-06-19T00:00:00"/>
    <x v="5"/>
    <x v="5"/>
    <s v="Friday"/>
    <x v="24"/>
    <d v="2026-06-30T00:00:00"/>
    <s v="Summer"/>
    <x v="0"/>
    <x v="2"/>
    <s v="Full Day"/>
    <n v="1"/>
    <n v="125.44"/>
    <s v="Dry Bag"/>
    <n v="6"/>
    <n v="0"/>
    <n v="131.44"/>
    <x v="7"/>
    <x v="4"/>
    <s v="Debit Card"/>
    <s v="Sunny"/>
  </r>
  <r>
    <s v="WSR-2026-0957"/>
    <d v="2026-06-19T00:00:00"/>
    <x v="5"/>
    <x v="5"/>
    <s v="Friday"/>
    <x v="24"/>
    <d v="2026-06-30T00:00:00"/>
    <s v="Summer"/>
    <x v="0"/>
    <x v="2"/>
    <s v="Half Day"/>
    <n v="1"/>
    <n v="87.36"/>
    <s v="Phone Pouch"/>
    <n v="5"/>
    <n v="0"/>
    <n v="92.36"/>
    <x v="8"/>
    <x v="4"/>
    <s v="Credit Card"/>
    <s v="Windy"/>
  </r>
  <r>
    <s v="WSR-2026-0958"/>
    <d v="2026-06-19T00:00:00"/>
    <x v="5"/>
    <x v="5"/>
    <s v="Friday"/>
    <x v="24"/>
    <d v="2026-06-30T00:00:00"/>
    <s v="Summer"/>
    <x v="0"/>
    <x v="2"/>
    <s v="1 Hour"/>
    <n v="1"/>
    <n v="38.08"/>
    <s v="Phone Pouch"/>
    <n v="5"/>
    <n v="0"/>
    <n v="43.08"/>
    <x v="6"/>
    <x v="2"/>
    <s v="Debit Card"/>
    <s v="Sunny"/>
  </r>
  <r>
    <s v="WSR-2026-0959"/>
    <d v="2026-06-20T00:00:00"/>
    <x v="5"/>
    <x v="5"/>
    <s v="Saturday"/>
    <x v="24"/>
    <d v="2026-06-30T00:00:00"/>
    <s v="Summer"/>
    <x v="2"/>
    <x v="2"/>
    <s v="2 Hours"/>
    <n v="1"/>
    <n v="62.4"/>
    <s v="None"/>
    <n v="0"/>
    <n v="0"/>
    <n v="62.4"/>
    <x v="7"/>
    <x v="0"/>
    <s v="Cash"/>
    <s v="Sunny"/>
  </r>
  <r>
    <s v="WSR-2026-0960"/>
    <d v="2026-06-20T00:00:00"/>
    <x v="5"/>
    <x v="5"/>
    <s v="Saturday"/>
    <x v="24"/>
    <d v="2026-06-30T00:00:00"/>
    <s v="Summer"/>
    <x v="2"/>
    <x v="5"/>
    <s v="2 Hours"/>
    <n v="1"/>
    <n v="50.4"/>
    <s v="None"/>
    <n v="0"/>
    <n v="0"/>
    <n v="50.4"/>
    <x v="1"/>
    <x v="0"/>
    <s v="Debit Card"/>
    <s v="Sunny"/>
  </r>
  <r>
    <s v="WSR-2026-0961"/>
    <d v="2026-06-20T00:00:00"/>
    <x v="5"/>
    <x v="5"/>
    <s v="Saturday"/>
    <x v="24"/>
    <d v="2026-06-30T00:00:00"/>
    <s v="Summer"/>
    <x v="1"/>
    <x v="6"/>
    <s v="1 Hour"/>
    <n v="1"/>
    <n v="43.2"/>
    <s v="GoPro Mount"/>
    <n v="8"/>
    <n v="0"/>
    <n v="51.2"/>
    <x v="1"/>
    <x v="3"/>
    <s v="Cash"/>
    <s v="Rainy"/>
  </r>
  <r>
    <s v="WSR-2026-0962"/>
    <d v="2026-06-20T00:00:00"/>
    <x v="5"/>
    <x v="5"/>
    <s v="Saturday"/>
    <x v="24"/>
    <d v="2026-06-30T00:00:00"/>
    <s v="Summer"/>
    <x v="3"/>
    <x v="2"/>
    <s v="2 Hours"/>
    <n v="1"/>
    <n v="62.4"/>
    <s v="Phone Pouch"/>
    <n v="5"/>
    <n v="0"/>
    <n v="67.400000000000006"/>
    <x v="2"/>
    <x v="0"/>
    <s v="Mobile Pay"/>
    <s v="Sunny"/>
  </r>
  <r>
    <s v="WSR-2026-0963"/>
    <d v="2026-06-20T00:00:00"/>
    <x v="5"/>
    <x v="5"/>
    <s v="Saturday"/>
    <x v="24"/>
    <d v="2026-06-30T00:00:00"/>
    <s v="Summer"/>
    <x v="3"/>
    <x v="6"/>
    <s v="1 Hour"/>
    <n v="1"/>
    <n v="43.2"/>
    <s v="Dry Bag"/>
    <n v="6"/>
    <n v="0"/>
    <n v="49.2"/>
    <x v="2"/>
    <x v="2"/>
    <s v="Debit Card"/>
    <s v="Sunny"/>
  </r>
  <r>
    <s v="WSR-2026-0964"/>
    <d v="2026-06-20T00:00:00"/>
    <x v="5"/>
    <x v="5"/>
    <s v="Saturday"/>
    <x v="24"/>
    <d v="2026-06-30T00:00:00"/>
    <s v="Summer"/>
    <x v="3"/>
    <x v="8"/>
    <s v="2 Hours"/>
    <n v="1"/>
    <n v="19.2"/>
    <s v="None"/>
    <n v="0"/>
    <n v="0"/>
    <n v="19.2"/>
    <x v="3"/>
    <x v="4"/>
    <s v="Credit Card"/>
    <s v="Sunny"/>
  </r>
  <r>
    <s v="WSR-2026-0965"/>
    <d v="2026-06-20T00:00:00"/>
    <x v="5"/>
    <x v="5"/>
    <s v="Saturday"/>
    <x v="24"/>
    <d v="2026-06-30T00:00:00"/>
    <s v="Summer"/>
    <x v="3"/>
    <x v="9"/>
    <s v="1 Hour"/>
    <n v="1"/>
    <n v="36"/>
    <s v="None"/>
    <n v="0"/>
    <n v="0"/>
    <n v="36"/>
    <x v="3"/>
    <x v="3"/>
    <s v="Debit Card"/>
    <s v="Sunny"/>
  </r>
  <r>
    <s v="WSR-2026-0966"/>
    <d v="2026-06-20T00:00:00"/>
    <x v="5"/>
    <x v="5"/>
    <s v="Saturday"/>
    <x v="24"/>
    <d v="2026-06-30T00:00:00"/>
    <s v="Summer"/>
    <x v="0"/>
    <x v="0"/>
    <s v="1 Hour"/>
    <n v="1"/>
    <n v="38.4"/>
    <s v="None"/>
    <n v="0"/>
    <n v="0"/>
    <n v="38.4"/>
    <x v="9"/>
    <x v="2"/>
    <s v="Mobile Pay"/>
    <s v="Sunny"/>
  </r>
  <r>
    <s v="WSR-2026-0967"/>
    <d v="2026-06-20T00:00:00"/>
    <x v="5"/>
    <x v="5"/>
    <s v="Saturday"/>
    <x v="24"/>
    <d v="2026-06-30T00:00:00"/>
    <s v="Summer"/>
    <x v="4"/>
    <x v="1"/>
    <s v="Full Day"/>
    <n v="1"/>
    <n v="100.8"/>
    <s v="Phone Pouch"/>
    <n v="5"/>
    <n v="15.87"/>
    <n v="89.93"/>
    <x v="7"/>
    <x v="0"/>
    <s v="Credit Card"/>
    <s v="Sunny"/>
  </r>
  <r>
    <s v="WSR-2026-0968"/>
    <d v="2026-06-20T00:00:00"/>
    <x v="5"/>
    <x v="5"/>
    <s v="Saturday"/>
    <x v="24"/>
    <d v="2026-06-30T00:00:00"/>
    <s v="Summer"/>
    <x v="2"/>
    <x v="0"/>
    <s v="Half Day"/>
    <n v="1"/>
    <n v="91.2"/>
    <s v="None"/>
    <n v="0"/>
    <n v="0"/>
    <n v="91.2"/>
    <x v="0"/>
    <x v="0"/>
    <s v="Credit Card"/>
    <s v="Sunny"/>
  </r>
  <r>
    <s v="WSR-2026-0969"/>
    <d v="2026-06-20T00:00:00"/>
    <x v="5"/>
    <x v="5"/>
    <s v="Saturday"/>
    <x v="24"/>
    <d v="2026-06-30T00:00:00"/>
    <s v="Summer"/>
    <x v="0"/>
    <x v="5"/>
    <s v="2 Hours"/>
    <n v="1"/>
    <n v="50.4"/>
    <s v="None"/>
    <n v="0"/>
    <n v="0"/>
    <n v="50.4"/>
    <x v="9"/>
    <x v="2"/>
    <s v="Gift Card"/>
    <s v="Cloudy"/>
  </r>
  <r>
    <s v="WSR-2026-0970"/>
    <d v="2026-06-20T00:00:00"/>
    <x v="5"/>
    <x v="5"/>
    <s v="Saturday"/>
    <x v="24"/>
    <d v="2026-06-30T00:00:00"/>
    <s v="Summer"/>
    <x v="3"/>
    <x v="1"/>
    <s v="Half Day"/>
    <n v="1"/>
    <n v="69.599999999999994"/>
    <s v="Phone Pouch"/>
    <n v="5"/>
    <n v="0"/>
    <n v="74.599999999999994"/>
    <x v="9"/>
    <x v="0"/>
    <s v="Credit Card"/>
    <s v="Sunny"/>
  </r>
  <r>
    <s v="WSR-2026-0971"/>
    <d v="2026-06-20T00:00:00"/>
    <x v="5"/>
    <x v="5"/>
    <s v="Saturday"/>
    <x v="24"/>
    <d v="2026-06-30T00:00:00"/>
    <s v="Summer"/>
    <x v="0"/>
    <x v="3"/>
    <s v="Half Day"/>
    <n v="1"/>
    <n v="64.8"/>
    <s v="Dry Bag"/>
    <n v="6"/>
    <n v="0"/>
    <n v="70.8"/>
    <x v="3"/>
    <x v="1"/>
    <s v="Credit Card"/>
    <s v="Sunny"/>
  </r>
  <r>
    <s v="WSR-2026-0972"/>
    <d v="2026-06-20T00:00:00"/>
    <x v="5"/>
    <x v="5"/>
    <s v="Saturday"/>
    <x v="24"/>
    <d v="2026-06-30T00:00:00"/>
    <s v="Summer"/>
    <x v="2"/>
    <x v="5"/>
    <s v="Half Day"/>
    <n v="1"/>
    <n v="74.400000000000006"/>
    <s v="Premium Life Jacket"/>
    <n v="7"/>
    <n v="4.07"/>
    <n v="77.33"/>
    <x v="8"/>
    <x v="4"/>
    <s v="Credit Card"/>
    <s v="Rainy"/>
  </r>
  <r>
    <s v="WSR-2026-0973"/>
    <d v="2026-06-20T00:00:00"/>
    <x v="5"/>
    <x v="5"/>
    <s v="Saturday"/>
    <x v="24"/>
    <d v="2026-06-30T00:00:00"/>
    <s v="Summer"/>
    <x v="3"/>
    <x v="3"/>
    <s v="1 Hour"/>
    <n v="1"/>
    <n v="26.4"/>
    <s v="None"/>
    <n v="0"/>
    <n v="0"/>
    <n v="26.4"/>
    <x v="2"/>
    <x v="0"/>
    <s v="Credit Card"/>
    <s v="Sunny"/>
  </r>
  <r>
    <s v="WSR-2026-0974"/>
    <d v="2026-06-20T00:00:00"/>
    <x v="5"/>
    <x v="5"/>
    <s v="Saturday"/>
    <x v="24"/>
    <d v="2026-06-30T00:00:00"/>
    <s v="Summer"/>
    <x v="0"/>
    <x v="4"/>
    <s v="1 Hour"/>
    <n v="1"/>
    <n v="14.4"/>
    <s v="None"/>
    <n v="0"/>
    <n v="0"/>
    <n v="14.4"/>
    <x v="4"/>
    <x v="0"/>
    <s v="Debit Card"/>
    <s v="Sunny"/>
  </r>
  <r>
    <s v="WSR-2026-0975"/>
    <d v="2026-06-20T00:00:00"/>
    <x v="5"/>
    <x v="5"/>
    <s v="Saturday"/>
    <x v="24"/>
    <d v="2026-06-30T00:00:00"/>
    <s v="Summer"/>
    <x v="2"/>
    <x v="5"/>
    <s v="1 Hour"/>
    <n v="1"/>
    <n v="31.2"/>
    <s v="Phone Pouch"/>
    <n v="5"/>
    <n v="0"/>
    <n v="36.200000000000003"/>
    <x v="0"/>
    <x v="1"/>
    <s v="Credit Card"/>
    <s v="Cloudy"/>
  </r>
  <r>
    <s v="WSR-2026-0976"/>
    <d v="2026-06-20T00:00:00"/>
    <x v="5"/>
    <x v="5"/>
    <s v="Saturday"/>
    <x v="24"/>
    <d v="2026-06-30T00:00:00"/>
    <s v="Summer"/>
    <x v="0"/>
    <x v="6"/>
    <s v="Half Day"/>
    <n v="1"/>
    <n v="103.2"/>
    <s v="Premium Life Jacket"/>
    <n v="7"/>
    <n v="0"/>
    <n v="110.2"/>
    <x v="7"/>
    <x v="2"/>
    <s v="Credit Card"/>
    <s v="Sunny"/>
  </r>
  <r>
    <s v="WSR-2026-0977"/>
    <d v="2026-06-20T00:00:00"/>
    <x v="5"/>
    <x v="5"/>
    <s v="Saturday"/>
    <x v="24"/>
    <d v="2026-06-30T00:00:00"/>
    <s v="Summer"/>
    <x v="0"/>
    <x v="5"/>
    <s v="2 Hours"/>
    <n v="1"/>
    <n v="50.4"/>
    <s v="Phone Pouch"/>
    <n v="5"/>
    <n v="0"/>
    <n v="55.4"/>
    <x v="7"/>
    <x v="1"/>
    <s v="Credit Card"/>
    <s v="Sunny"/>
  </r>
  <r>
    <s v="WSR-2026-0978"/>
    <d v="2026-06-20T00:00:00"/>
    <x v="5"/>
    <x v="5"/>
    <s v="Saturday"/>
    <x v="24"/>
    <d v="2026-06-30T00:00:00"/>
    <s v="Summer"/>
    <x v="0"/>
    <x v="5"/>
    <s v="Half Day"/>
    <n v="1"/>
    <n v="74.400000000000006"/>
    <s v="Cooler Rental"/>
    <n v="10"/>
    <n v="0"/>
    <n v="84.4"/>
    <x v="6"/>
    <x v="0"/>
    <s v="Credit Card"/>
    <s v="Sunny"/>
  </r>
  <r>
    <s v="WSR-2026-0979"/>
    <d v="2026-06-20T00:00:00"/>
    <x v="5"/>
    <x v="5"/>
    <s v="Saturday"/>
    <x v="24"/>
    <d v="2026-06-30T00:00:00"/>
    <s v="Summer"/>
    <x v="0"/>
    <x v="1"/>
    <s v="2 Hours"/>
    <n v="1"/>
    <n v="45.6"/>
    <s v="GoPro Mount"/>
    <n v="8"/>
    <n v="0"/>
    <n v="53.6"/>
    <x v="1"/>
    <x v="1"/>
    <s v="Cash"/>
    <s v="Sunny"/>
  </r>
  <r>
    <s v="WSR-2026-0980"/>
    <d v="2026-06-20T00:00:00"/>
    <x v="5"/>
    <x v="5"/>
    <s v="Saturday"/>
    <x v="24"/>
    <d v="2026-06-30T00:00:00"/>
    <s v="Summer"/>
    <x v="2"/>
    <x v="8"/>
    <s v="Half Day"/>
    <n v="1"/>
    <n v="28.8"/>
    <s v="GoPro Mount"/>
    <n v="8"/>
    <n v="0"/>
    <n v="36.799999999999997"/>
    <x v="5"/>
    <x v="4"/>
    <s v="Debit Card"/>
    <s v="Rainy"/>
  </r>
  <r>
    <s v="WSR-2026-0981"/>
    <d v="2026-06-20T00:00:00"/>
    <x v="5"/>
    <x v="5"/>
    <s v="Saturday"/>
    <x v="24"/>
    <d v="2026-06-30T00:00:00"/>
    <s v="Summer"/>
    <x v="2"/>
    <x v="4"/>
    <s v="Half Day"/>
    <n v="1"/>
    <n v="33.6"/>
    <s v="None"/>
    <n v="0"/>
    <n v="0"/>
    <n v="33.6"/>
    <x v="0"/>
    <x v="2"/>
    <s v="Debit Card"/>
    <s v="Sunny"/>
  </r>
  <r>
    <s v="WSR-2026-0982"/>
    <d v="2026-06-20T00:00:00"/>
    <x v="5"/>
    <x v="5"/>
    <s v="Saturday"/>
    <x v="24"/>
    <d v="2026-06-30T00:00:00"/>
    <s v="Summer"/>
    <x v="2"/>
    <x v="3"/>
    <s v="2 Hours"/>
    <n v="1"/>
    <n v="43.2"/>
    <s v="Phone Pouch"/>
    <n v="5"/>
    <n v="0"/>
    <n v="48.2"/>
    <x v="2"/>
    <x v="1"/>
    <s v="Credit Card"/>
    <s v="Sunny"/>
  </r>
  <r>
    <s v="WSR-2026-0983"/>
    <d v="2026-06-20T00:00:00"/>
    <x v="5"/>
    <x v="5"/>
    <s v="Saturday"/>
    <x v="24"/>
    <d v="2026-06-30T00:00:00"/>
    <s v="Summer"/>
    <x v="3"/>
    <x v="3"/>
    <s v="2 Hours"/>
    <n v="1"/>
    <n v="43.2"/>
    <s v="None"/>
    <n v="0"/>
    <n v="0"/>
    <n v="43.2"/>
    <x v="0"/>
    <x v="3"/>
    <s v="Debit Card"/>
    <s v="Sunny"/>
  </r>
  <r>
    <s v="WSR-2026-0984"/>
    <d v="2026-06-20T00:00:00"/>
    <x v="5"/>
    <x v="5"/>
    <s v="Saturday"/>
    <x v="24"/>
    <d v="2026-06-30T00:00:00"/>
    <s v="Summer"/>
    <x v="0"/>
    <x v="5"/>
    <s v="2 Hours"/>
    <n v="1"/>
    <n v="50.4"/>
    <s v="Dry Bag"/>
    <n v="6"/>
    <n v="0"/>
    <n v="56.4"/>
    <x v="0"/>
    <x v="3"/>
    <s v="Credit Card"/>
    <s v="Cloudy"/>
  </r>
  <r>
    <s v="WSR-2026-0985"/>
    <d v="2026-06-20T00:00:00"/>
    <x v="5"/>
    <x v="5"/>
    <s v="Saturday"/>
    <x v="24"/>
    <d v="2026-06-30T00:00:00"/>
    <s v="Summer"/>
    <x v="3"/>
    <x v="2"/>
    <s v="1 Hour"/>
    <n v="1"/>
    <n v="40.799999999999997"/>
    <s v="Dry Bag"/>
    <n v="6"/>
    <n v="0"/>
    <n v="46.8"/>
    <x v="7"/>
    <x v="3"/>
    <s v="Credit Card"/>
    <s v="Sunny"/>
  </r>
  <r>
    <s v="WSR-2026-0986"/>
    <d v="2026-06-20T00:00:00"/>
    <x v="5"/>
    <x v="5"/>
    <s v="Saturday"/>
    <x v="24"/>
    <d v="2026-06-30T00:00:00"/>
    <s v="Summer"/>
    <x v="0"/>
    <x v="6"/>
    <s v="Full Day"/>
    <n v="1"/>
    <n v="148.80000000000001"/>
    <s v="None"/>
    <n v="0"/>
    <n v="0"/>
    <n v="148.80000000000001"/>
    <x v="6"/>
    <x v="2"/>
    <s v="Mobile Pay"/>
    <s v="Sunny"/>
  </r>
  <r>
    <s v="WSR-2026-0987"/>
    <d v="2026-06-21T00:00:00"/>
    <x v="5"/>
    <x v="5"/>
    <s v="Sunday"/>
    <x v="25"/>
    <d v="2026-06-30T00:00:00"/>
    <s v="Summer"/>
    <x v="1"/>
    <x v="5"/>
    <s v="1 Hour"/>
    <n v="1"/>
    <n v="31.2"/>
    <s v="None"/>
    <n v="0"/>
    <n v="1.56"/>
    <n v="29.64"/>
    <x v="5"/>
    <x v="2"/>
    <s v="Credit Card"/>
    <s v="Sunny"/>
  </r>
  <r>
    <s v="WSR-2026-0988"/>
    <d v="2026-06-21T00:00:00"/>
    <x v="5"/>
    <x v="5"/>
    <s v="Sunday"/>
    <x v="25"/>
    <d v="2026-06-30T00:00:00"/>
    <s v="Summer"/>
    <x v="2"/>
    <x v="5"/>
    <s v="1 Hour"/>
    <n v="1"/>
    <n v="31.2"/>
    <s v="GoPro Mount"/>
    <n v="8"/>
    <n v="0"/>
    <n v="39.200000000000003"/>
    <x v="4"/>
    <x v="3"/>
    <s v="Cash"/>
    <s v="Sunny"/>
  </r>
  <r>
    <s v="WSR-2026-0989"/>
    <d v="2026-06-21T00:00:00"/>
    <x v="5"/>
    <x v="5"/>
    <s v="Sunday"/>
    <x v="25"/>
    <d v="2026-06-30T00:00:00"/>
    <s v="Summer"/>
    <x v="2"/>
    <x v="4"/>
    <s v="1 Hour"/>
    <n v="1"/>
    <n v="14.4"/>
    <s v="Dry Bag"/>
    <n v="6"/>
    <n v="0"/>
    <n v="20.399999999999999"/>
    <x v="3"/>
    <x v="2"/>
    <s v="Credit Card"/>
    <s v="Sunny"/>
  </r>
  <r>
    <s v="WSR-2026-0990"/>
    <d v="2026-06-21T00:00:00"/>
    <x v="5"/>
    <x v="5"/>
    <s v="Sunday"/>
    <x v="25"/>
    <d v="2026-06-30T00:00:00"/>
    <s v="Summer"/>
    <x v="2"/>
    <x v="5"/>
    <s v="2 Hours"/>
    <n v="1"/>
    <n v="50.4"/>
    <s v="Premium Life Jacket"/>
    <n v="7"/>
    <n v="2.87"/>
    <n v="54.53"/>
    <x v="9"/>
    <x v="4"/>
    <s v="Credit Card"/>
    <s v="Cloudy"/>
  </r>
  <r>
    <s v="WSR-2026-0991"/>
    <d v="2026-06-21T00:00:00"/>
    <x v="5"/>
    <x v="5"/>
    <s v="Sunday"/>
    <x v="25"/>
    <d v="2026-06-30T00:00:00"/>
    <s v="Summer"/>
    <x v="1"/>
    <x v="5"/>
    <s v="Full Day"/>
    <n v="1"/>
    <n v="105.6"/>
    <s v="None"/>
    <n v="0"/>
    <n v="10.56"/>
    <n v="95.04"/>
    <x v="3"/>
    <x v="1"/>
    <s v="Debit Card"/>
    <s v="Cloudy"/>
  </r>
  <r>
    <s v="WSR-2026-0992"/>
    <d v="2026-06-21T00:00:00"/>
    <x v="5"/>
    <x v="5"/>
    <s v="Sunday"/>
    <x v="25"/>
    <d v="2026-06-30T00:00:00"/>
    <s v="Summer"/>
    <x v="4"/>
    <x v="6"/>
    <s v="1 Hour"/>
    <n v="1"/>
    <n v="43.2"/>
    <s v="Phone Pouch"/>
    <n v="5"/>
    <n v="7.23"/>
    <n v="40.97"/>
    <x v="5"/>
    <x v="2"/>
    <s v="Credit Card"/>
    <s v="Sunny"/>
  </r>
  <r>
    <s v="WSR-2026-0993"/>
    <d v="2026-06-21T00:00:00"/>
    <x v="5"/>
    <x v="5"/>
    <s v="Sunday"/>
    <x v="25"/>
    <d v="2026-06-30T00:00:00"/>
    <s v="Summer"/>
    <x v="2"/>
    <x v="5"/>
    <s v="1 Hour"/>
    <n v="1"/>
    <n v="31.2"/>
    <s v="None"/>
    <n v="0"/>
    <n v="0"/>
    <n v="31.2"/>
    <x v="4"/>
    <x v="0"/>
    <s v="Credit Card"/>
    <s v="Sunny"/>
  </r>
  <r>
    <s v="WSR-2026-0994"/>
    <d v="2026-06-21T00:00:00"/>
    <x v="5"/>
    <x v="5"/>
    <s v="Sunday"/>
    <x v="25"/>
    <d v="2026-06-30T00:00:00"/>
    <s v="Summer"/>
    <x v="1"/>
    <x v="1"/>
    <s v="1 Hour"/>
    <n v="1"/>
    <n v="28.8"/>
    <s v="Premium Life Jacket"/>
    <n v="7"/>
    <n v="3.58"/>
    <n v="32.22"/>
    <x v="7"/>
    <x v="2"/>
    <s v="Credit Card"/>
    <s v="Windy"/>
  </r>
  <r>
    <s v="WSR-2026-0995"/>
    <d v="2026-06-21T00:00:00"/>
    <x v="5"/>
    <x v="5"/>
    <s v="Sunday"/>
    <x v="25"/>
    <d v="2026-06-30T00:00:00"/>
    <s v="Summer"/>
    <x v="3"/>
    <x v="4"/>
    <s v="1 Hour"/>
    <n v="1"/>
    <n v="14.4"/>
    <s v="None"/>
    <n v="0"/>
    <n v="0"/>
    <n v="14.4"/>
    <x v="0"/>
    <x v="3"/>
    <s v="Credit Card"/>
    <s v="Cloudy"/>
  </r>
  <r>
    <s v="WSR-2026-0996"/>
    <d v="2026-06-21T00:00:00"/>
    <x v="5"/>
    <x v="5"/>
    <s v="Sunday"/>
    <x v="25"/>
    <d v="2026-06-30T00:00:00"/>
    <s v="Summer"/>
    <x v="3"/>
    <x v="2"/>
    <s v="Half Day"/>
    <n v="1"/>
    <n v="93.6"/>
    <s v="Cooler Rental"/>
    <n v="10"/>
    <n v="0"/>
    <n v="103.6"/>
    <x v="5"/>
    <x v="4"/>
    <s v="Cash"/>
    <s v="Sunny"/>
  </r>
  <r>
    <s v="WSR-2026-0997"/>
    <d v="2026-06-21T00:00:00"/>
    <x v="5"/>
    <x v="5"/>
    <s v="Sunday"/>
    <x v="25"/>
    <d v="2026-06-30T00:00:00"/>
    <s v="Summer"/>
    <x v="2"/>
    <x v="1"/>
    <s v="1 Hour"/>
    <n v="1"/>
    <n v="28.8"/>
    <s v="None"/>
    <n v="0"/>
    <n v="0"/>
    <n v="28.8"/>
    <x v="5"/>
    <x v="4"/>
    <s v="Debit Card"/>
    <s v="Sunny"/>
  </r>
  <r>
    <s v="WSR-2026-0998"/>
    <d v="2026-06-21T00:00:00"/>
    <x v="5"/>
    <x v="5"/>
    <s v="Sunday"/>
    <x v="25"/>
    <d v="2026-06-30T00:00:00"/>
    <s v="Summer"/>
    <x v="1"/>
    <x v="0"/>
    <s v="2 Hours"/>
    <n v="1"/>
    <n v="60"/>
    <s v="GoPro Mount"/>
    <n v="8"/>
    <n v="0"/>
    <n v="68"/>
    <x v="3"/>
    <x v="4"/>
    <s v="Mobile Pay"/>
    <s v="Sunny"/>
  </r>
  <r>
    <s v="WSR-2026-0999"/>
    <d v="2026-06-21T00:00:00"/>
    <x v="5"/>
    <x v="5"/>
    <s v="Sunday"/>
    <x v="25"/>
    <d v="2026-06-30T00:00:00"/>
    <s v="Summer"/>
    <x v="4"/>
    <x v="2"/>
    <s v="2 Hours"/>
    <n v="1"/>
    <n v="62.4"/>
    <s v="Phone Pouch"/>
    <n v="5"/>
    <n v="6.74"/>
    <n v="60.66"/>
    <x v="2"/>
    <x v="3"/>
    <s v="Credit Card"/>
    <s v="Sunny"/>
  </r>
  <r>
    <s v="WSR-2026-1000"/>
    <d v="2026-06-21T00:00:00"/>
    <x v="5"/>
    <x v="5"/>
    <s v="Sunday"/>
    <x v="25"/>
    <d v="2026-06-30T00:00:00"/>
    <s v="Summer"/>
    <x v="3"/>
    <x v="1"/>
    <s v="Full Day"/>
    <n v="1"/>
    <n v="100.8"/>
    <s v="None"/>
    <n v="0"/>
    <n v="0"/>
    <n v="100.8"/>
    <x v="9"/>
    <x v="3"/>
    <s v="Credit Card"/>
    <s v="Sunny"/>
  </r>
  <r>
    <s v="WSR-2026-1001"/>
    <d v="2026-06-21T00:00:00"/>
    <x v="5"/>
    <x v="5"/>
    <s v="Sunday"/>
    <x v="25"/>
    <d v="2026-06-30T00:00:00"/>
    <s v="Summer"/>
    <x v="2"/>
    <x v="1"/>
    <s v="2 Hours"/>
    <n v="1"/>
    <n v="45.6"/>
    <s v="Premium Life Jacket"/>
    <n v="7"/>
    <n v="0"/>
    <n v="52.6"/>
    <x v="2"/>
    <x v="3"/>
    <s v="Gift Card"/>
    <s v="Sunny"/>
  </r>
  <r>
    <s v="WSR-2026-1002"/>
    <d v="2026-06-21T00:00:00"/>
    <x v="5"/>
    <x v="5"/>
    <s v="Sunday"/>
    <x v="25"/>
    <d v="2026-06-30T00:00:00"/>
    <s v="Summer"/>
    <x v="2"/>
    <x v="0"/>
    <s v="1 Hour"/>
    <n v="1"/>
    <n v="38.4"/>
    <s v="None"/>
    <n v="0"/>
    <n v="0"/>
    <n v="38.4"/>
    <x v="0"/>
    <x v="4"/>
    <s v="Debit Card"/>
    <s v="Cloudy"/>
  </r>
  <r>
    <s v="WSR-2026-1003"/>
    <d v="2026-06-21T00:00:00"/>
    <x v="5"/>
    <x v="5"/>
    <s v="Sunday"/>
    <x v="25"/>
    <d v="2026-06-30T00:00:00"/>
    <s v="Summer"/>
    <x v="2"/>
    <x v="8"/>
    <s v="1 Hour"/>
    <n v="1"/>
    <n v="12"/>
    <s v="Cooler Rental"/>
    <n v="10"/>
    <n v="0"/>
    <n v="22"/>
    <x v="9"/>
    <x v="1"/>
    <s v="Debit Card"/>
    <s v="Sunny"/>
  </r>
  <r>
    <s v="WSR-2026-1004"/>
    <d v="2026-06-21T00:00:00"/>
    <x v="5"/>
    <x v="5"/>
    <s v="Sunday"/>
    <x v="25"/>
    <d v="2026-06-30T00:00:00"/>
    <s v="Summer"/>
    <x v="1"/>
    <x v="5"/>
    <s v="2 Hours"/>
    <n v="1"/>
    <n v="50.4"/>
    <s v="Dry Bag"/>
    <n v="6"/>
    <n v="2.82"/>
    <n v="53.58"/>
    <x v="6"/>
    <x v="4"/>
    <s v="Debit Card"/>
    <s v="Sunny"/>
  </r>
  <r>
    <s v="WSR-2026-1005"/>
    <d v="2026-06-21T00:00:00"/>
    <x v="5"/>
    <x v="5"/>
    <s v="Sunday"/>
    <x v="25"/>
    <d v="2026-06-30T00:00:00"/>
    <s v="Summer"/>
    <x v="0"/>
    <x v="1"/>
    <s v="1 Hour"/>
    <n v="1"/>
    <n v="28.8"/>
    <s v="Waterproof Speaker"/>
    <n v="12"/>
    <n v="0"/>
    <n v="40.799999999999997"/>
    <x v="0"/>
    <x v="0"/>
    <s v="Credit Card"/>
    <s v="Cloudy"/>
  </r>
  <r>
    <s v="WSR-2026-1006"/>
    <d v="2026-06-21T00:00:00"/>
    <x v="5"/>
    <x v="5"/>
    <s v="Sunday"/>
    <x v="25"/>
    <d v="2026-06-30T00:00:00"/>
    <s v="Summer"/>
    <x v="3"/>
    <x v="4"/>
    <s v="2 Hours"/>
    <n v="1"/>
    <n v="21.6"/>
    <s v="Cooler Rental"/>
    <n v="10"/>
    <n v="0"/>
    <n v="31.6"/>
    <x v="3"/>
    <x v="0"/>
    <s v="Credit Card"/>
    <s v="Sunny"/>
  </r>
  <r>
    <s v="WSR-2026-1007"/>
    <d v="2026-06-21T00:00:00"/>
    <x v="5"/>
    <x v="5"/>
    <s v="Sunday"/>
    <x v="25"/>
    <d v="2026-06-30T00:00:00"/>
    <s v="Summer"/>
    <x v="4"/>
    <x v="5"/>
    <s v="1 Hour"/>
    <n v="1"/>
    <n v="31.2"/>
    <s v="Cooler Rental"/>
    <n v="10"/>
    <n v="4.12"/>
    <n v="37.08"/>
    <x v="1"/>
    <x v="0"/>
    <s v="Credit Card"/>
    <s v="Sunny"/>
  </r>
  <r>
    <s v="WSR-2026-1008"/>
    <d v="2026-06-21T00:00:00"/>
    <x v="5"/>
    <x v="5"/>
    <s v="Sunday"/>
    <x v="25"/>
    <d v="2026-06-30T00:00:00"/>
    <s v="Summer"/>
    <x v="1"/>
    <x v="5"/>
    <s v="2 Hours"/>
    <n v="1"/>
    <n v="50.4"/>
    <s v="Premium Life Jacket"/>
    <n v="7"/>
    <n v="5.74"/>
    <n v="51.66"/>
    <x v="4"/>
    <x v="3"/>
    <s v="Credit Card"/>
    <s v="Cloudy"/>
  </r>
  <r>
    <s v="WSR-2026-1009"/>
    <d v="2026-06-22T00:00:00"/>
    <x v="5"/>
    <x v="5"/>
    <s v="Monday"/>
    <x v="25"/>
    <d v="2026-06-30T00:00:00"/>
    <s v="Summer"/>
    <x v="0"/>
    <x v="2"/>
    <s v="1 Hour"/>
    <n v="1"/>
    <n v="38.08"/>
    <s v="None"/>
    <n v="0"/>
    <n v="0"/>
    <n v="38.08"/>
    <x v="4"/>
    <x v="3"/>
    <s v="Debit Card"/>
    <s v="Cloudy"/>
  </r>
  <r>
    <s v="WSR-2026-1010"/>
    <d v="2026-06-22T00:00:00"/>
    <x v="5"/>
    <x v="5"/>
    <s v="Monday"/>
    <x v="25"/>
    <d v="2026-06-30T00:00:00"/>
    <s v="Summer"/>
    <x v="1"/>
    <x v="5"/>
    <s v="1 Hour"/>
    <n v="1"/>
    <n v="29.12"/>
    <s v="Dry Bag"/>
    <n v="6"/>
    <n v="1.76"/>
    <n v="33.36"/>
    <x v="4"/>
    <x v="2"/>
    <s v="Debit Card"/>
    <s v="Cloudy"/>
  </r>
  <r>
    <s v="WSR-2026-1011"/>
    <d v="2026-06-22T00:00:00"/>
    <x v="5"/>
    <x v="5"/>
    <s v="Monday"/>
    <x v="25"/>
    <d v="2026-06-30T00:00:00"/>
    <s v="Summer"/>
    <x v="0"/>
    <x v="2"/>
    <s v="Full Day"/>
    <n v="1"/>
    <n v="125.44"/>
    <s v="Dry Bag"/>
    <n v="6"/>
    <n v="0"/>
    <n v="131.44"/>
    <x v="9"/>
    <x v="2"/>
    <s v="Credit Card"/>
    <s v="Windy"/>
  </r>
  <r>
    <s v="WSR-2026-1012"/>
    <d v="2026-06-22T00:00:00"/>
    <x v="5"/>
    <x v="5"/>
    <s v="Monday"/>
    <x v="25"/>
    <d v="2026-06-30T00:00:00"/>
    <s v="Summer"/>
    <x v="1"/>
    <x v="8"/>
    <s v="1 Hour"/>
    <n v="1"/>
    <n v="11.2"/>
    <s v="Premium Life Jacket"/>
    <n v="7"/>
    <n v="0.91"/>
    <n v="17.29"/>
    <x v="2"/>
    <x v="2"/>
    <s v="Cash"/>
    <s v="Sunny"/>
  </r>
  <r>
    <s v="WSR-2026-1013"/>
    <d v="2026-06-22T00:00:00"/>
    <x v="5"/>
    <x v="5"/>
    <s v="Monday"/>
    <x v="25"/>
    <d v="2026-06-30T00:00:00"/>
    <s v="Summer"/>
    <x v="2"/>
    <x v="1"/>
    <s v="Half Day"/>
    <n v="1"/>
    <n v="64.959999999999994"/>
    <s v="None"/>
    <n v="0"/>
    <n v="0"/>
    <n v="64.959999999999994"/>
    <x v="1"/>
    <x v="1"/>
    <s v="Credit Card"/>
    <s v="Sunny"/>
  </r>
  <r>
    <s v="WSR-2026-1014"/>
    <d v="2026-06-22T00:00:00"/>
    <x v="5"/>
    <x v="5"/>
    <s v="Monday"/>
    <x v="25"/>
    <d v="2026-06-30T00:00:00"/>
    <s v="Summer"/>
    <x v="0"/>
    <x v="1"/>
    <s v="Half Day"/>
    <n v="1"/>
    <n v="64.959999999999994"/>
    <s v="GoPro Mount"/>
    <n v="8"/>
    <n v="0"/>
    <n v="72.959999999999994"/>
    <x v="3"/>
    <x v="2"/>
    <s v="Debit Card"/>
    <s v="Sunny"/>
  </r>
  <r>
    <s v="WSR-2026-1015"/>
    <d v="2026-06-22T00:00:00"/>
    <x v="5"/>
    <x v="5"/>
    <s v="Monday"/>
    <x v="25"/>
    <d v="2026-06-30T00:00:00"/>
    <s v="Summer"/>
    <x v="3"/>
    <x v="1"/>
    <s v="Half Day"/>
    <n v="1"/>
    <n v="64.959999999999994"/>
    <s v="Premium Life Jacket"/>
    <n v="7"/>
    <n v="0"/>
    <n v="71.959999999999994"/>
    <x v="0"/>
    <x v="1"/>
    <s v="Cash"/>
    <s v="Sunny"/>
  </r>
  <r>
    <s v="WSR-2026-1016"/>
    <d v="2026-06-22T00:00:00"/>
    <x v="5"/>
    <x v="5"/>
    <s v="Monday"/>
    <x v="25"/>
    <d v="2026-06-30T00:00:00"/>
    <s v="Summer"/>
    <x v="3"/>
    <x v="7"/>
    <s v="1 Hour"/>
    <n v="1"/>
    <n v="15.68"/>
    <s v="None"/>
    <n v="0"/>
    <n v="0"/>
    <n v="15.68"/>
    <x v="8"/>
    <x v="3"/>
    <s v="Credit Card"/>
    <s v="Sunny"/>
  </r>
  <r>
    <s v="WSR-2026-1017"/>
    <d v="2026-06-22T00:00:00"/>
    <x v="5"/>
    <x v="5"/>
    <s v="Monday"/>
    <x v="25"/>
    <d v="2026-06-30T00:00:00"/>
    <s v="Summer"/>
    <x v="2"/>
    <x v="3"/>
    <s v="2 Hours"/>
    <n v="1"/>
    <n v="40.32"/>
    <s v="None"/>
    <n v="0"/>
    <n v="0"/>
    <n v="40.32"/>
    <x v="7"/>
    <x v="4"/>
    <s v="Credit Card"/>
    <s v="Cloudy"/>
  </r>
  <r>
    <s v="WSR-2026-1018"/>
    <d v="2026-06-22T00:00:00"/>
    <x v="5"/>
    <x v="5"/>
    <s v="Monday"/>
    <x v="25"/>
    <d v="2026-06-30T00:00:00"/>
    <s v="Summer"/>
    <x v="1"/>
    <x v="4"/>
    <s v="Half Day"/>
    <n v="1"/>
    <n v="31.36"/>
    <s v="Premium Life Jacket"/>
    <n v="7"/>
    <n v="0"/>
    <n v="38.36"/>
    <x v="9"/>
    <x v="0"/>
    <s v="Credit Card"/>
    <s v="Sunny"/>
  </r>
  <r>
    <s v="WSR-2026-1019"/>
    <d v="2026-06-22T00:00:00"/>
    <x v="5"/>
    <x v="5"/>
    <s v="Monday"/>
    <x v="25"/>
    <d v="2026-06-30T00:00:00"/>
    <s v="Summer"/>
    <x v="0"/>
    <x v="3"/>
    <s v="Half Day"/>
    <n v="1"/>
    <n v="60.48"/>
    <s v="GoPro Mount"/>
    <n v="8"/>
    <n v="0"/>
    <n v="68.48"/>
    <x v="3"/>
    <x v="1"/>
    <s v="Credit Card"/>
    <s v="Sunny"/>
  </r>
  <r>
    <s v="WSR-2026-1020"/>
    <d v="2026-06-23T00:00:00"/>
    <x v="5"/>
    <x v="5"/>
    <s v="Tuesday"/>
    <x v="25"/>
    <d v="2026-06-30T00:00:00"/>
    <s v="Summer"/>
    <x v="3"/>
    <x v="8"/>
    <s v="Half Day"/>
    <n v="1"/>
    <n v="26.88"/>
    <s v="Cooler Rental"/>
    <n v="10"/>
    <n v="0"/>
    <n v="36.880000000000003"/>
    <x v="8"/>
    <x v="4"/>
    <s v="Credit Card"/>
    <s v="Sunny"/>
  </r>
  <r>
    <s v="WSR-2026-1021"/>
    <d v="2026-06-23T00:00:00"/>
    <x v="5"/>
    <x v="5"/>
    <s v="Tuesday"/>
    <x v="25"/>
    <d v="2026-06-30T00:00:00"/>
    <s v="Summer"/>
    <x v="0"/>
    <x v="6"/>
    <s v="1 Hour"/>
    <n v="1"/>
    <n v="40.32"/>
    <s v="None"/>
    <n v="0"/>
    <n v="0"/>
    <n v="40.32"/>
    <x v="2"/>
    <x v="4"/>
    <s v="Debit Card"/>
    <s v="Sunny"/>
  </r>
  <r>
    <s v="WSR-2026-1022"/>
    <d v="2026-06-23T00:00:00"/>
    <x v="5"/>
    <x v="5"/>
    <s v="Tuesday"/>
    <x v="25"/>
    <d v="2026-06-30T00:00:00"/>
    <s v="Summer"/>
    <x v="0"/>
    <x v="5"/>
    <s v="1 Hour"/>
    <n v="1"/>
    <n v="29.12"/>
    <s v="Dry Bag"/>
    <n v="6"/>
    <n v="0"/>
    <n v="35.119999999999997"/>
    <x v="3"/>
    <x v="4"/>
    <s v="Debit Card"/>
    <s v="Sunny"/>
  </r>
  <r>
    <s v="WSR-2026-1023"/>
    <d v="2026-06-23T00:00:00"/>
    <x v="5"/>
    <x v="5"/>
    <s v="Tuesday"/>
    <x v="25"/>
    <d v="2026-06-30T00:00:00"/>
    <s v="Summer"/>
    <x v="2"/>
    <x v="4"/>
    <s v="Half Day"/>
    <n v="1"/>
    <n v="31.36"/>
    <s v="Cooler Rental"/>
    <n v="10"/>
    <n v="0"/>
    <n v="41.36"/>
    <x v="2"/>
    <x v="4"/>
    <s v="Credit Card"/>
    <s v="Sunny"/>
  </r>
  <r>
    <s v="WSR-2026-1024"/>
    <d v="2026-06-23T00:00:00"/>
    <x v="5"/>
    <x v="5"/>
    <s v="Tuesday"/>
    <x v="25"/>
    <d v="2026-06-30T00:00:00"/>
    <s v="Summer"/>
    <x v="3"/>
    <x v="9"/>
    <s v="2 Hours"/>
    <n v="1"/>
    <n v="53.76"/>
    <s v="None"/>
    <n v="0"/>
    <n v="0"/>
    <n v="53.76"/>
    <x v="3"/>
    <x v="3"/>
    <s v="Debit Card"/>
    <s v="Cloudy"/>
  </r>
  <r>
    <s v="WSR-2026-1025"/>
    <d v="2026-06-23T00:00:00"/>
    <x v="5"/>
    <x v="5"/>
    <s v="Tuesday"/>
    <x v="25"/>
    <d v="2026-06-30T00:00:00"/>
    <s v="Summer"/>
    <x v="0"/>
    <x v="5"/>
    <s v="2 Hours"/>
    <n v="1"/>
    <n v="47.04"/>
    <s v="None"/>
    <n v="0"/>
    <n v="0"/>
    <n v="47.04"/>
    <x v="0"/>
    <x v="3"/>
    <s v="Mobile Pay"/>
    <s v="Sunny"/>
  </r>
  <r>
    <s v="WSR-2026-1026"/>
    <d v="2026-06-24T00:00:00"/>
    <x v="5"/>
    <x v="5"/>
    <s v="Wednesday"/>
    <x v="25"/>
    <d v="2026-06-30T00:00:00"/>
    <s v="Summer"/>
    <x v="0"/>
    <x v="5"/>
    <s v="Half Day"/>
    <n v="1"/>
    <n v="69.44"/>
    <s v="None"/>
    <n v="0"/>
    <n v="0"/>
    <n v="69.44"/>
    <x v="4"/>
    <x v="2"/>
    <s v="Credit Card"/>
    <s v="Windy"/>
  </r>
  <r>
    <s v="WSR-2026-1027"/>
    <d v="2026-06-24T00:00:00"/>
    <x v="5"/>
    <x v="5"/>
    <s v="Wednesday"/>
    <x v="25"/>
    <d v="2026-06-30T00:00:00"/>
    <s v="Summer"/>
    <x v="0"/>
    <x v="1"/>
    <s v="Full Day"/>
    <n v="1"/>
    <n v="94.08"/>
    <s v="Phone Pouch"/>
    <n v="5"/>
    <n v="0"/>
    <n v="99.08"/>
    <x v="3"/>
    <x v="0"/>
    <s v="Credit Card"/>
    <s v="Windy"/>
  </r>
  <r>
    <s v="WSR-2026-1028"/>
    <d v="2026-06-24T00:00:00"/>
    <x v="5"/>
    <x v="5"/>
    <s v="Wednesday"/>
    <x v="25"/>
    <d v="2026-06-30T00:00:00"/>
    <s v="Summer"/>
    <x v="3"/>
    <x v="2"/>
    <s v="Half Day"/>
    <n v="1"/>
    <n v="87.36"/>
    <s v="Phone Pouch"/>
    <n v="5"/>
    <n v="0"/>
    <n v="92.36"/>
    <x v="7"/>
    <x v="2"/>
    <s v="Credit Card"/>
    <s v="Cloudy"/>
  </r>
  <r>
    <s v="WSR-2026-1029"/>
    <d v="2026-06-24T00:00:00"/>
    <x v="5"/>
    <x v="5"/>
    <s v="Wednesday"/>
    <x v="25"/>
    <d v="2026-06-30T00:00:00"/>
    <s v="Summer"/>
    <x v="2"/>
    <x v="3"/>
    <s v="1 Hour"/>
    <n v="1"/>
    <n v="24.64"/>
    <s v="None"/>
    <n v="0"/>
    <n v="0"/>
    <n v="24.64"/>
    <x v="0"/>
    <x v="1"/>
    <s v="Credit Card"/>
    <s v="Sunny"/>
  </r>
  <r>
    <s v="WSR-2026-1030"/>
    <d v="2026-06-24T00:00:00"/>
    <x v="5"/>
    <x v="5"/>
    <s v="Wednesday"/>
    <x v="25"/>
    <d v="2026-06-30T00:00:00"/>
    <s v="Summer"/>
    <x v="3"/>
    <x v="4"/>
    <s v="Half Day"/>
    <n v="1"/>
    <n v="31.36"/>
    <s v="Cooler Rental"/>
    <n v="10"/>
    <n v="0"/>
    <n v="41.36"/>
    <x v="8"/>
    <x v="4"/>
    <s v="Credit Card"/>
    <s v="Sunny"/>
  </r>
  <r>
    <s v="WSR-2026-1031"/>
    <d v="2026-06-24T00:00:00"/>
    <x v="5"/>
    <x v="5"/>
    <s v="Wednesday"/>
    <x v="25"/>
    <d v="2026-06-30T00:00:00"/>
    <s v="Summer"/>
    <x v="3"/>
    <x v="1"/>
    <s v="2 Hours"/>
    <n v="1"/>
    <n v="42.56"/>
    <s v="Phone Pouch"/>
    <n v="5"/>
    <n v="0"/>
    <n v="47.56"/>
    <x v="7"/>
    <x v="0"/>
    <s v="Cash"/>
    <s v="Windy"/>
  </r>
  <r>
    <s v="WSR-2026-1032"/>
    <d v="2026-06-24T00:00:00"/>
    <x v="5"/>
    <x v="5"/>
    <s v="Wednesday"/>
    <x v="25"/>
    <d v="2026-06-30T00:00:00"/>
    <s v="Summer"/>
    <x v="2"/>
    <x v="2"/>
    <s v="1 Hour"/>
    <n v="1"/>
    <n v="38.08"/>
    <s v="Waterproof Speaker"/>
    <n v="12"/>
    <n v="0"/>
    <n v="50.08"/>
    <x v="1"/>
    <x v="3"/>
    <s v="Debit Card"/>
    <s v="Sunny"/>
  </r>
  <r>
    <s v="WSR-2026-1033"/>
    <d v="2026-06-24T00:00:00"/>
    <x v="5"/>
    <x v="5"/>
    <s v="Wednesday"/>
    <x v="25"/>
    <d v="2026-06-30T00:00:00"/>
    <s v="Summer"/>
    <x v="3"/>
    <x v="7"/>
    <s v="1 Hour"/>
    <n v="1"/>
    <n v="15.68"/>
    <s v="Dry Bag"/>
    <n v="6"/>
    <n v="0"/>
    <n v="21.68"/>
    <x v="9"/>
    <x v="0"/>
    <s v="Credit Card"/>
    <s v="Sunny"/>
  </r>
  <r>
    <s v="WSR-2026-1034"/>
    <d v="2026-06-24T00:00:00"/>
    <x v="5"/>
    <x v="5"/>
    <s v="Wednesday"/>
    <x v="25"/>
    <d v="2026-06-30T00:00:00"/>
    <s v="Summer"/>
    <x v="2"/>
    <x v="5"/>
    <s v="1 Hour"/>
    <n v="1"/>
    <n v="29.12"/>
    <s v="Cooler Rental"/>
    <n v="10"/>
    <n v="0"/>
    <n v="39.119999999999997"/>
    <x v="0"/>
    <x v="0"/>
    <s v="Debit Card"/>
    <s v="Windy"/>
  </r>
  <r>
    <s v="WSR-2026-1035"/>
    <d v="2026-06-24T00:00:00"/>
    <x v="5"/>
    <x v="5"/>
    <s v="Wednesday"/>
    <x v="25"/>
    <d v="2026-06-30T00:00:00"/>
    <s v="Summer"/>
    <x v="0"/>
    <x v="2"/>
    <s v="1 Hour"/>
    <n v="1"/>
    <n v="38.08"/>
    <s v="None"/>
    <n v="0"/>
    <n v="0"/>
    <n v="38.08"/>
    <x v="6"/>
    <x v="1"/>
    <s v="Debit Card"/>
    <s v="Cloudy"/>
  </r>
  <r>
    <s v="WSR-2026-1036"/>
    <d v="2026-06-24T00:00:00"/>
    <x v="5"/>
    <x v="5"/>
    <s v="Wednesday"/>
    <x v="25"/>
    <d v="2026-06-30T00:00:00"/>
    <s v="Summer"/>
    <x v="3"/>
    <x v="8"/>
    <s v="1 Hour"/>
    <n v="1"/>
    <n v="11.2"/>
    <s v="Phone Pouch"/>
    <n v="5"/>
    <n v="0"/>
    <n v="16.2"/>
    <x v="5"/>
    <x v="2"/>
    <s v="Mobile Pay"/>
    <s v="Cloudy"/>
  </r>
  <r>
    <s v="WSR-2026-1037"/>
    <d v="2026-06-24T00:00:00"/>
    <x v="5"/>
    <x v="5"/>
    <s v="Wednesday"/>
    <x v="25"/>
    <d v="2026-06-30T00:00:00"/>
    <s v="Summer"/>
    <x v="2"/>
    <x v="5"/>
    <s v="2 Hours"/>
    <n v="1"/>
    <n v="47.04"/>
    <s v="Premium Life Jacket"/>
    <n v="7"/>
    <n v="0"/>
    <n v="54.04"/>
    <x v="4"/>
    <x v="3"/>
    <s v="Debit Card"/>
    <s v="Sunny"/>
  </r>
  <r>
    <s v="WSR-2026-1038"/>
    <d v="2026-06-25T00:00:00"/>
    <x v="5"/>
    <x v="5"/>
    <s v="Thursday"/>
    <x v="25"/>
    <d v="2026-06-30T00:00:00"/>
    <s v="Summer"/>
    <x v="0"/>
    <x v="0"/>
    <s v="Full Day"/>
    <n v="1"/>
    <n v="123.2"/>
    <s v="Phone Pouch"/>
    <n v="5"/>
    <n v="0"/>
    <n v="128.19999999999999"/>
    <x v="7"/>
    <x v="0"/>
    <s v="Credit Card"/>
    <s v="Sunny"/>
  </r>
  <r>
    <s v="WSR-2026-1039"/>
    <d v="2026-06-25T00:00:00"/>
    <x v="5"/>
    <x v="5"/>
    <s v="Thursday"/>
    <x v="25"/>
    <d v="2026-06-30T00:00:00"/>
    <s v="Summer"/>
    <x v="2"/>
    <x v="0"/>
    <s v="1 Hour"/>
    <n v="1"/>
    <n v="35.840000000000003"/>
    <s v="None"/>
    <n v="0"/>
    <n v="0"/>
    <n v="35.840000000000003"/>
    <x v="3"/>
    <x v="2"/>
    <s v="Cash"/>
    <s v="Sunny"/>
  </r>
  <r>
    <s v="WSR-2026-1040"/>
    <d v="2026-06-25T00:00:00"/>
    <x v="5"/>
    <x v="5"/>
    <s v="Thursday"/>
    <x v="25"/>
    <d v="2026-06-30T00:00:00"/>
    <s v="Summer"/>
    <x v="4"/>
    <x v="1"/>
    <s v="Full Day"/>
    <n v="1"/>
    <n v="94.08"/>
    <s v="Phone Pouch"/>
    <n v="5"/>
    <n v="14.86"/>
    <n v="84.22"/>
    <x v="5"/>
    <x v="3"/>
    <s v="Credit Card"/>
    <s v="Sunny"/>
  </r>
  <r>
    <s v="WSR-2026-1041"/>
    <d v="2026-06-25T00:00:00"/>
    <x v="5"/>
    <x v="5"/>
    <s v="Thursday"/>
    <x v="25"/>
    <d v="2026-06-30T00:00:00"/>
    <s v="Summer"/>
    <x v="0"/>
    <x v="7"/>
    <s v="Full Day"/>
    <n v="1"/>
    <n v="53.76"/>
    <s v="None"/>
    <n v="0"/>
    <n v="0"/>
    <n v="53.76"/>
    <x v="0"/>
    <x v="4"/>
    <s v="Debit Card"/>
    <s v="Sunny"/>
  </r>
  <r>
    <s v="WSR-2026-1042"/>
    <d v="2026-06-25T00:00:00"/>
    <x v="5"/>
    <x v="5"/>
    <s v="Thursday"/>
    <x v="25"/>
    <d v="2026-06-30T00:00:00"/>
    <s v="Summer"/>
    <x v="3"/>
    <x v="5"/>
    <s v="Full Day"/>
    <n v="1"/>
    <n v="98.56"/>
    <s v="Dry Bag"/>
    <n v="6"/>
    <n v="0"/>
    <n v="104.56"/>
    <x v="5"/>
    <x v="0"/>
    <s v="Debit Card"/>
    <s v="Sunny"/>
  </r>
  <r>
    <s v="WSR-2026-1043"/>
    <d v="2026-06-25T00:00:00"/>
    <x v="5"/>
    <x v="5"/>
    <s v="Thursday"/>
    <x v="25"/>
    <d v="2026-06-30T00:00:00"/>
    <s v="Summer"/>
    <x v="4"/>
    <x v="1"/>
    <s v="2 Hours"/>
    <n v="1"/>
    <n v="42.56"/>
    <s v="None"/>
    <n v="0"/>
    <n v="6.38"/>
    <n v="36.18"/>
    <x v="6"/>
    <x v="1"/>
    <s v="Cash"/>
    <s v="Sunny"/>
  </r>
  <r>
    <s v="WSR-2026-1044"/>
    <d v="2026-06-25T00:00:00"/>
    <x v="5"/>
    <x v="5"/>
    <s v="Thursday"/>
    <x v="25"/>
    <d v="2026-06-30T00:00:00"/>
    <s v="Summer"/>
    <x v="4"/>
    <x v="7"/>
    <s v="Full Day"/>
    <n v="1"/>
    <n v="53.76"/>
    <s v="None"/>
    <n v="0"/>
    <n v="8.06"/>
    <n v="45.7"/>
    <x v="3"/>
    <x v="0"/>
    <s v="Credit Card"/>
    <s v="Sunny"/>
  </r>
  <r>
    <s v="WSR-2026-1045"/>
    <d v="2026-06-25T00:00:00"/>
    <x v="5"/>
    <x v="5"/>
    <s v="Thursday"/>
    <x v="25"/>
    <d v="2026-06-30T00:00:00"/>
    <s v="Summer"/>
    <x v="3"/>
    <x v="6"/>
    <s v="Full Day"/>
    <n v="1"/>
    <n v="138.88"/>
    <s v="Dry Bag"/>
    <n v="6"/>
    <n v="0"/>
    <n v="144.88"/>
    <x v="3"/>
    <x v="1"/>
    <s v="Gift Card"/>
    <s v="Sunny"/>
  </r>
  <r>
    <s v="WSR-2026-1046"/>
    <d v="2026-06-25T00:00:00"/>
    <x v="5"/>
    <x v="5"/>
    <s v="Thursday"/>
    <x v="25"/>
    <d v="2026-06-30T00:00:00"/>
    <s v="Summer"/>
    <x v="0"/>
    <x v="4"/>
    <s v="2 Hours"/>
    <n v="1"/>
    <n v="20.16"/>
    <s v="None"/>
    <n v="0"/>
    <n v="0"/>
    <n v="20.16"/>
    <x v="9"/>
    <x v="2"/>
    <s v="Cash"/>
    <s v="Sunny"/>
  </r>
  <r>
    <s v="WSR-2026-1047"/>
    <d v="2026-06-25T00:00:00"/>
    <x v="5"/>
    <x v="5"/>
    <s v="Thursday"/>
    <x v="25"/>
    <d v="2026-06-30T00:00:00"/>
    <s v="Summer"/>
    <x v="3"/>
    <x v="3"/>
    <s v="Half Day"/>
    <n v="1"/>
    <n v="60.48"/>
    <s v="None"/>
    <n v="0"/>
    <n v="0"/>
    <n v="60.48"/>
    <x v="2"/>
    <x v="1"/>
    <s v="Credit Card"/>
    <s v="Sunny"/>
  </r>
  <r>
    <s v="WSR-2026-1048"/>
    <d v="2026-06-25T00:00:00"/>
    <x v="5"/>
    <x v="5"/>
    <s v="Thursday"/>
    <x v="25"/>
    <d v="2026-06-30T00:00:00"/>
    <s v="Summer"/>
    <x v="0"/>
    <x v="5"/>
    <s v="Half Day"/>
    <n v="1"/>
    <n v="69.44"/>
    <s v="GoPro Mount"/>
    <n v="8"/>
    <n v="0"/>
    <n v="77.44"/>
    <x v="2"/>
    <x v="0"/>
    <s v="Credit Card"/>
    <s v="Sunny"/>
  </r>
  <r>
    <s v="WSR-2026-1049"/>
    <d v="2026-06-25T00:00:00"/>
    <x v="5"/>
    <x v="5"/>
    <s v="Thursday"/>
    <x v="25"/>
    <d v="2026-06-30T00:00:00"/>
    <s v="Summer"/>
    <x v="3"/>
    <x v="1"/>
    <s v="2 Hours"/>
    <n v="1"/>
    <n v="42.56"/>
    <s v="None"/>
    <n v="0"/>
    <n v="0"/>
    <n v="42.56"/>
    <x v="4"/>
    <x v="0"/>
    <s v="Gift Card"/>
    <s v="Sunny"/>
  </r>
  <r>
    <s v="WSR-2026-1050"/>
    <d v="2026-06-26T00:00:00"/>
    <x v="5"/>
    <x v="5"/>
    <s v="Friday"/>
    <x v="25"/>
    <d v="2026-06-30T00:00:00"/>
    <s v="Summer"/>
    <x v="2"/>
    <x v="5"/>
    <s v="Half Day"/>
    <n v="1"/>
    <n v="69.44"/>
    <s v="None"/>
    <n v="0"/>
    <n v="0"/>
    <n v="69.44"/>
    <x v="6"/>
    <x v="1"/>
    <s v="Debit Card"/>
    <s v="Sunny"/>
  </r>
  <r>
    <s v="WSR-2026-1051"/>
    <d v="2026-06-26T00:00:00"/>
    <x v="5"/>
    <x v="5"/>
    <s v="Friday"/>
    <x v="25"/>
    <d v="2026-06-30T00:00:00"/>
    <s v="Summer"/>
    <x v="3"/>
    <x v="1"/>
    <s v="Full Day"/>
    <n v="1"/>
    <n v="94.08"/>
    <s v="None"/>
    <n v="0"/>
    <n v="0"/>
    <n v="94.08"/>
    <x v="7"/>
    <x v="3"/>
    <s v="Debit Card"/>
    <s v="Cloudy"/>
  </r>
  <r>
    <s v="WSR-2026-1052"/>
    <d v="2026-06-26T00:00:00"/>
    <x v="5"/>
    <x v="5"/>
    <s v="Friday"/>
    <x v="25"/>
    <d v="2026-06-30T00:00:00"/>
    <s v="Summer"/>
    <x v="2"/>
    <x v="8"/>
    <s v="1 Hour"/>
    <n v="1"/>
    <n v="11.2"/>
    <s v="None"/>
    <n v="0"/>
    <n v="0"/>
    <n v="11.2"/>
    <x v="9"/>
    <x v="2"/>
    <s v="Debit Card"/>
    <s v="Sunny"/>
  </r>
  <r>
    <s v="WSR-2026-1053"/>
    <d v="2026-06-26T00:00:00"/>
    <x v="5"/>
    <x v="5"/>
    <s v="Friday"/>
    <x v="25"/>
    <d v="2026-06-30T00:00:00"/>
    <s v="Summer"/>
    <x v="1"/>
    <x v="0"/>
    <s v="Half Day"/>
    <n v="1"/>
    <n v="85.12"/>
    <s v="None"/>
    <n v="0"/>
    <n v="0"/>
    <n v="85.12"/>
    <x v="7"/>
    <x v="4"/>
    <s v="Credit Card"/>
    <s v="Sunny"/>
  </r>
  <r>
    <s v="WSR-2026-1054"/>
    <d v="2026-06-26T00:00:00"/>
    <x v="5"/>
    <x v="5"/>
    <s v="Friday"/>
    <x v="25"/>
    <d v="2026-06-30T00:00:00"/>
    <s v="Summer"/>
    <x v="1"/>
    <x v="3"/>
    <s v="Full Day"/>
    <n v="1"/>
    <n v="85.12"/>
    <s v="GoPro Mount"/>
    <n v="8"/>
    <n v="4.66"/>
    <n v="88.46"/>
    <x v="6"/>
    <x v="1"/>
    <s v="Credit Card"/>
    <s v="Sunny"/>
  </r>
  <r>
    <s v="WSR-2026-1055"/>
    <d v="2026-06-26T00:00:00"/>
    <x v="5"/>
    <x v="5"/>
    <s v="Friday"/>
    <x v="25"/>
    <d v="2026-06-30T00:00:00"/>
    <s v="Summer"/>
    <x v="2"/>
    <x v="5"/>
    <s v="Full Day"/>
    <n v="1"/>
    <n v="98.56"/>
    <s v="Dry Bag"/>
    <n v="6"/>
    <n v="0"/>
    <n v="104.56"/>
    <x v="6"/>
    <x v="4"/>
    <s v="Mobile Pay"/>
    <s v="Sunny"/>
  </r>
  <r>
    <s v="WSR-2026-1056"/>
    <d v="2026-06-26T00:00:00"/>
    <x v="5"/>
    <x v="5"/>
    <s v="Friday"/>
    <x v="25"/>
    <d v="2026-06-30T00:00:00"/>
    <s v="Summer"/>
    <x v="3"/>
    <x v="5"/>
    <s v="2 Hours"/>
    <n v="1"/>
    <n v="47.04"/>
    <s v="Dry Bag"/>
    <n v="6"/>
    <n v="0"/>
    <n v="53.04"/>
    <x v="9"/>
    <x v="2"/>
    <s v="Mobile Pay"/>
    <s v="Sunny"/>
  </r>
  <r>
    <s v="WSR-2026-1057"/>
    <d v="2026-06-26T00:00:00"/>
    <x v="5"/>
    <x v="5"/>
    <s v="Friday"/>
    <x v="25"/>
    <d v="2026-06-30T00:00:00"/>
    <s v="Summer"/>
    <x v="3"/>
    <x v="4"/>
    <s v="1 Hour"/>
    <n v="1"/>
    <n v="13.44"/>
    <s v="Premium Life Jacket"/>
    <n v="7"/>
    <n v="0"/>
    <n v="20.440000000000001"/>
    <x v="0"/>
    <x v="3"/>
    <s v="Credit Card"/>
    <s v="Sunny"/>
  </r>
  <r>
    <s v="WSR-2026-1058"/>
    <d v="2026-06-26T00:00:00"/>
    <x v="5"/>
    <x v="5"/>
    <s v="Friday"/>
    <x v="25"/>
    <d v="2026-06-30T00:00:00"/>
    <s v="Summer"/>
    <x v="2"/>
    <x v="7"/>
    <s v="1 Hour"/>
    <n v="1"/>
    <n v="15.68"/>
    <s v="Dry Bag"/>
    <n v="6"/>
    <n v="0"/>
    <n v="21.68"/>
    <x v="9"/>
    <x v="3"/>
    <s v="Debit Card"/>
    <s v="Sunny"/>
  </r>
  <r>
    <s v="WSR-2026-1059"/>
    <d v="2026-06-26T00:00:00"/>
    <x v="5"/>
    <x v="5"/>
    <s v="Friday"/>
    <x v="25"/>
    <d v="2026-06-30T00:00:00"/>
    <s v="Summer"/>
    <x v="3"/>
    <x v="1"/>
    <s v="Half Day"/>
    <n v="1"/>
    <n v="64.959999999999994"/>
    <s v="Phone Pouch"/>
    <n v="5"/>
    <n v="0"/>
    <n v="69.959999999999994"/>
    <x v="9"/>
    <x v="4"/>
    <s v="Credit Card"/>
    <s v="Sunny"/>
  </r>
  <r>
    <s v="WSR-2026-1060"/>
    <d v="2026-06-26T00:00:00"/>
    <x v="5"/>
    <x v="5"/>
    <s v="Friday"/>
    <x v="25"/>
    <d v="2026-06-30T00:00:00"/>
    <s v="Summer"/>
    <x v="3"/>
    <x v="3"/>
    <s v="2 Hours"/>
    <n v="1"/>
    <n v="40.32"/>
    <s v="Premium Life Jacket"/>
    <n v="7"/>
    <n v="0"/>
    <n v="47.32"/>
    <x v="7"/>
    <x v="1"/>
    <s v="Debit Card"/>
    <s v="Sunny"/>
  </r>
  <r>
    <s v="WSR-2026-1061"/>
    <d v="2026-06-26T00:00:00"/>
    <x v="5"/>
    <x v="5"/>
    <s v="Friday"/>
    <x v="25"/>
    <d v="2026-06-30T00:00:00"/>
    <s v="Summer"/>
    <x v="2"/>
    <x v="8"/>
    <s v="1 Hour"/>
    <n v="1"/>
    <n v="11.2"/>
    <s v="Waterproof Speaker"/>
    <n v="12"/>
    <n v="0"/>
    <n v="23.2"/>
    <x v="8"/>
    <x v="1"/>
    <s v="Debit Card"/>
    <s v="Sunny"/>
  </r>
  <r>
    <s v="WSR-2026-1062"/>
    <d v="2026-06-26T00:00:00"/>
    <x v="5"/>
    <x v="5"/>
    <s v="Friday"/>
    <x v="25"/>
    <d v="2026-06-30T00:00:00"/>
    <s v="Summer"/>
    <x v="4"/>
    <x v="2"/>
    <s v="1 Hour"/>
    <n v="1"/>
    <n v="38.08"/>
    <s v="None"/>
    <n v="0"/>
    <n v="5.71"/>
    <n v="32.369999999999997"/>
    <x v="7"/>
    <x v="3"/>
    <s v="Mobile Pay"/>
    <s v="Sunny"/>
  </r>
  <r>
    <s v="WSR-2026-1063"/>
    <d v="2026-06-26T00:00:00"/>
    <x v="5"/>
    <x v="5"/>
    <s v="Friday"/>
    <x v="25"/>
    <d v="2026-06-30T00:00:00"/>
    <s v="Summer"/>
    <x v="3"/>
    <x v="7"/>
    <s v="1 Hour"/>
    <n v="1"/>
    <n v="15.68"/>
    <s v="None"/>
    <n v="0"/>
    <n v="0"/>
    <n v="15.68"/>
    <x v="3"/>
    <x v="0"/>
    <s v="Credit Card"/>
    <s v="Sunny"/>
  </r>
  <r>
    <s v="WSR-2026-1064"/>
    <d v="2026-06-27T00:00:00"/>
    <x v="5"/>
    <x v="5"/>
    <s v="Saturday"/>
    <x v="25"/>
    <d v="2026-06-30T00:00:00"/>
    <s v="Summer"/>
    <x v="3"/>
    <x v="2"/>
    <s v="2 Hours"/>
    <n v="1"/>
    <n v="62.4"/>
    <s v="Waterproof Speaker"/>
    <n v="12"/>
    <n v="0"/>
    <n v="74.400000000000006"/>
    <x v="8"/>
    <x v="0"/>
    <s v="Credit Card"/>
    <s v="Sunny"/>
  </r>
  <r>
    <s v="WSR-2026-1065"/>
    <d v="2026-06-27T00:00:00"/>
    <x v="5"/>
    <x v="5"/>
    <s v="Saturday"/>
    <x v="25"/>
    <d v="2026-06-30T00:00:00"/>
    <s v="Summer"/>
    <x v="4"/>
    <x v="9"/>
    <s v="Half Day"/>
    <n v="1"/>
    <n v="86.4"/>
    <s v="Premium Life Jacket"/>
    <n v="7"/>
    <n v="9.34"/>
    <n v="84.06"/>
    <x v="9"/>
    <x v="4"/>
    <s v="Credit Card"/>
    <s v="Sunny"/>
  </r>
  <r>
    <s v="WSR-2026-1066"/>
    <d v="2026-06-27T00:00:00"/>
    <x v="5"/>
    <x v="5"/>
    <s v="Saturday"/>
    <x v="25"/>
    <d v="2026-06-30T00:00:00"/>
    <s v="Summer"/>
    <x v="1"/>
    <x v="2"/>
    <s v="2 Hours"/>
    <n v="1"/>
    <n v="62.4"/>
    <s v="None"/>
    <n v="0"/>
    <n v="6.24"/>
    <n v="56.16"/>
    <x v="8"/>
    <x v="0"/>
    <s v="Credit Card"/>
    <s v="Cloudy"/>
  </r>
  <r>
    <s v="WSR-2026-1067"/>
    <d v="2026-06-27T00:00:00"/>
    <x v="5"/>
    <x v="5"/>
    <s v="Saturday"/>
    <x v="25"/>
    <d v="2026-06-30T00:00:00"/>
    <s v="Summer"/>
    <x v="0"/>
    <x v="4"/>
    <s v="1 Hour"/>
    <n v="1"/>
    <n v="14.4"/>
    <s v="None"/>
    <n v="0"/>
    <n v="0"/>
    <n v="14.4"/>
    <x v="3"/>
    <x v="2"/>
    <s v="Cash"/>
    <s v="Sunny"/>
  </r>
  <r>
    <s v="WSR-2026-1068"/>
    <d v="2026-06-27T00:00:00"/>
    <x v="5"/>
    <x v="5"/>
    <s v="Saturday"/>
    <x v="25"/>
    <d v="2026-06-30T00:00:00"/>
    <s v="Summer"/>
    <x v="2"/>
    <x v="3"/>
    <s v="2 Hours"/>
    <n v="1"/>
    <n v="43.2"/>
    <s v="Phone Pouch"/>
    <n v="5"/>
    <n v="0"/>
    <n v="48.2"/>
    <x v="8"/>
    <x v="2"/>
    <s v="Credit Card"/>
    <s v="Sunny"/>
  </r>
  <r>
    <s v="WSR-2026-1069"/>
    <d v="2026-06-27T00:00:00"/>
    <x v="5"/>
    <x v="5"/>
    <s v="Saturday"/>
    <x v="25"/>
    <d v="2026-06-30T00:00:00"/>
    <s v="Summer"/>
    <x v="3"/>
    <x v="1"/>
    <s v="Half Day"/>
    <n v="1"/>
    <n v="69.599999999999994"/>
    <s v="Dry Bag"/>
    <n v="6"/>
    <n v="0"/>
    <n v="75.599999999999994"/>
    <x v="7"/>
    <x v="4"/>
    <s v="Credit Card"/>
    <s v="Sunny"/>
  </r>
  <r>
    <s v="WSR-2026-1070"/>
    <d v="2026-06-27T00:00:00"/>
    <x v="5"/>
    <x v="5"/>
    <s v="Saturday"/>
    <x v="25"/>
    <d v="2026-06-30T00:00:00"/>
    <s v="Summer"/>
    <x v="0"/>
    <x v="6"/>
    <s v="1 Hour"/>
    <n v="1"/>
    <n v="43.2"/>
    <s v="None"/>
    <n v="0"/>
    <n v="0"/>
    <n v="43.2"/>
    <x v="4"/>
    <x v="1"/>
    <s v="Debit Card"/>
    <s v="Sunny"/>
  </r>
  <r>
    <s v="WSR-2026-1071"/>
    <d v="2026-06-27T00:00:00"/>
    <x v="5"/>
    <x v="5"/>
    <s v="Saturday"/>
    <x v="25"/>
    <d v="2026-06-30T00:00:00"/>
    <s v="Summer"/>
    <x v="2"/>
    <x v="1"/>
    <s v="Full Day"/>
    <n v="1"/>
    <n v="100.8"/>
    <s v="None"/>
    <n v="0"/>
    <n v="0"/>
    <n v="100.8"/>
    <x v="0"/>
    <x v="2"/>
    <s v="Credit Card"/>
    <s v="Sunny"/>
  </r>
  <r>
    <s v="WSR-2026-1072"/>
    <d v="2026-06-27T00:00:00"/>
    <x v="5"/>
    <x v="5"/>
    <s v="Saturday"/>
    <x v="25"/>
    <d v="2026-06-30T00:00:00"/>
    <s v="Summer"/>
    <x v="2"/>
    <x v="1"/>
    <s v="2 Hours"/>
    <n v="1"/>
    <n v="45.6"/>
    <s v="Phone Pouch"/>
    <n v="5"/>
    <n v="0"/>
    <n v="50.6"/>
    <x v="7"/>
    <x v="3"/>
    <s v="Cash"/>
    <s v="Sunny"/>
  </r>
  <r>
    <s v="WSR-2026-1073"/>
    <d v="2026-06-27T00:00:00"/>
    <x v="5"/>
    <x v="5"/>
    <s v="Saturday"/>
    <x v="25"/>
    <d v="2026-06-30T00:00:00"/>
    <s v="Summer"/>
    <x v="2"/>
    <x v="2"/>
    <s v="1 Hour"/>
    <n v="1"/>
    <n v="40.799999999999997"/>
    <s v="Premium Life Jacket"/>
    <n v="7"/>
    <n v="0"/>
    <n v="47.8"/>
    <x v="6"/>
    <x v="2"/>
    <s v="Credit Card"/>
    <s v="Sunny"/>
  </r>
  <r>
    <s v="WSR-2026-1074"/>
    <d v="2026-06-27T00:00:00"/>
    <x v="5"/>
    <x v="5"/>
    <s v="Saturday"/>
    <x v="25"/>
    <d v="2026-06-30T00:00:00"/>
    <s v="Summer"/>
    <x v="3"/>
    <x v="3"/>
    <s v="2 Hours"/>
    <n v="1"/>
    <n v="43.2"/>
    <s v="None"/>
    <n v="0"/>
    <n v="0"/>
    <n v="43.2"/>
    <x v="4"/>
    <x v="2"/>
    <s v="Credit Card"/>
    <s v="Sunny"/>
  </r>
  <r>
    <s v="WSR-2026-1075"/>
    <d v="2026-06-27T00:00:00"/>
    <x v="5"/>
    <x v="5"/>
    <s v="Saturday"/>
    <x v="25"/>
    <d v="2026-06-30T00:00:00"/>
    <s v="Summer"/>
    <x v="1"/>
    <x v="1"/>
    <s v="2 Hours"/>
    <n v="1"/>
    <n v="45.6"/>
    <s v="Dry Bag"/>
    <n v="6"/>
    <n v="2.58"/>
    <n v="49.02"/>
    <x v="1"/>
    <x v="2"/>
    <s v="Debit Card"/>
    <s v="Sunny"/>
  </r>
  <r>
    <s v="WSR-2026-1076"/>
    <d v="2026-06-27T00:00:00"/>
    <x v="5"/>
    <x v="5"/>
    <s v="Saturday"/>
    <x v="25"/>
    <d v="2026-06-30T00:00:00"/>
    <s v="Summer"/>
    <x v="2"/>
    <x v="1"/>
    <s v="1 Hour"/>
    <n v="1"/>
    <n v="28.8"/>
    <s v="None"/>
    <n v="0"/>
    <n v="0"/>
    <n v="28.8"/>
    <x v="8"/>
    <x v="0"/>
    <s v="Credit Card"/>
    <s v="Sunny"/>
  </r>
  <r>
    <s v="WSR-2026-1077"/>
    <d v="2026-06-27T00:00:00"/>
    <x v="5"/>
    <x v="5"/>
    <s v="Saturday"/>
    <x v="25"/>
    <d v="2026-06-30T00:00:00"/>
    <s v="Summer"/>
    <x v="2"/>
    <x v="1"/>
    <s v="1 Hour"/>
    <n v="1"/>
    <n v="28.8"/>
    <s v="Dry Bag"/>
    <n v="6"/>
    <n v="0"/>
    <n v="34.799999999999997"/>
    <x v="7"/>
    <x v="1"/>
    <s v="Mobile Pay"/>
    <s v="Cloudy"/>
  </r>
  <r>
    <s v="WSR-2026-1078"/>
    <d v="2026-06-28T00:00:00"/>
    <x v="5"/>
    <x v="5"/>
    <s v="Sunday"/>
    <x v="26"/>
    <d v="2026-06-30T00:00:00"/>
    <s v="Summer"/>
    <x v="3"/>
    <x v="1"/>
    <s v="2 Hours"/>
    <n v="1"/>
    <n v="45.6"/>
    <s v="Cooler Rental"/>
    <n v="10"/>
    <n v="0"/>
    <n v="55.6"/>
    <x v="1"/>
    <x v="4"/>
    <s v="Credit Card"/>
    <s v="Sunny"/>
  </r>
  <r>
    <s v="WSR-2026-1079"/>
    <d v="2026-06-28T00:00:00"/>
    <x v="5"/>
    <x v="5"/>
    <s v="Sunday"/>
    <x v="26"/>
    <d v="2026-06-30T00:00:00"/>
    <s v="Summer"/>
    <x v="0"/>
    <x v="5"/>
    <s v="Half Day"/>
    <n v="1"/>
    <n v="74.400000000000006"/>
    <s v="Dry Bag"/>
    <n v="6"/>
    <n v="0"/>
    <n v="80.400000000000006"/>
    <x v="6"/>
    <x v="4"/>
    <s v="Debit Card"/>
    <s v="Cloudy"/>
  </r>
  <r>
    <s v="WSR-2026-1080"/>
    <d v="2026-06-28T00:00:00"/>
    <x v="5"/>
    <x v="5"/>
    <s v="Sunday"/>
    <x v="26"/>
    <d v="2026-06-30T00:00:00"/>
    <s v="Summer"/>
    <x v="3"/>
    <x v="5"/>
    <s v="Half Day"/>
    <n v="1"/>
    <n v="74.400000000000006"/>
    <s v="None"/>
    <n v="0"/>
    <n v="0"/>
    <n v="74.400000000000006"/>
    <x v="6"/>
    <x v="4"/>
    <s v="Gift Card"/>
    <s v="Cloudy"/>
  </r>
  <r>
    <s v="WSR-2026-1081"/>
    <d v="2026-06-28T00:00:00"/>
    <x v="5"/>
    <x v="5"/>
    <s v="Sunday"/>
    <x v="26"/>
    <d v="2026-06-30T00:00:00"/>
    <s v="Summer"/>
    <x v="0"/>
    <x v="5"/>
    <s v="1 Hour"/>
    <n v="1"/>
    <n v="31.2"/>
    <s v="None"/>
    <n v="0"/>
    <n v="0"/>
    <n v="31.2"/>
    <x v="8"/>
    <x v="3"/>
    <s v="Mobile Pay"/>
    <s v="Rainy"/>
  </r>
  <r>
    <s v="WSR-2026-1082"/>
    <d v="2026-06-28T00:00:00"/>
    <x v="5"/>
    <x v="5"/>
    <s v="Sunday"/>
    <x v="26"/>
    <d v="2026-06-30T00:00:00"/>
    <s v="Summer"/>
    <x v="3"/>
    <x v="1"/>
    <s v="2 Hours"/>
    <n v="1"/>
    <n v="45.6"/>
    <s v="None"/>
    <n v="0"/>
    <n v="0"/>
    <n v="45.6"/>
    <x v="2"/>
    <x v="4"/>
    <s v="Credit Card"/>
    <s v="Sunny"/>
  </r>
  <r>
    <s v="WSR-2026-1083"/>
    <d v="2026-06-28T00:00:00"/>
    <x v="5"/>
    <x v="5"/>
    <s v="Sunday"/>
    <x v="26"/>
    <d v="2026-06-30T00:00:00"/>
    <s v="Summer"/>
    <x v="2"/>
    <x v="5"/>
    <s v="1 Hour"/>
    <n v="1"/>
    <n v="31.2"/>
    <s v="Phone Pouch"/>
    <n v="5"/>
    <n v="0"/>
    <n v="36.200000000000003"/>
    <x v="4"/>
    <x v="2"/>
    <s v="Debit Card"/>
    <s v="Windy"/>
  </r>
  <r>
    <s v="WSR-2026-1084"/>
    <d v="2026-06-28T00:00:00"/>
    <x v="5"/>
    <x v="5"/>
    <s v="Sunday"/>
    <x v="26"/>
    <d v="2026-06-30T00:00:00"/>
    <s v="Summer"/>
    <x v="2"/>
    <x v="4"/>
    <s v="Half Day"/>
    <n v="1"/>
    <n v="33.6"/>
    <s v="None"/>
    <n v="0"/>
    <n v="0"/>
    <n v="33.6"/>
    <x v="7"/>
    <x v="0"/>
    <s v="Debit Card"/>
    <s v="Sunny"/>
  </r>
  <r>
    <s v="WSR-2026-1085"/>
    <d v="2026-06-28T00:00:00"/>
    <x v="5"/>
    <x v="5"/>
    <s v="Sunday"/>
    <x v="26"/>
    <d v="2026-06-30T00:00:00"/>
    <s v="Summer"/>
    <x v="0"/>
    <x v="1"/>
    <s v="1 Hour"/>
    <n v="1"/>
    <n v="28.8"/>
    <s v="None"/>
    <n v="0"/>
    <n v="0"/>
    <n v="28.8"/>
    <x v="7"/>
    <x v="3"/>
    <s v="Credit Card"/>
    <s v="Sunny"/>
  </r>
  <r>
    <s v="WSR-2026-1086"/>
    <d v="2026-06-28T00:00:00"/>
    <x v="5"/>
    <x v="5"/>
    <s v="Sunday"/>
    <x v="26"/>
    <d v="2026-06-30T00:00:00"/>
    <s v="Summer"/>
    <x v="0"/>
    <x v="2"/>
    <s v="Half Day"/>
    <n v="1"/>
    <n v="93.6"/>
    <s v="Waterproof Speaker"/>
    <n v="12"/>
    <n v="0"/>
    <n v="105.6"/>
    <x v="6"/>
    <x v="1"/>
    <s v="Debit Card"/>
    <s v="Sunny"/>
  </r>
  <r>
    <s v="WSR-2026-1087"/>
    <d v="2026-06-28T00:00:00"/>
    <x v="5"/>
    <x v="5"/>
    <s v="Sunday"/>
    <x v="26"/>
    <d v="2026-06-30T00:00:00"/>
    <s v="Summer"/>
    <x v="0"/>
    <x v="7"/>
    <s v="1 Hour"/>
    <n v="1"/>
    <n v="16.8"/>
    <s v="Dry Bag"/>
    <n v="6"/>
    <n v="0"/>
    <n v="22.8"/>
    <x v="9"/>
    <x v="2"/>
    <s v="Credit Card"/>
    <s v="Sunny"/>
  </r>
  <r>
    <s v="WSR-2026-1088"/>
    <d v="2026-06-28T00:00:00"/>
    <x v="5"/>
    <x v="5"/>
    <s v="Sunday"/>
    <x v="26"/>
    <d v="2026-06-30T00:00:00"/>
    <s v="Summer"/>
    <x v="0"/>
    <x v="2"/>
    <s v="Half Day"/>
    <n v="1"/>
    <n v="93.6"/>
    <s v="Dry Bag"/>
    <n v="6"/>
    <n v="0"/>
    <n v="99.6"/>
    <x v="7"/>
    <x v="3"/>
    <s v="Cash"/>
    <s v="Cloudy"/>
  </r>
  <r>
    <s v="WSR-2026-1089"/>
    <d v="2026-06-28T00:00:00"/>
    <x v="5"/>
    <x v="5"/>
    <s v="Sunday"/>
    <x v="26"/>
    <d v="2026-06-30T00:00:00"/>
    <s v="Summer"/>
    <x v="3"/>
    <x v="7"/>
    <s v="Half Day"/>
    <n v="1"/>
    <n v="40.799999999999997"/>
    <s v="None"/>
    <n v="0"/>
    <n v="0"/>
    <n v="40.799999999999997"/>
    <x v="5"/>
    <x v="1"/>
    <s v="Credit Card"/>
    <s v="Cloudy"/>
  </r>
  <r>
    <s v="WSR-2026-1090"/>
    <d v="2026-06-28T00:00:00"/>
    <x v="5"/>
    <x v="5"/>
    <s v="Sunday"/>
    <x v="26"/>
    <d v="2026-06-30T00:00:00"/>
    <s v="Summer"/>
    <x v="3"/>
    <x v="2"/>
    <s v="1 Hour"/>
    <n v="1"/>
    <n v="40.799999999999997"/>
    <s v="Cooler Rental"/>
    <n v="10"/>
    <n v="0"/>
    <n v="50.8"/>
    <x v="6"/>
    <x v="3"/>
    <s v="Mobile Pay"/>
    <s v="Sunny"/>
  </r>
  <r>
    <s v="WSR-2026-1091"/>
    <d v="2026-06-28T00:00:00"/>
    <x v="5"/>
    <x v="5"/>
    <s v="Sunday"/>
    <x v="26"/>
    <d v="2026-06-30T00:00:00"/>
    <s v="Summer"/>
    <x v="3"/>
    <x v="2"/>
    <s v="1 Hour"/>
    <n v="1"/>
    <n v="40.799999999999997"/>
    <s v="GoPro Mount"/>
    <n v="8"/>
    <n v="0"/>
    <n v="48.8"/>
    <x v="0"/>
    <x v="2"/>
    <s v="Credit Card"/>
    <s v="Sunny"/>
  </r>
  <r>
    <s v="WSR-2026-1092"/>
    <d v="2026-06-28T00:00:00"/>
    <x v="5"/>
    <x v="5"/>
    <s v="Sunday"/>
    <x v="26"/>
    <d v="2026-06-30T00:00:00"/>
    <s v="Summer"/>
    <x v="2"/>
    <x v="3"/>
    <s v="1 Hour"/>
    <n v="1"/>
    <n v="26.4"/>
    <s v="None"/>
    <n v="0"/>
    <n v="0"/>
    <n v="26.4"/>
    <x v="8"/>
    <x v="2"/>
    <s v="Gift Card"/>
    <s v="Sunny"/>
  </r>
  <r>
    <s v="WSR-2026-1093"/>
    <d v="2026-06-28T00:00:00"/>
    <x v="5"/>
    <x v="5"/>
    <s v="Sunday"/>
    <x v="26"/>
    <d v="2026-06-30T00:00:00"/>
    <s v="Summer"/>
    <x v="0"/>
    <x v="1"/>
    <s v="2 Hours"/>
    <n v="1"/>
    <n v="45.6"/>
    <s v="None"/>
    <n v="0"/>
    <n v="0"/>
    <n v="45.6"/>
    <x v="9"/>
    <x v="2"/>
    <s v="Cash"/>
    <s v="Sunny"/>
  </r>
  <r>
    <s v="WSR-2026-1094"/>
    <d v="2026-06-28T00:00:00"/>
    <x v="5"/>
    <x v="5"/>
    <s v="Sunday"/>
    <x v="26"/>
    <d v="2026-06-30T00:00:00"/>
    <s v="Summer"/>
    <x v="2"/>
    <x v="8"/>
    <s v="2 Hours"/>
    <n v="1"/>
    <n v="19.2"/>
    <s v="Dry Bag"/>
    <n v="6"/>
    <n v="0"/>
    <n v="25.2"/>
    <x v="5"/>
    <x v="4"/>
    <s v="Mobile Pay"/>
    <s v="Sunny"/>
  </r>
  <r>
    <s v="WSR-2026-1095"/>
    <d v="2026-06-28T00:00:00"/>
    <x v="5"/>
    <x v="5"/>
    <s v="Sunday"/>
    <x v="26"/>
    <d v="2026-06-30T00:00:00"/>
    <s v="Summer"/>
    <x v="1"/>
    <x v="6"/>
    <s v="Full Day"/>
    <n v="1"/>
    <n v="148.80000000000001"/>
    <s v="None"/>
    <n v="0"/>
    <n v="0"/>
    <n v="148.80000000000001"/>
    <x v="1"/>
    <x v="4"/>
    <s v="Mobile Pay"/>
    <s v="Sunny"/>
  </r>
  <r>
    <s v="WSR-2026-1096"/>
    <d v="2026-06-28T00:00:00"/>
    <x v="5"/>
    <x v="5"/>
    <s v="Sunday"/>
    <x v="26"/>
    <d v="2026-06-30T00:00:00"/>
    <s v="Summer"/>
    <x v="3"/>
    <x v="0"/>
    <s v="Full Day"/>
    <n v="1"/>
    <n v="132"/>
    <s v="Phone Pouch"/>
    <n v="5"/>
    <n v="0"/>
    <n v="137"/>
    <x v="7"/>
    <x v="1"/>
    <s v="Credit Card"/>
    <s v="Rainy"/>
  </r>
  <r>
    <s v="WSR-2026-1097"/>
    <d v="2026-06-28T00:00:00"/>
    <x v="5"/>
    <x v="5"/>
    <s v="Sunday"/>
    <x v="26"/>
    <d v="2026-06-30T00:00:00"/>
    <s v="Summer"/>
    <x v="2"/>
    <x v="5"/>
    <s v="2 Hours"/>
    <n v="1"/>
    <n v="50.4"/>
    <s v="Premium Life Jacket"/>
    <n v="7"/>
    <n v="0"/>
    <n v="57.4"/>
    <x v="3"/>
    <x v="3"/>
    <s v="Credit Card"/>
    <s v="Sunny"/>
  </r>
  <r>
    <s v="WSR-2026-1098"/>
    <d v="2026-06-29T00:00:00"/>
    <x v="5"/>
    <x v="5"/>
    <s v="Monday"/>
    <x v="26"/>
    <d v="2026-06-30T00:00:00"/>
    <s v="Summer"/>
    <x v="1"/>
    <x v="0"/>
    <s v="2 Hours"/>
    <n v="1"/>
    <n v="56"/>
    <s v="None"/>
    <n v="0"/>
    <n v="0"/>
    <n v="56"/>
    <x v="8"/>
    <x v="0"/>
    <s v="Credit Card"/>
    <s v="Sunny"/>
  </r>
  <r>
    <s v="WSR-2026-1099"/>
    <d v="2026-06-29T00:00:00"/>
    <x v="5"/>
    <x v="5"/>
    <s v="Monday"/>
    <x v="26"/>
    <d v="2026-06-30T00:00:00"/>
    <s v="Summer"/>
    <x v="0"/>
    <x v="1"/>
    <s v="Half Day"/>
    <n v="1"/>
    <n v="64.959999999999994"/>
    <s v="None"/>
    <n v="0"/>
    <n v="0"/>
    <n v="64.959999999999994"/>
    <x v="1"/>
    <x v="2"/>
    <s v="Mobile Pay"/>
    <s v="Windy"/>
  </r>
  <r>
    <s v="WSR-2026-1100"/>
    <d v="2026-06-29T00:00:00"/>
    <x v="5"/>
    <x v="5"/>
    <s v="Monday"/>
    <x v="26"/>
    <d v="2026-06-30T00:00:00"/>
    <s v="Summer"/>
    <x v="3"/>
    <x v="1"/>
    <s v="2 Hours"/>
    <n v="1"/>
    <n v="42.56"/>
    <s v="None"/>
    <n v="0"/>
    <n v="0"/>
    <n v="42.56"/>
    <x v="9"/>
    <x v="0"/>
    <s v="Debit Card"/>
    <s v="Sunny"/>
  </r>
  <r>
    <s v="WSR-2026-1101"/>
    <d v="2026-06-29T00:00:00"/>
    <x v="5"/>
    <x v="5"/>
    <s v="Monday"/>
    <x v="26"/>
    <d v="2026-06-30T00:00:00"/>
    <s v="Summer"/>
    <x v="0"/>
    <x v="9"/>
    <s v="Half Day"/>
    <n v="1"/>
    <n v="80.64"/>
    <s v="None"/>
    <n v="0"/>
    <n v="0"/>
    <n v="80.64"/>
    <x v="6"/>
    <x v="0"/>
    <s v="Debit Card"/>
    <s v="Sunny"/>
  </r>
  <r>
    <s v="WSR-2026-1102"/>
    <d v="2026-06-29T00:00:00"/>
    <x v="5"/>
    <x v="5"/>
    <s v="Monday"/>
    <x v="26"/>
    <d v="2026-06-30T00:00:00"/>
    <s v="Summer"/>
    <x v="1"/>
    <x v="2"/>
    <s v="Full Day"/>
    <n v="1"/>
    <n v="125.44"/>
    <s v="None"/>
    <n v="0"/>
    <n v="12.54"/>
    <n v="112.9"/>
    <x v="6"/>
    <x v="3"/>
    <s v="Mobile Pay"/>
    <s v="Sunny"/>
  </r>
  <r>
    <s v="WSR-2026-1103"/>
    <d v="2026-06-29T00:00:00"/>
    <x v="5"/>
    <x v="5"/>
    <s v="Monday"/>
    <x v="26"/>
    <d v="2026-06-30T00:00:00"/>
    <s v="Summer"/>
    <x v="3"/>
    <x v="1"/>
    <s v="Half Day"/>
    <n v="1"/>
    <n v="64.959999999999994"/>
    <s v="None"/>
    <n v="0"/>
    <n v="0"/>
    <n v="64.959999999999994"/>
    <x v="1"/>
    <x v="2"/>
    <s v="Cash"/>
    <s v="Cloudy"/>
  </r>
  <r>
    <s v="WSR-2026-1104"/>
    <d v="2026-06-29T00:00:00"/>
    <x v="5"/>
    <x v="5"/>
    <s v="Monday"/>
    <x v="26"/>
    <d v="2026-06-30T00:00:00"/>
    <s v="Summer"/>
    <x v="0"/>
    <x v="1"/>
    <s v="1 Hour"/>
    <n v="1"/>
    <n v="26.88"/>
    <s v="Cooler Rental"/>
    <n v="10"/>
    <n v="0"/>
    <n v="36.880000000000003"/>
    <x v="4"/>
    <x v="4"/>
    <s v="Debit Card"/>
    <s v="Sunny"/>
  </r>
  <r>
    <s v="WSR-2026-1105"/>
    <d v="2026-06-29T00:00:00"/>
    <x v="5"/>
    <x v="5"/>
    <s v="Monday"/>
    <x v="26"/>
    <d v="2026-06-30T00:00:00"/>
    <s v="Summer"/>
    <x v="3"/>
    <x v="7"/>
    <s v="2 Hours"/>
    <n v="1"/>
    <n v="24.64"/>
    <s v="None"/>
    <n v="0"/>
    <n v="0"/>
    <n v="24.64"/>
    <x v="6"/>
    <x v="2"/>
    <s v="Credit Card"/>
    <s v="Windy"/>
  </r>
  <r>
    <s v="WSR-2026-1106"/>
    <d v="2026-06-29T00:00:00"/>
    <x v="5"/>
    <x v="5"/>
    <s v="Monday"/>
    <x v="26"/>
    <d v="2026-06-30T00:00:00"/>
    <s v="Summer"/>
    <x v="3"/>
    <x v="1"/>
    <s v="Half Day"/>
    <n v="1"/>
    <n v="64.959999999999994"/>
    <s v="None"/>
    <n v="0"/>
    <n v="0"/>
    <n v="64.959999999999994"/>
    <x v="3"/>
    <x v="3"/>
    <s v="Credit Card"/>
    <s v="Cloudy"/>
  </r>
  <r>
    <s v="WSR-2026-1107"/>
    <d v="2026-06-29T00:00:00"/>
    <x v="5"/>
    <x v="5"/>
    <s v="Monday"/>
    <x v="26"/>
    <d v="2026-06-30T00:00:00"/>
    <s v="Summer"/>
    <x v="0"/>
    <x v="7"/>
    <s v="2 Hours"/>
    <n v="1"/>
    <n v="24.64"/>
    <s v="None"/>
    <n v="0"/>
    <n v="0"/>
    <n v="24.64"/>
    <x v="1"/>
    <x v="1"/>
    <s v="Credit Card"/>
    <s v="Sunny"/>
  </r>
  <r>
    <s v="WSR-2026-1108"/>
    <d v="2026-06-29T00:00:00"/>
    <x v="5"/>
    <x v="5"/>
    <s v="Monday"/>
    <x v="26"/>
    <d v="2026-06-30T00:00:00"/>
    <s v="Summer"/>
    <x v="3"/>
    <x v="1"/>
    <s v="Full Day"/>
    <n v="1"/>
    <n v="94.08"/>
    <s v="Cooler Rental"/>
    <n v="10"/>
    <n v="0"/>
    <n v="104.08"/>
    <x v="4"/>
    <x v="1"/>
    <s v="Debit Card"/>
    <s v="Sunny"/>
  </r>
  <r>
    <s v="WSR-2026-1109"/>
    <d v="2026-06-29T00:00:00"/>
    <x v="5"/>
    <x v="5"/>
    <s v="Monday"/>
    <x v="26"/>
    <d v="2026-06-30T00:00:00"/>
    <s v="Summer"/>
    <x v="4"/>
    <x v="1"/>
    <s v="1 Hour"/>
    <n v="1"/>
    <n v="26.88"/>
    <s v="None"/>
    <n v="0"/>
    <n v="4.03"/>
    <n v="22.85"/>
    <x v="1"/>
    <x v="3"/>
    <s v="Debit Card"/>
    <s v="Sunny"/>
  </r>
  <r>
    <s v="WSR-2026-1110"/>
    <d v="2026-06-30T00:00:00"/>
    <x v="5"/>
    <x v="5"/>
    <s v="Tuesday"/>
    <x v="26"/>
    <d v="2026-06-30T00:00:00"/>
    <s v="Summer"/>
    <x v="3"/>
    <x v="2"/>
    <s v="2 Hours"/>
    <n v="1"/>
    <n v="58.24"/>
    <s v="None"/>
    <n v="0"/>
    <n v="0"/>
    <n v="58.24"/>
    <x v="8"/>
    <x v="0"/>
    <s v="Cash"/>
    <s v="Sunny"/>
  </r>
  <r>
    <s v="WSR-2026-1111"/>
    <d v="2026-06-30T00:00:00"/>
    <x v="5"/>
    <x v="5"/>
    <s v="Tuesday"/>
    <x v="26"/>
    <d v="2026-06-30T00:00:00"/>
    <s v="Summer"/>
    <x v="0"/>
    <x v="1"/>
    <s v="2 Hours"/>
    <n v="1"/>
    <n v="42.56"/>
    <s v="Dry Bag"/>
    <n v="6"/>
    <n v="0"/>
    <n v="48.56"/>
    <x v="5"/>
    <x v="4"/>
    <s v="Credit Card"/>
    <s v="Sunny"/>
  </r>
  <r>
    <s v="WSR-2026-1112"/>
    <d v="2026-06-30T00:00:00"/>
    <x v="5"/>
    <x v="5"/>
    <s v="Tuesday"/>
    <x v="26"/>
    <d v="2026-06-30T00:00:00"/>
    <s v="Summer"/>
    <x v="1"/>
    <x v="1"/>
    <s v="2 Hours"/>
    <n v="1"/>
    <n v="42.56"/>
    <s v="None"/>
    <n v="0"/>
    <n v="4.26"/>
    <n v="38.299999999999997"/>
    <x v="1"/>
    <x v="1"/>
    <s v="Debit Card"/>
    <s v="Sunny"/>
  </r>
  <r>
    <s v="WSR-2026-1113"/>
    <d v="2026-06-30T00:00:00"/>
    <x v="5"/>
    <x v="5"/>
    <s v="Tuesday"/>
    <x v="26"/>
    <d v="2026-06-30T00:00:00"/>
    <s v="Summer"/>
    <x v="0"/>
    <x v="2"/>
    <s v="2 Hours"/>
    <n v="1"/>
    <n v="58.24"/>
    <s v="None"/>
    <n v="0"/>
    <n v="0"/>
    <n v="58.24"/>
    <x v="2"/>
    <x v="3"/>
    <s v="Gift Card"/>
    <s v="Sunny"/>
  </r>
  <r>
    <s v="WSR-2026-1114"/>
    <d v="2026-06-30T00:00:00"/>
    <x v="5"/>
    <x v="5"/>
    <s v="Tuesday"/>
    <x v="26"/>
    <d v="2026-06-30T00:00:00"/>
    <s v="Summer"/>
    <x v="2"/>
    <x v="3"/>
    <s v="1 Hour"/>
    <n v="1"/>
    <n v="24.64"/>
    <s v="None"/>
    <n v="0"/>
    <n v="0"/>
    <n v="24.64"/>
    <x v="6"/>
    <x v="4"/>
    <s v="Debit Card"/>
    <s v="Cloudy"/>
  </r>
  <r>
    <s v="WSR-2026-1115"/>
    <d v="2026-06-30T00:00:00"/>
    <x v="5"/>
    <x v="5"/>
    <s v="Tuesday"/>
    <x v="26"/>
    <d v="2026-06-30T00:00:00"/>
    <s v="Summer"/>
    <x v="0"/>
    <x v="5"/>
    <s v="1 Hour"/>
    <n v="1"/>
    <n v="29.12"/>
    <s v="None"/>
    <n v="0"/>
    <n v="1.46"/>
    <n v="27.66"/>
    <x v="4"/>
    <x v="0"/>
    <s v="Credit Card"/>
    <s v="Cloudy"/>
  </r>
  <r>
    <s v="WSR-2026-1116"/>
    <d v="2026-07-01T00:00:00"/>
    <x v="6"/>
    <x v="6"/>
    <s v="Wednesday"/>
    <x v="26"/>
    <d v="2026-07-31T00:00:00"/>
    <s v="Summer"/>
    <x v="2"/>
    <x v="1"/>
    <s v="2 Hours"/>
    <n v="1"/>
    <n v="42.56"/>
    <s v="GoPro Mount"/>
    <n v="8"/>
    <n v="0"/>
    <n v="50.56"/>
    <x v="4"/>
    <x v="2"/>
    <s v="Credit Card"/>
    <s v="Sunny"/>
  </r>
  <r>
    <s v="WSR-2026-1117"/>
    <d v="2026-07-01T00:00:00"/>
    <x v="6"/>
    <x v="6"/>
    <s v="Wednesday"/>
    <x v="26"/>
    <d v="2026-07-31T00:00:00"/>
    <s v="Summer"/>
    <x v="3"/>
    <x v="5"/>
    <s v="1 Hour"/>
    <n v="1"/>
    <n v="29.12"/>
    <s v="Dry Bag"/>
    <n v="6"/>
    <n v="0"/>
    <n v="35.119999999999997"/>
    <x v="0"/>
    <x v="3"/>
    <s v="Credit Card"/>
    <s v="Sunny"/>
  </r>
  <r>
    <s v="WSR-2026-1118"/>
    <d v="2026-07-01T00:00:00"/>
    <x v="6"/>
    <x v="6"/>
    <s v="Wednesday"/>
    <x v="26"/>
    <d v="2026-07-31T00:00:00"/>
    <s v="Summer"/>
    <x v="2"/>
    <x v="3"/>
    <s v="2 Hours"/>
    <n v="1"/>
    <n v="40.32"/>
    <s v="Cooler Rental"/>
    <n v="10"/>
    <n v="0"/>
    <n v="50.32"/>
    <x v="8"/>
    <x v="0"/>
    <s v="Mobile Pay"/>
    <s v="Sunny"/>
  </r>
  <r>
    <s v="WSR-2026-1119"/>
    <d v="2026-07-01T00:00:00"/>
    <x v="6"/>
    <x v="6"/>
    <s v="Wednesday"/>
    <x v="26"/>
    <d v="2026-07-31T00:00:00"/>
    <s v="Summer"/>
    <x v="3"/>
    <x v="2"/>
    <s v="2 Hours"/>
    <n v="1"/>
    <n v="58.24"/>
    <s v="None"/>
    <n v="0"/>
    <n v="0"/>
    <n v="58.24"/>
    <x v="7"/>
    <x v="4"/>
    <s v="Debit Card"/>
    <s v="Windy"/>
  </r>
  <r>
    <s v="WSR-2026-1120"/>
    <d v="2026-07-01T00:00:00"/>
    <x v="6"/>
    <x v="6"/>
    <s v="Wednesday"/>
    <x v="26"/>
    <d v="2026-07-31T00:00:00"/>
    <s v="Summer"/>
    <x v="3"/>
    <x v="3"/>
    <s v="2 Hours"/>
    <n v="1"/>
    <n v="40.32"/>
    <s v="Dry Bag"/>
    <n v="6"/>
    <n v="0"/>
    <n v="46.32"/>
    <x v="1"/>
    <x v="3"/>
    <s v="Credit Card"/>
    <s v="Sunny"/>
  </r>
  <r>
    <s v="WSR-2026-1121"/>
    <d v="2026-07-01T00:00:00"/>
    <x v="6"/>
    <x v="6"/>
    <s v="Wednesday"/>
    <x v="26"/>
    <d v="2026-07-31T00:00:00"/>
    <s v="Summer"/>
    <x v="2"/>
    <x v="9"/>
    <s v="Half Day"/>
    <n v="1"/>
    <n v="80.64"/>
    <s v="Premium Life Jacket"/>
    <n v="7"/>
    <n v="0"/>
    <n v="87.64"/>
    <x v="2"/>
    <x v="4"/>
    <s v="Credit Card"/>
    <s v="Windy"/>
  </r>
  <r>
    <s v="WSR-2026-1122"/>
    <d v="2026-07-01T00:00:00"/>
    <x v="6"/>
    <x v="6"/>
    <s v="Wednesday"/>
    <x v="26"/>
    <d v="2026-07-31T00:00:00"/>
    <s v="Summer"/>
    <x v="1"/>
    <x v="7"/>
    <s v="Full Day"/>
    <n v="1"/>
    <n v="53.76"/>
    <s v="Phone Pouch"/>
    <n v="5"/>
    <n v="2.94"/>
    <n v="55.82"/>
    <x v="7"/>
    <x v="3"/>
    <s v="Credit Card"/>
    <s v="Cloudy"/>
  </r>
  <r>
    <s v="WSR-2026-1123"/>
    <d v="2026-07-01T00:00:00"/>
    <x v="6"/>
    <x v="6"/>
    <s v="Wednesday"/>
    <x v="26"/>
    <d v="2026-07-31T00:00:00"/>
    <s v="Summer"/>
    <x v="4"/>
    <x v="7"/>
    <s v="Full Day"/>
    <n v="1"/>
    <n v="53.76"/>
    <s v="GoPro Mount"/>
    <n v="8"/>
    <n v="6.18"/>
    <n v="55.58"/>
    <x v="8"/>
    <x v="3"/>
    <s v="Credit Card"/>
    <s v="Cloudy"/>
  </r>
  <r>
    <s v="WSR-2026-1124"/>
    <d v="2026-07-01T00:00:00"/>
    <x v="6"/>
    <x v="6"/>
    <s v="Wednesday"/>
    <x v="26"/>
    <d v="2026-07-31T00:00:00"/>
    <s v="Summer"/>
    <x v="3"/>
    <x v="5"/>
    <s v="2 Hours"/>
    <n v="1"/>
    <n v="47.04"/>
    <s v="Dry Bag"/>
    <n v="6"/>
    <n v="0"/>
    <n v="53.04"/>
    <x v="7"/>
    <x v="3"/>
    <s v="Credit Card"/>
    <s v="Sunny"/>
  </r>
  <r>
    <s v="WSR-2026-1125"/>
    <d v="2026-07-01T00:00:00"/>
    <x v="6"/>
    <x v="6"/>
    <s v="Wednesday"/>
    <x v="26"/>
    <d v="2026-07-31T00:00:00"/>
    <s v="Summer"/>
    <x v="1"/>
    <x v="5"/>
    <s v="Full Day"/>
    <n v="1"/>
    <n v="98.56"/>
    <s v="Phone Pouch"/>
    <n v="5"/>
    <n v="0"/>
    <n v="103.56"/>
    <x v="2"/>
    <x v="2"/>
    <s v="Cash"/>
    <s v="Sunny"/>
  </r>
  <r>
    <s v="WSR-2026-1126"/>
    <d v="2026-07-01T00:00:00"/>
    <x v="6"/>
    <x v="6"/>
    <s v="Wednesday"/>
    <x v="26"/>
    <d v="2026-07-31T00:00:00"/>
    <s v="Summer"/>
    <x v="3"/>
    <x v="1"/>
    <s v="Half Day"/>
    <n v="1"/>
    <n v="64.959999999999994"/>
    <s v="None"/>
    <n v="0"/>
    <n v="0"/>
    <n v="64.959999999999994"/>
    <x v="3"/>
    <x v="3"/>
    <s v="Debit Card"/>
    <s v="Sunny"/>
  </r>
  <r>
    <s v="WSR-2026-1127"/>
    <d v="2026-07-01T00:00:00"/>
    <x v="6"/>
    <x v="6"/>
    <s v="Wednesday"/>
    <x v="26"/>
    <d v="2026-07-31T00:00:00"/>
    <s v="Summer"/>
    <x v="4"/>
    <x v="2"/>
    <s v="1 Hour"/>
    <n v="1"/>
    <n v="38.08"/>
    <s v="Dry Bag"/>
    <n v="6"/>
    <n v="4.41"/>
    <n v="39.67"/>
    <x v="0"/>
    <x v="2"/>
    <s v="Mobile Pay"/>
    <s v="Sunny"/>
  </r>
  <r>
    <s v="WSR-2026-1128"/>
    <d v="2026-07-01T00:00:00"/>
    <x v="6"/>
    <x v="6"/>
    <s v="Wednesday"/>
    <x v="26"/>
    <d v="2026-07-31T00:00:00"/>
    <s v="Summer"/>
    <x v="0"/>
    <x v="1"/>
    <s v="Half Day"/>
    <n v="1"/>
    <n v="64.959999999999994"/>
    <s v="None"/>
    <n v="0"/>
    <n v="0"/>
    <n v="64.959999999999994"/>
    <x v="3"/>
    <x v="4"/>
    <s v="Credit Card"/>
    <s v="Cloudy"/>
  </r>
  <r>
    <s v="WSR-2026-1129"/>
    <d v="2026-07-01T00:00:00"/>
    <x v="6"/>
    <x v="6"/>
    <s v="Wednesday"/>
    <x v="26"/>
    <d v="2026-07-31T00:00:00"/>
    <s v="Summer"/>
    <x v="3"/>
    <x v="1"/>
    <s v="1 Hour"/>
    <n v="1"/>
    <n v="26.88"/>
    <s v="None"/>
    <n v="0"/>
    <n v="0"/>
    <n v="26.88"/>
    <x v="7"/>
    <x v="1"/>
    <s v="Credit Card"/>
    <s v="Cloudy"/>
  </r>
  <r>
    <s v="WSR-2026-1130"/>
    <d v="2026-07-01T00:00:00"/>
    <x v="6"/>
    <x v="6"/>
    <s v="Wednesday"/>
    <x v="26"/>
    <d v="2026-07-31T00:00:00"/>
    <s v="Summer"/>
    <x v="2"/>
    <x v="8"/>
    <s v="2 Hours"/>
    <n v="1"/>
    <n v="17.920000000000002"/>
    <s v="None"/>
    <n v="0"/>
    <n v="0"/>
    <n v="17.920000000000002"/>
    <x v="3"/>
    <x v="0"/>
    <s v="Credit Card"/>
    <s v="Sunny"/>
  </r>
  <r>
    <s v="WSR-2026-1131"/>
    <d v="2026-07-01T00:00:00"/>
    <x v="6"/>
    <x v="6"/>
    <s v="Wednesday"/>
    <x v="26"/>
    <d v="2026-07-31T00:00:00"/>
    <s v="Summer"/>
    <x v="2"/>
    <x v="3"/>
    <s v="1 Hour"/>
    <n v="1"/>
    <n v="24.64"/>
    <s v="None"/>
    <n v="0"/>
    <n v="1.23"/>
    <n v="23.41"/>
    <x v="5"/>
    <x v="0"/>
    <s v="Debit Card"/>
    <s v="Sunny"/>
  </r>
  <r>
    <s v="WSR-2026-1132"/>
    <d v="2026-07-01T00:00:00"/>
    <x v="6"/>
    <x v="6"/>
    <s v="Wednesday"/>
    <x v="26"/>
    <d v="2026-07-31T00:00:00"/>
    <s v="Summer"/>
    <x v="2"/>
    <x v="2"/>
    <s v="Half Day"/>
    <n v="1"/>
    <n v="87.36"/>
    <s v="Phone Pouch"/>
    <n v="5"/>
    <n v="0"/>
    <n v="92.36"/>
    <x v="9"/>
    <x v="0"/>
    <s v="Debit Card"/>
    <s v="Cloudy"/>
  </r>
  <r>
    <s v="WSR-2026-1133"/>
    <d v="2026-07-01T00:00:00"/>
    <x v="6"/>
    <x v="6"/>
    <s v="Wednesday"/>
    <x v="26"/>
    <d v="2026-07-31T00:00:00"/>
    <s v="Summer"/>
    <x v="0"/>
    <x v="3"/>
    <s v="1 Hour"/>
    <n v="1"/>
    <n v="24.64"/>
    <s v="None"/>
    <n v="0"/>
    <n v="0"/>
    <n v="24.64"/>
    <x v="8"/>
    <x v="2"/>
    <s v="Debit Card"/>
    <s v="Windy"/>
  </r>
  <r>
    <s v="WSR-2026-1134"/>
    <d v="2026-07-01T00:00:00"/>
    <x v="6"/>
    <x v="6"/>
    <s v="Wednesday"/>
    <x v="26"/>
    <d v="2026-07-31T00:00:00"/>
    <s v="Summer"/>
    <x v="3"/>
    <x v="1"/>
    <s v="1 Hour"/>
    <n v="1"/>
    <n v="26.88"/>
    <s v="Phone Pouch"/>
    <n v="5"/>
    <n v="0"/>
    <n v="31.88"/>
    <x v="9"/>
    <x v="0"/>
    <s v="Credit Card"/>
    <s v="Sunny"/>
  </r>
  <r>
    <s v="WSR-2026-1135"/>
    <d v="2026-07-01T00:00:00"/>
    <x v="6"/>
    <x v="6"/>
    <s v="Wednesday"/>
    <x v="26"/>
    <d v="2026-07-31T00:00:00"/>
    <s v="Summer"/>
    <x v="2"/>
    <x v="4"/>
    <s v="2 Hours"/>
    <n v="1"/>
    <n v="20.16"/>
    <s v="Dry Bag"/>
    <n v="6"/>
    <n v="0"/>
    <n v="26.16"/>
    <x v="9"/>
    <x v="2"/>
    <s v="Debit Card"/>
    <s v="Sunny"/>
  </r>
  <r>
    <s v="WSR-2026-1136"/>
    <d v="2026-07-02T00:00:00"/>
    <x v="6"/>
    <x v="6"/>
    <s v="Thursday"/>
    <x v="26"/>
    <d v="2026-07-31T00:00:00"/>
    <s v="Summer"/>
    <x v="0"/>
    <x v="2"/>
    <s v="1 Hour"/>
    <n v="1"/>
    <n v="38.08"/>
    <s v="Cooler Rental"/>
    <n v="10"/>
    <n v="0"/>
    <n v="48.08"/>
    <x v="5"/>
    <x v="3"/>
    <s v="Credit Card"/>
    <s v="Sunny"/>
  </r>
  <r>
    <s v="WSR-2026-1137"/>
    <d v="2026-07-02T00:00:00"/>
    <x v="6"/>
    <x v="6"/>
    <s v="Thursday"/>
    <x v="26"/>
    <d v="2026-07-31T00:00:00"/>
    <s v="Summer"/>
    <x v="3"/>
    <x v="7"/>
    <s v="2 Hours"/>
    <n v="1"/>
    <n v="24.64"/>
    <s v="GoPro Mount"/>
    <n v="8"/>
    <n v="0"/>
    <n v="32.64"/>
    <x v="6"/>
    <x v="2"/>
    <s v="Debit Card"/>
    <s v="Sunny"/>
  </r>
  <r>
    <s v="WSR-2026-1138"/>
    <d v="2026-07-02T00:00:00"/>
    <x v="6"/>
    <x v="6"/>
    <s v="Thursday"/>
    <x v="26"/>
    <d v="2026-07-31T00:00:00"/>
    <s v="Summer"/>
    <x v="3"/>
    <x v="4"/>
    <s v="Half Day"/>
    <n v="1"/>
    <n v="31.36"/>
    <s v="GoPro Mount"/>
    <n v="8"/>
    <n v="0"/>
    <n v="39.36"/>
    <x v="8"/>
    <x v="4"/>
    <s v="Debit Card"/>
    <s v="Sunny"/>
  </r>
  <r>
    <s v="WSR-2026-1139"/>
    <d v="2026-07-02T00:00:00"/>
    <x v="6"/>
    <x v="6"/>
    <s v="Thursday"/>
    <x v="26"/>
    <d v="2026-07-31T00:00:00"/>
    <s v="Summer"/>
    <x v="2"/>
    <x v="3"/>
    <s v="1 Hour"/>
    <n v="1"/>
    <n v="24.64"/>
    <s v="None"/>
    <n v="0"/>
    <n v="0"/>
    <n v="24.64"/>
    <x v="1"/>
    <x v="0"/>
    <s v="Debit Card"/>
    <s v="Cloudy"/>
  </r>
  <r>
    <s v="WSR-2026-1140"/>
    <d v="2026-07-02T00:00:00"/>
    <x v="6"/>
    <x v="6"/>
    <s v="Thursday"/>
    <x v="26"/>
    <d v="2026-07-31T00:00:00"/>
    <s v="Summer"/>
    <x v="3"/>
    <x v="5"/>
    <s v="1 Hour"/>
    <n v="1"/>
    <n v="29.12"/>
    <s v="Phone Pouch"/>
    <n v="5"/>
    <n v="0"/>
    <n v="34.119999999999997"/>
    <x v="3"/>
    <x v="0"/>
    <s v="Debit Card"/>
    <s v="Sunny"/>
  </r>
  <r>
    <s v="WSR-2026-1141"/>
    <d v="2026-07-02T00:00:00"/>
    <x v="6"/>
    <x v="6"/>
    <s v="Thursday"/>
    <x v="26"/>
    <d v="2026-07-31T00:00:00"/>
    <s v="Summer"/>
    <x v="3"/>
    <x v="2"/>
    <s v="2 Hours"/>
    <n v="1"/>
    <n v="58.24"/>
    <s v="None"/>
    <n v="0"/>
    <n v="0"/>
    <n v="58.24"/>
    <x v="5"/>
    <x v="0"/>
    <s v="Credit Card"/>
    <s v="Sunny"/>
  </r>
  <r>
    <s v="WSR-2026-1142"/>
    <d v="2026-07-02T00:00:00"/>
    <x v="6"/>
    <x v="6"/>
    <s v="Thursday"/>
    <x v="26"/>
    <d v="2026-07-31T00:00:00"/>
    <s v="Summer"/>
    <x v="0"/>
    <x v="8"/>
    <s v="Half Day"/>
    <n v="1"/>
    <n v="26.88"/>
    <s v="None"/>
    <n v="0"/>
    <n v="0"/>
    <n v="26.88"/>
    <x v="9"/>
    <x v="1"/>
    <s v="Cash"/>
    <s v="Cloudy"/>
  </r>
  <r>
    <s v="WSR-2026-1143"/>
    <d v="2026-07-02T00:00:00"/>
    <x v="6"/>
    <x v="6"/>
    <s v="Thursday"/>
    <x v="26"/>
    <d v="2026-07-31T00:00:00"/>
    <s v="Summer"/>
    <x v="0"/>
    <x v="2"/>
    <s v="2 Hours"/>
    <n v="1"/>
    <n v="58.24"/>
    <s v="Cooler Rental"/>
    <n v="10"/>
    <n v="0"/>
    <n v="68.239999999999995"/>
    <x v="0"/>
    <x v="0"/>
    <s v="Credit Card"/>
    <s v="Sunny"/>
  </r>
  <r>
    <s v="WSR-2026-1144"/>
    <d v="2026-07-02T00:00:00"/>
    <x v="6"/>
    <x v="6"/>
    <s v="Thursday"/>
    <x v="26"/>
    <d v="2026-07-31T00:00:00"/>
    <s v="Summer"/>
    <x v="1"/>
    <x v="3"/>
    <s v="2 Hours"/>
    <n v="1"/>
    <n v="40.32"/>
    <s v="None"/>
    <n v="0"/>
    <n v="4.03"/>
    <n v="36.29"/>
    <x v="5"/>
    <x v="1"/>
    <s v="Credit Card"/>
    <s v="Sunny"/>
  </r>
  <r>
    <s v="WSR-2026-1145"/>
    <d v="2026-07-02T00:00:00"/>
    <x v="6"/>
    <x v="6"/>
    <s v="Thursday"/>
    <x v="26"/>
    <d v="2026-07-31T00:00:00"/>
    <s v="Summer"/>
    <x v="0"/>
    <x v="5"/>
    <s v="2 Hours"/>
    <n v="1"/>
    <n v="47.04"/>
    <s v="Phone Pouch"/>
    <n v="5"/>
    <n v="0"/>
    <n v="52.04"/>
    <x v="9"/>
    <x v="2"/>
    <s v="Mobile Pay"/>
    <s v="Sunny"/>
  </r>
  <r>
    <s v="WSR-2026-1146"/>
    <d v="2026-07-02T00:00:00"/>
    <x v="6"/>
    <x v="6"/>
    <s v="Thursday"/>
    <x v="26"/>
    <d v="2026-07-31T00:00:00"/>
    <s v="Summer"/>
    <x v="2"/>
    <x v="3"/>
    <s v="Half Day"/>
    <n v="1"/>
    <n v="60.48"/>
    <s v="Waterproof Speaker"/>
    <n v="12"/>
    <n v="0"/>
    <n v="72.48"/>
    <x v="5"/>
    <x v="1"/>
    <s v="Mobile Pay"/>
    <s v="Sunny"/>
  </r>
  <r>
    <s v="WSR-2026-1147"/>
    <d v="2026-07-02T00:00:00"/>
    <x v="6"/>
    <x v="6"/>
    <s v="Thursday"/>
    <x v="26"/>
    <d v="2026-07-31T00:00:00"/>
    <s v="Summer"/>
    <x v="1"/>
    <x v="6"/>
    <s v="Full Day"/>
    <n v="1"/>
    <n v="138.88"/>
    <s v="None"/>
    <n v="0"/>
    <n v="6.94"/>
    <n v="131.94"/>
    <x v="8"/>
    <x v="2"/>
    <s v="Credit Card"/>
    <s v="Sunny"/>
  </r>
  <r>
    <s v="WSR-2026-1148"/>
    <d v="2026-07-03T00:00:00"/>
    <x v="6"/>
    <x v="6"/>
    <s v="Friday"/>
    <x v="26"/>
    <d v="2026-07-31T00:00:00"/>
    <s v="Summer"/>
    <x v="0"/>
    <x v="3"/>
    <s v="Full Day"/>
    <n v="1"/>
    <n v="96.52"/>
    <s v="None"/>
    <n v="0"/>
    <n v="0"/>
    <n v="96.52"/>
    <x v="8"/>
    <x v="0"/>
    <s v="Cash"/>
    <s v="Cloudy"/>
  </r>
  <r>
    <s v="WSR-2026-1149"/>
    <d v="2026-07-03T00:00:00"/>
    <x v="6"/>
    <x v="6"/>
    <s v="Friday"/>
    <x v="26"/>
    <d v="2026-07-31T00:00:00"/>
    <s v="Summer"/>
    <x v="1"/>
    <x v="2"/>
    <s v="1 Hour"/>
    <n v="1"/>
    <n v="43.18"/>
    <s v="Cooler Rental"/>
    <n v="10"/>
    <n v="0"/>
    <n v="53.18"/>
    <x v="5"/>
    <x v="1"/>
    <s v="Mobile Pay"/>
    <s v="Windy"/>
  </r>
  <r>
    <s v="WSR-2026-1150"/>
    <d v="2026-07-03T00:00:00"/>
    <x v="6"/>
    <x v="6"/>
    <s v="Friday"/>
    <x v="26"/>
    <d v="2026-07-31T00:00:00"/>
    <s v="Summer"/>
    <x v="0"/>
    <x v="1"/>
    <s v="1 Hour"/>
    <n v="1"/>
    <n v="30.48"/>
    <s v="None"/>
    <n v="0"/>
    <n v="0"/>
    <n v="30.48"/>
    <x v="8"/>
    <x v="0"/>
    <s v="Credit Card"/>
    <s v="Sunny"/>
  </r>
  <r>
    <s v="WSR-2026-1151"/>
    <d v="2026-07-03T00:00:00"/>
    <x v="6"/>
    <x v="6"/>
    <s v="Friday"/>
    <x v="26"/>
    <d v="2026-07-31T00:00:00"/>
    <s v="Summer"/>
    <x v="3"/>
    <x v="5"/>
    <s v="Half Day"/>
    <n v="1"/>
    <n v="78.739999999999995"/>
    <s v="None"/>
    <n v="0"/>
    <n v="0"/>
    <n v="78.739999999999995"/>
    <x v="5"/>
    <x v="4"/>
    <s v="Credit Card"/>
    <s v="Sunny"/>
  </r>
  <r>
    <s v="WSR-2026-1152"/>
    <d v="2026-07-03T00:00:00"/>
    <x v="6"/>
    <x v="6"/>
    <s v="Friday"/>
    <x v="26"/>
    <d v="2026-07-31T00:00:00"/>
    <s v="Summer"/>
    <x v="1"/>
    <x v="1"/>
    <s v="1 Hour"/>
    <n v="1"/>
    <n v="30.48"/>
    <s v="Phone Pouch"/>
    <n v="5"/>
    <n v="1.77"/>
    <n v="33.71"/>
    <x v="8"/>
    <x v="4"/>
    <s v="Credit Card"/>
    <s v="Sunny"/>
  </r>
  <r>
    <s v="WSR-2026-1153"/>
    <d v="2026-07-03T00:00:00"/>
    <x v="6"/>
    <x v="6"/>
    <s v="Friday"/>
    <x v="26"/>
    <d v="2026-07-31T00:00:00"/>
    <s v="Summer"/>
    <x v="3"/>
    <x v="7"/>
    <s v="Full Day"/>
    <n v="1"/>
    <n v="60.96"/>
    <s v="Phone Pouch"/>
    <n v="5"/>
    <n v="0"/>
    <n v="65.959999999999994"/>
    <x v="6"/>
    <x v="1"/>
    <s v="Mobile Pay"/>
    <s v="Cloudy"/>
  </r>
  <r>
    <s v="WSR-2026-1154"/>
    <d v="2026-07-03T00:00:00"/>
    <x v="6"/>
    <x v="6"/>
    <s v="Friday"/>
    <x v="26"/>
    <d v="2026-07-31T00:00:00"/>
    <s v="Summer"/>
    <x v="2"/>
    <x v="5"/>
    <s v="Full Day"/>
    <n v="1"/>
    <n v="111.76"/>
    <s v="None"/>
    <n v="0"/>
    <n v="0"/>
    <n v="111.76"/>
    <x v="5"/>
    <x v="0"/>
    <s v="Credit Card"/>
    <s v="Sunny"/>
  </r>
  <r>
    <s v="WSR-2026-1155"/>
    <d v="2026-07-03T00:00:00"/>
    <x v="6"/>
    <x v="6"/>
    <s v="Friday"/>
    <x v="26"/>
    <d v="2026-07-31T00:00:00"/>
    <s v="Summer"/>
    <x v="2"/>
    <x v="9"/>
    <s v="2 Hours"/>
    <n v="1"/>
    <n v="60.96"/>
    <s v="Waterproof Speaker"/>
    <n v="12"/>
    <n v="0"/>
    <n v="72.959999999999994"/>
    <x v="1"/>
    <x v="0"/>
    <s v="Cash"/>
    <s v="Sunny"/>
  </r>
  <r>
    <s v="WSR-2026-1156"/>
    <d v="2026-07-03T00:00:00"/>
    <x v="6"/>
    <x v="6"/>
    <s v="Friday"/>
    <x v="26"/>
    <d v="2026-07-31T00:00:00"/>
    <s v="Summer"/>
    <x v="2"/>
    <x v="1"/>
    <s v="2 Hours"/>
    <n v="1"/>
    <n v="48.26"/>
    <s v="None"/>
    <n v="0"/>
    <n v="0"/>
    <n v="48.26"/>
    <x v="7"/>
    <x v="4"/>
    <s v="Debit Card"/>
    <s v="Sunny"/>
  </r>
  <r>
    <s v="WSR-2026-1157"/>
    <d v="2026-07-03T00:00:00"/>
    <x v="6"/>
    <x v="6"/>
    <s v="Friday"/>
    <x v="26"/>
    <d v="2026-07-31T00:00:00"/>
    <s v="Summer"/>
    <x v="3"/>
    <x v="8"/>
    <s v="1 Hour"/>
    <n v="1"/>
    <n v="12.7"/>
    <s v="None"/>
    <n v="0"/>
    <n v="0"/>
    <n v="12.7"/>
    <x v="8"/>
    <x v="4"/>
    <s v="Cash"/>
    <s v="Cloudy"/>
  </r>
  <r>
    <s v="WSR-2026-1158"/>
    <d v="2026-07-03T00:00:00"/>
    <x v="6"/>
    <x v="6"/>
    <s v="Friday"/>
    <x v="26"/>
    <d v="2026-07-31T00:00:00"/>
    <s v="Summer"/>
    <x v="2"/>
    <x v="1"/>
    <s v="1 Hour"/>
    <n v="1"/>
    <n v="30.48"/>
    <s v="Cooler Rental"/>
    <n v="10"/>
    <n v="0"/>
    <n v="40.479999999999997"/>
    <x v="1"/>
    <x v="3"/>
    <s v="Debit Card"/>
    <s v="Sunny"/>
  </r>
  <r>
    <s v="WSR-2026-1159"/>
    <d v="2026-07-03T00:00:00"/>
    <x v="6"/>
    <x v="6"/>
    <s v="Friday"/>
    <x v="26"/>
    <d v="2026-07-31T00:00:00"/>
    <s v="Summer"/>
    <x v="4"/>
    <x v="6"/>
    <s v="2 Hours"/>
    <n v="1"/>
    <n v="73.66"/>
    <s v="GoPro Mount"/>
    <n v="8"/>
    <n v="12.25"/>
    <n v="69.41"/>
    <x v="5"/>
    <x v="4"/>
    <s v="Mobile Pay"/>
    <s v="Rainy"/>
  </r>
  <r>
    <s v="WSR-2026-1160"/>
    <d v="2026-07-03T00:00:00"/>
    <x v="6"/>
    <x v="6"/>
    <s v="Friday"/>
    <x v="26"/>
    <d v="2026-07-31T00:00:00"/>
    <s v="Summer"/>
    <x v="2"/>
    <x v="3"/>
    <s v="2 Hours"/>
    <n v="1"/>
    <n v="45.72"/>
    <s v="None"/>
    <n v="0"/>
    <n v="0"/>
    <n v="45.72"/>
    <x v="6"/>
    <x v="2"/>
    <s v="Debit Card"/>
    <s v="Cloudy"/>
  </r>
  <r>
    <s v="WSR-2026-1161"/>
    <d v="2026-07-03T00:00:00"/>
    <x v="6"/>
    <x v="6"/>
    <s v="Friday"/>
    <x v="26"/>
    <d v="2026-07-31T00:00:00"/>
    <s v="Summer"/>
    <x v="0"/>
    <x v="5"/>
    <s v="1 Hour"/>
    <n v="1"/>
    <n v="33.020000000000003"/>
    <s v="None"/>
    <n v="0"/>
    <n v="0"/>
    <n v="33.020000000000003"/>
    <x v="2"/>
    <x v="4"/>
    <s v="Credit Card"/>
    <s v="Sunny"/>
  </r>
  <r>
    <s v="WSR-2026-1162"/>
    <d v="2026-07-03T00:00:00"/>
    <x v="6"/>
    <x v="6"/>
    <s v="Friday"/>
    <x v="26"/>
    <d v="2026-07-31T00:00:00"/>
    <s v="Summer"/>
    <x v="3"/>
    <x v="5"/>
    <s v="Half Day"/>
    <n v="1"/>
    <n v="78.739999999999995"/>
    <s v="Phone Pouch"/>
    <n v="5"/>
    <n v="0"/>
    <n v="83.74"/>
    <x v="0"/>
    <x v="2"/>
    <s v="Cash"/>
    <s v="Cloudy"/>
  </r>
  <r>
    <s v="WSR-2026-1163"/>
    <d v="2026-07-03T00:00:00"/>
    <x v="6"/>
    <x v="6"/>
    <s v="Friday"/>
    <x v="26"/>
    <d v="2026-07-31T00:00:00"/>
    <s v="Summer"/>
    <x v="2"/>
    <x v="8"/>
    <s v="Half Day"/>
    <n v="1"/>
    <n v="30.48"/>
    <s v="Waterproof Speaker"/>
    <n v="12"/>
    <n v="0"/>
    <n v="42.48"/>
    <x v="3"/>
    <x v="4"/>
    <s v="Credit Card"/>
    <s v="Sunny"/>
  </r>
  <r>
    <s v="WSR-2026-1164"/>
    <d v="2026-07-03T00:00:00"/>
    <x v="6"/>
    <x v="6"/>
    <s v="Friday"/>
    <x v="26"/>
    <d v="2026-07-31T00:00:00"/>
    <s v="Summer"/>
    <x v="3"/>
    <x v="3"/>
    <s v="Full Day"/>
    <n v="1"/>
    <n v="96.52"/>
    <s v="None"/>
    <n v="0"/>
    <n v="0"/>
    <n v="96.52"/>
    <x v="4"/>
    <x v="1"/>
    <s v="Credit Card"/>
    <s v="Sunny"/>
  </r>
  <r>
    <s v="WSR-2026-1165"/>
    <d v="2026-07-03T00:00:00"/>
    <x v="6"/>
    <x v="6"/>
    <s v="Friday"/>
    <x v="26"/>
    <d v="2026-07-31T00:00:00"/>
    <s v="Summer"/>
    <x v="2"/>
    <x v="1"/>
    <s v="Full Day"/>
    <n v="1"/>
    <n v="106.68"/>
    <s v="None"/>
    <n v="0"/>
    <n v="0"/>
    <n v="106.68"/>
    <x v="9"/>
    <x v="0"/>
    <s v="Credit Card"/>
    <s v="Sunny"/>
  </r>
  <r>
    <s v="WSR-2026-1166"/>
    <d v="2026-07-03T00:00:00"/>
    <x v="6"/>
    <x v="6"/>
    <s v="Friday"/>
    <x v="26"/>
    <d v="2026-07-31T00:00:00"/>
    <s v="Summer"/>
    <x v="2"/>
    <x v="3"/>
    <s v="2 Hours"/>
    <n v="1"/>
    <n v="45.72"/>
    <s v="None"/>
    <n v="0"/>
    <n v="0"/>
    <n v="45.72"/>
    <x v="5"/>
    <x v="0"/>
    <s v="Credit Card"/>
    <s v="Sunny"/>
  </r>
  <r>
    <s v="WSR-2026-1167"/>
    <d v="2026-07-03T00:00:00"/>
    <x v="6"/>
    <x v="6"/>
    <s v="Friday"/>
    <x v="26"/>
    <d v="2026-07-31T00:00:00"/>
    <s v="Summer"/>
    <x v="0"/>
    <x v="5"/>
    <s v="Half Day"/>
    <n v="1"/>
    <n v="78.739999999999995"/>
    <s v="GoPro Mount"/>
    <n v="8"/>
    <n v="0"/>
    <n v="86.74"/>
    <x v="1"/>
    <x v="0"/>
    <s v="Mobile Pay"/>
    <s v="Sunny"/>
  </r>
  <r>
    <s v="WSR-2026-1168"/>
    <d v="2026-07-03T00:00:00"/>
    <x v="6"/>
    <x v="6"/>
    <s v="Friday"/>
    <x v="26"/>
    <d v="2026-07-31T00:00:00"/>
    <s v="Summer"/>
    <x v="4"/>
    <x v="8"/>
    <s v="2 Hours"/>
    <n v="1"/>
    <n v="20.32"/>
    <s v="GoPro Mount"/>
    <n v="8"/>
    <n v="2.83"/>
    <n v="25.49"/>
    <x v="2"/>
    <x v="3"/>
    <s v="Credit Card"/>
    <s v="Sunny"/>
  </r>
  <r>
    <s v="WSR-2026-1169"/>
    <d v="2026-07-03T00:00:00"/>
    <x v="6"/>
    <x v="6"/>
    <s v="Friday"/>
    <x v="26"/>
    <d v="2026-07-31T00:00:00"/>
    <s v="Summer"/>
    <x v="3"/>
    <x v="9"/>
    <s v="2 Hours"/>
    <n v="1"/>
    <n v="60.96"/>
    <s v="None"/>
    <n v="0"/>
    <n v="0"/>
    <n v="60.96"/>
    <x v="1"/>
    <x v="4"/>
    <s v="Credit Card"/>
    <s v="Sunny"/>
  </r>
  <r>
    <s v="WSR-2026-1170"/>
    <d v="2026-07-03T00:00:00"/>
    <x v="6"/>
    <x v="6"/>
    <s v="Friday"/>
    <x v="26"/>
    <d v="2026-07-31T00:00:00"/>
    <s v="Summer"/>
    <x v="3"/>
    <x v="4"/>
    <s v="Half Day"/>
    <n v="1"/>
    <n v="35.56"/>
    <s v="None"/>
    <n v="0"/>
    <n v="1.78"/>
    <n v="33.78"/>
    <x v="4"/>
    <x v="1"/>
    <s v="Mobile Pay"/>
    <s v="Sunny"/>
  </r>
  <r>
    <s v="WSR-2026-1171"/>
    <d v="2026-07-03T00:00:00"/>
    <x v="6"/>
    <x v="6"/>
    <s v="Friday"/>
    <x v="26"/>
    <d v="2026-07-31T00:00:00"/>
    <s v="Summer"/>
    <x v="0"/>
    <x v="5"/>
    <s v="2 Hours"/>
    <n v="1"/>
    <n v="53.34"/>
    <s v="None"/>
    <n v="0"/>
    <n v="0"/>
    <n v="53.34"/>
    <x v="8"/>
    <x v="1"/>
    <s v="Credit Card"/>
    <s v="Sunny"/>
  </r>
  <r>
    <s v="WSR-2026-1172"/>
    <d v="2026-07-03T00:00:00"/>
    <x v="6"/>
    <x v="6"/>
    <s v="Friday"/>
    <x v="26"/>
    <d v="2026-07-31T00:00:00"/>
    <s v="Summer"/>
    <x v="2"/>
    <x v="5"/>
    <s v="1 Hour"/>
    <n v="1"/>
    <n v="33.020000000000003"/>
    <s v="Cooler Rental"/>
    <n v="10"/>
    <n v="2.15"/>
    <n v="40.869999999999997"/>
    <x v="1"/>
    <x v="4"/>
    <s v="Credit Card"/>
    <s v="Sunny"/>
  </r>
  <r>
    <s v="WSR-2026-1173"/>
    <d v="2026-07-03T00:00:00"/>
    <x v="6"/>
    <x v="6"/>
    <s v="Friday"/>
    <x v="26"/>
    <d v="2026-07-31T00:00:00"/>
    <s v="Summer"/>
    <x v="2"/>
    <x v="9"/>
    <s v="1 Hour"/>
    <n v="1"/>
    <n v="38.1"/>
    <s v="None"/>
    <n v="0"/>
    <n v="0"/>
    <n v="38.1"/>
    <x v="7"/>
    <x v="2"/>
    <s v="Cash"/>
    <s v="Sunny"/>
  </r>
  <r>
    <s v="WSR-2026-1174"/>
    <d v="2026-07-03T00:00:00"/>
    <x v="6"/>
    <x v="6"/>
    <s v="Friday"/>
    <x v="26"/>
    <d v="2026-07-31T00:00:00"/>
    <s v="Summer"/>
    <x v="0"/>
    <x v="1"/>
    <s v="2 Hours"/>
    <n v="1"/>
    <n v="48.26"/>
    <s v="Cooler Rental"/>
    <n v="10"/>
    <n v="0"/>
    <n v="58.26"/>
    <x v="2"/>
    <x v="1"/>
    <s v="Credit Card"/>
    <s v="Sunny"/>
  </r>
  <r>
    <s v="WSR-2026-1175"/>
    <d v="2026-07-03T00:00:00"/>
    <x v="6"/>
    <x v="6"/>
    <s v="Friday"/>
    <x v="26"/>
    <d v="2026-07-31T00:00:00"/>
    <s v="Summer"/>
    <x v="2"/>
    <x v="4"/>
    <s v="Full Day"/>
    <n v="1"/>
    <n v="50.8"/>
    <s v="None"/>
    <n v="0"/>
    <n v="0"/>
    <n v="50.8"/>
    <x v="8"/>
    <x v="1"/>
    <s v="Debit Card"/>
    <s v="Cloudy"/>
  </r>
  <r>
    <s v="WSR-2026-1176"/>
    <d v="2026-07-03T00:00:00"/>
    <x v="6"/>
    <x v="6"/>
    <s v="Friday"/>
    <x v="26"/>
    <d v="2026-07-31T00:00:00"/>
    <s v="Summer"/>
    <x v="2"/>
    <x v="5"/>
    <s v="2 Hours"/>
    <n v="1"/>
    <n v="53.34"/>
    <s v="None"/>
    <n v="0"/>
    <n v="0"/>
    <n v="53.34"/>
    <x v="8"/>
    <x v="1"/>
    <s v="Credit Card"/>
    <s v="Sunny"/>
  </r>
  <r>
    <s v="WSR-2026-1177"/>
    <d v="2026-07-04T00:00:00"/>
    <x v="6"/>
    <x v="6"/>
    <s v="Saturday"/>
    <x v="26"/>
    <d v="2026-07-31T00:00:00"/>
    <s v="Summer"/>
    <x v="2"/>
    <x v="8"/>
    <s v="2 Hours"/>
    <n v="1"/>
    <n v="21.6"/>
    <s v="Waterproof Speaker"/>
    <n v="12"/>
    <n v="0"/>
    <n v="33.6"/>
    <x v="0"/>
    <x v="1"/>
    <s v="Credit Card"/>
    <s v="Sunny"/>
  </r>
  <r>
    <s v="WSR-2026-1178"/>
    <d v="2026-07-04T00:00:00"/>
    <x v="6"/>
    <x v="6"/>
    <s v="Saturday"/>
    <x v="26"/>
    <d v="2026-07-31T00:00:00"/>
    <s v="Summer"/>
    <x v="0"/>
    <x v="1"/>
    <s v="1 Hour"/>
    <n v="1"/>
    <n v="32.4"/>
    <s v="Dry Bag"/>
    <n v="6"/>
    <n v="0"/>
    <n v="38.4"/>
    <x v="2"/>
    <x v="2"/>
    <s v="Debit Card"/>
    <s v="Sunny"/>
  </r>
  <r>
    <s v="WSR-2026-1179"/>
    <d v="2026-07-04T00:00:00"/>
    <x v="6"/>
    <x v="6"/>
    <s v="Saturday"/>
    <x v="26"/>
    <d v="2026-07-31T00:00:00"/>
    <s v="Summer"/>
    <x v="3"/>
    <x v="1"/>
    <s v="1 Hour"/>
    <n v="1"/>
    <n v="32.4"/>
    <s v="GoPro Mount"/>
    <n v="8"/>
    <n v="0"/>
    <n v="40.4"/>
    <x v="9"/>
    <x v="3"/>
    <s v="Cash"/>
    <s v="Sunny"/>
  </r>
  <r>
    <s v="WSR-2026-1180"/>
    <d v="2026-07-04T00:00:00"/>
    <x v="6"/>
    <x v="6"/>
    <s v="Saturday"/>
    <x v="26"/>
    <d v="2026-07-31T00:00:00"/>
    <s v="Summer"/>
    <x v="3"/>
    <x v="7"/>
    <s v="2 Hours"/>
    <n v="1"/>
    <n v="29.7"/>
    <s v="Cooler Rental"/>
    <n v="10"/>
    <n v="0"/>
    <n v="39.700000000000003"/>
    <x v="6"/>
    <x v="4"/>
    <s v="Cash"/>
    <s v="Sunny"/>
  </r>
  <r>
    <s v="WSR-2026-1181"/>
    <d v="2026-07-04T00:00:00"/>
    <x v="6"/>
    <x v="6"/>
    <s v="Saturday"/>
    <x v="26"/>
    <d v="2026-07-31T00:00:00"/>
    <s v="Summer"/>
    <x v="3"/>
    <x v="5"/>
    <s v="2 Hours"/>
    <n v="1"/>
    <n v="56.7"/>
    <s v="None"/>
    <n v="0"/>
    <n v="0"/>
    <n v="56.7"/>
    <x v="1"/>
    <x v="1"/>
    <s v="Credit Card"/>
    <s v="Sunny"/>
  </r>
  <r>
    <s v="WSR-2026-1182"/>
    <d v="2026-07-04T00:00:00"/>
    <x v="6"/>
    <x v="6"/>
    <s v="Saturday"/>
    <x v="26"/>
    <d v="2026-07-31T00:00:00"/>
    <s v="Summer"/>
    <x v="3"/>
    <x v="5"/>
    <s v="Half Day"/>
    <n v="1"/>
    <n v="83.7"/>
    <s v="Dry Bag"/>
    <n v="6"/>
    <n v="0"/>
    <n v="89.7"/>
    <x v="1"/>
    <x v="2"/>
    <s v="Debit Card"/>
    <s v="Sunny"/>
  </r>
  <r>
    <s v="WSR-2026-1183"/>
    <d v="2026-07-04T00:00:00"/>
    <x v="6"/>
    <x v="6"/>
    <s v="Saturday"/>
    <x v="26"/>
    <d v="2026-07-31T00:00:00"/>
    <s v="Summer"/>
    <x v="1"/>
    <x v="3"/>
    <s v="Full Day"/>
    <n v="1"/>
    <n v="102.6"/>
    <s v="None"/>
    <n v="0"/>
    <n v="5.13"/>
    <n v="97.47"/>
    <x v="5"/>
    <x v="0"/>
    <s v="Cash"/>
    <s v="Sunny"/>
  </r>
  <r>
    <s v="WSR-2026-1184"/>
    <d v="2026-07-04T00:00:00"/>
    <x v="6"/>
    <x v="6"/>
    <s v="Saturday"/>
    <x v="26"/>
    <d v="2026-07-31T00:00:00"/>
    <s v="Summer"/>
    <x v="2"/>
    <x v="7"/>
    <s v="Full Day"/>
    <n v="1"/>
    <n v="64.8"/>
    <s v="Dry Bag"/>
    <n v="6"/>
    <n v="0"/>
    <n v="70.8"/>
    <x v="7"/>
    <x v="2"/>
    <s v="Debit Card"/>
    <s v="Windy"/>
  </r>
  <r>
    <s v="WSR-2026-1185"/>
    <d v="2026-07-04T00:00:00"/>
    <x v="6"/>
    <x v="6"/>
    <s v="Saturday"/>
    <x v="26"/>
    <d v="2026-07-31T00:00:00"/>
    <s v="Summer"/>
    <x v="1"/>
    <x v="5"/>
    <s v="2 Hours"/>
    <n v="1"/>
    <n v="56.7"/>
    <s v="Phone Pouch"/>
    <n v="5"/>
    <n v="0"/>
    <n v="61.7"/>
    <x v="1"/>
    <x v="0"/>
    <s v="Debit Card"/>
    <s v="Sunny"/>
  </r>
  <r>
    <s v="WSR-2026-1186"/>
    <d v="2026-07-04T00:00:00"/>
    <x v="6"/>
    <x v="6"/>
    <s v="Saturday"/>
    <x v="26"/>
    <d v="2026-07-31T00:00:00"/>
    <s v="Summer"/>
    <x v="2"/>
    <x v="3"/>
    <s v="2 Hours"/>
    <n v="1"/>
    <n v="48.6"/>
    <s v="Phone Pouch"/>
    <n v="5"/>
    <n v="0"/>
    <n v="53.6"/>
    <x v="7"/>
    <x v="1"/>
    <s v="Credit Card"/>
    <s v="Sunny"/>
  </r>
  <r>
    <s v="WSR-2026-1187"/>
    <d v="2026-07-04T00:00:00"/>
    <x v="6"/>
    <x v="6"/>
    <s v="Saturday"/>
    <x v="26"/>
    <d v="2026-07-31T00:00:00"/>
    <s v="Summer"/>
    <x v="1"/>
    <x v="5"/>
    <s v="Half Day"/>
    <n v="1"/>
    <n v="83.7"/>
    <s v="None"/>
    <n v="0"/>
    <n v="8.3699999999999992"/>
    <n v="75.33"/>
    <x v="1"/>
    <x v="0"/>
    <s v="Mobile Pay"/>
    <s v="Sunny"/>
  </r>
  <r>
    <s v="WSR-2026-1188"/>
    <d v="2026-07-04T00:00:00"/>
    <x v="6"/>
    <x v="6"/>
    <s v="Saturday"/>
    <x v="26"/>
    <d v="2026-07-31T00:00:00"/>
    <s v="Summer"/>
    <x v="1"/>
    <x v="5"/>
    <s v="Half Day"/>
    <n v="1"/>
    <n v="83.7"/>
    <s v="Dry Bag"/>
    <n v="6"/>
    <n v="8.9700000000000006"/>
    <n v="80.73"/>
    <x v="6"/>
    <x v="3"/>
    <s v="Debit Card"/>
    <s v="Cloudy"/>
  </r>
  <r>
    <s v="WSR-2026-1189"/>
    <d v="2026-07-04T00:00:00"/>
    <x v="6"/>
    <x v="6"/>
    <s v="Saturday"/>
    <x v="26"/>
    <d v="2026-07-31T00:00:00"/>
    <s v="Summer"/>
    <x v="0"/>
    <x v="1"/>
    <s v="2 Hours"/>
    <n v="1"/>
    <n v="51.3"/>
    <s v="Premium Life Jacket"/>
    <n v="7"/>
    <n v="0"/>
    <n v="58.3"/>
    <x v="1"/>
    <x v="1"/>
    <s v="Credit Card"/>
    <s v="Sunny"/>
  </r>
  <r>
    <s v="WSR-2026-1190"/>
    <d v="2026-07-04T00:00:00"/>
    <x v="6"/>
    <x v="6"/>
    <s v="Saturday"/>
    <x v="26"/>
    <d v="2026-07-31T00:00:00"/>
    <s v="Summer"/>
    <x v="2"/>
    <x v="2"/>
    <s v="1 Hour"/>
    <n v="1"/>
    <n v="45.9"/>
    <s v="None"/>
    <n v="0"/>
    <n v="0"/>
    <n v="45.9"/>
    <x v="6"/>
    <x v="3"/>
    <s v="Credit Card"/>
    <s v="Windy"/>
  </r>
  <r>
    <s v="WSR-2026-1191"/>
    <d v="2026-07-04T00:00:00"/>
    <x v="6"/>
    <x v="6"/>
    <s v="Saturday"/>
    <x v="26"/>
    <d v="2026-07-31T00:00:00"/>
    <s v="Summer"/>
    <x v="0"/>
    <x v="2"/>
    <s v="2 Hours"/>
    <n v="1"/>
    <n v="70.2"/>
    <s v="None"/>
    <n v="0"/>
    <n v="0"/>
    <n v="70.2"/>
    <x v="8"/>
    <x v="2"/>
    <s v="Cash"/>
    <s v="Cloudy"/>
  </r>
  <r>
    <s v="WSR-2026-1192"/>
    <d v="2026-07-04T00:00:00"/>
    <x v="6"/>
    <x v="6"/>
    <s v="Saturday"/>
    <x v="26"/>
    <d v="2026-07-31T00:00:00"/>
    <s v="Summer"/>
    <x v="3"/>
    <x v="1"/>
    <s v="Half Day"/>
    <n v="1"/>
    <n v="78.3"/>
    <s v="Phone Pouch"/>
    <n v="5"/>
    <n v="0"/>
    <n v="83.3"/>
    <x v="1"/>
    <x v="0"/>
    <s v="Credit Card"/>
    <s v="Sunny"/>
  </r>
  <r>
    <s v="WSR-2026-1193"/>
    <d v="2026-07-04T00:00:00"/>
    <x v="6"/>
    <x v="6"/>
    <s v="Saturday"/>
    <x v="26"/>
    <d v="2026-07-31T00:00:00"/>
    <s v="Summer"/>
    <x v="0"/>
    <x v="5"/>
    <s v="1 Hour"/>
    <n v="1"/>
    <n v="35.1"/>
    <s v="None"/>
    <n v="0"/>
    <n v="0"/>
    <n v="35.1"/>
    <x v="1"/>
    <x v="0"/>
    <s v="Credit Card"/>
    <s v="Sunny"/>
  </r>
  <r>
    <s v="WSR-2026-1194"/>
    <d v="2026-07-04T00:00:00"/>
    <x v="6"/>
    <x v="6"/>
    <s v="Saturday"/>
    <x v="26"/>
    <d v="2026-07-31T00:00:00"/>
    <s v="Summer"/>
    <x v="2"/>
    <x v="5"/>
    <s v="1 Hour"/>
    <n v="1"/>
    <n v="35.1"/>
    <s v="None"/>
    <n v="0"/>
    <n v="0"/>
    <n v="35.1"/>
    <x v="2"/>
    <x v="2"/>
    <s v="Credit Card"/>
    <s v="Sunny"/>
  </r>
  <r>
    <s v="WSR-2026-1195"/>
    <d v="2026-07-04T00:00:00"/>
    <x v="6"/>
    <x v="6"/>
    <s v="Saturday"/>
    <x v="26"/>
    <d v="2026-07-31T00:00:00"/>
    <s v="Summer"/>
    <x v="2"/>
    <x v="1"/>
    <s v="2 Hours"/>
    <n v="1"/>
    <n v="51.3"/>
    <s v="None"/>
    <n v="0"/>
    <n v="0"/>
    <n v="51.3"/>
    <x v="7"/>
    <x v="0"/>
    <s v="Mobile Pay"/>
    <s v="Sunny"/>
  </r>
  <r>
    <s v="WSR-2026-1196"/>
    <d v="2026-07-04T00:00:00"/>
    <x v="6"/>
    <x v="6"/>
    <s v="Saturday"/>
    <x v="26"/>
    <d v="2026-07-31T00:00:00"/>
    <s v="Summer"/>
    <x v="3"/>
    <x v="8"/>
    <s v="2 Hours"/>
    <n v="1"/>
    <n v="21.6"/>
    <s v="Dry Bag"/>
    <n v="6"/>
    <n v="0"/>
    <n v="27.6"/>
    <x v="5"/>
    <x v="4"/>
    <s v="Debit Card"/>
    <s v="Sunny"/>
  </r>
  <r>
    <s v="WSR-2026-1197"/>
    <d v="2026-07-04T00:00:00"/>
    <x v="6"/>
    <x v="6"/>
    <s v="Saturday"/>
    <x v="26"/>
    <d v="2026-07-31T00:00:00"/>
    <s v="Summer"/>
    <x v="3"/>
    <x v="1"/>
    <s v="2 Hours"/>
    <n v="1"/>
    <n v="51.3"/>
    <s v="None"/>
    <n v="0"/>
    <n v="0"/>
    <n v="51.3"/>
    <x v="7"/>
    <x v="1"/>
    <s v="Credit Card"/>
    <s v="Sunny"/>
  </r>
  <r>
    <s v="WSR-2026-1198"/>
    <d v="2026-07-04T00:00:00"/>
    <x v="6"/>
    <x v="6"/>
    <s v="Saturday"/>
    <x v="26"/>
    <d v="2026-07-31T00:00:00"/>
    <s v="Summer"/>
    <x v="3"/>
    <x v="1"/>
    <s v="2 Hours"/>
    <n v="1"/>
    <n v="51.3"/>
    <s v="None"/>
    <n v="0"/>
    <n v="0"/>
    <n v="51.3"/>
    <x v="9"/>
    <x v="1"/>
    <s v="Mobile Pay"/>
    <s v="Sunny"/>
  </r>
  <r>
    <s v="WSR-2026-1199"/>
    <d v="2026-07-04T00:00:00"/>
    <x v="6"/>
    <x v="6"/>
    <s v="Saturday"/>
    <x v="26"/>
    <d v="2026-07-31T00:00:00"/>
    <s v="Summer"/>
    <x v="2"/>
    <x v="1"/>
    <s v="2 Hours"/>
    <n v="1"/>
    <n v="51.3"/>
    <s v="None"/>
    <n v="0"/>
    <n v="0"/>
    <n v="51.3"/>
    <x v="3"/>
    <x v="3"/>
    <s v="Debit Card"/>
    <s v="Sunny"/>
  </r>
  <r>
    <s v="WSR-2026-1200"/>
    <d v="2026-07-04T00:00:00"/>
    <x v="6"/>
    <x v="6"/>
    <s v="Saturday"/>
    <x v="26"/>
    <d v="2026-07-31T00:00:00"/>
    <s v="Summer"/>
    <x v="3"/>
    <x v="0"/>
    <s v="2 Hours"/>
    <n v="1"/>
    <n v="67.5"/>
    <s v="None"/>
    <n v="0"/>
    <n v="0"/>
    <n v="67.5"/>
    <x v="7"/>
    <x v="2"/>
    <s v="Cash"/>
    <s v="Cloudy"/>
  </r>
  <r>
    <s v="WSR-2026-1201"/>
    <d v="2026-07-04T00:00:00"/>
    <x v="6"/>
    <x v="6"/>
    <s v="Saturday"/>
    <x v="26"/>
    <d v="2026-07-31T00:00:00"/>
    <s v="Summer"/>
    <x v="4"/>
    <x v="2"/>
    <s v="2 Hours"/>
    <n v="1"/>
    <n v="70.2"/>
    <s v="None"/>
    <n v="0"/>
    <n v="10.53"/>
    <n v="59.67"/>
    <x v="7"/>
    <x v="1"/>
    <s v="Credit Card"/>
    <s v="Cloudy"/>
  </r>
  <r>
    <s v="WSR-2026-1202"/>
    <d v="2026-07-04T00:00:00"/>
    <x v="6"/>
    <x v="6"/>
    <s v="Saturday"/>
    <x v="26"/>
    <d v="2026-07-31T00:00:00"/>
    <s v="Summer"/>
    <x v="3"/>
    <x v="2"/>
    <s v="2 Hours"/>
    <n v="1"/>
    <n v="70.2"/>
    <s v="None"/>
    <n v="0"/>
    <n v="0"/>
    <n v="70.2"/>
    <x v="5"/>
    <x v="2"/>
    <s v="Debit Card"/>
    <s v="Sunny"/>
  </r>
  <r>
    <s v="WSR-2026-1203"/>
    <d v="2026-07-04T00:00:00"/>
    <x v="6"/>
    <x v="6"/>
    <s v="Saturday"/>
    <x v="26"/>
    <d v="2026-07-31T00:00:00"/>
    <s v="Summer"/>
    <x v="2"/>
    <x v="6"/>
    <s v="Half Day"/>
    <n v="1"/>
    <n v="116.1"/>
    <s v="None"/>
    <n v="0"/>
    <n v="0"/>
    <n v="116.1"/>
    <x v="9"/>
    <x v="4"/>
    <s v="Credit Card"/>
    <s v="Sunny"/>
  </r>
  <r>
    <s v="WSR-2026-1204"/>
    <d v="2026-07-04T00:00:00"/>
    <x v="6"/>
    <x v="6"/>
    <s v="Saturday"/>
    <x v="26"/>
    <d v="2026-07-31T00:00:00"/>
    <s v="Summer"/>
    <x v="2"/>
    <x v="5"/>
    <s v="2 Hours"/>
    <n v="1"/>
    <n v="56.7"/>
    <s v="Dry Bag"/>
    <n v="6"/>
    <n v="0"/>
    <n v="62.7"/>
    <x v="0"/>
    <x v="4"/>
    <s v="Credit Card"/>
    <s v="Cloudy"/>
  </r>
  <r>
    <s v="WSR-2026-1205"/>
    <d v="2026-07-04T00:00:00"/>
    <x v="6"/>
    <x v="6"/>
    <s v="Saturday"/>
    <x v="26"/>
    <d v="2026-07-31T00:00:00"/>
    <s v="Summer"/>
    <x v="2"/>
    <x v="5"/>
    <s v="1 Hour"/>
    <n v="1"/>
    <n v="35.1"/>
    <s v="None"/>
    <n v="0"/>
    <n v="0"/>
    <n v="35.1"/>
    <x v="4"/>
    <x v="2"/>
    <s v="Debit Card"/>
    <s v="Sunny"/>
  </r>
  <r>
    <s v="WSR-2026-1206"/>
    <d v="2026-07-04T00:00:00"/>
    <x v="6"/>
    <x v="6"/>
    <s v="Saturday"/>
    <x v="26"/>
    <d v="2026-07-31T00:00:00"/>
    <s v="Summer"/>
    <x v="0"/>
    <x v="7"/>
    <s v="2 Hours"/>
    <n v="1"/>
    <n v="29.7"/>
    <s v="None"/>
    <n v="0"/>
    <n v="0"/>
    <n v="29.7"/>
    <x v="9"/>
    <x v="2"/>
    <s v="Cash"/>
    <s v="Cloudy"/>
  </r>
  <r>
    <s v="WSR-2026-1207"/>
    <d v="2026-07-04T00:00:00"/>
    <x v="6"/>
    <x v="6"/>
    <s v="Saturday"/>
    <x v="26"/>
    <d v="2026-07-31T00:00:00"/>
    <s v="Summer"/>
    <x v="4"/>
    <x v="5"/>
    <s v="Half Day"/>
    <n v="1"/>
    <n v="83.7"/>
    <s v="Phone Pouch"/>
    <n v="5"/>
    <n v="8.8699999999999992"/>
    <n v="79.83"/>
    <x v="8"/>
    <x v="1"/>
    <s v="Credit Card"/>
    <s v="Cloudy"/>
  </r>
  <r>
    <s v="WSR-2026-1208"/>
    <d v="2026-07-04T00:00:00"/>
    <x v="6"/>
    <x v="6"/>
    <s v="Saturday"/>
    <x v="26"/>
    <d v="2026-07-31T00:00:00"/>
    <s v="Summer"/>
    <x v="2"/>
    <x v="5"/>
    <s v="2 Hours"/>
    <n v="1"/>
    <n v="56.7"/>
    <s v="Dry Bag"/>
    <n v="6"/>
    <n v="0"/>
    <n v="62.7"/>
    <x v="6"/>
    <x v="1"/>
    <s v="Credit Card"/>
    <s v="Sunny"/>
  </r>
  <r>
    <s v="WSR-2026-1209"/>
    <d v="2026-07-04T00:00:00"/>
    <x v="6"/>
    <x v="6"/>
    <s v="Saturday"/>
    <x v="26"/>
    <d v="2026-07-31T00:00:00"/>
    <s v="Summer"/>
    <x v="3"/>
    <x v="2"/>
    <s v="Full Day"/>
    <n v="1"/>
    <n v="151.19999999999999"/>
    <s v="None"/>
    <n v="0"/>
    <n v="0"/>
    <n v="151.19999999999999"/>
    <x v="1"/>
    <x v="3"/>
    <s v="Debit Card"/>
    <s v="Cloudy"/>
  </r>
  <r>
    <s v="WSR-2026-1210"/>
    <d v="2026-07-04T00:00:00"/>
    <x v="6"/>
    <x v="6"/>
    <s v="Saturday"/>
    <x v="26"/>
    <d v="2026-07-31T00:00:00"/>
    <s v="Summer"/>
    <x v="2"/>
    <x v="6"/>
    <s v="Full Day"/>
    <n v="1"/>
    <n v="167.4"/>
    <s v="GoPro Mount"/>
    <n v="8"/>
    <n v="0"/>
    <n v="175.4"/>
    <x v="6"/>
    <x v="1"/>
    <s v="Debit Card"/>
    <s v="Sunny"/>
  </r>
  <r>
    <s v="WSR-2026-1211"/>
    <d v="2026-07-04T00:00:00"/>
    <x v="6"/>
    <x v="6"/>
    <s v="Saturday"/>
    <x v="26"/>
    <d v="2026-07-31T00:00:00"/>
    <s v="Summer"/>
    <x v="3"/>
    <x v="2"/>
    <s v="2 Hours"/>
    <n v="1"/>
    <n v="70.2"/>
    <s v="None"/>
    <n v="0"/>
    <n v="0"/>
    <n v="70.2"/>
    <x v="2"/>
    <x v="2"/>
    <s v="Credit Card"/>
    <s v="Sunny"/>
  </r>
  <r>
    <s v="WSR-2026-1212"/>
    <d v="2026-07-04T00:00:00"/>
    <x v="6"/>
    <x v="6"/>
    <s v="Saturday"/>
    <x v="26"/>
    <d v="2026-07-31T00:00:00"/>
    <s v="Summer"/>
    <x v="3"/>
    <x v="5"/>
    <s v="1 Hour"/>
    <n v="1"/>
    <n v="35.1"/>
    <s v="None"/>
    <n v="0"/>
    <n v="0"/>
    <n v="35.1"/>
    <x v="7"/>
    <x v="2"/>
    <s v="Credit Card"/>
    <s v="Sunny"/>
  </r>
  <r>
    <s v="WSR-2026-1213"/>
    <d v="2026-07-04T00:00:00"/>
    <x v="6"/>
    <x v="6"/>
    <s v="Saturday"/>
    <x v="26"/>
    <d v="2026-07-31T00:00:00"/>
    <s v="Summer"/>
    <x v="3"/>
    <x v="5"/>
    <s v="1 Hour"/>
    <n v="1"/>
    <n v="35.1"/>
    <s v="Premium Life Jacket"/>
    <n v="7"/>
    <n v="0"/>
    <n v="42.1"/>
    <x v="5"/>
    <x v="1"/>
    <s v="Credit Card"/>
    <s v="Cloudy"/>
  </r>
  <r>
    <s v="WSR-2026-1214"/>
    <d v="2026-07-04T00:00:00"/>
    <x v="6"/>
    <x v="6"/>
    <s v="Saturday"/>
    <x v="26"/>
    <d v="2026-07-31T00:00:00"/>
    <s v="Summer"/>
    <x v="2"/>
    <x v="5"/>
    <s v="Half Day"/>
    <n v="1"/>
    <n v="83.7"/>
    <s v="None"/>
    <n v="0"/>
    <n v="0"/>
    <n v="83.7"/>
    <x v="2"/>
    <x v="2"/>
    <s v="Credit Card"/>
    <s v="Sunny"/>
  </r>
  <r>
    <s v="WSR-2026-1215"/>
    <d v="2026-07-04T00:00:00"/>
    <x v="6"/>
    <x v="6"/>
    <s v="Saturday"/>
    <x v="26"/>
    <d v="2026-07-31T00:00:00"/>
    <s v="Summer"/>
    <x v="2"/>
    <x v="6"/>
    <s v="Half Day"/>
    <n v="1"/>
    <n v="116.1"/>
    <s v="None"/>
    <n v="0"/>
    <n v="0"/>
    <n v="116.1"/>
    <x v="5"/>
    <x v="2"/>
    <s v="Credit Card"/>
    <s v="Sunny"/>
  </r>
  <r>
    <s v="WSR-2026-1216"/>
    <d v="2026-07-04T00:00:00"/>
    <x v="6"/>
    <x v="6"/>
    <s v="Saturday"/>
    <x v="26"/>
    <d v="2026-07-31T00:00:00"/>
    <s v="Summer"/>
    <x v="2"/>
    <x v="6"/>
    <s v="1 Hour"/>
    <n v="1"/>
    <n v="48.6"/>
    <s v="None"/>
    <n v="0"/>
    <n v="0"/>
    <n v="48.6"/>
    <x v="2"/>
    <x v="4"/>
    <s v="Credit Card"/>
    <s v="Sunny"/>
  </r>
  <r>
    <s v="WSR-2026-1217"/>
    <d v="2026-07-04T00:00:00"/>
    <x v="6"/>
    <x v="6"/>
    <s v="Saturday"/>
    <x v="26"/>
    <d v="2026-07-31T00:00:00"/>
    <s v="Summer"/>
    <x v="0"/>
    <x v="2"/>
    <s v="2 Hours"/>
    <n v="1"/>
    <n v="70.2"/>
    <s v="None"/>
    <n v="0"/>
    <n v="0"/>
    <n v="70.2"/>
    <x v="5"/>
    <x v="4"/>
    <s v="Debit Card"/>
    <s v="Sunny"/>
  </r>
  <r>
    <s v="WSR-2026-1218"/>
    <d v="2026-07-04T00:00:00"/>
    <x v="6"/>
    <x v="6"/>
    <s v="Saturday"/>
    <x v="26"/>
    <d v="2026-07-31T00:00:00"/>
    <s v="Summer"/>
    <x v="0"/>
    <x v="4"/>
    <s v="2 Hours"/>
    <n v="1"/>
    <n v="24.3"/>
    <s v="Cooler Rental"/>
    <n v="10"/>
    <n v="0"/>
    <n v="34.299999999999997"/>
    <x v="8"/>
    <x v="3"/>
    <s v="Credit Card"/>
    <s v="Sunny"/>
  </r>
  <r>
    <s v="WSR-2026-1219"/>
    <d v="2026-07-04T00:00:00"/>
    <x v="6"/>
    <x v="6"/>
    <s v="Saturday"/>
    <x v="26"/>
    <d v="2026-07-31T00:00:00"/>
    <s v="Summer"/>
    <x v="0"/>
    <x v="7"/>
    <s v="Half Day"/>
    <n v="1"/>
    <n v="45.9"/>
    <s v="Dry Bag"/>
    <n v="6"/>
    <n v="0"/>
    <n v="51.9"/>
    <x v="2"/>
    <x v="4"/>
    <s v="Credit Card"/>
    <s v="Sunny"/>
  </r>
  <r>
    <s v="WSR-2026-1220"/>
    <d v="2026-07-04T00:00:00"/>
    <x v="6"/>
    <x v="6"/>
    <s v="Saturday"/>
    <x v="26"/>
    <d v="2026-07-31T00:00:00"/>
    <s v="Summer"/>
    <x v="1"/>
    <x v="1"/>
    <s v="Full Day"/>
    <n v="1"/>
    <n v="113.4"/>
    <s v="None"/>
    <n v="0"/>
    <n v="5.67"/>
    <n v="107.73"/>
    <x v="9"/>
    <x v="0"/>
    <s v="Credit Card"/>
    <s v="Sunny"/>
  </r>
  <r>
    <s v="WSR-2026-1221"/>
    <d v="2026-07-04T00:00:00"/>
    <x v="6"/>
    <x v="6"/>
    <s v="Saturday"/>
    <x v="26"/>
    <d v="2026-07-31T00:00:00"/>
    <s v="Summer"/>
    <x v="2"/>
    <x v="2"/>
    <s v="1 Hour"/>
    <n v="1"/>
    <n v="45.9"/>
    <s v="Phone Pouch"/>
    <n v="5"/>
    <n v="0"/>
    <n v="50.9"/>
    <x v="0"/>
    <x v="2"/>
    <s v="Debit Card"/>
    <s v="Sunny"/>
  </r>
  <r>
    <s v="WSR-2026-1222"/>
    <d v="2026-07-04T00:00:00"/>
    <x v="6"/>
    <x v="6"/>
    <s v="Saturday"/>
    <x v="26"/>
    <d v="2026-07-31T00:00:00"/>
    <s v="Summer"/>
    <x v="3"/>
    <x v="2"/>
    <s v="1 Hour"/>
    <n v="1"/>
    <n v="45.9"/>
    <s v="None"/>
    <n v="0"/>
    <n v="0"/>
    <n v="45.9"/>
    <x v="2"/>
    <x v="4"/>
    <s v="Credit Card"/>
    <s v="Sunny"/>
  </r>
  <r>
    <s v="WSR-2026-1223"/>
    <d v="2026-07-04T00:00:00"/>
    <x v="6"/>
    <x v="6"/>
    <s v="Saturday"/>
    <x v="26"/>
    <d v="2026-07-31T00:00:00"/>
    <s v="Summer"/>
    <x v="3"/>
    <x v="1"/>
    <s v="Full Day"/>
    <n v="1"/>
    <n v="113.4"/>
    <s v="None"/>
    <n v="0"/>
    <n v="0"/>
    <n v="113.4"/>
    <x v="5"/>
    <x v="0"/>
    <s v="Credit Card"/>
    <s v="Sunny"/>
  </r>
  <r>
    <s v="WSR-2026-1224"/>
    <d v="2026-07-04T00:00:00"/>
    <x v="6"/>
    <x v="6"/>
    <s v="Saturday"/>
    <x v="26"/>
    <d v="2026-07-31T00:00:00"/>
    <s v="Summer"/>
    <x v="2"/>
    <x v="5"/>
    <s v="2 Hours"/>
    <n v="1"/>
    <n v="56.7"/>
    <s v="Dry Bag"/>
    <n v="6"/>
    <n v="0"/>
    <n v="62.7"/>
    <x v="2"/>
    <x v="4"/>
    <s v="Credit Card"/>
    <s v="Rainy"/>
  </r>
  <r>
    <s v="WSR-2026-1225"/>
    <d v="2026-07-04T00:00:00"/>
    <x v="6"/>
    <x v="6"/>
    <s v="Saturday"/>
    <x v="26"/>
    <d v="2026-07-31T00:00:00"/>
    <s v="Summer"/>
    <x v="2"/>
    <x v="6"/>
    <s v="1 Hour"/>
    <n v="1"/>
    <n v="48.6"/>
    <s v="None"/>
    <n v="0"/>
    <n v="0"/>
    <n v="48.6"/>
    <x v="5"/>
    <x v="1"/>
    <s v="Credit Card"/>
    <s v="Sunny"/>
  </r>
  <r>
    <s v="WSR-2026-1226"/>
    <d v="2026-07-04T00:00:00"/>
    <x v="6"/>
    <x v="6"/>
    <s v="Saturday"/>
    <x v="26"/>
    <d v="2026-07-31T00:00:00"/>
    <s v="Summer"/>
    <x v="3"/>
    <x v="2"/>
    <s v="1 Hour"/>
    <n v="1"/>
    <n v="45.9"/>
    <s v="Dry Bag"/>
    <n v="6"/>
    <n v="2.6"/>
    <n v="49.3"/>
    <x v="9"/>
    <x v="3"/>
    <s v="Debit Card"/>
    <s v="Sunny"/>
  </r>
  <r>
    <s v="WSR-2026-1227"/>
    <d v="2026-07-04T00:00:00"/>
    <x v="6"/>
    <x v="6"/>
    <s v="Saturday"/>
    <x v="26"/>
    <d v="2026-07-31T00:00:00"/>
    <s v="Summer"/>
    <x v="2"/>
    <x v="2"/>
    <s v="1 Hour"/>
    <n v="1"/>
    <n v="45.9"/>
    <s v="None"/>
    <n v="0"/>
    <n v="0"/>
    <n v="45.9"/>
    <x v="2"/>
    <x v="3"/>
    <s v="Credit Card"/>
    <s v="Cloudy"/>
  </r>
  <r>
    <s v="WSR-2026-1228"/>
    <d v="2026-07-04T00:00:00"/>
    <x v="6"/>
    <x v="6"/>
    <s v="Saturday"/>
    <x v="26"/>
    <d v="2026-07-31T00:00:00"/>
    <s v="Summer"/>
    <x v="3"/>
    <x v="4"/>
    <s v="2 Hours"/>
    <n v="1"/>
    <n v="24.3"/>
    <s v="Premium Life Jacket"/>
    <n v="7"/>
    <n v="0"/>
    <n v="31.3"/>
    <x v="9"/>
    <x v="4"/>
    <s v="Cash"/>
    <s v="Sunny"/>
  </r>
  <r>
    <s v="WSR-2026-1229"/>
    <d v="2026-07-04T00:00:00"/>
    <x v="6"/>
    <x v="6"/>
    <s v="Saturday"/>
    <x v="26"/>
    <d v="2026-07-31T00:00:00"/>
    <s v="Summer"/>
    <x v="3"/>
    <x v="1"/>
    <s v="Half Day"/>
    <n v="1"/>
    <n v="78.3"/>
    <s v="Dry Bag"/>
    <n v="6"/>
    <n v="0"/>
    <n v="84.3"/>
    <x v="3"/>
    <x v="1"/>
    <s v="Credit Card"/>
    <s v="Windy"/>
  </r>
  <r>
    <s v="WSR-2026-1230"/>
    <d v="2026-07-04T00:00:00"/>
    <x v="6"/>
    <x v="6"/>
    <s v="Saturday"/>
    <x v="26"/>
    <d v="2026-07-31T00:00:00"/>
    <s v="Summer"/>
    <x v="2"/>
    <x v="2"/>
    <s v="2 Hours"/>
    <n v="1"/>
    <n v="70.2"/>
    <s v="Cooler Rental"/>
    <n v="10"/>
    <n v="0"/>
    <n v="80.2"/>
    <x v="1"/>
    <x v="0"/>
    <s v="Gift Card"/>
    <s v="Sunny"/>
  </r>
  <r>
    <s v="WSR-2026-1231"/>
    <d v="2026-07-04T00:00:00"/>
    <x v="6"/>
    <x v="6"/>
    <s v="Saturday"/>
    <x v="26"/>
    <d v="2026-07-31T00:00:00"/>
    <s v="Summer"/>
    <x v="3"/>
    <x v="8"/>
    <s v="1 Hour"/>
    <n v="1"/>
    <n v="13.5"/>
    <s v="Phone Pouch"/>
    <n v="5"/>
    <n v="0"/>
    <n v="18.5"/>
    <x v="4"/>
    <x v="2"/>
    <s v="Mobile Pay"/>
    <s v="Sunny"/>
  </r>
  <r>
    <s v="WSR-2026-1232"/>
    <d v="2026-07-04T00:00:00"/>
    <x v="6"/>
    <x v="6"/>
    <s v="Saturday"/>
    <x v="26"/>
    <d v="2026-07-31T00:00:00"/>
    <s v="Summer"/>
    <x v="1"/>
    <x v="1"/>
    <s v="2 Hours"/>
    <n v="1"/>
    <n v="51.3"/>
    <s v="Dry Bag"/>
    <n v="6"/>
    <n v="2.87"/>
    <n v="54.43"/>
    <x v="0"/>
    <x v="0"/>
    <s v="Debit Card"/>
    <s v="Sunny"/>
  </r>
  <r>
    <s v="WSR-2026-1233"/>
    <d v="2026-07-04T00:00:00"/>
    <x v="6"/>
    <x v="6"/>
    <s v="Saturday"/>
    <x v="26"/>
    <d v="2026-07-31T00:00:00"/>
    <s v="Summer"/>
    <x v="2"/>
    <x v="0"/>
    <s v="Half Day"/>
    <n v="1"/>
    <n v="102.6"/>
    <s v="None"/>
    <n v="0"/>
    <n v="0"/>
    <n v="102.6"/>
    <x v="8"/>
    <x v="3"/>
    <s v="Debit Card"/>
    <s v="Sunny"/>
  </r>
  <r>
    <s v="WSR-2026-1234"/>
    <d v="2026-07-04T00:00:00"/>
    <x v="6"/>
    <x v="6"/>
    <s v="Saturday"/>
    <x v="26"/>
    <d v="2026-07-31T00:00:00"/>
    <s v="Summer"/>
    <x v="3"/>
    <x v="3"/>
    <s v="Full Day"/>
    <n v="1"/>
    <n v="102.6"/>
    <s v="None"/>
    <n v="0"/>
    <n v="0"/>
    <n v="102.6"/>
    <x v="3"/>
    <x v="3"/>
    <s v="Credit Card"/>
    <s v="Windy"/>
  </r>
  <r>
    <s v="WSR-2026-1235"/>
    <d v="2026-07-04T00:00:00"/>
    <x v="6"/>
    <x v="6"/>
    <s v="Saturday"/>
    <x v="26"/>
    <d v="2026-07-31T00:00:00"/>
    <s v="Summer"/>
    <x v="2"/>
    <x v="8"/>
    <s v="1 Hour"/>
    <n v="1"/>
    <n v="13.5"/>
    <s v="GoPro Mount"/>
    <n v="8"/>
    <n v="0"/>
    <n v="21.5"/>
    <x v="0"/>
    <x v="3"/>
    <s v="Credit Card"/>
    <s v="Cloudy"/>
  </r>
  <r>
    <s v="WSR-2026-1236"/>
    <d v="2026-07-04T00:00:00"/>
    <x v="6"/>
    <x v="6"/>
    <s v="Saturday"/>
    <x v="26"/>
    <d v="2026-07-31T00:00:00"/>
    <s v="Summer"/>
    <x v="1"/>
    <x v="6"/>
    <s v="1 Hour"/>
    <n v="1"/>
    <n v="48.6"/>
    <s v="Waterproof Speaker"/>
    <n v="12"/>
    <n v="6.06"/>
    <n v="54.54"/>
    <x v="1"/>
    <x v="0"/>
    <s v="Credit Card"/>
    <s v="Sunny"/>
  </r>
  <r>
    <s v="WSR-2026-1237"/>
    <d v="2026-07-04T00:00:00"/>
    <x v="6"/>
    <x v="6"/>
    <s v="Saturday"/>
    <x v="26"/>
    <d v="2026-07-31T00:00:00"/>
    <s v="Summer"/>
    <x v="3"/>
    <x v="3"/>
    <s v="1 Hour"/>
    <n v="1"/>
    <n v="29.7"/>
    <s v="Phone Pouch"/>
    <n v="5"/>
    <n v="0"/>
    <n v="34.700000000000003"/>
    <x v="8"/>
    <x v="0"/>
    <s v="Mobile Pay"/>
    <s v="Sunny"/>
  </r>
  <r>
    <s v="WSR-2026-1238"/>
    <d v="2026-07-04T00:00:00"/>
    <x v="6"/>
    <x v="6"/>
    <s v="Saturday"/>
    <x v="26"/>
    <d v="2026-07-31T00:00:00"/>
    <s v="Summer"/>
    <x v="2"/>
    <x v="5"/>
    <s v="2 Hours"/>
    <n v="1"/>
    <n v="56.7"/>
    <s v="Premium Life Jacket"/>
    <n v="7"/>
    <n v="0"/>
    <n v="63.7"/>
    <x v="9"/>
    <x v="0"/>
    <s v="Credit Card"/>
    <s v="Cloudy"/>
  </r>
  <r>
    <s v="WSR-2026-1239"/>
    <d v="2026-07-04T00:00:00"/>
    <x v="6"/>
    <x v="6"/>
    <s v="Saturday"/>
    <x v="26"/>
    <d v="2026-07-31T00:00:00"/>
    <s v="Summer"/>
    <x v="2"/>
    <x v="5"/>
    <s v="Full Day"/>
    <n v="1"/>
    <n v="118.8"/>
    <s v="None"/>
    <n v="0"/>
    <n v="0"/>
    <n v="118.8"/>
    <x v="3"/>
    <x v="3"/>
    <s v="Cash"/>
    <s v="Sunny"/>
  </r>
  <r>
    <s v="WSR-2026-1240"/>
    <d v="2026-07-04T00:00:00"/>
    <x v="6"/>
    <x v="6"/>
    <s v="Saturday"/>
    <x v="26"/>
    <d v="2026-07-31T00:00:00"/>
    <s v="Summer"/>
    <x v="1"/>
    <x v="3"/>
    <s v="2 Hours"/>
    <n v="1"/>
    <n v="48.6"/>
    <s v="None"/>
    <n v="0"/>
    <n v="0"/>
    <n v="48.6"/>
    <x v="7"/>
    <x v="1"/>
    <s v="Credit Card"/>
    <s v="Sunny"/>
  </r>
  <r>
    <s v="WSR-2026-1241"/>
    <d v="2026-07-04T00:00:00"/>
    <x v="6"/>
    <x v="6"/>
    <s v="Saturday"/>
    <x v="26"/>
    <d v="2026-07-31T00:00:00"/>
    <s v="Summer"/>
    <x v="0"/>
    <x v="0"/>
    <s v="Full Day"/>
    <n v="1"/>
    <n v="148.5"/>
    <s v="Phone Pouch"/>
    <n v="5"/>
    <n v="0"/>
    <n v="153.5"/>
    <x v="5"/>
    <x v="4"/>
    <s v="Credit Card"/>
    <s v="Sunny"/>
  </r>
  <r>
    <s v="WSR-2026-1242"/>
    <d v="2026-07-04T00:00:00"/>
    <x v="6"/>
    <x v="6"/>
    <s v="Saturday"/>
    <x v="26"/>
    <d v="2026-07-31T00:00:00"/>
    <s v="Summer"/>
    <x v="0"/>
    <x v="8"/>
    <s v="2 Hours"/>
    <n v="1"/>
    <n v="21.6"/>
    <s v="Cooler Rental"/>
    <n v="10"/>
    <n v="0"/>
    <n v="31.6"/>
    <x v="1"/>
    <x v="1"/>
    <s v="Credit Card"/>
    <s v="Sunny"/>
  </r>
  <r>
    <s v="WSR-2026-1243"/>
    <d v="2026-07-04T00:00:00"/>
    <x v="6"/>
    <x v="6"/>
    <s v="Saturday"/>
    <x v="26"/>
    <d v="2026-07-31T00:00:00"/>
    <s v="Summer"/>
    <x v="3"/>
    <x v="1"/>
    <s v="Full Day"/>
    <n v="1"/>
    <n v="113.4"/>
    <s v="None"/>
    <n v="0"/>
    <n v="5.67"/>
    <n v="107.73"/>
    <x v="6"/>
    <x v="2"/>
    <s v="Mobile Pay"/>
    <s v="Cloudy"/>
  </r>
  <r>
    <s v="WSR-2026-1244"/>
    <d v="2026-07-04T00:00:00"/>
    <x v="6"/>
    <x v="6"/>
    <s v="Saturday"/>
    <x v="26"/>
    <d v="2026-07-31T00:00:00"/>
    <s v="Summer"/>
    <x v="3"/>
    <x v="5"/>
    <s v="1 Hour"/>
    <n v="1"/>
    <n v="35.1"/>
    <s v="Cooler Rental"/>
    <n v="10"/>
    <n v="0"/>
    <n v="45.1"/>
    <x v="1"/>
    <x v="2"/>
    <s v="Credit Card"/>
    <s v="Sunny"/>
  </r>
  <r>
    <s v="WSR-2026-1245"/>
    <d v="2026-07-05T00:00:00"/>
    <x v="6"/>
    <x v="6"/>
    <s v="Sunday"/>
    <x v="27"/>
    <d v="2026-07-31T00:00:00"/>
    <s v="Summer"/>
    <x v="0"/>
    <x v="2"/>
    <s v="2 Hours"/>
    <n v="1"/>
    <n v="70.2"/>
    <s v="None"/>
    <n v="0"/>
    <n v="0"/>
    <n v="70.2"/>
    <x v="8"/>
    <x v="1"/>
    <s v="Credit Card"/>
    <s v="Sunny"/>
  </r>
  <r>
    <s v="WSR-2026-1246"/>
    <d v="2026-07-05T00:00:00"/>
    <x v="6"/>
    <x v="6"/>
    <s v="Sunday"/>
    <x v="27"/>
    <d v="2026-07-31T00:00:00"/>
    <s v="Summer"/>
    <x v="2"/>
    <x v="1"/>
    <s v="2 Hours"/>
    <n v="1"/>
    <n v="51.3"/>
    <s v="Premium Life Jacket"/>
    <n v="7"/>
    <n v="0"/>
    <n v="58.3"/>
    <x v="8"/>
    <x v="4"/>
    <s v="Credit Card"/>
    <s v="Windy"/>
  </r>
  <r>
    <s v="WSR-2026-1247"/>
    <d v="2026-07-05T00:00:00"/>
    <x v="6"/>
    <x v="6"/>
    <s v="Sunday"/>
    <x v="27"/>
    <d v="2026-07-31T00:00:00"/>
    <s v="Summer"/>
    <x v="0"/>
    <x v="4"/>
    <s v="Half Day"/>
    <n v="1"/>
    <n v="37.799999999999997"/>
    <s v="None"/>
    <n v="0"/>
    <n v="0"/>
    <n v="37.799999999999997"/>
    <x v="8"/>
    <x v="1"/>
    <s v="Credit Card"/>
    <s v="Sunny"/>
  </r>
  <r>
    <s v="WSR-2026-1248"/>
    <d v="2026-07-05T00:00:00"/>
    <x v="6"/>
    <x v="6"/>
    <s v="Sunday"/>
    <x v="27"/>
    <d v="2026-07-31T00:00:00"/>
    <s v="Summer"/>
    <x v="2"/>
    <x v="1"/>
    <s v="1 Hour"/>
    <n v="1"/>
    <n v="32.4"/>
    <s v="None"/>
    <n v="0"/>
    <n v="0"/>
    <n v="32.4"/>
    <x v="7"/>
    <x v="0"/>
    <s v="Debit Card"/>
    <s v="Sunny"/>
  </r>
  <r>
    <s v="WSR-2026-1249"/>
    <d v="2026-07-05T00:00:00"/>
    <x v="6"/>
    <x v="6"/>
    <s v="Sunday"/>
    <x v="27"/>
    <d v="2026-07-31T00:00:00"/>
    <s v="Summer"/>
    <x v="0"/>
    <x v="5"/>
    <s v="1 Hour"/>
    <n v="1"/>
    <n v="35.1"/>
    <s v="Premium Life Jacket"/>
    <n v="7"/>
    <n v="0"/>
    <n v="42.1"/>
    <x v="1"/>
    <x v="2"/>
    <s v="Mobile Pay"/>
    <s v="Sunny"/>
  </r>
  <r>
    <s v="WSR-2026-1250"/>
    <d v="2026-07-05T00:00:00"/>
    <x v="6"/>
    <x v="6"/>
    <s v="Sunday"/>
    <x v="27"/>
    <d v="2026-07-31T00:00:00"/>
    <s v="Summer"/>
    <x v="2"/>
    <x v="5"/>
    <s v="2 Hours"/>
    <n v="1"/>
    <n v="56.7"/>
    <s v="None"/>
    <n v="0"/>
    <n v="0"/>
    <n v="56.7"/>
    <x v="7"/>
    <x v="4"/>
    <s v="Credit Card"/>
    <s v="Sunny"/>
  </r>
  <r>
    <s v="WSR-2026-1251"/>
    <d v="2026-07-05T00:00:00"/>
    <x v="6"/>
    <x v="6"/>
    <s v="Sunday"/>
    <x v="27"/>
    <d v="2026-07-31T00:00:00"/>
    <s v="Summer"/>
    <x v="0"/>
    <x v="7"/>
    <s v="2 Hours"/>
    <n v="1"/>
    <n v="29.7"/>
    <s v="None"/>
    <n v="0"/>
    <n v="0"/>
    <n v="29.7"/>
    <x v="3"/>
    <x v="4"/>
    <s v="Debit Card"/>
    <s v="Windy"/>
  </r>
  <r>
    <s v="WSR-2026-1252"/>
    <d v="2026-07-05T00:00:00"/>
    <x v="6"/>
    <x v="6"/>
    <s v="Sunday"/>
    <x v="27"/>
    <d v="2026-07-31T00:00:00"/>
    <s v="Summer"/>
    <x v="3"/>
    <x v="4"/>
    <s v="Half Day"/>
    <n v="1"/>
    <n v="37.799999999999997"/>
    <s v="Cooler Rental"/>
    <n v="10"/>
    <n v="0"/>
    <n v="47.8"/>
    <x v="3"/>
    <x v="1"/>
    <s v="Debit Card"/>
    <s v="Rainy"/>
  </r>
  <r>
    <s v="WSR-2026-1253"/>
    <d v="2026-07-05T00:00:00"/>
    <x v="6"/>
    <x v="6"/>
    <s v="Sunday"/>
    <x v="27"/>
    <d v="2026-07-31T00:00:00"/>
    <s v="Summer"/>
    <x v="3"/>
    <x v="1"/>
    <s v="Half Day"/>
    <n v="1"/>
    <n v="78.3"/>
    <s v="Dry Bag"/>
    <n v="6"/>
    <n v="0"/>
    <n v="84.3"/>
    <x v="6"/>
    <x v="2"/>
    <s v="Credit Card"/>
    <s v="Cloudy"/>
  </r>
  <r>
    <s v="WSR-2026-1254"/>
    <d v="2026-07-05T00:00:00"/>
    <x v="6"/>
    <x v="6"/>
    <s v="Sunday"/>
    <x v="27"/>
    <d v="2026-07-31T00:00:00"/>
    <s v="Summer"/>
    <x v="0"/>
    <x v="3"/>
    <s v="Half Day"/>
    <n v="1"/>
    <n v="72.900000000000006"/>
    <s v="None"/>
    <n v="0"/>
    <n v="3.65"/>
    <n v="69.25"/>
    <x v="2"/>
    <x v="3"/>
    <s v="Credit Card"/>
    <s v="Sunny"/>
  </r>
  <r>
    <s v="WSR-2026-1255"/>
    <d v="2026-07-05T00:00:00"/>
    <x v="6"/>
    <x v="6"/>
    <s v="Sunday"/>
    <x v="27"/>
    <d v="2026-07-31T00:00:00"/>
    <s v="Summer"/>
    <x v="0"/>
    <x v="7"/>
    <s v="Half Day"/>
    <n v="1"/>
    <n v="45.9"/>
    <s v="None"/>
    <n v="0"/>
    <n v="0"/>
    <n v="45.9"/>
    <x v="2"/>
    <x v="3"/>
    <s v="Debit Card"/>
    <s v="Sunny"/>
  </r>
  <r>
    <s v="WSR-2026-1256"/>
    <d v="2026-07-05T00:00:00"/>
    <x v="6"/>
    <x v="6"/>
    <s v="Sunday"/>
    <x v="27"/>
    <d v="2026-07-31T00:00:00"/>
    <s v="Summer"/>
    <x v="0"/>
    <x v="5"/>
    <s v="Full Day"/>
    <n v="1"/>
    <n v="118.8"/>
    <s v="None"/>
    <n v="0"/>
    <n v="0"/>
    <n v="118.8"/>
    <x v="1"/>
    <x v="3"/>
    <s v="Gift Card"/>
    <s v="Sunny"/>
  </r>
  <r>
    <s v="WSR-2026-1257"/>
    <d v="2026-07-05T00:00:00"/>
    <x v="6"/>
    <x v="6"/>
    <s v="Sunday"/>
    <x v="27"/>
    <d v="2026-07-31T00:00:00"/>
    <s v="Summer"/>
    <x v="2"/>
    <x v="2"/>
    <s v="1 Hour"/>
    <n v="1"/>
    <n v="45.9"/>
    <s v="Premium Life Jacket"/>
    <n v="7"/>
    <n v="0"/>
    <n v="52.9"/>
    <x v="0"/>
    <x v="4"/>
    <s v="Mobile Pay"/>
    <s v="Windy"/>
  </r>
  <r>
    <s v="WSR-2026-1258"/>
    <d v="2026-07-05T00:00:00"/>
    <x v="6"/>
    <x v="6"/>
    <s v="Sunday"/>
    <x v="27"/>
    <d v="2026-07-31T00:00:00"/>
    <s v="Summer"/>
    <x v="3"/>
    <x v="3"/>
    <s v="1 Hour"/>
    <n v="1"/>
    <n v="29.7"/>
    <s v="Dry Bag"/>
    <n v="6"/>
    <n v="0"/>
    <n v="35.700000000000003"/>
    <x v="3"/>
    <x v="1"/>
    <s v="Cash"/>
    <s v="Sunny"/>
  </r>
  <r>
    <s v="WSR-2026-1259"/>
    <d v="2026-07-05T00:00:00"/>
    <x v="6"/>
    <x v="6"/>
    <s v="Sunday"/>
    <x v="27"/>
    <d v="2026-07-31T00:00:00"/>
    <s v="Summer"/>
    <x v="3"/>
    <x v="3"/>
    <s v="2 Hours"/>
    <n v="1"/>
    <n v="48.6"/>
    <s v="None"/>
    <n v="0"/>
    <n v="0"/>
    <n v="48.6"/>
    <x v="0"/>
    <x v="2"/>
    <s v="Credit Card"/>
    <s v="Sunny"/>
  </r>
  <r>
    <s v="WSR-2026-1260"/>
    <d v="2026-07-05T00:00:00"/>
    <x v="6"/>
    <x v="6"/>
    <s v="Sunday"/>
    <x v="27"/>
    <d v="2026-07-31T00:00:00"/>
    <s v="Summer"/>
    <x v="3"/>
    <x v="8"/>
    <s v="Half Day"/>
    <n v="1"/>
    <n v="32.4"/>
    <s v="GoPro Mount"/>
    <n v="8"/>
    <n v="0"/>
    <n v="40.4"/>
    <x v="9"/>
    <x v="3"/>
    <s v="Mobile Pay"/>
    <s v="Sunny"/>
  </r>
  <r>
    <s v="WSR-2026-1261"/>
    <d v="2026-07-05T00:00:00"/>
    <x v="6"/>
    <x v="6"/>
    <s v="Sunday"/>
    <x v="27"/>
    <d v="2026-07-31T00:00:00"/>
    <s v="Summer"/>
    <x v="0"/>
    <x v="4"/>
    <s v="Half Day"/>
    <n v="1"/>
    <n v="37.799999999999997"/>
    <s v="Phone Pouch"/>
    <n v="5"/>
    <n v="0"/>
    <n v="42.8"/>
    <x v="1"/>
    <x v="3"/>
    <s v="Debit Card"/>
    <s v="Sunny"/>
  </r>
  <r>
    <s v="WSR-2026-1262"/>
    <d v="2026-07-05T00:00:00"/>
    <x v="6"/>
    <x v="6"/>
    <s v="Sunday"/>
    <x v="27"/>
    <d v="2026-07-31T00:00:00"/>
    <s v="Summer"/>
    <x v="4"/>
    <x v="1"/>
    <s v="1 Hour"/>
    <n v="1"/>
    <n v="32.4"/>
    <s v="Dry Bag"/>
    <n v="6"/>
    <n v="5.76"/>
    <n v="32.64"/>
    <x v="4"/>
    <x v="2"/>
    <s v="Credit Card"/>
    <s v="Sunny"/>
  </r>
  <r>
    <s v="WSR-2026-1263"/>
    <d v="2026-07-05T00:00:00"/>
    <x v="6"/>
    <x v="6"/>
    <s v="Sunday"/>
    <x v="27"/>
    <d v="2026-07-31T00:00:00"/>
    <s v="Summer"/>
    <x v="2"/>
    <x v="2"/>
    <s v="1 Hour"/>
    <n v="1"/>
    <n v="45.9"/>
    <s v="None"/>
    <n v="0"/>
    <n v="0"/>
    <n v="45.9"/>
    <x v="8"/>
    <x v="2"/>
    <s v="Debit Card"/>
    <s v="Sunny"/>
  </r>
  <r>
    <s v="WSR-2026-1264"/>
    <d v="2026-07-05T00:00:00"/>
    <x v="6"/>
    <x v="6"/>
    <s v="Sunday"/>
    <x v="27"/>
    <d v="2026-07-31T00:00:00"/>
    <s v="Summer"/>
    <x v="3"/>
    <x v="5"/>
    <s v="Full Day"/>
    <n v="1"/>
    <n v="118.8"/>
    <s v="None"/>
    <n v="0"/>
    <n v="0"/>
    <n v="118.8"/>
    <x v="6"/>
    <x v="0"/>
    <s v="Gift Card"/>
    <s v="Sunny"/>
  </r>
  <r>
    <s v="WSR-2026-1265"/>
    <d v="2026-07-05T00:00:00"/>
    <x v="6"/>
    <x v="6"/>
    <s v="Sunday"/>
    <x v="27"/>
    <d v="2026-07-31T00:00:00"/>
    <s v="Summer"/>
    <x v="3"/>
    <x v="3"/>
    <s v="1 Hour"/>
    <n v="1"/>
    <n v="29.7"/>
    <s v="None"/>
    <n v="0"/>
    <n v="0"/>
    <n v="29.7"/>
    <x v="6"/>
    <x v="1"/>
    <s v="Cash"/>
    <s v="Cloudy"/>
  </r>
  <r>
    <s v="WSR-2026-1266"/>
    <d v="2026-07-05T00:00:00"/>
    <x v="6"/>
    <x v="6"/>
    <s v="Sunday"/>
    <x v="27"/>
    <d v="2026-07-31T00:00:00"/>
    <s v="Summer"/>
    <x v="3"/>
    <x v="8"/>
    <s v="Full Day"/>
    <n v="1"/>
    <n v="45.9"/>
    <s v="None"/>
    <n v="0"/>
    <n v="0"/>
    <n v="45.9"/>
    <x v="7"/>
    <x v="3"/>
    <s v="Debit Card"/>
    <s v="Sunny"/>
  </r>
  <r>
    <s v="WSR-2026-1267"/>
    <d v="2026-07-05T00:00:00"/>
    <x v="6"/>
    <x v="6"/>
    <s v="Sunday"/>
    <x v="27"/>
    <d v="2026-07-31T00:00:00"/>
    <s v="Summer"/>
    <x v="3"/>
    <x v="7"/>
    <s v="1 Hour"/>
    <n v="1"/>
    <n v="18.899999999999999"/>
    <s v="GoPro Mount"/>
    <n v="8"/>
    <n v="0"/>
    <n v="26.9"/>
    <x v="9"/>
    <x v="2"/>
    <s v="Debit Card"/>
    <s v="Sunny"/>
  </r>
  <r>
    <s v="WSR-2026-1268"/>
    <d v="2026-07-05T00:00:00"/>
    <x v="6"/>
    <x v="6"/>
    <s v="Sunday"/>
    <x v="27"/>
    <d v="2026-07-31T00:00:00"/>
    <s v="Summer"/>
    <x v="0"/>
    <x v="1"/>
    <s v="Full Day"/>
    <n v="1"/>
    <n v="113.4"/>
    <s v="GoPro Mount"/>
    <n v="8"/>
    <n v="0"/>
    <n v="121.4"/>
    <x v="5"/>
    <x v="2"/>
    <s v="Credit Card"/>
    <s v="Sunny"/>
  </r>
  <r>
    <s v="WSR-2026-1269"/>
    <d v="2026-07-05T00:00:00"/>
    <x v="6"/>
    <x v="6"/>
    <s v="Sunday"/>
    <x v="27"/>
    <d v="2026-07-31T00:00:00"/>
    <s v="Summer"/>
    <x v="4"/>
    <x v="7"/>
    <s v="1 Hour"/>
    <n v="1"/>
    <n v="18.899999999999999"/>
    <s v="GoPro Mount"/>
    <n v="8"/>
    <n v="4.03"/>
    <n v="22.87"/>
    <x v="5"/>
    <x v="4"/>
    <s v="Cash"/>
    <s v="Sunny"/>
  </r>
  <r>
    <s v="WSR-2026-1270"/>
    <d v="2026-07-05T00:00:00"/>
    <x v="6"/>
    <x v="6"/>
    <s v="Sunday"/>
    <x v="27"/>
    <d v="2026-07-31T00:00:00"/>
    <s v="Summer"/>
    <x v="2"/>
    <x v="9"/>
    <s v="Half Day"/>
    <n v="1"/>
    <n v="97.2"/>
    <s v="None"/>
    <n v="0"/>
    <n v="0"/>
    <n v="97.2"/>
    <x v="2"/>
    <x v="3"/>
    <s v="Cash"/>
    <s v="Sunny"/>
  </r>
  <r>
    <s v="WSR-2026-1271"/>
    <d v="2026-07-05T00:00:00"/>
    <x v="6"/>
    <x v="6"/>
    <s v="Sunday"/>
    <x v="27"/>
    <d v="2026-07-31T00:00:00"/>
    <s v="Summer"/>
    <x v="0"/>
    <x v="8"/>
    <s v="1 Hour"/>
    <n v="1"/>
    <n v="13.5"/>
    <s v="Waterproof Speaker"/>
    <n v="12"/>
    <n v="0"/>
    <n v="25.5"/>
    <x v="7"/>
    <x v="4"/>
    <s v="Credit Card"/>
    <s v="Sunny"/>
  </r>
  <r>
    <s v="WSR-2026-1272"/>
    <d v="2026-07-05T00:00:00"/>
    <x v="6"/>
    <x v="6"/>
    <s v="Sunday"/>
    <x v="27"/>
    <d v="2026-07-31T00:00:00"/>
    <s v="Summer"/>
    <x v="3"/>
    <x v="0"/>
    <s v="1 Hour"/>
    <n v="1"/>
    <n v="43.2"/>
    <s v="Dry Bag"/>
    <n v="6"/>
    <n v="2.46"/>
    <n v="46.74"/>
    <x v="8"/>
    <x v="0"/>
    <s v="Debit Card"/>
    <s v="Sunny"/>
  </r>
  <r>
    <s v="WSR-2026-1273"/>
    <d v="2026-07-05T00:00:00"/>
    <x v="6"/>
    <x v="6"/>
    <s v="Sunday"/>
    <x v="27"/>
    <d v="2026-07-31T00:00:00"/>
    <s v="Summer"/>
    <x v="1"/>
    <x v="9"/>
    <s v="Full Day"/>
    <n v="1"/>
    <n v="140.4"/>
    <s v="None"/>
    <n v="0"/>
    <n v="0"/>
    <n v="140.4"/>
    <x v="1"/>
    <x v="3"/>
    <s v="Cash"/>
    <s v="Sunny"/>
  </r>
  <r>
    <s v="WSR-2026-1274"/>
    <d v="2026-07-05T00:00:00"/>
    <x v="6"/>
    <x v="6"/>
    <s v="Sunday"/>
    <x v="27"/>
    <d v="2026-07-31T00:00:00"/>
    <s v="Summer"/>
    <x v="2"/>
    <x v="5"/>
    <s v="2 Hours"/>
    <n v="1"/>
    <n v="56.7"/>
    <s v="GoPro Mount"/>
    <n v="8"/>
    <n v="0"/>
    <n v="64.7"/>
    <x v="7"/>
    <x v="0"/>
    <s v="Credit Card"/>
    <s v="Sunny"/>
  </r>
  <r>
    <s v="WSR-2026-1275"/>
    <d v="2026-07-05T00:00:00"/>
    <x v="6"/>
    <x v="6"/>
    <s v="Sunday"/>
    <x v="27"/>
    <d v="2026-07-31T00:00:00"/>
    <s v="Summer"/>
    <x v="3"/>
    <x v="5"/>
    <s v="1 Hour"/>
    <n v="1"/>
    <n v="35.1"/>
    <s v="Waterproof Speaker"/>
    <n v="12"/>
    <n v="0"/>
    <n v="47.1"/>
    <x v="6"/>
    <x v="0"/>
    <s v="Cash"/>
    <s v="Rainy"/>
  </r>
  <r>
    <s v="WSR-2026-1276"/>
    <d v="2026-07-05T00:00:00"/>
    <x v="6"/>
    <x v="6"/>
    <s v="Sunday"/>
    <x v="27"/>
    <d v="2026-07-31T00:00:00"/>
    <s v="Summer"/>
    <x v="4"/>
    <x v="2"/>
    <s v="Half Day"/>
    <n v="1"/>
    <n v="105.3"/>
    <s v="Premium Life Jacket"/>
    <n v="7"/>
    <n v="16.84"/>
    <n v="95.46"/>
    <x v="5"/>
    <x v="0"/>
    <s v="Cash"/>
    <s v="Sunny"/>
  </r>
  <r>
    <s v="WSR-2026-1277"/>
    <d v="2026-07-05T00:00:00"/>
    <x v="6"/>
    <x v="6"/>
    <s v="Sunday"/>
    <x v="27"/>
    <d v="2026-07-31T00:00:00"/>
    <s v="Summer"/>
    <x v="3"/>
    <x v="1"/>
    <s v="1 Hour"/>
    <n v="1"/>
    <n v="32.4"/>
    <s v="None"/>
    <n v="0"/>
    <n v="0"/>
    <n v="32.4"/>
    <x v="2"/>
    <x v="3"/>
    <s v="Mobile Pay"/>
    <s v="Sunny"/>
  </r>
  <r>
    <s v="WSR-2026-1278"/>
    <d v="2026-07-05T00:00:00"/>
    <x v="6"/>
    <x v="6"/>
    <s v="Sunday"/>
    <x v="27"/>
    <d v="2026-07-31T00:00:00"/>
    <s v="Summer"/>
    <x v="2"/>
    <x v="1"/>
    <s v="1 Hour"/>
    <n v="1"/>
    <n v="32.4"/>
    <s v="Cooler Rental"/>
    <n v="10"/>
    <n v="0"/>
    <n v="42.4"/>
    <x v="4"/>
    <x v="1"/>
    <s v="Credit Card"/>
    <s v="Sunny"/>
  </r>
  <r>
    <s v="WSR-2026-1279"/>
    <d v="2026-07-05T00:00:00"/>
    <x v="6"/>
    <x v="6"/>
    <s v="Sunday"/>
    <x v="27"/>
    <d v="2026-07-31T00:00:00"/>
    <s v="Summer"/>
    <x v="2"/>
    <x v="9"/>
    <s v="2 Hours"/>
    <n v="1"/>
    <n v="64.8"/>
    <s v="Cooler Rental"/>
    <n v="10"/>
    <n v="0"/>
    <n v="74.8"/>
    <x v="1"/>
    <x v="3"/>
    <s v="Mobile Pay"/>
    <s v="Sunny"/>
  </r>
  <r>
    <s v="WSR-2026-1280"/>
    <d v="2026-07-05T00:00:00"/>
    <x v="6"/>
    <x v="6"/>
    <s v="Sunday"/>
    <x v="27"/>
    <d v="2026-07-31T00:00:00"/>
    <s v="Summer"/>
    <x v="3"/>
    <x v="0"/>
    <s v="2 Hours"/>
    <n v="1"/>
    <n v="67.5"/>
    <s v="None"/>
    <n v="0"/>
    <n v="0"/>
    <n v="67.5"/>
    <x v="3"/>
    <x v="4"/>
    <s v="Credit Card"/>
    <s v="Sunny"/>
  </r>
  <r>
    <s v="WSR-2026-1281"/>
    <d v="2026-07-05T00:00:00"/>
    <x v="6"/>
    <x v="6"/>
    <s v="Sunday"/>
    <x v="27"/>
    <d v="2026-07-31T00:00:00"/>
    <s v="Summer"/>
    <x v="3"/>
    <x v="4"/>
    <s v="1 Hour"/>
    <n v="1"/>
    <n v="16.2"/>
    <s v="Premium Life Jacket"/>
    <n v="7"/>
    <n v="1.1599999999999999"/>
    <n v="22.04"/>
    <x v="0"/>
    <x v="1"/>
    <s v="Debit Card"/>
    <s v="Sunny"/>
  </r>
  <r>
    <s v="WSR-2026-1282"/>
    <d v="2026-07-05T00:00:00"/>
    <x v="6"/>
    <x v="6"/>
    <s v="Sunday"/>
    <x v="27"/>
    <d v="2026-07-31T00:00:00"/>
    <s v="Summer"/>
    <x v="2"/>
    <x v="5"/>
    <s v="1 Hour"/>
    <n v="1"/>
    <n v="35.1"/>
    <s v="Dry Bag"/>
    <n v="6"/>
    <n v="0"/>
    <n v="41.1"/>
    <x v="5"/>
    <x v="2"/>
    <s v="Credit Card"/>
    <s v="Windy"/>
  </r>
  <r>
    <s v="WSR-2026-1283"/>
    <d v="2026-07-05T00:00:00"/>
    <x v="6"/>
    <x v="6"/>
    <s v="Sunday"/>
    <x v="27"/>
    <d v="2026-07-31T00:00:00"/>
    <s v="Summer"/>
    <x v="1"/>
    <x v="7"/>
    <s v="1 Hour"/>
    <n v="1"/>
    <n v="18.899999999999999"/>
    <s v="None"/>
    <n v="0"/>
    <n v="1.89"/>
    <n v="17.010000000000002"/>
    <x v="8"/>
    <x v="2"/>
    <s v="Cash"/>
    <s v="Cloudy"/>
  </r>
  <r>
    <s v="WSR-2026-1284"/>
    <d v="2026-07-05T00:00:00"/>
    <x v="6"/>
    <x v="6"/>
    <s v="Sunday"/>
    <x v="27"/>
    <d v="2026-07-31T00:00:00"/>
    <s v="Summer"/>
    <x v="2"/>
    <x v="7"/>
    <s v="1 Hour"/>
    <n v="1"/>
    <n v="18.899999999999999"/>
    <s v="Phone Pouch"/>
    <n v="5"/>
    <n v="0"/>
    <n v="23.9"/>
    <x v="1"/>
    <x v="2"/>
    <s v="Debit Card"/>
    <s v="Sunny"/>
  </r>
  <r>
    <s v="WSR-2026-1285"/>
    <d v="2026-07-05T00:00:00"/>
    <x v="6"/>
    <x v="6"/>
    <s v="Sunday"/>
    <x v="27"/>
    <d v="2026-07-31T00:00:00"/>
    <s v="Summer"/>
    <x v="2"/>
    <x v="5"/>
    <s v="2 Hours"/>
    <n v="1"/>
    <n v="56.7"/>
    <s v="Cooler Rental"/>
    <n v="10"/>
    <n v="0"/>
    <n v="66.7"/>
    <x v="4"/>
    <x v="3"/>
    <s v="Credit Card"/>
    <s v="Sunny"/>
  </r>
  <r>
    <s v="WSR-2026-1286"/>
    <d v="2026-07-05T00:00:00"/>
    <x v="6"/>
    <x v="6"/>
    <s v="Sunday"/>
    <x v="27"/>
    <d v="2026-07-31T00:00:00"/>
    <s v="Summer"/>
    <x v="1"/>
    <x v="2"/>
    <s v="2 Hours"/>
    <n v="1"/>
    <n v="70.2"/>
    <s v="Phone Pouch"/>
    <n v="5"/>
    <n v="3.76"/>
    <n v="71.44"/>
    <x v="8"/>
    <x v="4"/>
    <s v="Credit Card"/>
    <s v="Sunny"/>
  </r>
  <r>
    <s v="WSR-2026-1287"/>
    <d v="2026-07-05T00:00:00"/>
    <x v="6"/>
    <x v="6"/>
    <s v="Sunday"/>
    <x v="27"/>
    <d v="2026-07-31T00:00:00"/>
    <s v="Summer"/>
    <x v="0"/>
    <x v="3"/>
    <s v="Half Day"/>
    <n v="1"/>
    <n v="72.900000000000006"/>
    <s v="Dry Bag"/>
    <n v="6"/>
    <n v="0"/>
    <n v="78.900000000000006"/>
    <x v="1"/>
    <x v="2"/>
    <s v="Credit Card"/>
    <s v="Sunny"/>
  </r>
  <r>
    <s v="WSR-2026-1288"/>
    <d v="2026-07-05T00:00:00"/>
    <x v="6"/>
    <x v="6"/>
    <s v="Sunday"/>
    <x v="27"/>
    <d v="2026-07-31T00:00:00"/>
    <s v="Summer"/>
    <x v="0"/>
    <x v="8"/>
    <s v="Half Day"/>
    <n v="1"/>
    <n v="32.4"/>
    <s v="Phone Pouch"/>
    <n v="5"/>
    <n v="0"/>
    <n v="37.4"/>
    <x v="4"/>
    <x v="1"/>
    <s v="Debit Card"/>
    <s v="Sunny"/>
  </r>
  <r>
    <s v="WSR-2026-1289"/>
    <d v="2026-07-05T00:00:00"/>
    <x v="6"/>
    <x v="6"/>
    <s v="Sunday"/>
    <x v="27"/>
    <d v="2026-07-31T00:00:00"/>
    <s v="Summer"/>
    <x v="3"/>
    <x v="7"/>
    <s v="Half Day"/>
    <n v="1"/>
    <n v="45.9"/>
    <s v="None"/>
    <n v="0"/>
    <n v="0"/>
    <n v="45.9"/>
    <x v="4"/>
    <x v="1"/>
    <s v="Mobile Pay"/>
    <s v="Sunny"/>
  </r>
  <r>
    <s v="WSR-2026-1290"/>
    <d v="2026-07-05T00:00:00"/>
    <x v="6"/>
    <x v="6"/>
    <s v="Sunday"/>
    <x v="27"/>
    <d v="2026-07-31T00:00:00"/>
    <s v="Summer"/>
    <x v="0"/>
    <x v="5"/>
    <s v="2 Hours"/>
    <n v="1"/>
    <n v="56.7"/>
    <s v="None"/>
    <n v="0"/>
    <n v="0"/>
    <n v="56.7"/>
    <x v="8"/>
    <x v="2"/>
    <s v="Credit Card"/>
    <s v="Sunny"/>
  </r>
  <r>
    <s v="WSR-2026-1291"/>
    <d v="2026-07-06T00:00:00"/>
    <x v="6"/>
    <x v="6"/>
    <s v="Monday"/>
    <x v="27"/>
    <d v="2026-07-31T00:00:00"/>
    <s v="Summer"/>
    <x v="3"/>
    <x v="7"/>
    <s v="Full Day"/>
    <n v="1"/>
    <n v="53.76"/>
    <s v="Dry Bag"/>
    <n v="6"/>
    <n v="0"/>
    <n v="59.76"/>
    <x v="5"/>
    <x v="1"/>
    <s v="Credit Card"/>
    <s v="Sunny"/>
  </r>
  <r>
    <s v="WSR-2026-1292"/>
    <d v="2026-07-06T00:00:00"/>
    <x v="6"/>
    <x v="6"/>
    <s v="Monday"/>
    <x v="27"/>
    <d v="2026-07-31T00:00:00"/>
    <s v="Summer"/>
    <x v="0"/>
    <x v="4"/>
    <s v="Half Day"/>
    <n v="1"/>
    <n v="31.36"/>
    <s v="Dry Bag"/>
    <n v="6"/>
    <n v="0"/>
    <n v="37.36"/>
    <x v="5"/>
    <x v="0"/>
    <s v="Credit Card"/>
    <s v="Sunny"/>
  </r>
  <r>
    <s v="WSR-2026-1293"/>
    <d v="2026-07-06T00:00:00"/>
    <x v="6"/>
    <x v="6"/>
    <s v="Monday"/>
    <x v="27"/>
    <d v="2026-07-31T00:00:00"/>
    <s v="Summer"/>
    <x v="0"/>
    <x v="5"/>
    <s v="1 Hour"/>
    <n v="1"/>
    <n v="29.12"/>
    <s v="Dry Bag"/>
    <n v="6"/>
    <n v="0"/>
    <n v="35.119999999999997"/>
    <x v="9"/>
    <x v="2"/>
    <s v="Credit Card"/>
    <s v="Sunny"/>
  </r>
  <r>
    <s v="WSR-2026-1294"/>
    <d v="2026-07-06T00:00:00"/>
    <x v="6"/>
    <x v="6"/>
    <s v="Monday"/>
    <x v="27"/>
    <d v="2026-07-31T00:00:00"/>
    <s v="Summer"/>
    <x v="2"/>
    <x v="2"/>
    <s v="2 Hours"/>
    <n v="1"/>
    <n v="58.24"/>
    <s v="None"/>
    <n v="0"/>
    <n v="0"/>
    <n v="58.24"/>
    <x v="6"/>
    <x v="1"/>
    <s v="Cash"/>
    <s v="Sunny"/>
  </r>
  <r>
    <s v="WSR-2026-1295"/>
    <d v="2026-07-06T00:00:00"/>
    <x v="6"/>
    <x v="6"/>
    <s v="Monday"/>
    <x v="27"/>
    <d v="2026-07-31T00:00:00"/>
    <s v="Summer"/>
    <x v="2"/>
    <x v="5"/>
    <s v="Full Day"/>
    <n v="1"/>
    <n v="98.56"/>
    <s v="Phone Pouch"/>
    <n v="5"/>
    <n v="0"/>
    <n v="103.56"/>
    <x v="3"/>
    <x v="0"/>
    <s v="Debit Card"/>
    <s v="Sunny"/>
  </r>
  <r>
    <s v="WSR-2026-1296"/>
    <d v="2026-07-06T00:00:00"/>
    <x v="6"/>
    <x v="6"/>
    <s v="Monday"/>
    <x v="27"/>
    <d v="2026-07-31T00:00:00"/>
    <s v="Summer"/>
    <x v="0"/>
    <x v="2"/>
    <s v="2 Hours"/>
    <n v="1"/>
    <n v="58.24"/>
    <s v="GoPro Mount"/>
    <n v="8"/>
    <n v="3.31"/>
    <n v="62.93"/>
    <x v="1"/>
    <x v="1"/>
    <s v="Credit Card"/>
    <s v="Sunny"/>
  </r>
  <r>
    <s v="WSR-2026-1297"/>
    <d v="2026-07-06T00:00:00"/>
    <x v="6"/>
    <x v="6"/>
    <s v="Monday"/>
    <x v="27"/>
    <d v="2026-07-31T00:00:00"/>
    <s v="Summer"/>
    <x v="2"/>
    <x v="9"/>
    <s v="Half Day"/>
    <n v="1"/>
    <n v="80.64"/>
    <s v="Dry Bag"/>
    <n v="6"/>
    <n v="0"/>
    <n v="86.64"/>
    <x v="7"/>
    <x v="3"/>
    <s v="Mobile Pay"/>
    <s v="Sunny"/>
  </r>
  <r>
    <s v="WSR-2026-1298"/>
    <d v="2026-07-06T00:00:00"/>
    <x v="6"/>
    <x v="6"/>
    <s v="Monday"/>
    <x v="27"/>
    <d v="2026-07-31T00:00:00"/>
    <s v="Summer"/>
    <x v="4"/>
    <x v="8"/>
    <s v="1 Hour"/>
    <n v="1"/>
    <n v="11.2"/>
    <s v="None"/>
    <n v="0"/>
    <n v="1.68"/>
    <n v="9.52"/>
    <x v="1"/>
    <x v="1"/>
    <s v="Debit Card"/>
    <s v="Sunny"/>
  </r>
  <r>
    <s v="WSR-2026-1299"/>
    <d v="2026-07-06T00:00:00"/>
    <x v="6"/>
    <x v="6"/>
    <s v="Monday"/>
    <x v="27"/>
    <d v="2026-07-31T00:00:00"/>
    <s v="Summer"/>
    <x v="2"/>
    <x v="4"/>
    <s v="Half Day"/>
    <n v="1"/>
    <n v="31.36"/>
    <s v="Phone Pouch"/>
    <n v="5"/>
    <n v="0"/>
    <n v="36.36"/>
    <x v="4"/>
    <x v="4"/>
    <s v="Debit Card"/>
    <s v="Windy"/>
  </r>
  <r>
    <s v="WSR-2026-1300"/>
    <d v="2026-07-06T00:00:00"/>
    <x v="6"/>
    <x v="6"/>
    <s v="Monday"/>
    <x v="27"/>
    <d v="2026-07-31T00:00:00"/>
    <s v="Summer"/>
    <x v="2"/>
    <x v="3"/>
    <s v="2 Hours"/>
    <n v="1"/>
    <n v="40.32"/>
    <s v="Phone Pouch"/>
    <n v="5"/>
    <n v="0"/>
    <n v="45.32"/>
    <x v="3"/>
    <x v="0"/>
    <s v="Credit Card"/>
    <s v="Sunny"/>
  </r>
  <r>
    <s v="WSR-2026-1301"/>
    <d v="2026-07-06T00:00:00"/>
    <x v="6"/>
    <x v="6"/>
    <s v="Monday"/>
    <x v="27"/>
    <d v="2026-07-31T00:00:00"/>
    <s v="Summer"/>
    <x v="2"/>
    <x v="5"/>
    <s v="2 Hours"/>
    <n v="1"/>
    <n v="47.04"/>
    <s v="Dry Bag"/>
    <n v="6"/>
    <n v="0"/>
    <n v="53.04"/>
    <x v="5"/>
    <x v="2"/>
    <s v="Credit Card"/>
    <s v="Cloudy"/>
  </r>
  <r>
    <s v="WSR-2026-1302"/>
    <d v="2026-07-06T00:00:00"/>
    <x v="6"/>
    <x v="6"/>
    <s v="Monday"/>
    <x v="27"/>
    <d v="2026-07-31T00:00:00"/>
    <s v="Summer"/>
    <x v="4"/>
    <x v="2"/>
    <s v="2 Hours"/>
    <n v="1"/>
    <n v="58.24"/>
    <s v="None"/>
    <n v="0"/>
    <n v="8.74"/>
    <n v="49.5"/>
    <x v="8"/>
    <x v="2"/>
    <s v="Cash"/>
    <s v="Sunny"/>
  </r>
  <r>
    <s v="WSR-2026-1303"/>
    <d v="2026-07-06T00:00:00"/>
    <x v="6"/>
    <x v="6"/>
    <s v="Monday"/>
    <x v="27"/>
    <d v="2026-07-31T00:00:00"/>
    <s v="Summer"/>
    <x v="1"/>
    <x v="1"/>
    <s v="1 Hour"/>
    <n v="1"/>
    <n v="26.88"/>
    <s v="None"/>
    <n v="0"/>
    <n v="1.34"/>
    <n v="25.54"/>
    <x v="8"/>
    <x v="4"/>
    <s v="Mobile Pay"/>
    <s v="Sunny"/>
  </r>
  <r>
    <s v="WSR-2026-1304"/>
    <d v="2026-07-06T00:00:00"/>
    <x v="6"/>
    <x v="6"/>
    <s v="Monday"/>
    <x v="27"/>
    <d v="2026-07-31T00:00:00"/>
    <s v="Summer"/>
    <x v="3"/>
    <x v="0"/>
    <s v="2 Hours"/>
    <n v="1"/>
    <n v="56"/>
    <s v="None"/>
    <n v="0"/>
    <n v="0"/>
    <n v="56"/>
    <x v="7"/>
    <x v="2"/>
    <s v="Credit Card"/>
    <s v="Sunny"/>
  </r>
  <r>
    <s v="WSR-2026-1305"/>
    <d v="2026-07-06T00:00:00"/>
    <x v="6"/>
    <x v="6"/>
    <s v="Monday"/>
    <x v="27"/>
    <d v="2026-07-31T00:00:00"/>
    <s v="Summer"/>
    <x v="0"/>
    <x v="3"/>
    <s v="2 Hours"/>
    <n v="1"/>
    <n v="40.32"/>
    <s v="None"/>
    <n v="0"/>
    <n v="0"/>
    <n v="40.32"/>
    <x v="0"/>
    <x v="2"/>
    <s v="Cash"/>
    <s v="Cloudy"/>
  </r>
  <r>
    <s v="WSR-2026-1306"/>
    <d v="2026-07-07T00:00:00"/>
    <x v="6"/>
    <x v="6"/>
    <s v="Tuesday"/>
    <x v="27"/>
    <d v="2026-07-31T00:00:00"/>
    <s v="Summer"/>
    <x v="3"/>
    <x v="1"/>
    <s v="2 Hours"/>
    <n v="1"/>
    <n v="42.56"/>
    <s v="Dry Bag"/>
    <n v="6"/>
    <n v="2.4300000000000002"/>
    <n v="46.13"/>
    <x v="8"/>
    <x v="0"/>
    <s v="Cash"/>
    <s v="Sunny"/>
  </r>
  <r>
    <s v="WSR-2026-1307"/>
    <d v="2026-07-07T00:00:00"/>
    <x v="6"/>
    <x v="6"/>
    <s v="Tuesday"/>
    <x v="27"/>
    <d v="2026-07-31T00:00:00"/>
    <s v="Summer"/>
    <x v="4"/>
    <x v="1"/>
    <s v="Half Day"/>
    <n v="1"/>
    <n v="64.959999999999994"/>
    <s v="Dry Bag"/>
    <n v="6"/>
    <n v="10.64"/>
    <n v="60.32"/>
    <x v="4"/>
    <x v="2"/>
    <s v="Credit Card"/>
    <s v="Sunny"/>
  </r>
  <r>
    <s v="WSR-2026-1308"/>
    <d v="2026-07-07T00:00:00"/>
    <x v="6"/>
    <x v="6"/>
    <s v="Tuesday"/>
    <x v="27"/>
    <d v="2026-07-31T00:00:00"/>
    <s v="Summer"/>
    <x v="3"/>
    <x v="1"/>
    <s v="Half Day"/>
    <n v="1"/>
    <n v="64.959999999999994"/>
    <s v="None"/>
    <n v="0"/>
    <n v="0"/>
    <n v="64.959999999999994"/>
    <x v="2"/>
    <x v="3"/>
    <s v="Credit Card"/>
    <s v="Sunny"/>
  </r>
  <r>
    <s v="WSR-2026-1309"/>
    <d v="2026-07-07T00:00:00"/>
    <x v="6"/>
    <x v="6"/>
    <s v="Tuesday"/>
    <x v="27"/>
    <d v="2026-07-31T00:00:00"/>
    <s v="Summer"/>
    <x v="2"/>
    <x v="0"/>
    <s v="1 Hour"/>
    <n v="1"/>
    <n v="35.840000000000003"/>
    <s v="Cooler Rental"/>
    <n v="10"/>
    <n v="0"/>
    <n v="45.84"/>
    <x v="8"/>
    <x v="2"/>
    <s v="Debit Card"/>
    <s v="Cloudy"/>
  </r>
  <r>
    <s v="WSR-2026-1310"/>
    <d v="2026-07-07T00:00:00"/>
    <x v="6"/>
    <x v="6"/>
    <s v="Tuesday"/>
    <x v="27"/>
    <d v="2026-07-31T00:00:00"/>
    <s v="Summer"/>
    <x v="3"/>
    <x v="1"/>
    <s v="2 Hours"/>
    <n v="1"/>
    <n v="42.56"/>
    <s v="None"/>
    <n v="0"/>
    <n v="0"/>
    <n v="42.56"/>
    <x v="0"/>
    <x v="4"/>
    <s v="Credit Card"/>
    <s v="Cloudy"/>
  </r>
  <r>
    <s v="WSR-2026-1311"/>
    <d v="2026-07-07T00:00:00"/>
    <x v="6"/>
    <x v="6"/>
    <s v="Tuesday"/>
    <x v="27"/>
    <d v="2026-07-31T00:00:00"/>
    <s v="Summer"/>
    <x v="3"/>
    <x v="2"/>
    <s v="1 Hour"/>
    <n v="1"/>
    <n v="38.08"/>
    <s v="None"/>
    <n v="0"/>
    <n v="0"/>
    <n v="38.08"/>
    <x v="3"/>
    <x v="3"/>
    <s v="Cash"/>
    <s v="Cloudy"/>
  </r>
  <r>
    <s v="WSR-2026-1312"/>
    <d v="2026-07-08T00:00:00"/>
    <x v="6"/>
    <x v="6"/>
    <s v="Wednesday"/>
    <x v="27"/>
    <d v="2026-07-31T00:00:00"/>
    <s v="Summer"/>
    <x v="2"/>
    <x v="5"/>
    <s v="Full Day"/>
    <n v="1"/>
    <n v="98.56"/>
    <s v="Premium Life Jacket"/>
    <n v="7"/>
    <n v="0"/>
    <n v="105.56"/>
    <x v="3"/>
    <x v="4"/>
    <s v="Credit Card"/>
    <s v="Rainy"/>
  </r>
  <r>
    <s v="WSR-2026-1313"/>
    <d v="2026-07-08T00:00:00"/>
    <x v="6"/>
    <x v="6"/>
    <s v="Wednesday"/>
    <x v="27"/>
    <d v="2026-07-31T00:00:00"/>
    <s v="Summer"/>
    <x v="4"/>
    <x v="5"/>
    <s v="2 Hours"/>
    <n v="1"/>
    <n v="47.04"/>
    <s v="None"/>
    <n v="0"/>
    <n v="7.06"/>
    <n v="39.979999999999997"/>
    <x v="3"/>
    <x v="0"/>
    <s v="Debit Card"/>
    <s v="Windy"/>
  </r>
  <r>
    <s v="WSR-2026-1314"/>
    <d v="2026-07-08T00:00:00"/>
    <x v="6"/>
    <x v="6"/>
    <s v="Wednesday"/>
    <x v="27"/>
    <d v="2026-07-31T00:00:00"/>
    <s v="Summer"/>
    <x v="3"/>
    <x v="4"/>
    <s v="Half Day"/>
    <n v="1"/>
    <n v="31.36"/>
    <s v="None"/>
    <n v="0"/>
    <n v="0"/>
    <n v="31.36"/>
    <x v="2"/>
    <x v="1"/>
    <s v="Mobile Pay"/>
    <s v="Sunny"/>
  </r>
  <r>
    <s v="WSR-2026-1315"/>
    <d v="2026-07-08T00:00:00"/>
    <x v="6"/>
    <x v="6"/>
    <s v="Wednesday"/>
    <x v="27"/>
    <d v="2026-07-31T00:00:00"/>
    <s v="Summer"/>
    <x v="3"/>
    <x v="7"/>
    <s v="Full Day"/>
    <n v="1"/>
    <n v="53.76"/>
    <s v="Phone Pouch"/>
    <n v="5"/>
    <n v="0"/>
    <n v="58.76"/>
    <x v="5"/>
    <x v="4"/>
    <s v="Credit Card"/>
    <s v="Sunny"/>
  </r>
  <r>
    <s v="WSR-2026-1316"/>
    <d v="2026-07-08T00:00:00"/>
    <x v="6"/>
    <x v="6"/>
    <s v="Wednesday"/>
    <x v="27"/>
    <d v="2026-07-31T00:00:00"/>
    <s v="Summer"/>
    <x v="3"/>
    <x v="7"/>
    <s v="Half Day"/>
    <n v="1"/>
    <n v="38.08"/>
    <s v="None"/>
    <n v="0"/>
    <n v="0"/>
    <n v="38.08"/>
    <x v="7"/>
    <x v="2"/>
    <s v="Mobile Pay"/>
    <s v="Sunny"/>
  </r>
  <r>
    <s v="WSR-2026-1317"/>
    <d v="2026-07-08T00:00:00"/>
    <x v="6"/>
    <x v="6"/>
    <s v="Wednesday"/>
    <x v="27"/>
    <d v="2026-07-31T00:00:00"/>
    <s v="Summer"/>
    <x v="3"/>
    <x v="3"/>
    <s v="Half Day"/>
    <n v="1"/>
    <n v="60.48"/>
    <s v="Dry Bag"/>
    <n v="6"/>
    <n v="0"/>
    <n v="66.48"/>
    <x v="2"/>
    <x v="0"/>
    <s v="Credit Card"/>
    <s v="Sunny"/>
  </r>
  <r>
    <s v="WSR-2026-1318"/>
    <d v="2026-07-08T00:00:00"/>
    <x v="6"/>
    <x v="6"/>
    <s v="Wednesday"/>
    <x v="27"/>
    <d v="2026-07-31T00:00:00"/>
    <s v="Summer"/>
    <x v="2"/>
    <x v="9"/>
    <s v="1 Hour"/>
    <n v="1"/>
    <n v="33.6"/>
    <s v="Cooler Rental"/>
    <n v="10"/>
    <n v="0"/>
    <n v="43.6"/>
    <x v="7"/>
    <x v="1"/>
    <s v="Debit Card"/>
    <s v="Sunny"/>
  </r>
  <r>
    <s v="WSR-2026-1319"/>
    <d v="2026-07-08T00:00:00"/>
    <x v="6"/>
    <x v="6"/>
    <s v="Wednesday"/>
    <x v="27"/>
    <d v="2026-07-31T00:00:00"/>
    <s v="Summer"/>
    <x v="2"/>
    <x v="1"/>
    <s v="Half Day"/>
    <n v="1"/>
    <n v="64.959999999999994"/>
    <s v="Phone Pouch"/>
    <n v="5"/>
    <n v="0"/>
    <n v="69.959999999999994"/>
    <x v="4"/>
    <x v="0"/>
    <s v="Gift Card"/>
    <s v="Sunny"/>
  </r>
  <r>
    <s v="WSR-2026-1320"/>
    <d v="2026-07-08T00:00:00"/>
    <x v="6"/>
    <x v="6"/>
    <s v="Wednesday"/>
    <x v="27"/>
    <d v="2026-07-31T00:00:00"/>
    <s v="Summer"/>
    <x v="3"/>
    <x v="1"/>
    <s v="1 Hour"/>
    <n v="1"/>
    <n v="26.88"/>
    <s v="Phone Pouch"/>
    <n v="5"/>
    <n v="1.59"/>
    <n v="30.29"/>
    <x v="7"/>
    <x v="1"/>
    <s v="Credit Card"/>
    <s v="Sunny"/>
  </r>
  <r>
    <s v="WSR-2026-1321"/>
    <d v="2026-07-08T00:00:00"/>
    <x v="6"/>
    <x v="6"/>
    <s v="Wednesday"/>
    <x v="27"/>
    <d v="2026-07-31T00:00:00"/>
    <s v="Summer"/>
    <x v="3"/>
    <x v="4"/>
    <s v="2 Hours"/>
    <n v="1"/>
    <n v="20.16"/>
    <s v="Phone Pouch"/>
    <n v="5"/>
    <n v="0"/>
    <n v="25.16"/>
    <x v="7"/>
    <x v="4"/>
    <s v="Cash"/>
    <s v="Sunny"/>
  </r>
  <r>
    <s v="WSR-2026-1322"/>
    <d v="2026-07-08T00:00:00"/>
    <x v="6"/>
    <x v="6"/>
    <s v="Wednesday"/>
    <x v="27"/>
    <d v="2026-07-31T00:00:00"/>
    <s v="Summer"/>
    <x v="0"/>
    <x v="5"/>
    <s v="Half Day"/>
    <n v="1"/>
    <n v="69.44"/>
    <s v="Dry Bag"/>
    <n v="6"/>
    <n v="0"/>
    <n v="75.44"/>
    <x v="6"/>
    <x v="0"/>
    <s v="Credit Card"/>
    <s v="Sunny"/>
  </r>
  <r>
    <s v="WSR-2026-1323"/>
    <d v="2026-07-08T00:00:00"/>
    <x v="6"/>
    <x v="6"/>
    <s v="Wednesday"/>
    <x v="27"/>
    <d v="2026-07-31T00:00:00"/>
    <s v="Summer"/>
    <x v="0"/>
    <x v="0"/>
    <s v="2 Hours"/>
    <n v="1"/>
    <n v="56"/>
    <s v="None"/>
    <n v="0"/>
    <n v="0"/>
    <n v="56"/>
    <x v="7"/>
    <x v="3"/>
    <s v="Debit Card"/>
    <s v="Sunny"/>
  </r>
  <r>
    <s v="WSR-2026-1324"/>
    <d v="2026-07-08T00:00:00"/>
    <x v="6"/>
    <x v="6"/>
    <s v="Wednesday"/>
    <x v="27"/>
    <d v="2026-07-31T00:00:00"/>
    <s v="Summer"/>
    <x v="0"/>
    <x v="2"/>
    <s v="2 Hours"/>
    <n v="1"/>
    <n v="58.24"/>
    <s v="None"/>
    <n v="0"/>
    <n v="0"/>
    <n v="58.24"/>
    <x v="3"/>
    <x v="3"/>
    <s v="Cash"/>
    <s v="Sunny"/>
  </r>
  <r>
    <s v="WSR-2026-1325"/>
    <d v="2026-07-08T00:00:00"/>
    <x v="6"/>
    <x v="6"/>
    <s v="Wednesday"/>
    <x v="27"/>
    <d v="2026-07-31T00:00:00"/>
    <s v="Summer"/>
    <x v="2"/>
    <x v="5"/>
    <s v="2 Hours"/>
    <n v="1"/>
    <n v="47.04"/>
    <s v="None"/>
    <n v="0"/>
    <n v="2.35"/>
    <n v="44.69"/>
    <x v="8"/>
    <x v="2"/>
    <s v="Credit Card"/>
    <s v="Sunny"/>
  </r>
  <r>
    <s v="WSR-2026-1326"/>
    <d v="2026-07-08T00:00:00"/>
    <x v="6"/>
    <x v="6"/>
    <s v="Wednesday"/>
    <x v="27"/>
    <d v="2026-07-31T00:00:00"/>
    <s v="Summer"/>
    <x v="3"/>
    <x v="1"/>
    <s v="Half Day"/>
    <n v="1"/>
    <n v="64.959999999999994"/>
    <s v="None"/>
    <n v="0"/>
    <n v="0"/>
    <n v="64.959999999999994"/>
    <x v="4"/>
    <x v="4"/>
    <s v="Credit Card"/>
    <s v="Sunny"/>
  </r>
  <r>
    <s v="WSR-2026-1327"/>
    <d v="2026-07-08T00:00:00"/>
    <x v="6"/>
    <x v="6"/>
    <s v="Wednesday"/>
    <x v="27"/>
    <d v="2026-07-31T00:00:00"/>
    <s v="Summer"/>
    <x v="2"/>
    <x v="2"/>
    <s v="1 Hour"/>
    <n v="1"/>
    <n v="38.08"/>
    <s v="None"/>
    <n v="0"/>
    <n v="0"/>
    <n v="38.08"/>
    <x v="7"/>
    <x v="4"/>
    <s v="Cash"/>
    <s v="Sunny"/>
  </r>
  <r>
    <s v="WSR-2026-1328"/>
    <d v="2026-07-08T00:00:00"/>
    <x v="6"/>
    <x v="6"/>
    <s v="Wednesday"/>
    <x v="27"/>
    <d v="2026-07-31T00:00:00"/>
    <s v="Summer"/>
    <x v="2"/>
    <x v="1"/>
    <s v="2 Hours"/>
    <n v="1"/>
    <n v="42.56"/>
    <s v="None"/>
    <n v="0"/>
    <n v="0"/>
    <n v="42.56"/>
    <x v="1"/>
    <x v="4"/>
    <s v="Debit Card"/>
    <s v="Cloudy"/>
  </r>
  <r>
    <s v="WSR-2026-1329"/>
    <d v="2026-07-09T00:00:00"/>
    <x v="6"/>
    <x v="6"/>
    <s v="Thursday"/>
    <x v="27"/>
    <d v="2026-07-31T00:00:00"/>
    <s v="Summer"/>
    <x v="2"/>
    <x v="1"/>
    <s v="2 Hours"/>
    <n v="1"/>
    <n v="42.56"/>
    <s v="Waterproof Speaker"/>
    <n v="12"/>
    <n v="0"/>
    <n v="54.56"/>
    <x v="4"/>
    <x v="1"/>
    <s v="Credit Card"/>
    <s v="Cloudy"/>
  </r>
  <r>
    <s v="WSR-2026-1330"/>
    <d v="2026-07-09T00:00:00"/>
    <x v="6"/>
    <x v="6"/>
    <s v="Thursday"/>
    <x v="27"/>
    <d v="2026-07-31T00:00:00"/>
    <s v="Summer"/>
    <x v="3"/>
    <x v="0"/>
    <s v="Half Day"/>
    <n v="1"/>
    <n v="85.12"/>
    <s v="Dry Bag"/>
    <n v="6"/>
    <n v="0"/>
    <n v="91.12"/>
    <x v="6"/>
    <x v="1"/>
    <s v="Credit Card"/>
    <s v="Sunny"/>
  </r>
  <r>
    <s v="WSR-2026-1331"/>
    <d v="2026-07-09T00:00:00"/>
    <x v="6"/>
    <x v="6"/>
    <s v="Thursday"/>
    <x v="27"/>
    <d v="2026-07-31T00:00:00"/>
    <s v="Summer"/>
    <x v="2"/>
    <x v="8"/>
    <s v="2 Hours"/>
    <n v="1"/>
    <n v="17.920000000000002"/>
    <s v="None"/>
    <n v="0"/>
    <n v="0"/>
    <n v="17.920000000000002"/>
    <x v="3"/>
    <x v="2"/>
    <s v="Credit Card"/>
    <s v="Cloudy"/>
  </r>
  <r>
    <s v="WSR-2026-1332"/>
    <d v="2026-07-09T00:00:00"/>
    <x v="6"/>
    <x v="6"/>
    <s v="Thursday"/>
    <x v="27"/>
    <d v="2026-07-31T00:00:00"/>
    <s v="Summer"/>
    <x v="3"/>
    <x v="5"/>
    <s v="1 Hour"/>
    <n v="1"/>
    <n v="29.12"/>
    <s v="None"/>
    <n v="0"/>
    <n v="0"/>
    <n v="29.12"/>
    <x v="8"/>
    <x v="3"/>
    <s v="Debit Card"/>
    <s v="Sunny"/>
  </r>
  <r>
    <s v="WSR-2026-1333"/>
    <d v="2026-07-09T00:00:00"/>
    <x v="6"/>
    <x v="6"/>
    <s v="Thursday"/>
    <x v="27"/>
    <d v="2026-07-31T00:00:00"/>
    <s v="Summer"/>
    <x v="2"/>
    <x v="5"/>
    <s v="2 Hours"/>
    <n v="1"/>
    <n v="47.04"/>
    <s v="None"/>
    <n v="0"/>
    <n v="0"/>
    <n v="47.04"/>
    <x v="5"/>
    <x v="4"/>
    <s v="Cash"/>
    <s v="Sunny"/>
  </r>
  <r>
    <s v="WSR-2026-1334"/>
    <d v="2026-07-09T00:00:00"/>
    <x v="6"/>
    <x v="6"/>
    <s v="Thursday"/>
    <x v="27"/>
    <d v="2026-07-31T00:00:00"/>
    <s v="Summer"/>
    <x v="2"/>
    <x v="4"/>
    <s v="Half Day"/>
    <n v="1"/>
    <n v="31.36"/>
    <s v="None"/>
    <n v="0"/>
    <n v="0"/>
    <n v="31.36"/>
    <x v="3"/>
    <x v="4"/>
    <s v="Mobile Pay"/>
    <s v="Cloudy"/>
  </r>
  <r>
    <s v="WSR-2026-1335"/>
    <d v="2026-07-09T00:00:00"/>
    <x v="6"/>
    <x v="6"/>
    <s v="Thursday"/>
    <x v="27"/>
    <d v="2026-07-31T00:00:00"/>
    <s v="Summer"/>
    <x v="2"/>
    <x v="2"/>
    <s v="Full Day"/>
    <n v="1"/>
    <n v="125.44"/>
    <s v="None"/>
    <n v="0"/>
    <n v="0"/>
    <n v="125.44"/>
    <x v="7"/>
    <x v="1"/>
    <s v="Credit Card"/>
    <s v="Cloudy"/>
  </r>
  <r>
    <s v="WSR-2026-1336"/>
    <d v="2026-07-09T00:00:00"/>
    <x v="6"/>
    <x v="6"/>
    <s v="Thursday"/>
    <x v="27"/>
    <d v="2026-07-31T00:00:00"/>
    <s v="Summer"/>
    <x v="2"/>
    <x v="4"/>
    <s v="2 Hours"/>
    <n v="1"/>
    <n v="20.16"/>
    <s v="None"/>
    <n v="0"/>
    <n v="0"/>
    <n v="20.16"/>
    <x v="0"/>
    <x v="1"/>
    <s v="Debit Card"/>
    <s v="Sunny"/>
  </r>
  <r>
    <s v="WSR-2026-1337"/>
    <d v="2026-07-09T00:00:00"/>
    <x v="6"/>
    <x v="6"/>
    <s v="Thursday"/>
    <x v="27"/>
    <d v="2026-07-31T00:00:00"/>
    <s v="Summer"/>
    <x v="1"/>
    <x v="2"/>
    <s v="Half Day"/>
    <n v="1"/>
    <n v="87.36"/>
    <s v="Dry Bag"/>
    <n v="6"/>
    <n v="9.34"/>
    <n v="84.02"/>
    <x v="2"/>
    <x v="1"/>
    <s v="Cash"/>
    <s v="Sunny"/>
  </r>
  <r>
    <s v="WSR-2026-1338"/>
    <d v="2026-07-09T00:00:00"/>
    <x v="6"/>
    <x v="6"/>
    <s v="Thursday"/>
    <x v="27"/>
    <d v="2026-07-31T00:00:00"/>
    <s v="Summer"/>
    <x v="2"/>
    <x v="5"/>
    <s v="2 Hours"/>
    <n v="1"/>
    <n v="47.04"/>
    <s v="None"/>
    <n v="0"/>
    <n v="0"/>
    <n v="47.04"/>
    <x v="3"/>
    <x v="2"/>
    <s v="Debit Card"/>
    <s v="Cloudy"/>
  </r>
  <r>
    <s v="WSR-2026-1339"/>
    <d v="2026-07-09T00:00:00"/>
    <x v="6"/>
    <x v="6"/>
    <s v="Thursday"/>
    <x v="27"/>
    <d v="2026-07-31T00:00:00"/>
    <s v="Summer"/>
    <x v="3"/>
    <x v="1"/>
    <s v="Half Day"/>
    <n v="1"/>
    <n v="64.959999999999994"/>
    <s v="Phone Pouch"/>
    <n v="5"/>
    <n v="3.5"/>
    <n v="66.459999999999994"/>
    <x v="0"/>
    <x v="2"/>
    <s v="Credit Card"/>
    <s v="Sunny"/>
  </r>
  <r>
    <s v="WSR-2026-1340"/>
    <d v="2026-07-09T00:00:00"/>
    <x v="6"/>
    <x v="6"/>
    <s v="Thursday"/>
    <x v="27"/>
    <d v="2026-07-31T00:00:00"/>
    <s v="Summer"/>
    <x v="3"/>
    <x v="8"/>
    <s v="Half Day"/>
    <n v="1"/>
    <n v="26.88"/>
    <s v="Dry Bag"/>
    <n v="6"/>
    <n v="0"/>
    <n v="32.880000000000003"/>
    <x v="0"/>
    <x v="1"/>
    <s v="Credit Card"/>
    <s v="Sunny"/>
  </r>
  <r>
    <s v="WSR-2026-1341"/>
    <d v="2026-07-09T00:00:00"/>
    <x v="6"/>
    <x v="6"/>
    <s v="Thursday"/>
    <x v="27"/>
    <d v="2026-07-31T00:00:00"/>
    <s v="Summer"/>
    <x v="3"/>
    <x v="1"/>
    <s v="1 Hour"/>
    <n v="1"/>
    <n v="26.88"/>
    <s v="Dry Bag"/>
    <n v="6"/>
    <n v="0"/>
    <n v="32.880000000000003"/>
    <x v="8"/>
    <x v="1"/>
    <s v="Debit Card"/>
    <s v="Sunny"/>
  </r>
  <r>
    <s v="WSR-2026-1342"/>
    <d v="2026-07-09T00:00:00"/>
    <x v="6"/>
    <x v="6"/>
    <s v="Thursday"/>
    <x v="27"/>
    <d v="2026-07-31T00:00:00"/>
    <s v="Summer"/>
    <x v="2"/>
    <x v="2"/>
    <s v="2 Hours"/>
    <n v="1"/>
    <n v="58.24"/>
    <s v="None"/>
    <n v="0"/>
    <n v="0"/>
    <n v="58.24"/>
    <x v="9"/>
    <x v="0"/>
    <s v="Gift Card"/>
    <s v="Sunny"/>
  </r>
  <r>
    <s v="WSR-2026-1343"/>
    <d v="2026-07-09T00:00:00"/>
    <x v="6"/>
    <x v="6"/>
    <s v="Thursday"/>
    <x v="27"/>
    <d v="2026-07-31T00:00:00"/>
    <s v="Summer"/>
    <x v="3"/>
    <x v="5"/>
    <s v="1 Hour"/>
    <n v="1"/>
    <n v="29.12"/>
    <s v="None"/>
    <n v="0"/>
    <n v="0"/>
    <n v="29.12"/>
    <x v="7"/>
    <x v="4"/>
    <s v="Cash"/>
    <s v="Sunny"/>
  </r>
  <r>
    <s v="WSR-2026-1344"/>
    <d v="2026-07-09T00:00:00"/>
    <x v="6"/>
    <x v="6"/>
    <s v="Thursday"/>
    <x v="27"/>
    <d v="2026-07-31T00:00:00"/>
    <s v="Summer"/>
    <x v="2"/>
    <x v="5"/>
    <s v="2 Hours"/>
    <n v="1"/>
    <n v="47.04"/>
    <s v="None"/>
    <n v="0"/>
    <n v="0"/>
    <n v="47.04"/>
    <x v="0"/>
    <x v="1"/>
    <s v="Credit Card"/>
    <s v="Sunny"/>
  </r>
  <r>
    <s v="WSR-2026-1345"/>
    <d v="2026-07-09T00:00:00"/>
    <x v="6"/>
    <x v="6"/>
    <s v="Thursday"/>
    <x v="27"/>
    <d v="2026-07-31T00:00:00"/>
    <s v="Summer"/>
    <x v="3"/>
    <x v="9"/>
    <s v="Full Day"/>
    <n v="1"/>
    <n v="116.48"/>
    <s v="None"/>
    <n v="0"/>
    <n v="0"/>
    <n v="116.48"/>
    <x v="5"/>
    <x v="2"/>
    <s v="Mobile Pay"/>
    <s v="Sunny"/>
  </r>
  <r>
    <s v="WSR-2026-1346"/>
    <d v="2026-07-09T00:00:00"/>
    <x v="6"/>
    <x v="6"/>
    <s v="Thursday"/>
    <x v="27"/>
    <d v="2026-07-31T00:00:00"/>
    <s v="Summer"/>
    <x v="3"/>
    <x v="1"/>
    <s v="Half Day"/>
    <n v="1"/>
    <n v="64.959999999999994"/>
    <s v="Phone Pouch"/>
    <n v="5"/>
    <n v="0"/>
    <n v="69.959999999999994"/>
    <x v="8"/>
    <x v="3"/>
    <s v="Credit Card"/>
    <s v="Sunny"/>
  </r>
  <r>
    <s v="WSR-2026-1347"/>
    <d v="2026-07-09T00:00:00"/>
    <x v="6"/>
    <x v="6"/>
    <s v="Thursday"/>
    <x v="27"/>
    <d v="2026-07-31T00:00:00"/>
    <s v="Summer"/>
    <x v="2"/>
    <x v="5"/>
    <s v="1 Hour"/>
    <n v="1"/>
    <n v="29.12"/>
    <s v="None"/>
    <n v="0"/>
    <n v="0"/>
    <n v="29.12"/>
    <x v="7"/>
    <x v="2"/>
    <s v="Mobile Pay"/>
    <s v="Sunny"/>
  </r>
  <r>
    <s v="WSR-2026-1348"/>
    <d v="2026-07-09T00:00:00"/>
    <x v="6"/>
    <x v="6"/>
    <s v="Thursday"/>
    <x v="27"/>
    <d v="2026-07-31T00:00:00"/>
    <s v="Summer"/>
    <x v="1"/>
    <x v="3"/>
    <s v="Half Day"/>
    <n v="1"/>
    <n v="60.48"/>
    <s v="Phone Pouch"/>
    <n v="5"/>
    <n v="6.55"/>
    <n v="58.93"/>
    <x v="3"/>
    <x v="3"/>
    <s v="Credit Card"/>
    <s v="Sunny"/>
  </r>
  <r>
    <s v="WSR-2026-1349"/>
    <d v="2026-07-09T00:00:00"/>
    <x v="6"/>
    <x v="6"/>
    <s v="Thursday"/>
    <x v="27"/>
    <d v="2026-07-31T00:00:00"/>
    <s v="Summer"/>
    <x v="3"/>
    <x v="5"/>
    <s v="2 Hours"/>
    <n v="1"/>
    <n v="47.04"/>
    <s v="None"/>
    <n v="0"/>
    <n v="0"/>
    <n v="47.04"/>
    <x v="4"/>
    <x v="2"/>
    <s v="Mobile Pay"/>
    <s v="Sunny"/>
  </r>
  <r>
    <s v="WSR-2026-1350"/>
    <d v="2026-07-09T00:00:00"/>
    <x v="6"/>
    <x v="6"/>
    <s v="Thursday"/>
    <x v="27"/>
    <d v="2026-07-31T00:00:00"/>
    <s v="Summer"/>
    <x v="2"/>
    <x v="5"/>
    <s v="1 Hour"/>
    <n v="1"/>
    <n v="29.12"/>
    <s v="None"/>
    <n v="0"/>
    <n v="0"/>
    <n v="29.12"/>
    <x v="5"/>
    <x v="1"/>
    <s v="Debit Card"/>
    <s v="Cloudy"/>
  </r>
  <r>
    <s v="WSR-2026-1351"/>
    <d v="2026-07-10T00:00:00"/>
    <x v="6"/>
    <x v="6"/>
    <s v="Friday"/>
    <x v="27"/>
    <d v="2026-07-31T00:00:00"/>
    <s v="Summer"/>
    <x v="2"/>
    <x v="2"/>
    <s v="2 Hours"/>
    <n v="1"/>
    <n v="58.24"/>
    <s v="GoPro Mount"/>
    <n v="8"/>
    <n v="0"/>
    <n v="66.239999999999995"/>
    <x v="8"/>
    <x v="0"/>
    <s v="Credit Card"/>
    <s v="Windy"/>
  </r>
  <r>
    <s v="WSR-2026-1352"/>
    <d v="2026-07-10T00:00:00"/>
    <x v="6"/>
    <x v="6"/>
    <s v="Friday"/>
    <x v="27"/>
    <d v="2026-07-31T00:00:00"/>
    <s v="Summer"/>
    <x v="0"/>
    <x v="5"/>
    <s v="Full Day"/>
    <n v="1"/>
    <n v="98.56"/>
    <s v="Dry Bag"/>
    <n v="6"/>
    <n v="0"/>
    <n v="104.56"/>
    <x v="7"/>
    <x v="4"/>
    <s v="Cash"/>
    <s v="Sunny"/>
  </r>
  <r>
    <s v="WSR-2026-1353"/>
    <d v="2026-07-10T00:00:00"/>
    <x v="6"/>
    <x v="6"/>
    <s v="Friday"/>
    <x v="27"/>
    <d v="2026-07-31T00:00:00"/>
    <s v="Summer"/>
    <x v="4"/>
    <x v="1"/>
    <s v="1 Hour"/>
    <n v="1"/>
    <n v="26.88"/>
    <s v="Dry Bag"/>
    <n v="6"/>
    <n v="3.29"/>
    <n v="29.59"/>
    <x v="9"/>
    <x v="4"/>
    <s v="Mobile Pay"/>
    <s v="Sunny"/>
  </r>
  <r>
    <s v="WSR-2026-1354"/>
    <d v="2026-07-10T00:00:00"/>
    <x v="6"/>
    <x v="6"/>
    <s v="Friday"/>
    <x v="27"/>
    <d v="2026-07-31T00:00:00"/>
    <s v="Summer"/>
    <x v="3"/>
    <x v="6"/>
    <s v="1 Hour"/>
    <n v="1"/>
    <n v="40.32"/>
    <s v="None"/>
    <n v="0"/>
    <n v="0"/>
    <n v="40.32"/>
    <x v="7"/>
    <x v="1"/>
    <s v="Mobile Pay"/>
    <s v="Cloudy"/>
  </r>
  <r>
    <s v="WSR-2026-1355"/>
    <d v="2026-07-10T00:00:00"/>
    <x v="6"/>
    <x v="6"/>
    <s v="Friday"/>
    <x v="27"/>
    <d v="2026-07-31T00:00:00"/>
    <s v="Summer"/>
    <x v="3"/>
    <x v="2"/>
    <s v="2 Hours"/>
    <n v="1"/>
    <n v="58.24"/>
    <s v="None"/>
    <n v="0"/>
    <n v="0"/>
    <n v="58.24"/>
    <x v="2"/>
    <x v="1"/>
    <s v="Debit Card"/>
    <s v="Cloudy"/>
  </r>
  <r>
    <s v="WSR-2026-1356"/>
    <d v="2026-07-10T00:00:00"/>
    <x v="6"/>
    <x v="6"/>
    <s v="Friday"/>
    <x v="27"/>
    <d v="2026-07-31T00:00:00"/>
    <s v="Summer"/>
    <x v="1"/>
    <x v="5"/>
    <s v="2 Hours"/>
    <n v="1"/>
    <n v="47.04"/>
    <s v="Phone Pouch"/>
    <n v="5"/>
    <n v="5.2"/>
    <n v="46.84"/>
    <x v="0"/>
    <x v="0"/>
    <s v="Cash"/>
    <s v="Sunny"/>
  </r>
  <r>
    <s v="WSR-2026-1357"/>
    <d v="2026-07-10T00:00:00"/>
    <x v="6"/>
    <x v="6"/>
    <s v="Friday"/>
    <x v="27"/>
    <d v="2026-07-31T00:00:00"/>
    <s v="Summer"/>
    <x v="3"/>
    <x v="2"/>
    <s v="Full Day"/>
    <n v="1"/>
    <n v="125.44"/>
    <s v="Dry Bag"/>
    <n v="6"/>
    <n v="0"/>
    <n v="131.44"/>
    <x v="4"/>
    <x v="0"/>
    <s v="Credit Card"/>
    <s v="Cloudy"/>
  </r>
  <r>
    <s v="WSR-2026-1358"/>
    <d v="2026-07-10T00:00:00"/>
    <x v="6"/>
    <x v="6"/>
    <s v="Friday"/>
    <x v="27"/>
    <d v="2026-07-31T00:00:00"/>
    <s v="Summer"/>
    <x v="2"/>
    <x v="0"/>
    <s v="Half Day"/>
    <n v="1"/>
    <n v="85.12"/>
    <s v="None"/>
    <n v="0"/>
    <n v="0"/>
    <n v="85.12"/>
    <x v="8"/>
    <x v="3"/>
    <s v="Cash"/>
    <s v="Sunny"/>
  </r>
  <r>
    <s v="WSR-2026-1359"/>
    <d v="2026-07-10T00:00:00"/>
    <x v="6"/>
    <x v="6"/>
    <s v="Friday"/>
    <x v="27"/>
    <d v="2026-07-31T00:00:00"/>
    <s v="Summer"/>
    <x v="0"/>
    <x v="7"/>
    <s v="2 Hours"/>
    <n v="1"/>
    <n v="24.64"/>
    <s v="Dry Bag"/>
    <n v="6"/>
    <n v="1.53"/>
    <n v="29.11"/>
    <x v="9"/>
    <x v="3"/>
    <s v="Debit Card"/>
    <s v="Sunny"/>
  </r>
  <r>
    <s v="WSR-2026-1360"/>
    <d v="2026-07-10T00:00:00"/>
    <x v="6"/>
    <x v="6"/>
    <s v="Friday"/>
    <x v="27"/>
    <d v="2026-07-31T00:00:00"/>
    <s v="Summer"/>
    <x v="1"/>
    <x v="2"/>
    <s v="2 Hours"/>
    <n v="1"/>
    <n v="58.24"/>
    <s v="Phone Pouch"/>
    <n v="5"/>
    <n v="3.16"/>
    <n v="60.08"/>
    <x v="6"/>
    <x v="3"/>
    <s v="Cash"/>
    <s v="Sunny"/>
  </r>
  <r>
    <s v="WSR-2026-1361"/>
    <d v="2026-07-10T00:00:00"/>
    <x v="6"/>
    <x v="6"/>
    <s v="Friday"/>
    <x v="27"/>
    <d v="2026-07-31T00:00:00"/>
    <s v="Summer"/>
    <x v="1"/>
    <x v="3"/>
    <s v="2 Hours"/>
    <n v="1"/>
    <n v="40.32"/>
    <s v="None"/>
    <n v="0"/>
    <n v="4.03"/>
    <n v="36.29"/>
    <x v="1"/>
    <x v="4"/>
    <s v="Mobile Pay"/>
    <s v="Sunny"/>
  </r>
  <r>
    <s v="WSR-2026-1362"/>
    <d v="2026-07-10T00:00:00"/>
    <x v="6"/>
    <x v="6"/>
    <s v="Friday"/>
    <x v="27"/>
    <d v="2026-07-31T00:00:00"/>
    <s v="Summer"/>
    <x v="0"/>
    <x v="9"/>
    <s v="2 Hours"/>
    <n v="1"/>
    <n v="53.76"/>
    <s v="GoPro Mount"/>
    <n v="8"/>
    <n v="0"/>
    <n v="61.76"/>
    <x v="7"/>
    <x v="4"/>
    <s v="Credit Card"/>
    <s v="Sunny"/>
  </r>
  <r>
    <s v="WSR-2026-1363"/>
    <d v="2026-07-10T00:00:00"/>
    <x v="6"/>
    <x v="6"/>
    <s v="Friday"/>
    <x v="27"/>
    <d v="2026-07-31T00:00:00"/>
    <s v="Summer"/>
    <x v="2"/>
    <x v="1"/>
    <s v="Half Day"/>
    <n v="1"/>
    <n v="64.959999999999994"/>
    <s v="Phone Pouch"/>
    <n v="5"/>
    <n v="0"/>
    <n v="69.959999999999994"/>
    <x v="4"/>
    <x v="3"/>
    <s v="Credit Card"/>
    <s v="Sunny"/>
  </r>
  <r>
    <s v="WSR-2026-1364"/>
    <d v="2026-07-10T00:00:00"/>
    <x v="6"/>
    <x v="6"/>
    <s v="Friday"/>
    <x v="27"/>
    <d v="2026-07-31T00:00:00"/>
    <s v="Summer"/>
    <x v="2"/>
    <x v="5"/>
    <s v="1 Hour"/>
    <n v="1"/>
    <n v="29.12"/>
    <s v="Premium Life Jacket"/>
    <n v="7"/>
    <n v="0"/>
    <n v="36.119999999999997"/>
    <x v="4"/>
    <x v="2"/>
    <s v="Credit Card"/>
    <s v="Cloudy"/>
  </r>
  <r>
    <s v="WSR-2026-1365"/>
    <d v="2026-07-10T00:00:00"/>
    <x v="6"/>
    <x v="6"/>
    <s v="Friday"/>
    <x v="27"/>
    <d v="2026-07-31T00:00:00"/>
    <s v="Summer"/>
    <x v="0"/>
    <x v="9"/>
    <s v="1 Hour"/>
    <n v="1"/>
    <n v="33.6"/>
    <s v="GoPro Mount"/>
    <n v="8"/>
    <n v="0"/>
    <n v="41.6"/>
    <x v="1"/>
    <x v="1"/>
    <s v="Credit Card"/>
    <s v="Sunny"/>
  </r>
  <r>
    <s v="WSR-2026-1366"/>
    <d v="2026-07-10T00:00:00"/>
    <x v="6"/>
    <x v="6"/>
    <s v="Friday"/>
    <x v="27"/>
    <d v="2026-07-31T00:00:00"/>
    <s v="Summer"/>
    <x v="2"/>
    <x v="8"/>
    <s v="2 Hours"/>
    <n v="1"/>
    <n v="17.920000000000002"/>
    <s v="None"/>
    <n v="0"/>
    <n v="0"/>
    <n v="17.920000000000002"/>
    <x v="6"/>
    <x v="1"/>
    <s v="Debit Card"/>
    <s v="Sunny"/>
  </r>
  <r>
    <s v="WSR-2026-1367"/>
    <d v="2026-07-10T00:00:00"/>
    <x v="6"/>
    <x v="6"/>
    <s v="Friday"/>
    <x v="27"/>
    <d v="2026-07-31T00:00:00"/>
    <s v="Summer"/>
    <x v="4"/>
    <x v="2"/>
    <s v="2 Hours"/>
    <n v="1"/>
    <n v="58.24"/>
    <s v="None"/>
    <n v="0"/>
    <n v="5.82"/>
    <n v="52.42"/>
    <x v="3"/>
    <x v="3"/>
    <s v="Mobile Pay"/>
    <s v="Sunny"/>
  </r>
  <r>
    <s v="WSR-2026-1368"/>
    <d v="2026-07-10T00:00:00"/>
    <x v="6"/>
    <x v="6"/>
    <s v="Friday"/>
    <x v="27"/>
    <d v="2026-07-31T00:00:00"/>
    <s v="Summer"/>
    <x v="2"/>
    <x v="0"/>
    <s v="2 Hours"/>
    <n v="1"/>
    <n v="56"/>
    <s v="Dry Bag"/>
    <n v="6"/>
    <n v="3.1"/>
    <n v="58.9"/>
    <x v="0"/>
    <x v="0"/>
    <s v="Cash"/>
    <s v="Cloudy"/>
  </r>
  <r>
    <s v="WSR-2026-1369"/>
    <d v="2026-07-11T00:00:00"/>
    <x v="6"/>
    <x v="6"/>
    <s v="Saturday"/>
    <x v="27"/>
    <d v="2026-07-31T00:00:00"/>
    <s v="Summer"/>
    <x v="3"/>
    <x v="8"/>
    <s v="Half Day"/>
    <n v="1"/>
    <n v="28.8"/>
    <s v="None"/>
    <n v="0"/>
    <n v="0"/>
    <n v="28.8"/>
    <x v="1"/>
    <x v="0"/>
    <s v="Credit Card"/>
    <s v="Cloudy"/>
  </r>
  <r>
    <s v="WSR-2026-1370"/>
    <d v="2026-07-11T00:00:00"/>
    <x v="6"/>
    <x v="6"/>
    <s v="Saturday"/>
    <x v="27"/>
    <d v="2026-07-31T00:00:00"/>
    <s v="Summer"/>
    <x v="0"/>
    <x v="4"/>
    <s v="2 Hours"/>
    <n v="1"/>
    <n v="21.6"/>
    <s v="Dry Bag"/>
    <n v="6"/>
    <n v="0"/>
    <n v="27.6"/>
    <x v="8"/>
    <x v="1"/>
    <s v="Cash"/>
    <s v="Sunny"/>
  </r>
  <r>
    <s v="WSR-2026-1371"/>
    <d v="2026-07-11T00:00:00"/>
    <x v="6"/>
    <x v="6"/>
    <s v="Saturday"/>
    <x v="27"/>
    <d v="2026-07-31T00:00:00"/>
    <s v="Summer"/>
    <x v="3"/>
    <x v="5"/>
    <s v="2 Hours"/>
    <n v="1"/>
    <n v="50.4"/>
    <s v="Cooler Rental"/>
    <n v="10"/>
    <n v="3.02"/>
    <n v="57.38"/>
    <x v="2"/>
    <x v="4"/>
    <s v="Credit Card"/>
    <s v="Cloudy"/>
  </r>
  <r>
    <s v="WSR-2026-1372"/>
    <d v="2026-07-11T00:00:00"/>
    <x v="6"/>
    <x v="6"/>
    <s v="Saturday"/>
    <x v="27"/>
    <d v="2026-07-31T00:00:00"/>
    <s v="Summer"/>
    <x v="0"/>
    <x v="6"/>
    <s v="Half Day"/>
    <n v="1"/>
    <n v="103.2"/>
    <s v="None"/>
    <n v="0"/>
    <n v="0"/>
    <n v="103.2"/>
    <x v="6"/>
    <x v="1"/>
    <s v="Credit Card"/>
    <s v="Sunny"/>
  </r>
  <r>
    <s v="WSR-2026-1373"/>
    <d v="2026-07-11T00:00:00"/>
    <x v="6"/>
    <x v="6"/>
    <s v="Saturday"/>
    <x v="27"/>
    <d v="2026-07-31T00:00:00"/>
    <s v="Summer"/>
    <x v="3"/>
    <x v="2"/>
    <s v="2 Hours"/>
    <n v="1"/>
    <n v="62.4"/>
    <s v="GoPro Mount"/>
    <n v="8"/>
    <n v="0"/>
    <n v="70.400000000000006"/>
    <x v="2"/>
    <x v="1"/>
    <s v="Mobile Pay"/>
    <s v="Cloudy"/>
  </r>
  <r>
    <s v="WSR-2026-1374"/>
    <d v="2026-07-11T00:00:00"/>
    <x v="6"/>
    <x v="6"/>
    <s v="Saturday"/>
    <x v="27"/>
    <d v="2026-07-31T00:00:00"/>
    <s v="Summer"/>
    <x v="3"/>
    <x v="1"/>
    <s v="Half Day"/>
    <n v="1"/>
    <n v="69.599999999999994"/>
    <s v="Phone Pouch"/>
    <n v="5"/>
    <n v="0"/>
    <n v="74.599999999999994"/>
    <x v="1"/>
    <x v="4"/>
    <s v="Credit Card"/>
    <s v="Sunny"/>
  </r>
  <r>
    <s v="WSR-2026-1375"/>
    <d v="2026-07-11T00:00:00"/>
    <x v="6"/>
    <x v="6"/>
    <s v="Saturday"/>
    <x v="27"/>
    <d v="2026-07-31T00:00:00"/>
    <s v="Summer"/>
    <x v="2"/>
    <x v="9"/>
    <s v="Half Day"/>
    <n v="1"/>
    <n v="86.4"/>
    <s v="None"/>
    <n v="0"/>
    <n v="0"/>
    <n v="86.4"/>
    <x v="7"/>
    <x v="0"/>
    <s v="Cash"/>
    <s v="Cloudy"/>
  </r>
  <r>
    <s v="WSR-2026-1376"/>
    <d v="2026-07-11T00:00:00"/>
    <x v="6"/>
    <x v="6"/>
    <s v="Saturday"/>
    <x v="27"/>
    <d v="2026-07-31T00:00:00"/>
    <s v="Summer"/>
    <x v="2"/>
    <x v="1"/>
    <s v="Full Day"/>
    <n v="1"/>
    <n v="100.8"/>
    <s v="None"/>
    <n v="0"/>
    <n v="0"/>
    <n v="100.8"/>
    <x v="5"/>
    <x v="3"/>
    <s v="Credit Card"/>
    <s v="Sunny"/>
  </r>
  <r>
    <s v="WSR-2026-1377"/>
    <d v="2026-07-11T00:00:00"/>
    <x v="6"/>
    <x v="6"/>
    <s v="Saturday"/>
    <x v="27"/>
    <d v="2026-07-31T00:00:00"/>
    <s v="Summer"/>
    <x v="3"/>
    <x v="1"/>
    <s v="2 Hours"/>
    <n v="1"/>
    <n v="45.6"/>
    <s v="Phone Pouch"/>
    <n v="5"/>
    <n v="0"/>
    <n v="50.6"/>
    <x v="1"/>
    <x v="4"/>
    <s v="Debit Card"/>
    <s v="Sunny"/>
  </r>
  <r>
    <s v="WSR-2026-1378"/>
    <d v="2026-07-11T00:00:00"/>
    <x v="6"/>
    <x v="6"/>
    <s v="Saturday"/>
    <x v="27"/>
    <d v="2026-07-31T00:00:00"/>
    <s v="Summer"/>
    <x v="2"/>
    <x v="1"/>
    <s v="2 Hours"/>
    <n v="1"/>
    <n v="45.6"/>
    <s v="None"/>
    <n v="0"/>
    <n v="0"/>
    <n v="45.6"/>
    <x v="2"/>
    <x v="3"/>
    <s v="Credit Card"/>
    <s v="Sunny"/>
  </r>
  <r>
    <s v="WSR-2026-1379"/>
    <d v="2026-07-11T00:00:00"/>
    <x v="6"/>
    <x v="6"/>
    <s v="Saturday"/>
    <x v="27"/>
    <d v="2026-07-31T00:00:00"/>
    <s v="Summer"/>
    <x v="3"/>
    <x v="7"/>
    <s v="2 Hours"/>
    <n v="1"/>
    <n v="26.4"/>
    <s v="None"/>
    <n v="0"/>
    <n v="0"/>
    <n v="26.4"/>
    <x v="8"/>
    <x v="3"/>
    <s v="Credit Card"/>
    <s v="Sunny"/>
  </r>
  <r>
    <s v="WSR-2026-1380"/>
    <d v="2026-07-11T00:00:00"/>
    <x v="6"/>
    <x v="6"/>
    <s v="Saturday"/>
    <x v="27"/>
    <d v="2026-07-31T00:00:00"/>
    <s v="Summer"/>
    <x v="2"/>
    <x v="4"/>
    <s v="Half Day"/>
    <n v="1"/>
    <n v="33.6"/>
    <s v="Phone Pouch"/>
    <n v="5"/>
    <n v="0"/>
    <n v="38.6"/>
    <x v="9"/>
    <x v="1"/>
    <s v="Gift Card"/>
    <s v="Sunny"/>
  </r>
  <r>
    <s v="WSR-2026-1381"/>
    <d v="2026-07-11T00:00:00"/>
    <x v="6"/>
    <x v="6"/>
    <s v="Saturday"/>
    <x v="27"/>
    <d v="2026-07-31T00:00:00"/>
    <s v="Summer"/>
    <x v="0"/>
    <x v="0"/>
    <s v="1 Hour"/>
    <n v="1"/>
    <n v="38.4"/>
    <s v="None"/>
    <n v="0"/>
    <n v="0"/>
    <n v="38.4"/>
    <x v="8"/>
    <x v="0"/>
    <s v="Credit Card"/>
    <s v="Sunny"/>
  </r>
  <r>
    <s v="WSR-2026-1382"/>
    <d v="2026-07-11T00:00:00"/>
    <x v="6"/>
    <x v="6"/>
    <s v="Saturday"/>
    <x v="27"/>
    <d v="2026-07-31T00:00:00"/>
    <s v="Summer"/>
    <x v="1"/>
    <x v="2"/>
    <s v="1 Hour"/>
    <n v="1"/>
    <n v="40.799999999999997"/>
    <s v="Premium Life Jacket"/>
    <n v="7"/>
    <n v="2.39"/>
    <n v="45.41"/>
    <x v="9"/>
    <x v="2"/>
    <s v="Credit Card"/>
    <s v="Windy"/>
  </r>
  <r>
    <s v="WSR-2026-1383"/>
    <d v="2026-07-11T00:00:00"/>
    <x v="6"/>
    <x v="6"/>
    <s v="Saturday"/>
    <x v="27"/>
    <d v="2026-07-31T00:00:00"/>
    <s v="Summer"/>
    <x v="1"/>
    <x v="5"/>
    <s v="2 Hours"/>
    <n v="1"/>
    <n v="50.4"/>
    <s v="None"/>
    <n v="0"/>
    <n v="0"/>
    <n v="50.4"/>
    <x v="0"/>
    <x v="2"/>
    <s v="Debit Card"/>
    <s v="Sunny"/>
  </r>
  <r>
    <s v="WSR-2026-1384"/>
    <d v="2026-07-11T00:00:00"/>
    <x v="6"/>
    <x v="6"/>
    <s v="Saturday"/>
    <x v="27"/>
    <d v="2026-07-31T00:00:00"/>
    <s v="Summer"/>
    <x v="3"/>
    <x v="1"/>
    <s v="2 Hours"/>
    <n v="1"/>
    <n v="45.6"/>
    <s v="None"/>
    <n v="0"/>
    <n v="0"/>
    <n v="45.6"/>
    <x v="6"/>
    <x v="0"/>
    <s v="Credit Card"/>
    <s v="Sunny"/>
  </r>
  <r>
    <s v="WSR-2026-1385"/>
    <d v="2026-07-11T00:00:00"/>
    <x v="6"/>
    <x v="6"/>
    <s v="Saturday"/>
    <x v="27"/>
    <d v="2026-07-31T00:00:00"/>
    <s v="Summer"/>
    <x v="3"/>
    <x v="3"/>
    <s v="2 Hours"/>
    <n v="1"/>
    <n v="43.2"/>
    <s v="None"/>
    <n v="0"/>
    <n v="0"/>
    <n v="43.2"/>
    <x v="8"/>
    <x v="0"/>
    <s v="Credit Card"/>
    <s v="Sunny"/>
  </r>
  <r>
    <s v="WSR-2026-1386"/>
    <d v="2026-07-11T00:00:00"/>
    <x v="6"/>
    <x v="6"/>
    <s v="Saturday"/>
    <x v="27"/>
    <d v="2026-07-31T00:00:00"/>
    <s v="Summer"/>
    <x v="2"/>
    <x v="4"/>
    <s v="1 Hour"/>
    <n v="1"/>
    <n v="14.4"/>
    <s v="None"/>
    <n v="0"/>
    <n v="0"/>
    <n v="14.4"/>
    <x v="3"/>
    <x v="1"/>
    <s v="Gift Card"/>
    <s v="Sunny"/>
  </r>
  <r>
    <s v="WSR-2026-1387"/>
    <d v="2026-07-11T00:00:00"/>
    <x v="6"/>
    <x v="6"/>
    <s v="Saturday"/>
    <x v="27"/>
    <d v="2026-07-31T00:00:00"/>
    <s v="Summer"/>
    <x v="3"/>
    <x v="2"/>
    <s v="Full Day"/>
    <n v="1"/>
    <n v="134.4"/>
    <s v="None"/>
    <n v="0"/>
    <n v="0"/>
    <n v="134.4"/>
    <x v="5"/>
    <x v="4"/>
    <s v="Debit Card"/>
    <s v="Windy"/>
  </r>
  <r>
    <s v="WSR-2026-1388"/>
    <d v="2026-07-11T00:00:00"/>
    <x v="6"/>
    <x v="6"/>
    <s v="Saturday"/>
    <x v="27"/>
    <d v="2026-07-31T00:00:00"/>
    <s v="Summer"/>
    <x v="2"/>
    <x v="0"/>
    <s v="Half Day"/>
    <n v="1"/>
    <n v="91.2"/>
    <s v="Dry Bag"/>
    <n v="6"/>
    <n v="0"/>
    <n v="97.2"/>
    <x v="5"/>
    <x v="2"/>
    <s v="Debit Card"/>
    <s v="Cloudy"/>
  </r>
  <r>
    <s v="WSR-2026-1389"/>
    <d v="2026-07-11T00:00:00"/>
    <x v="6"/>
    <x v="6"/>
    <s v="Saturday"/>
    <x v="27"/>
    <d v="2026-07-31T00:00:00"/>
    <s v="Summer"/>
    <x v="1"/>
    <x v="0"/>
    <s v="2 Hours"/>
    <n v="1"/>
    <n v="60"/>
    <s v="None"/>
    <n v="0"/>
    <n v="0"/>
    <n v="60"/>
    <x v="3"/>
    <x v="4"/>
    <s v="Credit Card"/>
    <s v="Sunny"/>
  </r>
  <r>
    <s v="WSR-2026-1390"/>
    <d v="2026-07-11T00:00:00"/>
    <x v="6"/>
    <x v="6"/>
    <s v="Saturday"/>
    <x v="27"/>
    <d v="2026-07-31T00:00:00"/>
    <s v="Summer"/>
    <x v="0"/>
    <x v="4"/>
    <s v="2 Hours"/>
    <n v="1"/>
    <n v="21.6"/>
    <s v="Dry Bag"/>
    <n v="6"/>
    <n v="0"/>
    <n v="27.6"/>
    <x v="9"/>
    <x v="2"/>
    <s v="Mobile Pay"/>
    <s v="Sunny"/>
  </r>
  <r>
    <s v="WSR-2026-1391"/>
    <d v="2026-07-11T00:00:00"/>
    <x v="6"/>
    <x v="6"/>
    <s v="Saturday"/>
    <x v="27"/>
    <d v="2026-07-31T00:00:00"/>
    <s v="Summer"/>
    <x v="3"/>
    <x v="6"/>
    <s v="Half Day"/>
    <n v="1"/>
    <n v="103.2"/>
    <s v="Phone Pouch"/>
    <n v="5"/>
    <n v="0"/>
    <n v="108.2"/>
    <x v="5"/>
    <x v="2"/>
    <s v="Debit Card"/>
    <s v="Sunny"/>
  </r>
  <r>
    <s v="WSR-2026-1392"/>
    <d v="2026-07-11T00:00:00"/>
    <x v="6"/>
    <x v="6"/>
    <s v="Saturday"/>
    <x v="27"/>
    <d v="2026-07-31T00:00:00"/>
    <s v="Summer"/>
    <x v="0"/>
    <x v="4"/>
    <s v="2 Hours"/>
    <n v="1"/>
    <n v="21.6"/>
    <s v="Dry Bag"/>
    <n v="6"/>
    <n v="0"/>
    <n v="27.6"/>
    <x v="9"/>
    <x v="1"/>
    <s v="Credit Card"/>
    <s v="Sunny"/>
  </r>
  <r>
    <s v="WSR-2026-1393"/>
    <d v="2026-07-12T00:00:00"/>
    <x v="6"/>
    <x v="6"/>
    <s v="Sunday"/>
    <x v="28"/>
    <d v="2026-07-31T00:00:00"/>
    <s v="Summer"/>
    <x v="3"/>
    <x v="5"/>
    <s v="Full Day"/>
    <n v="1"/>
    <n v="105.6"/>
    <s v="None"/>
    <n v="0"/>
    <n v="0"/>
    <n v="105.6"/>
    <x v="4"/>
    <x v="1"/>
    <s v="Credit Card"/>
    <s v="Sunny"/>
  </r>
  <r>
    <s v="WSR-2026-1394"/>
    <d v="2026-07-12T00:00:00"/>
    <x v="6"/>
    <x v="6"/>
    <s v="Sunday"/>
    <x v="28"/>
    <d v="2026-07-31T00:00:00"/>
    <s v="Summer"/>
    <x v="1"/>
    <x v="5"/>
    <s v="1 Hour"/>
    <n v="1"/>
    <n v="31.2"/>
    <s v="None"/>
    <n v="0"/>
    <n v="3.12"/>
    <n v="28.08"/>
    <x v="9"/>
    <x v="2"/>
    <s v="Credit Card"/>
    <s v="Sunny"/>
  </r>
  <r>
    <s v="WSR-2026-1395"/>
    <d v="2026-07-12T00:00:00"/>
    <x v="6"/>
    <x v="6"/>
    <s v="Sunday"/>
    <x v="28"/>
    <d v="2026-07-31T00:00:00"/>
    <s v="Summer"/>
    <x v="0"/>
    <x v="6"/>
    <s v="2 Hours"/>
    <n v="1"/>
    <n v="69.599999999999994"/>
    <s v="Dry Bag"/>
    <n v="6"/>
    <n v="0"/>
    <n v="75.599999999999994"/>
    <x v="5"/>
    <x v="0"/>
    <s v="Credit Card"/>
    <s v="Sunny"/>
  </r>
  <r>
    <s v="WSR-2026-1396"/>
    <d v="2026-07-12T00:00:00"/>
    <x v="6"/>
    <x v="6"/>
    <s v="Sunday"/>
    <x v="28"/>
    <d v="2026-07-31T00:00:00"/>
    <s v="Summer"/>
    <x v="1"/>
    <x v="1"/>
    <s v="2 Hours"/>
    <n v="1"/>
    <n v="45.6"/>
    <s v="None"/>
    <n v="0"/>
    <n v="4.5599999999999996"/>
    <n v="41.04"/>
    <x v="4"/>
    <x v="3"/>
    <s v="Credit Card"/>
    <s v="Sunny"/>
  </r>
  <r>
    <s v="WSR-2026-1397"/>
    <d v="2026-07-12T00:00:00"/>
    <x v="6"/>
    <x v="6"/>
    <s v="Sunday"/>
    <x v="28"/>
    <d v="2026-07-31T00:00:00"/>
    <s v="Summer"/>
    <x v="2"/>
    <x v="3"/>
    <s v="1 Hour"/>
    <n v="1"/>
    <n v="26.4"/>
    <s v="GoPro Mount"/>
    <n v="8"/>
    <n v="0"/>
    <n v="34.4"/>
    <x v="2"/>
    <x v="3"/>
    <s v="Debit Card"/>
    <s v="Cloudy"/>
  </r>
  <r>
    <s v="WSR-2026-1398"/>
    <d v="2026-07-12T00:00:00"/>
    <x v="6"/>
    <x v="6"/>
    <s v="Sunday"/>
    <x v="28"/>
    <d v="2026-07-31T00:00:00"/>
    <s v="Summer"/>
    <x v="3"/>
    <x v="6"/>
    <s v="Full Day"/>
    <n v="1"/>
    <n v="148.80000000000001"/>
    <s v="Waterproof Speaker"/>
    <n v="12"/>
    <n v="0"/>
    <n v="160.80000000000001"/>
    <x v="7"/>
    <x v="3"/>
    <s v="Debit Card"/>
    <s v="Sunny"/>
  </r>
  <r>
    <s v="WSR-2026-1399"/>
    <d v="2026-07-12T00:00:00"/>
    <x v="6"/>
    <x v="6"/>
    <s v="Sunday"/>
    <x v="28"/>
    <d v="2026-07-31T00:00:00"/>
    <s v="Summer"/>
    <x v="0"/>
    <x v="9"/>
    <s v="2 Hours"/>
    <n v="1"/>
    <n v="57.6"/>
    <s v="Phone Pouch"/>
    <n v="5"/>
    <n v="0"/>
    <n v="62.6"/>
    <x v="6"/>
    <x v="2"/>
    <s v="Credit Card"/>
    <s v="Sunny"/>
  </r>
  <r>
    <s v="WSR-2026-1400"/>
    <d v="2026-07-12T00:00:00"/>
    <x v="6"/>
    <x v="6"/>
    <s v="Sunday"/>
    <x v="28"/>
    <d v="2026-07-31T00:00:00"/>
    <s v="Summer"/>
    <x v="2"/>
    <x v="6"/>
    <s v="2 Hours"/>
    <n v="1"/>
    <n v="69.599999999999994"/>
    <s v="None"/>
    <n v="0"/>
    <n v="0"/>
    <n v="69.599999999999994"/>
    <x v="9"/>
    <x v="3"/>
    <s v="Debit Card"/>
    <s v="Windy"/>
  </r>
  <r>
    <s v="WSR-2026-1401"/>
    <d v="2026-07-12T00:00:00"/>
    <x v="6"/>
    <x v="6"/>
    <s v="Sunday"/>
    <x v="28"/>
    <d v="2026-07-31T00:00:00"/>
    <s v="Summer"/>
    <x v="0"/>
    <x v="4"/>
    <s v="1 Hour"/>
    <n v="1"/>
    <n v="14.4"/>
    <s v="None"/>
    <n v="0"/>
    <n v="0"/>
    <n v="14.4"/>
    <x v="3"/>
    <x v="3"/>
    <s v="Credit Card"/>
    <s v="Sunny"/>
  </r>
  <r>
    <s v="WSR-2026-1402"/>
    <d v="2026-07-12T00:00:00"/>
    <x v="6"/>
    <x v="6"/>
    <s v="Sunday"/>
    <x v="28"/>
    <d v="2026-07-31T00:00:00"/>
    <s v="Summer"/>
    <x v="0"/>
    <x v="2"/>
    <s v="Half Day"/>
    <n v="1"/>
    <n v="93.6"/>
    <s v="None"/>
    <n v="0"/>
    <n v="0"/>
    <n v="93.6"/>
    <x v="3"/>
    <x v="1"/>
    <s v="Mobile Pay"/>
    <s v="Sunny"/>
  </r>
  <r>
    <s v="WSR-2026-1403"/>
    <d v="2026-07-12T00:00:00"/>
    <x v="6"/>
    <x v="6"/>
    <s v="Sunday"/>
    <x v="28"/>
    <d v="2026-07-31T00:00:00"/>
    <s v="Summer"/>
    <x v="2"/>
    <x v="3"/>
    <s v="Full Day"/>
    <n v="1"/>
    <n v="91.2"/>
    <s v="Dry Bag"/>
    <n v="6"/>
    <n v="0"/>
    <n v="97.2"/>
    <x v="4"/>
    <x v="3"/>
    <s v="Debit Card"/>
    <s v="Sunny"/>
  </r>
  <r>
    <s v="WSR-2026-1404"/>
    <d v="2026-07-12T00:00:00"/>
    <x v="6"/>
    <x v="6"/>
    <s v="Sunday"/>
    <x v="28"/>
    <d v="2026-07-31T00:00:00"/>
    <s v="Summer"/>
    <x v="1"/>
    <x v="5"/>
    <s v="Half Day"/>
    <n v="1"/>
    <n v="74.400000000000006"/>
    <s v="None"/>
    <n v="0"/>
    <n v="7.44"/>
    <n v="66.959999999999994"/>
    <x v="1"/>
    <x v="4"/>
    <s v="Gift Card"/>
    <s v="Sunny"/>
  </r>
  <r>
    <s v="WSR-2026-1405"/>
    <d v="2026-07-12T00:00:00"/>
    <x v="6"/>
    <x v="6"/>
    <s v="Sunday"/>
    <x v="28"/>
    <d v="2026-07-31T00:00:00"/>
    <s v="Summer"/>
    <x v="2"/>
    <x v="3"/>
    <s v="1 Hour"/>
    <n v="1"/>
    <n v="26.4"/>
    <s v="None"/>
    <n v="0"/>
    <n v="0"/>
    <n v="26.4"/>
    <x v="1"/>
    <x v="2"/>
    <s v="Credit Card"/>
    <s v="Sunny"/>
  </r>
  <r>
    <s v="WSR-2026-1406"/>
    <d v="2026-07-12T00:00:00"/>
    <x v="6"/>
    <x v="6"/>
    <s v="Sunday"/>
    <x v="28"/>
    <d v="2026-07-31T00:00:00"/>
    <s v="Summer"/>
    <x v="1"/>
    <x v="6"/>
    <s v="2 Hours"/>
    <n v="1"/>
    <n v="69.599999999999994"/>
    <s v="GoPro Mount"/>
    <n v="8"/>
    <n v="3.88"/>
    <n v="73.72"/>
    <x v="9"/>
    <x v="3"/>
    <s v="Credit Card"/>
    <s v="Sunny"/>
  </r>
  <r>
    <s v="WSR-2026-1407"/>
    <d v="2026-07-12T00:00:00"/>
    <x v="6"/>
    <x v="6"/>
    <s v="Sunday"/>
    <x v="28"/>
    <d v="2026-07-31T00:00:00"/>
    <s v="Summer"/>
    <x v="3"/>
    <x v="1"/>
    <s v="Half Day"/>
    <n v="1"/>
    <n v="69.599999999999994"/>
    <s v="Cooler Rental"/>
    <n v="10"/>
    <n v="0"/>
    <n v="79.599999999999994"/>
    <x v="7"/>
    <x v="0"/>
    <s v="Credit Card"/>
    <s v="Sunny"/>
  </r>
  <r>
    <s v="WSR-2026-1408"/>
    <d v="2026-07-12T00:00:00"/>
    <x v="6"/>
    <x v="6"/>
    <s v="Sunday"/>
    <x v="28"/>
    <d v="2026-07-31T00:00:00"/>
    <s v="Summer"/>
    <x v="2"/>
    <x v="5"/>
    <s v="2 Hours"/>
    <n v="1"/>
    <n v="50.4"/>
    <s v="None"/>
    <n v="0"/>
    <n v="0"/>
    <n v="50.4"/>
    <x v="1"/>
    <x v="2"/>
    <s v="Debit Card"/>
    <s v="Sunny"/>
  </r>
  <r>
    <s v="WSR-2026-1409"/>
    <d v="2026-07-12T00:00:00"/>
    <x v="6"/>
    <x v="6"/>
    <s v="Sunday"/>
    <x v="28"/>
    <d v="2026-07-31T00:00:00"/>
    <s v="Summer"/>
    <x v="2"/>
    <x v="1"/>
    <s v="2 Hours"/>
    <n v="1"/>
    <n v="45.6"/>
    <s v="None"/>
    <n v="0"/>
    <n v="0"/>
    <n v="45.6"/>
    <x v="0"/>
    <x v="2"/>
    <s v="Debit Card"/>
    <s v="Cloudy"/>
  </r>
  <r>
    <s v="WSR-2026-1410"/>
    <d v="2026-07-12T00:00:00"/>
    <x v="6"/>
    <x v="6"/>
    <s v="Sunday"/>
    <x v="28"/>
    <d v="2026-07-31T00:00:00"/>
    <s v="Summer"/>
    <x v="2"/>
    <x v="3"/>
    <s v="1 Hour"/>
    <n v="1"/>
    <n v="26.4"/>
    <s v="None"/>
    <n v="0"/>
    <n v="0"/>
    <n v="26.4"/>
    <x v="6"/>
    <x v="2"/>
    <s v="Debit Card"/>
    <s v="Sunny"/>
  </r>
  <r>
    <s v="WSR-2026-1411"/>
    <d v="2026-07-12T00:00:00"/>
    <x v="6"/>
    <x v="6"/>
    <s v="Sunday"/>
    <x v="28"/>
    <d v="2026-07-31T00:00:00"/>
    <s v="Summer"/>
    <x v="1"/>
    <x v="8"/>
    <s v="2 Hours"/>
    <n v="1"/>
    <n v="19.2"/>
    <s v="None"/>
    <n v="0"/>
    <n v="0"/>
    <n v="19.2"/>
    <x v="6"/>
    <x v="2"/>
    <s v="Credit Card"/>
    <s v="Sunny"/>
  </r>
  <r>
    <s v="WSR-2026-1412"/>
    <d v="2026-07-12T00:00:00"/>
    <x v="6"/>
    <x v="6"/>
    <s v="Sunday"/>
    <x v="28"/>
    <d v="2026-07-31T00:00:00"/>
    <s v="Summer"/>
    <x v="2"/>
    <x v="6"/>
    <s v="1 Hour"/>
    <n v="1"/>
    <n v="43.2"/>
    <s v="GoPro Mount"/>
    <n v="8"/>
    <n v="0"/>
    <n v="51.2"/>
    <x v="3"/>
    <x v="3"/>
    <s v="Credit Card"/>
    <s v="Sunny"/>
  </r>
  <r>
    <s v="WSR-2026-1413"/>
    <d v="2026-07-12T00:00:00"/>
    <x v="6"/>
    <x v="6"/>
    <s v="Sunday"/>
    <x v="28"/>
    <d v="2026-07-31T00:00:00"/>
    <s v="Summer"/>
    <x v="0"/>
    <x v="5"/>
    <s v="1 Hour"/>
    <n v="1"/>
    <n v="31.2"/>
    <s v="Dry Bag"/>
    <n v="6"/>
    <n v="0"/>
    <n v="37.200000000000003"/>
    <x v="6"/>
    <x v="3"/>
    <s v="Credit Card"/>
    <s v="Sunny"/>
  </r>
  <r>
    <s v="WSR-2026-1414"/>
    <d v="2026-07-12T00:00:00"/>
    <x v="6"/>
    <x v="6"/>
    <s v="Sunday"/>
    <x v="28"/>
    <d v="2026-07-31T00:00:00"/>
    <s v="Summer"/>
    <x v="3"/>
    <x v="4"/>
    <s v="Half Day"/>
    <n v="1"/>
    <n v="33.6"/>
    <s v="None"/>
    <n v="0"/>
    <n v="1.68"/>
    <n v="31.92"/>
    <x v="3"/>
    <x v="3"/>
    <s v="Credit Card"/>
    <s v="Sunny"/>
  </r>
  <r>
    <s v="WSR-2026-1415"/>
    <d v="2026-07-12T00:00:00"/>
    <x v="6"/>
    <x v="6"/>
    <s v="Sunday"/>
    <x v="28"/>
    <d v="2026-07-31T00:00:00"/>
    <s v="Summer"/>
    <x v="1"/>
    <x v="5"/>
    <s v="2 Hours"/>
    <n v="1"/>
    <n v="50.4"/>
    <s v="None"/>
    <n v="0"/>
    <n v="2.52"/>
    <n v="47.88"/>
    <x v="1"/>
    <x v="2"/>
    <s v="Credit Card"/>
    <s v="Sunny"/>
  </r>
  <r>
    <s v="WSR-2026-1416"/>
    <d v="2026-07-12T00:00:00"/>
    <x v="6"/>
    <x v="6"/>
    <s v="Sunday"/>
    <x v="28"/>
    <d v="2026-07-31T00:00:00"/>
    <s v="Summer"/>
    <x v="3"/>
    <x v="7"/>
    <s v="2 Hours"/>
    <n v="1"/>
    <n v="26.4"/>
    <s v="None"/>
    <n v="0"/>
    <n v="0"/>
    <n v="26.4"/>
    <x v="4"/>
    <x v="0"/>
    <s v="Credit Card"/>
    <s v="Sunny"/>
  </r>
  <r>
    <s v="WSR-2026-1417"/>
    <d v="2026-07-13T00:00:00"/>
    <x v="6"/>
    <x v="6"/>
    <s v="Monday"/>
    <x v="28"/>
    <d v="2026-07-31T00:00:00"/>
    <s v="Summer"/>
    <x v="3"/>
    <x v="1"/>
    <s v="Half Day"/>
    <n v="1"/>
    <n v="64.959999999999994"/>
    <s v="None"/>
    <n v="0"/>
    <n v="0"/>
    <n v="64.959999999999994"/>
    <x v="1"/>
    <x v="2"/>
    <s v="Cash"/>
    <s v="Sunny"/>
  </r>
  <r>
    <s v="WSR-2026-1418"/>
    <d v="2026-07-13T00:00:00"/>
    <x v="6"/>
    <x v="6"/>
    <s v="Monday"/>
    <x v="28"/>
    <d v="2026-07-31T00:00:00"/>
    <s v="Summer"/>
    <x v="3"/>
    <x v="6"/>
    <s v="2 Hours"/>
    <n v="1"/>
    <n v="64.959999999999994"/>
    <s v="None"/>
    <n v="0"/>
    <n v="0"/>
    <n v="64.959999999999994"/>
    <x v="5"/>
    <x v="3"/>
    <s v="Credit Card"/>
    <s v="Cloudy"/>
  </r>
  <r>
    <s v="WSR-2026-1419"/>
    <d v="2026-07-13T00:00:00"/>
    <x v="6"/>
    <x v="6"/>
    <s v="Monday"/>
    <x v="28"/>
    <d v="2026-07-31T00:00:00"/>
    <s v="Summer"/>
    <x v="3"/>
    <x v="7"/>
    <s v="2 Hours"/>
    <n v="1"/>
    <n v="24.64"/>
    <s v="Premium Life Jacket"/>
    <n v="7"/>
    <n v="0"/>
    <n v="31.64"/>
    <x v="5"/>
    <x v="0"/>
    <s v="Credit Card"/>
    <s v="Sunny"/>
  </r>
  <r>
    <s v="WSR-2026-1420"/>
    <d v="2026-07-13T00:00:00"/>
    <x v="6"/>
    <x v="6"/>
    <s v="Monday"/>
    <x v="28"/>
    <d v="2026-07-31T00:00:00"/>
    <s v="Summer"/>
    <x v="0"/>
    <x v="5"/>
    <s v="Full Day"/>
    <n v="1"/>
    <n v="98.56"/>
    <s v="Dry Bag"/>
    <n v="6"/>
    <n v="0"/>
    <n v="104.56"/>
    <x v="1"/>
    <x v="2"/>
    <s v="Cash"/>
    <s v="Sunny"/>
  </r>
  <r>
    <s v="WSR-2026-1421"/>
    <d v="2026-07-13T00:00:00"/>
    <x v="6"/>
    <x v="6"/>
    <s v="Monday"/>
    <x v="28"/>
    <d v="2026-07-31T00:00:00"/>
    <s v="Summer"/>
    <x v="2"/>
    <x v="5"/>
    <s v="1 Hour"/>
    <n v="1"/>
    <n v="29.12"/>
    <s v="Dry Bag"/>
    <n v="6"/>
    <n v="0"/>
    <n v="35.119999999999997"/>
    <x v="9"/>
    <x v="2"/>
    <s v="Mobile Pay"/>
    <s v="Sunny"/>
  </r>
  <r>
    <s v="WSR-2026-1422"/>
    <d v="2026-07-13T00:00:00"/>
    <x v="6"/>
    <x v="6"/>
    <s v="Monday"/>
    <x v="28"/>
    <d v="2026-07-31T00:00:00"/>
    <s v="Summer"/>
    <x v="2"/>
    <x v="0"/>
    <s v="Half Day"/>
    <n v="1"/>
    <n v="85.12"/>
    <s v="Premium Life Jacket"/>
    <n v="7"/>
    <n v="0"/>
    <n v="92.12"/>
    <x v="1"/>
    <x v="4"/>
    <s v="Cash"/>
    <s v="Sunny"/>
  </r>
  <r>
    <s v="WSR-2026-1423"/>
    <d v="2026-07-13T00:00:00"/>
    <x v="6"/>
    <x v="6"/>
    <s v="Monday"/>
    <x v="28"/>
    <d v="2026-07-31T00:00:00"/>
    <s v="Summer"/>
    <x v="3"/>
    <x v="5"/>
    <s v="1 Hour"/>
    <n v="1"/>
    <n v="29.12"/>
    <s v="Dry Bag"/>
    <n v="6"/>
    <n v="0"/>
    <n v="35.119999999999997"/>
    <x v="9"/>
    <x v="0"/>
    <s v="Debit Card"/>
    <s v="Sunny"/>
  </r>
  <r>
    <s v="WSR-2026-1424"/>
    <d v="2026-07-13T00:00:00"/>
    <x v="6"/>
    <x v="6"/>
    <s v="Monday"/>
    <x v="28"/>
    <d v="2026-07-31T00:00:00"/>
    <s v="Summer"/>
    <x v="0"/>
    <x v="3"/>
    <s v="Full Day"/>
    <n v="1"/>
    <n v="85.12"/>
    <s v="None"/>
    <n v="0"/>
    <n v="0"/>
    <n v="85.12"/>
    <x v="1"/>
    <x v="2"/>
    <s v="Debit Card"/>
    <s v="Sunny"/>
  </r>
  <r>
    <s v="WSR-2026-1425"/>
    <d v="2026-07-13T00:00:00"/>
    <x v="6"/>
    <x v="6"/>
    <s v="Monday"/>
    <x v="28"/>
    <d v="2026-07-31T00:00:00"/>
    <s v="Summer"/>
    <x v="3"/>
    <x v="3"/>
    <s v="1 Hour"/>
    <n v="1"/>
    <n v="24.64"/>
    <s v="Phone Pouch"/>
    <n v="5"/>
    <n v="0"/>
    <n v="29.64"/>
    <x v="5"/>
    <x v="1"/>
    <s v="Mobile Pay"/>
    <s v="Sunny"/>
  </r>
  <r>
    <s v="WSR-2026-1426"/>
    <d v="2026-07-13T00:00:00"/>
    <x v="6"/>
    <x v="6"/>
    <s v="Monday"/>
    <x v="28"/>
    <d v="2026-07-31T00:00:00"/>
    <s v="Summer"/>
    <x v="3"/>
    <x v="9"/>
    <s v="2 Hours"/>
    <n v="1"/>
    <n v="53.76"/>
    <s v="Phone Pouch"/>
    <n v="5"/>
    <n v="0"/>
    <n v="58.76"/>
    <x v="6"/>
    <x v="2"/>
    <s v="Debit Card"/>
    <s v="Cloudy"/>
  </r>
  <r>
    <s v="WSR-2026-1427"/>
    <d v="2026-07-13T00:00:00"/>
    <x v="6"/>
    <x v="6"/>
    <s v="Monday"/>
    <x v="28"/>
    <d v="2026-07-31T00:00:00"/>
    <s v="Summer"/>
    <x v="3"/>
    <x v="8"/>
    <s v="1 Hour"/>
    <n v="1"/>
    <n v="11.2"/>
    <s v="None"/>
    <n v="0"/>
    <n v="0"/>
    <n v="11.2"/>
    <x v="3"/>
    <x v="4"/>
    <s v="Credit Card"/>
    <s v="Sunny"/>
  </r>
  <r>
    <s v="WSR-2026-1428"/>
    <d v="2026-07-13T00:00:00"/>
    <x v="6"/>
    <x v="6"/>
    <s v="Monday"/>
    <x v="28"/>
    <d v="2026-07-31T00:00:00"/>
    <s v="Summer"/>
    <x v="3"/>
    <x v="3"/>
    <s v="2 Hours"/>
    <n v="1"/>
    <n v="40.32"/>
    <s v="None"/>
    <n v="0"/>
    <n v="0"/>
    <n v="40.32"/>
    <x v="0"/>
    <x v="3"/>
    <s v="Debit Card"/>
    <s v="Sunny"/>
  </r>
  <r>
    <s v="WSR-2026-1429"/>
    <d v="2026-07-14T00:00:00"/>
    <x v="6"/>
    <x v="6"/>
    <s v="Tuesday"/>
    <x v="28"/>
    <d v="2026-07-31T00:00:00"/>
    <s v="Summer"/>
    <x v="3"/>
    <x v="3"/>
    <s v="Half Day"/>
    <n v="1"/>
    <n v="60.48"/>
    <s v="Premium Life Jacket"/>
    <n v="7"/>
    <n v="0"/>
    <n v="67.48"/>
    <x v="6"/>
    <x v="4"/>
    <s v="Credit Card"/>
    <s v="Sunny"/>
  </r>
  <r>
    <s v="WSR-2026-1430"/>
    <d v="2026-07-14T00:00:00"/>
    <x v="6"/>
    <x v="6"/>
    <s v="Tuesday"/>
    <x v="28"/>
    <d v="2026-07-31T00:00:00"/>
    <s v="Summer"/>
    <x v="2"/>
    <x v="5"/>
    <s v="Full Day"/>
    <n v="1"/>
    <n v="98.56"/>
    <s v="None"/>
    <n v="0"/>
    <n v="4.93"/>
    <n v="93.63"/>
    <x v="9"/>
    <x v="3"/>
    <s v="Gift Card"/>
    <s v="Sunny"/>
  </r>
  <r>
    <s v="WSR-2026-1431"/>
    <d v="2026-07-14T00:00:00"/>
    <x v="6"/>
    <x v="6"/>
    <s v="Tuesday"/>
    <x v="28"/>
    <d v="2026-07-31T00:00:00"/>
    <s v="Summer"/>
    <x v="1"/>
    <x v="0"/>
    <s v="1 Hour"/>
    <n v="1"/>
    <n v="35.840000000000003"/>
    <s v="None"/>
    <n v="0"/>
    <n v="0"/>
    <n v="35.840000000000003"/>
    <x v="7"/>
    <x v="2"/>
    <s v="Debit Card"/>
    <s v="Cloudy"/>
  </r>
  <r>
    <s v="WSR-2026-1432"/>
    <d v="2026-07-14T00:00:00"/>
    <x v="6"/>
    <x v="6"/>
    <s v="Tuesday"/>
    <x v="28"/>
    <d v="2026-07-31T00:00:00"/>
    <s v="Summer"/>
    <x v="0"/>
    <x v="1"/>
    <s v="1 Hour"/>
    <n v="1"/>
    <n v="26.88"/>
    <s v="None"/>
    <n v="0"/>
    <n v="0"/>
    <n v="26.88"/>
    <x v="0"/>
    <x v="1"/>
    <s v="Debit Card"/>
    <s v="Sunny"/>
  </r>
  <r>
    <s v="WSR-2026-1433"/>
    <d v="2026-07-14T00:00:00"/>
    <x v="6"/>
    <x v="6"/>
    <s v="Tuesday"/>
    <x v="28"/>
    <d v="2026-07-31T00:00:00"/>
    <s v="Summer"/>
    <x v="1"/>
    <x v="1"/>
    <s v="Half Day"/>
    <n v="1"/>
    <n v="64.959999999999994"/>
    <s v="Dry Bag"/>
    <n v="6"/>
    <n v="3.55"/>
    <n v="67.41"/>
    <x v="3"/>
    <x v="2"/>
    <s v="Credit Card"/>
    <s v="Sunny"/>
  </r>
  <r>
    <s v="WSR-2026-1434"/>
    <d v="2026-07-14T00:00:00"/>
    <x v="6"/>
    <x v="6"/>
    <s v="Tuesday"/>
    <x v="28"/>
    <d v="2026-07-31T00:00:00"/>
    <s v="Summer"/>
    <x v="0"/>
    <x v="5"/>
    <s v="2 Hours"/>
    <n v="1"/>
    <n v="47.04"/>
    <s v="None"/>
    <n v="0"/>
    <n v="0"/>
    <n v="47.04"/>
    <x v="8"/>
    <x v="2"/>
    <s v="Cash"/>
    <s v="Cloudy"/>
  </r>
  <r>
    <s v="WSR-2026-1435"/>
    <d v="2026-07-14T00:00:00"/>
    <x v="6"/>
    <x v="6"/>
    <s v="Tuesday"/>
    <x v="28"/>
    <d v="2026-07-31T00:00:00"/>
    <s v="Summer"/>
    <x v="0"/>
    <x v="5"/>
    <s v="1 Hour"/>
    <n v="1"/>
    <n v="29.12"/>
    <s v="None"/>
    <n v="0"/>
    <n v="0"/>
    <n v="29.12"/>
    <x v="2"/>
    <x v="4"/>
    <s v="Credit Card"/>
    <s v="Sunny"/>
  </r>
  <r>
    <s v="WSR-2026-1436"/>
    <d v="2026-07-14T00:00:00"/>
    <x v="6"/>
    <x v="6"/>
    <s v="Tuesday"/>
    <x v="28"/>
    <d v="2026-07-31T00:00:00"/>
    <s v="Summer"/>
    <x v="3"/>
    <x v="1"/>
    <s v="1 Hour"/>
    <n v="1"/>
    <n v="26.88"/>
    <s v="GoPro Mount"/>
    <n v="8"/>
    <n v="0"/>
    <n v="34.880000000000003"/>
    <x v="7"/>
    <x v="4"/>
    <s v="Mobile Pay"/>
    <s v="Sunny"/>
  </r>
  <r>
    <s v="WSR-2026-1437"/>
    <d v="2026-07-14T00:00:00"/>
    <x v="6"/>
    <x v="6"/>
    <s v="Tuesday"/>
    <x v="28"/>
    <d v="2026-07-31T00:00:00"/>
    <s v="Summer"/>
    <x v="2"/>
    <x v="4"/>
    <s v="2 Hours"/>
    <n v="1"/>
    <n v="20.16"/>
    <s v="None"/>
    <n v="0"/>
    <n v="0"/>
    <n v="20.16"/>
    <x v="4"/>
    <x v="4"/>
    <s v="Credit Card"/>
    <s v="Sunny"/>
  </r>
  <r>
    <s v="WSR-2026-1438"/>
    <d v="2026-07-14T00:00:00"/>
    <x v="6"/>
    <x v="6"/>
    <s v="Tuesday"/>
    <x v="28"/>
    <d v="2026-07-31T00:00:00"/>
    <s v="Summer"/>
    <x v="0"/>
    <x v="2"/>
    <s v="2 Hours"/>
    <n v="1"/>
    <n v="58.24"/>
    <s v="None"/>
    <n v="0"/>
    <n v="0"/>
    <n v="58.24"/>
    <x v="1"/>
    <x v="2"/>
    <s v="Mobile Pay"/>
    <s v="Windy"/>
  </r>
  <r>
    <s v="WSR-2026-1439"/>
    <d v="2026-07-14T00:00:00"/>
    <x v="6"/>
    <x v="6"/>
    <s v="Tuesday"/>
    <x v="28"/>
    <d v="2026-07-31T00:00:00"/>
    <s v="Summer"/>
    <x v="2"/>
    <x v="2"/>
    <s v="1 Hour"/>
    <n v="1"/>
    <n v="38.08"/>
    <s v="Dry Bag"/>
    <n v="6"/>
    <n v="0"/>
    <n v="44.08"/>
    <x v="7"/>
    <x v="2"/>
    <s v="Mobile Pay"/>
    <s v="Sunny"/>
  </r>
  <r>
    <s v="WSR-2026-1440"/>
    <d v="2026-07-14T00:00:00"/>
    <x v="6"/>
    <x v="6"/>
    <s v="Tuesday"/>
    <x v="28"/>
    <d v="2026-07-31T00:00:00"/>
    <s v="Summer"/>
    <x v="2"/>
    <x v="4"/>
    <s v="2 Hours"/>
    <n v="1"/>
    <n v="20.16"/>
    <s v="Phone Pouch"/>
    <n v="5"/>
    <n v="0"/>
    <n v="25.16"/>
    <x v="1"/>
    <x v="2"/>
    <s v="Mobile Pay"/>
    <s v="Sunny"/>
  </r>
  <r>
    <s v="WSR-2026-1441"/>
    <d v="2026-07-14T00:00:00"/>
    <x v="6"/>
    <x v="6"/>
    <s v="Tuesday"/>
    <x v="28"/>
    <d v="2026-07-31T00:00:00"/>
    <s v="Summer"/>
    <x v="0"/>
    <x v="5"/>
    <s v="Full Day"/>
    <n v="1"/>
    <n v="98.56"/>
    <s v="Cooler Rental"/>
    <n v="10"/>
    <n v="0"/>
    <n v="108.56"/>
    <x v="3"/>
    <x v="0"/>
    <s v="Credit Card"/>
    <s v="Sunny"/>
  </r>
  <r>
    <s v="WSR-2026-1442"/>
    <d v="2026-07-14T00:00:00"/>
    <x v="6"/>
    <x v="6"/>
    <s v="Tuesday"/>
    <x v="28"/>
    <d v="2026-07-31T00:00:00"/>
    <s v="Summer"/>
    <x v="0"/>
    <x v="4"/>
    <s v="2 Hours"/>
    <n v="1"/>
    <n v="20.16"/>
    <s v="Dry Bag"/>
    <n v="6"/>
    <n v="0"/>
    <n v="26.16"/>
    <x v="9"/>
    <x v="2"/>
    <s v="Mobile Pay"/>
    <s v="Sunny"/>
  </r>
  <r>
    <s v="WSR-2026-1443"/>
    <d v="2026-07-14T00:00:00"/>
    <x v="6"/>
    <x v="6"/>
    <s v="Tuesday"/>
    <x v="28"/>
    <d v="2026-07-31T00:00:00"/>
    <s v="Summer"/>
    <x v="0"/>
    <x v="2"/>
    <s v="1 Hour"/>
    <n v="1"/>
    <n v="38.08"/>
    <s v="GoPro Mount"/>
    <n v="8"/>
    <n v="0"/>
    <n v="46.08"/>
    <x v="8"/>
    <x v="2"/>
    <s v="Mobile Pay"/>
    <s v="Sunny"/>
  </r>
  <r>
    <s v="WSR-2026-1444"/>
    <d v="2026-07-14T00:00:00"/>
    <x v="6"/>
    <x v="6"/>
    <s v="Tuesday"/>
    <x v="28"/>
    <d v="2026-07-31T00:00:00"/>
    <s v="Summer"/>
    <x v="3"/>
    <x v="6"/>
    <s v="2 Hours"/>
    <n v="1"/>
    <n v="64.959999999999994"/>
    <s v="Dry Bag"/>
    <n v="6"/>
    <n v="0"/>
    <n v="70.959999999999994"/>
    <x v="4"/>
    <x v="0"/>
    <s v="Credit Card"/>
    <s v="Cloudy"/>
  </r>
  <r>
    <s v="WSR-2026-1445"/>
    <d v="2026-07-14T00:00:00"/>
    <x v="6"/>
    <x v="6"/>
    <s v="Tuesday"/>
    <x v="28"/>
    <d v="2026-07-31T00:00:00"/>
    <s v="Summer"/>
    <x v="2"/>
    <x v="5"/>
    <s v="2 Hours"/>
    <n v="1"/>
    <n v="47.04"/>
    <s v="None"/>
    <n v="0"/>
    <n v="0"/>
    <n v="47.04"/>
    <x v="6"/>
    <x v="0"/>
    <s v="Credit Card"/>
    <s v="Windy"/>
  </r>
  <r>
    <s v="WSR-2026-1446"/>
    <d v="2026-07-15T00:00:00"/>
    <x v="6"/>
    <x v="6"/>
    <s v="Wednesday"/>
    <x v="28"/>
    <d v="2026-07-31T00:00:00"/>
    <s v="Summer"/>
    <x v="3"/>
    <x v="8"/>
    <s v="2 Hours"/>
    <n v="1"/>
    <n v="17.920000000000002"/>
    <s v="None"/>
    <n v="0"/>
    <n v="0"/>
    <n v="17.920000000000002"/>
    <x v="6"/>
    <x v="2"/>
    <s v="Cash"/>
    <s v="Sunny"/>
  </r>
  <r>
    <s v="WSR-2026-1447"/>
    <d v="2026-07-15T00:00:00"/>
    <x v="6"/>
    <x v="6"/>
    <s v="Wednesday"/>
    <x v="28"/>
    <d v="2026-07-31T00:00:00"/>
    <s v="Summer"/>
    <x v="2"/>
    <x v="4"/>
    <s v="Half Day"/>
    <n v="1"/>
    <n v="31.36"/>
    <s v="None"/>
    <n v="0"/>
    <n v="0"/>
    <n v="31.36"/>
    <x v="3"/>
    <x v="3"/>
    <s v="Debit Card"/>
    <s v="Cloudy"/>
  </r>
  <r>
    <s v="WSR-2026-1448"/>
    <d v="2026-07-15T00:00:00"/>
    <x v="6"/>
    <x v="6"/>
    <s v="Wednesday"/>
    <x v="28"/>
    <d v="2026-07-31T00:00:00"/>
    <s v="Summer"/>
    <x v="2"/>
    <x v="7"/>
    <s v="2 Hours"/>
    <n v="1"/>
    <n v="24.64"/>
    <s v="Cooler Rental"/>
    <n v="10"/>
    <n v="0"/>
    <n v="34.64"/>
    <x v="8"/>
    <x v="0"/>
    <s v="Debit Card"/>
    <s v="Sunny"/>
  </r>
  <r>
    <s v="WSR-2026-1449"/>
    <d v="2026-07-15T00:00:00"/>
    <x v="6"/>
    <x v="6"/>
    <s v="Wednesday"/>
    <x v="28"/>
    <d v="2026-07-31T00:00:00"/>
    <s v="Summer"/>
    <x v="1"/>
    <x v="2"/>
    <s v="2 Hours"/>
    <n v="1"/>
    <n v="58.24"/>
    <s v="GoPro Mount"/>
    <n v="8"/>
    <n v="0"/>
    <n v="66.239999999999995"/>
    <x v="4"/>
    <x v="0"/>
    <s v="Gift Card"/>
    <s v="Sunny"/>
  </r>
  <r>
    <s v="WSR-2026-1450"/>
    <d v="2026-07-15T00:00:00"/>
    <x v="6"/>
    <x v="6"/>
    <s v="Wednesday"/>
    <x v="28"/>
    <d v="2026-07-31T00:00:00"/>
    <s v="Summer"/>
    <x v="2"/>
    <x v="5"/>
    <s v="1 Hour"/>
    <n v="1"/>
    <n v="29.12"/>
    <s v="GoPro Mount"/>
    <n v="8"/>
    <n v="0"/>
    <n v="37.119999999999997"/>
    <x v="2"/>
    <x v="0"/>
    <s v="Mobile Pay"/>
    <s v="Sunny"/>
  </r>
  <r>
    <s v="WSR-2026-1451"/>
    <d v="2026-07-15T00:00:00"/>
    <x v="6"/>
    <x v="6"/>
    <s v="Wednesday"/>
    <x v="28"/>
    <d v="2026-07-31T00:00:00"/>
    <s v="Summer"/>
    <x v="1"/>
    <x v="2"/>
    <s v="Half Day"/>
    <n v="1"/>
    <n v="87.36"/>
    <s v="Cooler Rental"/>
    <n v="10"/>
    <n v="0"/>
    <n v="97.36"/>
    <x v="7"/>
    <x v="3"/>
    <s v="Credit Card"/>
    <s v="Windy"/>
  </r>
  <r>
    <s v="WSR-2026-1452"/>
    <d v="2026-07-15T00:00:00"/>
    <x v="6"/>
    <x v="6"/>
    <s v="Wednesday"/>
    <x v="28"/>
    <d v="2026-07-31T00:00:00"/>
    <s v="Summer"/>
    <x v="2"/>
    <x v="8"/>
    <s v="Half Day"/>
    <n v="1"/>
    <n v="26.88"/>
    <s v="None"/>
    <n v="0"/>
    <n v="0"/>
    <n v="26.88"/>
    <x v="3"/>
    <x v="3"/>
    <s v="Credit Card"/>
    <s v="Sunny"/>
  </r>
  <r>
    <s v="WSR-2026-1453"/>
    <d v="2026-07-15T00:00:00"/>
    <x v="6"/>
    <x v="6"/>
    <s v="Wednesday"/>
    <x v="28"/>
    <d v="2026-07-31T00:00:00"/>
    <s v="Summer"/>
    <x v="2"/>
    <x v="2"/>
    <s v="1 Hour"/>
    <n v="1"/>
    <n v="38.08"/>
    <s v="None"/>
    <n v="0"/>
    <n v="0"/>
    <n v="38.08"/>
    <x v="1"/>
    <x v="1"/>
    <s v="Debit Card"/>
    <s v="Sunny"/>
  </r>
  <r>
    <s v="WSR-2026-1454"/>
    <d v="2026-07-15T00:00:00"/>
    <x v="6"/>
    <x v="6"/>
    <s v="Wednesday"/>
    <x v="28"/>
    <d v="2026-07-31T00:00:00"/>
    <s v="Summer"/>
    <x v="0"/>
    <x v="5"/>
    <s v="2 Hours"/>
    <n v="1"/>
    <n v="47.04"/>
    <s v="None"/>
    <n v="0"/>
    <n v="0"/>
    <n v="47.04"/>
    <x v="0"/>
    <x v="4"/>
    <s v="Credit Card"/>
    <s v="Sunny"/>
  </r>
  <r>
    <s v="WSR-2026-1455"/>
    <d v="2026-07-15T00:00:00"/>
    <x v="6"/>
    <x v="6"/>
    <s v="Wednesday"/>
    <x v="28"/>
    <d v="2026-07-31T00:00:00"/>
    <s v="Summer"/>
    <x v="0"/>
    <x v="1"/>
    <s v="1 Hour"/>
    <n v="1"/>
    <n v="26.88"/>
    <s v="Phone Pouch"/>
    <n v="5"/>
    <n v="0"/>
    <n v="31.88"/>
    <x v="9"/>
    <x v="1"/>
    <s v="Credit Card"/>
    <s v="Sunny"/>
  </r>
  <r>
    <s v="WSR-2026-1456"/>
    <d v="2026-07-15T00:00:00"/>
    <x v="6"/>
    <x v="6"/>
    <s v="Wednesday"/>
    <x v="28"/>
    <d v="2026-07-31T00:00:00"/>
    <s v="Summer"/>
    <x v="2"/>
    <x v="1"/>
    <s v="Half Day"/>
    <n v="1"/>
    <n v="64.959999999999994"/>
    <s v="Phone Pouch"/>
    <n v="5"/>
    <n v="0"/>
    <n v="69.959999999999994"/>
    <x v="6"/>
    <x v="4"/>
    <s v="Mobile Pay"/>
    <s v="Sunny"/>
  </r>
  <r>
    <s v="WSR-2026-1457"/>
    <d v="2026-07-15T00:00:00"/>
    <x v="6"/>
    <x v="6"/>
    <s v="Wednesday"/>
    <x v="28"/>
    <d v="2026-07-31T00:00:00"/>
    <s v="Summer"/>
    <x v="3"/>
    <x v="3"/>
    <s v="Half Day"/>
    <n v="1"/>
    <n v="60.48"/>
    <s v="Dry Bag"/>
    <n v="6"/>
    <n v="0"/>
    <n v="66.48"/>
    <x v="9"/>
    <x v="3"/>
    <s v="Credit Card"/>
    <s v="Sunny"/>
  </r>
  <r>
    <s v="WSR-2026-1458"/>
    <d v="2026-07-15T00:00:00"/>
    <x v="6"/>
    <x v="6"/>
    <s v="Wednesday"/>
    <x v="28"/>
    <d v="2026-07-31T00:00:00"/>
    <s v="Summer"/>
    <x v="3"/>
    <x v="3"/>
    <s v="2 Hours"/>
    <n v="1"/>
    <n v="40.32"/>
    <s v="Dry Bag"/>
    <n v="6"/>
    <n v="0"/>
    <n v="46.32"/>
    <x v="7"/>
    <x v="2"/>
    <s v="Credit Card"/>
    <s v="Sunny"/>
  </r>
  <r>
    <s v="WSR-2026-1459"/>
    <d v="2026-07-15T00:00:00"/>
    <x v="6"/>
    <x v="6"/>
    <s v="Wednesday"/>
    <x v="28"/>
    <d v="2026-07-31T00:00:00"/>
    <s v="Summer"/>
    <x v="2"/>
    <x v="4"/>
    <s v="Half Day"/>
    <n v="1"/>
    <n v="31.36"/>
    <s v="None"/>
    <n v="0"/>
    <n v="0"/>
    <n v="31.36"/>
    <x v="5"/>
    <x v="0"/>
    <s v="Gift Card"/>
    <s v="Sunny"/>
  </r>
  <r>
    <s v="WSR-2026-1460"/>
    <d v="2026-07-15T00:00:00"/>
    <x v="6"/>
    <x v="6"/>
    <s v="Wednesday"/>
    <x v="28"/>
    <d v="2026-07-31T00:00:00"/>
    <s v="Summer"/>
    <x v="0"/>
    <x v="2"/>
    <s v="1 Hour"/>
    <n v="1"/>
    <n v="38.08"/>
    <s v="Dry Bag"/>
    <n v="6"/>
    <n v="0"/>
    <n v="44.08"/>
    <x v="9"/>
    <x v="0"/>
    <s v="Cash"/>
    <s v="Cloudy"/>
  </r>
  <r>
    <s v="WSR-2026-1461"/>
    <d v="2026-07-15T00:00:00"/>
    <x v="6"/>
    <x v="6"/>
    <s v="Wednesday"/>
    <x v="28"/>
    <d v="2026-07-31T00:00:00"/>
    <s v="Summer"/>
    <x v="2"/>
    <x v="1"/>
    <s v="Half Day"/>
    <n v="1"/>
    <n v="64.959999999999994"/>
    <s v="GoPro Mount"/>
    <n v="8"/>
    <n v="0"/>
    <n v="72.959999999999994"/>
    <x v="8"/>
    <x v="3"/>
    <s v="Credit Card"/>
    <s v="Cloudy"/>
  </r>
  <r>
    <s v="WSR-2026-1462"/>
    <d v="2026-07-16T00:00:00"/>
    <x v="6"/>
    <x v="6"/>
    <s v="Thursday"/>
    <x v="28"/>
    <d v="2026-07-31T00:00:00"/>
    <s v="Summer"/>
    <x v="0"/>
    <x v="3"/>
    <s v="Half Day"/>
    <n v="1"/>
    <n v="60.48"/>
    <s v="None"/>
    <n v="0"/>
    <n v="0"/>
    <n v="60.48"/>
    <x v="4"/>
    <x v="2"/>
    <s v="Credit Card"/>
    <s v="Sunny"/>
  </r>
  <r>
    <s v="WSR-2026-1463"/>
    <d v="2026-07-16T00:00:00"/>
    <x v="6"/>
    <x v="6"/>
    <s v="Thursday"/>
    <x v="28"/>
    <d v="2026-07-31T00:00:00"/>
    <s v="Summer"/>
    <x v="3"/>
    <x v="5"/>
    <s v="2 Hours"/>
    <n v="1"/>
    <n v="47.04"/>
    <s v="Waterproof Speaker"/>
    <n v="12"/>
    <n v="0"/>
    <n v="59.04"/>
    <x v="5"/>
    <x v="1"/>
    <s v="Mobile Pay"/>
    <s v="Cloudy"/>
  </r>
  <r>
    <s v="WSR-2026-1464"/>
    <d v="2026-07-16T00:00:00"/>
    <x v="6"/>
    <x v="6"/>
    <s v="Thursday"/>
    <x v="28"/>
    <d v="2026-07-31T00:00:00"/>
    <s v="Summer"/>
    <x v="1"/>
    <x v="1"/>
    <s v="Full Day"/>
    <n v="1"/>
    <n v="94.08"/>
    <s v="None"/>
    <n v="0"/>
    <n v="4.7"/>
    <n v="89.38"/>
    <x v="1"/>
    <x v="4"/>
    <s v="Credit Card"/>
    <s v="Sunny"/>
  </r>
  <r>
    <s v="WSR-2026-1465"/>
    <d v="2026-07-16T00:00:00"/>
    <x v="6"/>
    <x v="6"/>
    <s v="Thursday"/>
    <x v="28"/>
    <d v="2026-07-31T00:00:00"/>
    <s v="Summer"/>
    <x v="3"/>
    <x v="1"/>
    <s v="2 Hours"/>
    <n v="1"/>
    <n v="42.56"/>
    <s v="Phone Pouch"/>
    <n v="5"/>
    <n v="0"/>
    <n v="47.56"/>
    <x v="2"/>
    <x v="3"/>
    <s v="Credit Card"/>
    <s v="Sunny"/>
  </r>
  <r>
    <s v="WSR-2026-1466"/>
    <d v="2026-07-16T00:00:00"/>
    <x v="6"/>
    <x v="6"/>
    <s v="Thursday"/>
    <x v="28"/>
    <d v="2026-07-31T00:00:00"/>
    <s v="Summer"/>
    <x v="2"/>
    <x v="1"/>
    <s v="1 Hour"/>
    <n v="1"/>
    <n v="26.88"/>
    <s v="Waterproof Speaker"/>
    <n v="12"/>
    <n v="0"/>
    <n v="38.880000000000003"/>
    <x v="3"/>
    <x v="2"/>
    <s v="Cash"/>
    <s v="Sunny"/>
  </r>
  <r>
    <s v="WSR-2026-1467"/>
    <d v="2026-07-16T00:00:00"/>
    <x v="6"/>
    <x v="6"/>
    <s v="Thursday"/>
    <x v="28"/>
    <d v="2026-07-31T00:00:00"/>
    <s v="Summer"/>
    <x v="0"/>
    <x v="3"/>
    <s v="1 Hour"/>
    <n v="1"/>
    <n v="24.64"/>
    <s v="None"/>
    <n v="0"/>
    <n v="0"/>
    <n v="24.64"/>
    <x v="4"/>
    <x v="3"/>
    <s v="Credit Card"/>
    <s v="Cloudy"/>
  </r>
  <r>
    <s v="WSR-2026-1468"/>
    <d v="2026-07-16T00:00:00"/>
    <x v="6"/>
    <x v="6"/>
    <s v="Thursday"/>
    <x v="28"/>
    <d v="2026-07-31T00:00:00"/>
    <s v="Summer"/>
    <x v="0"/>
    <x v="8"/>
    <s v="2 Hours"/>
    <n v="1"/>
    <n v="17.920000000000002"/>
    <s v="None"/>
    <n v="0"/>
    <n v="0"/>
    <n v="17.920000000000002"/>
    <x v="7"/>
    <x v="3"/>
    <s v="Credit Card"/>
    <s v="Sunny"/>
  </r>
  <r>
    <s v="WSR-2026-1469"/>
    <d v="2026-07-16T00:00:00"/>
    <x v="6"/>
    <x v="6"/>
    <s v="Thursday"/>
    <x v="28"/>
    <d v="2026-07-31T00:00:00"/>
    <s v="Summer"/>
    <x v="2"/>
    <x v="7"/>
    <s v="Full Day"/>
    <n v="1"/>
    <n v="53.76"/>
    <s v="None"/>
    <n v="0"/>
    <n v="0"/>
    <n v="53.76"/>
    <x v="3"/>
    <x v="4"/>
    <s v="Mobile Pay"/>
    <s v="Sunny"/>
  </r>
  <r>
    <s v="WSR-2026-1470"/>
    <d v="2026-07-16T00:00:00"/>
    <x v="6"/>
    <x v="6"/>
    <s v="Thursday"/>
    <x v="28"/>
    <d v="2026-07-31T00:00:00"/>
    <s v="Summer"/>
    <x v="3"/>
    <x v="9"/>
    <s v="2 Hours"/>
    <n v="1"/>
    <n v="53.76"/>
    <s v="None"/>
    <n v="0"/>
    <n v="2.69"/>
    <n v="51.07"/>
    <x v="5"/>
    <x v="3"/>
    <s v="Credit Card"/>
    <s v="Sunny"/>
  </r>
  <r>
    <s v="WSR-2026-1471"/>
    <d v="2026-07-16T00:00:00"/>
    <x v="6"/>
    <x v="6"/>
    <s v="Thursday"/>
    <x v="28"/>
    <d v="2026-07-31T00:00:00"/>
    <s v="Summer"/>
    <x v="2"/>
    <x v="9"/>
    <s v="Half Day"/>
    <n v="1"/>
    <n v="80.64"/>
    <s v="None"/>
    <n v="0"/>
    <n v="0"/>
    <n v="80.64"/>
    <x v="3"/>
    <x v="1"/>
    <s v="Debit Card"/>
    <s v="Sunny"/>
  </r>
  <r>
    <s v="WSR-2026-1472"/>
    <d v="2026-07-16T00:00:00"/>
    <x v="6"/>
    <x v="6"/>
    <s v="Thursday"/>
    <x v="28"/>
    <d v="2026-07-31T00:00:00"/>
    <s v="Summer"/>
    <x v="3"/>
    <x v="1"/>
    <s v="1 Hour"/>
    <n v="1"/>
    <n v="26.88"/>
    <s v="Phone Pouch"/>
    <n v="5"/>
    <n v="0"/>
    <n v="31.88"/>
    <x v="5"/>
    <x v="3"/>
    <s v="Credit Card"/>
    <s v="Sunny"/>
  </r>
  <r>
    <s v="WSR-2026-1473"/>
    <d v="2026-07-16T00:00:00"/>
    <x v="6"/>
    <x v="6"/>
    <s v="Thursday"/>
    <x v="28"/>
    <d v="2026-07-31T00:00:00"/>
    <s v="Summer"/>
    <x v="2"/>
    <x v="8"/>
    <s v="Half Day"/>
    <n v="1"/>
    <n v="26.88"/>
    <s v="None"/>
    <n v="0"/>
    <n v="1.34"/>
    <n v="25.54"/>
    <x v="2"/>
    <x v="2"/>
    <s v="Credit Card"/>
    <s v="Sunny"/>
  </r>
  <r>
    <s v="WSR-2026-1474"/>
    <d v="2026-07-16T00:00:00"/>
    <x v="6"/>
    <x v="6"/>
    <s v="Thursday"/>
    <x v="28"/>
    <d v="2026-07-31T00:00:00"/>
    <s v="Summer"/>
    <x v="0"/>
    <x v="5"/>
    <s v="Full Day"/>
    <n v="1"/>
    <n v="98.56"/>
    <s v="None"/>
    <n v="0"/>
    <n v="0"/>
    <n v="98.56"/>
    <x v="6"/>
    <x v="4"/>
    <s v="Credit Card"/>
    <s v="Cloudy"/>
  </r>
  <r>
    <s v="WSR-2026-1475"/>
    <d v="2026-07-16T00:00:00"/>
    <x v="6"/>
    <x v="6"/>
    <s v="Thursday"/>
    <x v="28"/>
    <d v="2026-07-31T00:00:00"/>
    <s v="Summer"/>
    <x v="3"/>
    <x v="1"/>
    <s v="Half Day"/>
    <n v="1"/>
    <n v="64.959999999999994"/>
    <s v="Dry Bag"/>
    <n v="6"/>
    <n v="0"/>
    <n v="70.959999999999994"/>
    <x v="2"/>
    <x v="3"/>
    <s v="Debit Card"/>
    <s v="Sunny"/>
  </r>
  <r>
    <s v="WSR-2026-1476"/>
    <d v="2026-07-16T00:00:00"/>
    <x v="6"/>
    <x v="6"/>
    <s v="Thursday"/>
    <x v="28"/>
    <d v="2026-07-31T00:00:00"/>
    <s v="Summer"/>
    <x v="2"/>
    <x v="7"/>
    <s v="2 Hours"/>
    <n v="1"/>
    <n v="24.64"/>
    <s v="None"/>
    <n v="0"/>
    <n v="0"/>
    <n v="24.64"/>
    <x v="3"/>
    <x v="2"/>
    <s v="Debit Card"/>
    <s v="Sunny"/>
  </r>
  <r>
    <s v="WSR-2026-1477"/>
    <d v="2026-07-16T00:00:00"/>
    <x v="6"/>
    <x v="6"/>
    <s v="Thursday"/>
    <x v="28"/>
    <d v="2026-07-31T00:00:00"/>
    <s v="Summer"/>
    <x v="1"/>
    <x v="9"/>
    <s v="Full Day"/>
    <n v="1"/>
    <n v="116.48"/>
    <s v="Cooler Rental"/>
    <n v="10"/>
    <n v="6.32"/>
    <n v="120.16"/>
    <x v="2"/>
    <x v="2"/>
    <s v="Credit Card"/>
    <s v="Sunny"/>
  </r>
  <r>
    <s v="WSR-2026-1478"/>
    <d v="2026-07-16T00:00:00"/>
    <x v="6"/>
    <x v="6"/>
    <s v="Thursday"/>
    <x v="28"/>
    <d v="2026-07-31T00:00:00"/>
    <s v="Summer"/>
    <x v="0"/>
    <x v="5"/>
    <s v="Half Day"/>
    <n v="1"/>
    <n v="69.44"/>
    <s v="None"/>
    <n v="0"/>
    <n v="3.47"/>
    <n v="65.97"/>
    <x v="6"/>
    <x v="4"/>
    <s v="Credit Card"/>
    <s v="Sunny"/>
  </r>
  <r>
    <s v="WSR-2026-1479"/>
    <d v="2026-07-16T00:00:00"/>
    <x v="6"/>
    <x v="6"/>
    <s v="Thursday"/>
    <x v="28"/>
    <d v="2026-07-31T00:00:00"/>
    <s v="Summer"/>
    <x v="3"/>
    <x v="8"/>
    <s v="2 Hours"/>
    <n v="1"/>
    <n v="17.920000000000002"/>
    <s v="None"/>
    <n v="0"/>
    <n v="0"/>
    <n v="17.920000000000002"/>
    <x v="2"/>
    <x v="4"/>
    <s v="Debit Card"/>
    <s v="Sunny"/>
  </r>
  <r>
    <s v="WSR-2026-1480"/>
    <d v="2026-07-16T00:00:00"/>
    <x v="6"/>
    <x v="6"/>
    <s v="Thursday"/>
    <x v="28"/>
    <d v="2026-07-31T00:00:00"/>
    <s v="Summer"/>
    <x v="2"/>
    <x v="2"/>
    <s v="1 Hour"/>
    <n v="1"/>
    <n v="38.08"/>
    <s v="Dry Bag"/>
    <n v="6"/>
    <n v="0"/>
    <n v="44.08"/>
    <x v="6"/>
    <x v="1"/>
    <s v="Cash"/>
    <s v="Sunny"/>
  </r>
  <r>
    <s v="WSR-2026-1481"/>
    <d v="2026-07-16T00:00:00"/>
    <x v="6"/>
    <x v="6"/>
    <s v="Thursday"/>
    <x v="28"/>
    <d v="2026-07-31T00:00:00"/>
    <s v="Summer"/>
    <x v="0"/>
    <x v="7"/>
    <s v="Half Day"/>
    <n v="1"/>
    <n v="38.08"/>
    <s v="Dry Bag"/>
    <n v="6"/>
    <n v="0"/>
    <n v="44.08"/>
    <x v="8"/>
    <x v="1"/>
    <s v="Credit Card"/>
    <s v="Sunny"/>
  </r>
  <r>
    <s v="WSR-2026-1482"/>
    <d v="2026-07-16T00:00:00"/>
    <x v="6"/>
    <x v="6"/>
    <s v="Thursday"/>
    <x v="28"/>
    <d v="2026-07-31T00:00:00"/>
    <s v="Summer"/>
    <x v="3"/>
    <x v="2"/>
    <s v="2 Hours"/>
    <n v="1"/>
    <n v="58.24"/>
    <s v="Dry Bag"/>
    <n v="6"/>
    <n v="0"/>
    <n v="64.239999999999995"/>
    <x v="1"/>
    <x v="4"/>
    <s v="Mobile Pay"/>
    <s v="Sunny"/>
  </r>
  <r>
    <s v="WSR-2026-1483"/>
    <d v="2026-07-16T00:00:00"/>
    <x v="6"/>
    <x v="6"/>
    <s v="Thursday"/>
    <x v="28"/>
    <d v="2026-07-31T00:00:00"/>
    <s v="Summer"/>
    <x v="2"/>
    <x v="3"/>
    <s v="Full Day"/>
    <n v="1"/>
    <n v="85.12"/>
    <s v="Phone Pouch"/>
    <n v="5"/>
    <n v="0"/>
    <n v="90.12"/>
    <x v="1"/>
    <x v="1"/>
    <s v="Cash"/>
    <s v="Sunny"/>
  </r>
  <r>
    <s v="WSR-2026-1484"/>
    <d v="2026-07-17T00:00:00"/>
    <x v="6"/>
    <x v="6"/>
    <s v="Friday"/>
    <x v="28"/>
    <d v="2026-07-31T00:00:00"/>
    <s v="Summer"/>
    <x v="2"/>
    <x v="3"/>
    <s v="1 Hour"/>
    <n v="1"/>
    <n v="24.64"/>
    <s v="None"/>
    <n v="0"/>
    <n v="0"/>
    <n v="24.64"/>
    <x v="4"/>
    <x v="0"/>
    <s v="Mobile Pay"/>
    <s v="Sunny"/>
  </r>
  <r>
    <s v="WSR-2026-1485"/>
    <d v="2026-07-17T00:00:00"/>
    <x v="6"/>
    <x v="6"/>
    <s v="Friday"/>
    <x v="28"/>
    <d v="2026-07-31T00:00:00"/>
    <s v="Summer"/>
    <x v="0"/>
    <x v="3"/>
    <s v="1 Hour"/>
    <n v="1"/>
    <n v="24.64"/>
    <s v="GoPro Mount"/>
    <n v="8"/>
    <n v="0"/>
    <n v="32.64"/>
    <x v="4"/>
    <x v="3"/>
    <s v="Debit Card"/>
    <s v="Sunny"/>
  </r>
  <r>
    <s v="WSR-2026-1486"/>
    <d v="2026-07-17T00:00:00"/>
    <x v="6"/>
    <x v="6"/>
    <s v="Friday"/>
    <x v="28"/>
    <d v="2026-07-31T00:00:00"/>
    <s v="Summer"/>
    <x v="4"/>
    <x v="3"/>
    <s v="Full Day"/>
    <n v="1"/>
    <n v="85.12"/>
    <s v="None"/>
    <n v="0"/>
    <n v="8.51"/>
    <n v="76.61"/>
    <x v="5"/>
    <x v="0"/>
    <s v="Credit Card"/>
    <s v="Sunny"/>
  </r>
  <r>
    <s v="WSR-2026-1487"/>
    <d v="2026-07-17T00:00:00"/>
    <x v="6"/>
    <x v="6"/>
    <s v="Friday"/>
    <x v="28"/>
    <d v="2026-07-31T00:00:00"/>
    <s v="Summer"/>
    <x v="3"/>
    <x v="8"/>
    <s v="2 Hours"/>
    <n v="1"/>
    <n v="17.920000000000002"/>
    <s v="None"/>
    <n v="0"/>
    <n v="0"/>
    <n v="17.920000000000002"/>
    <x v="0"/>
    <x v="3"/>
    <s v="Mobile Pay"/>
    <s v="Sunny"/>
  </r>
  <r>
    <s v="WSR-2026-1488"/>
    <d v="2026-07-17T00:00:00"/>
    <x v="6"/>
    <x v="6"/>
    <s v="Friday"/>
    <x v="28"/>
    <d v="2026-07-31T00:00:00"/>
    <s v="Summer"/>
    <x v="2"/>
    <x v="5"/>
    <s v="Half Day"/>
    <n v="1"/>
    <n v="69.44"/>
    <s v="Phone Pouch"/>
    <n v="5"/>
    <n v="0"/>
    <n v="74.44"/>
    <x v="8"/>
    <x v="0"/>
    <s v="Credit Card"/>
    <s v="Windy"/>
  </r>
  <r>
    <s v="WSR-2026-1489"/>
    <d v="2026-07-17T00:00:00"/>
    <x v="6"/>
    <x v="6"/>
    <s v="Friday"/>
    <x v="28"/>
    <d v="2026-07-31T00:00:00"/>
    <s v="Summer"/>
    <x v="0"/>
    <x v="0"/>
    <s v="Full Day"/>
    <n v="1"/>
    <n v="123.2"/>
    <s v="None"/>
    <n v="0"/>
    <n v="0"/>
    <n v="123.2"/>
    <x v="7"/>
    <x v="3"/>
    <s v="Debit Card"/>
    <s v="Sunny"/>
  </r>
  <r>
    <s v="WSR-2026-1490"/>
    <d v="2026-07-17T00:00:00"/>
    <x v="6"/>
    <x v="6"/>
    <s v="Friday"/>
    <x v="28"/>
    <d v="2026-07-31T00:00:00"/>
    <s v="Summer"/>
    <x v="1"/>
    <x v="8"/>
    <s v="2 Hours"/>
    <n v="1"/>
    <n v="17.920000000000002"/>
    <s v="Cooler Rental"/>
    <n v="10"/>
    <n v="0"/>
    <n v="27.92"/>
    <x v="6"/>
    <x v="1"/>
    <s v="Cash"/>
    <s v="Sunny"/>
  </r>
  <r>
    <s v="WSR-2026-1491"/>
    <d v="2026-07-17T00:00:00"/>
    <x v="6"/>
    <x v="6"/>
    <s v="Friday"/>
    <x v="28"/>
    <d v="2026-07-31T00:00:00"/>
    <s v="Summer"/>
    <x v="1"/>
    <x v="3"/>
    <s v="Full Day"/>
    <n v="1"/>
    <n v="85.12"/>
    <s v="Dry Bag"/>
    <n v="6"/>
    <n v="0"/>
    <n v="91.12"/>
    <x v="6"/>
    <x v="4"/>
    <s v="Mobile Pay"/>
    <s v="Sunny"/>
  </r>
  <r>
    <s v="WSR-2026-1492"/>
    <d v="2026-07-17T00:00:00"/>
    <x v="6"/>
    <x v="6"/>
    <s v="Friday"/>
    <x v="28"/>
    <d v="2026-07-31T00:00:00"/>
    <s v="Summer"/>
    <x v="2"/>
    <x v="1"/>
    <s v="Half Day"/>
    <n v="1"/>
    <n v="64.959999999999994"/>
    <s v="Cooler Rental"/>
    <n v="10"/>
    <n v="0"/>
    <n v="74.959999999999994"/>
    <x v="2"/>
    <x v="2"/>
    <s v="Debit Card"/>
    <s v="Sunny"/>
  </r>
  <r>
    <s v="WSR-2026-1493"/>
    <d v="2026-07-17T00:00:00"/>
    <x v="6"/>
    <x v="6"/>
    <s v="Friday"/>
    <x v="28"/>
    <d v="2026-07-31T00:00:00"/>
    <s v="Summer"/>
    <x v="3"/>
    <x v="5"/>
    <s v="2 Hours"/>
    <n v="1"/>
    <n v="47.04"/>
    <s v="None"/>
    <n v="0"/>
    <n v="0"/>
    <n v="47.04"/>
    <x v="3"/>
    <x v="1"/>
    <s v="Credit Card"/>
    <s v="Sunny"/>
  </r>
  <r>
    <s v="WSR-2026-1494"/>
    <d v="2026-07-17T00:00:00"/>
    <x v="6"/>
    <x v="6"/>
    <s v="Friday"/>
    <x v="28"/>
    <d v="2026-07-31T00:00:00"/>
    <s v="Summer"/>
    <x v="3"/>
    <x v="7"/>
    <s v="Half Day"/>
    <n v="1"/>
    <n v="38.08"/>
    <s v="None"/>
    <n v="0"/>
    <n v="0"/>
    <n v="38.08"/>
    <x v="3"/>
    <x v="4"/>
    <s v="Credit Card"/>
    <s v="Sunny"/>
  </r>
  <r>
    <s v="WSR-2026-1495"/>
    <d v="2026-07-17T00:00:00"/>
    <x v="6"/>
    <x v="6"/>
    <s v="Friday"/>
    <x v="28"/>
    <d v="2026-07-31T00:00:00"/>
    <s v="Summer"/>
    <x v="1"/>
    <x v="1"/>
    <s v="1 Hour"/>
    <n v="1"/>
    <n v="26.88"/>
    <s v="Phone Pouch"/>
    <n v="5"/>
    <n v="3.19"/>
    <n v="28.69"/>
    <x v="3"/>
    <x v="2"/>
    <s v="Debit Card"/>
    <s v="Sunny"/>
  </r>
  <r>
    <s v="WSR-2026-1496"/>
    <d v="2026-07-17T00:00:00"/>
    <x v="6"/>
    <x v="6"/>
    <s v="Friday"/>
    <x v="28"/>
    <d v="2026-07-31T00:00:00"/>
    <s v="Summer"/>
    <x v="0"/>
    <x v="0"/>
    <s v="1 Hour"/>
    <n v="1"/>
    <n v="35.840000000000003"/>
    <s v="None"/>
    <n v="0"/>
    <n v="0"/>
    <n v="35.840000000000003"/>
    <x v="8"/>
    <x v="4"/>
    <s v="Debit Card"/>
    <s v="Sunny"/>
  </r>
  <r>
    <s v="WSR-2026-1497"/>
    <d v="2026-07-17T00:00:00"/>
    <x v="6"/>
    <x v="6"/>
    <s v="Friday"/>
    <x v="28"/>
    <d v="2026-07-31T00:00:00"/>
    <s v="Summer"/>
    <x v="0"/>
    <x v="1"/>
    <s v="2 Hours"/>
    <n v="1"/>
    <n v="42.56"/>
    <s v="None"/>
    <n v="0"/>
    <n v="0"/>
    <n v="42.56"/>
    <x v="7"/>
    <x v="4"/>
    <s v="Credit Card"/>
    <s v="Sunny"/>
  </r>
  <r>
    <s v="WSR-2026-1498"/>
    <d v="2026-07-17T00:00:00"/>
    <x v="6"/>
    <x v="6"/>
    <s v="Friday"/>
    <x v="28"/>
    <d v="2026-07-31T00:00:00"/>
    <s v="Summer"/>
    <x v="3"/>
    <x v="5"/>
    <s v="2 Hours"/>
    <n v="1"/>
    <n v="47.04"/>
    <s v="Dry Bag"/>
    <n v="6"/>
    <n v="0"/>
    <n v="53.04"/>
    <x v="7"/>
    <x v="3"/>
    <s v="Debit Card"/>
    <s v="Sunny"/>
  </r>
  <r>
    <s v="WSR-2026-1499"/>
    <d v="2026-07-17T00:00:00"/>
    <x v="6"/>
    <x v="6"/>
    <s v="Friday"/>
    <x v="28"/>
    <d v="2026-07-31T00:00:00"/>
    <s v="Summer"/>
    <x v="1"/>
    <x v="5"/>
    <s v="1 Hour"/>
    <n v="1"/>
    <n v="29.12"/>
    <s v="Dry Bag"/>
    <n v="6"/>
    <n v="3.51"/>
    <n v="31.61"/>
    <x v="8"/>
    <x v="4"/>
    <s v="Credit Card"/>
    <s v="Sunny"/>
  </r>
  <r>
    <s v="WSR-2026-1500"/>
    <d v="2026-07-17T00:00:00"/>
    <x v="6"/>
    <x v="6"/>
    <s v="Friday"/>
    <x v="28"/>
    <d v="2026-07-31T00:00:00"/>
    <s v="Summer"/>
    <x v="0"/>
    <x v="0"/>
    <s v="Full Day"/>
    <n v="1"/>
    <n v="123.2"/>
    <s v="None"/>
    <n v="0"/>
    <n v="0"/>
    <n v="123.2"/>
    <x v="9"/>
    <x v="2"/>
    <s v="Cash"/>
    <s v="Windy"/>
  </r>
  <r>
    <s v="WSR-2026-1501"/>
    <d v="2026-07-17T00:00:00"/>
    <x v="6"/>
    <x v="6"/>
    <s v="Friday"/>
    <x v="28"/>
    <d v="2026-07-31T00:00:00"/>
    <s v="Summer"/>
    <x v="2"/>
    <x v="5"/>
    <s v="1 Hour"/>
    <n v="1"/>
    <n v="29.12"/>
    <s v="None"/>
    <n v="0"/>
    <n v="0"/>
    <n v="29.12"/>
    <x v="4"/>
    <x v="0"/>
    <s v="Credit Card"/>
    <s v="Sunny"/>
  </r>
  <r>
    <s v="WSR-2026-1502"/>
    <d v="2026-07-17T00:00:00"/>
    <x v="6"/>
    <x v="6"/>
    <s v="Friday"/>
    <x v="28"/>
    <d v="2026-07-31T00:00:00"/>
    <s v="Summer"/>
    <x v="0"/>
    <x v="8"/>
    <s v="2 Hours"/>
    <n v="1"/>
    <n v="17.920000000000002"/>
    <s v="Cooler Rental"/>
    <n v="10"/>
    <n v="0"/>
    <n v="27.92"/>
    <x v="1"/>
    <x v="2"/>
    <s v="Credit Card"/>
    <s v="Windy"/>
  </r>
  <r>
    <s v="WSR-2026-1503"/>
    <d v="2026-07-17T00:00:00"/>
    <x v="6"/>
    <x v="6"/>
    <s v="Friday"/>
    <x v="28"/>
    <d v="2026-07-31T00:00:00"/>
    <s v="Summer"/>
    <x v="3"/>
    <x v="8"/>
    <s v="Half Day"/>
    <n v="1"/>
    <n v="26.88"/>
    <s v="None"/>
    <n v="0"/>
    <n v="0"/>
    <n v="26.88"/>
    <x v="3"/>
    <x v="1"/>
    <s v="Mobile Pay"/>
    <s v="Sunny"/>
  </r>
  <r>
    <s v="WSR-2026-1504"/>
    <d v="2026-07-17T00:00:00"/>
    <x v="6"/>
    <x v="6"/>
    <s v="Friday"/>
    <x v="28"/>
    <d v="2026-07-31T00:00:00"/>
    <s v="Summer"/>
    <x v="4"/>
    <x v="2"/>
    <s v="2 Hours"/>
    <n v="1"/>
    <n v="58.24"/>
    <s v="GoPro Mount"/>
    <n v="8"/>
    <n v="9.94"/>
    <n v="56.3"/>
    <x v="1"/>
    <x v="1"/>
    <s v="Credit Card"/>
    <s v="Sunny"/>
  </r>
  <r>
    <s v="WSR-2026-1505"/>
    <d v="2026-07-17T00:00:00"/>
    <x v="6"/>
    <x v="6"/>
    <s v="Friday"/>
    <x v="28"/>
    <d v="2026-07-31T00:00:00"/>
    <s v="Summer"/>
    <x v="3"/>
    <x v="1"/>
    <s v="1 Hour"/>
    <n v="1"/>
    <n v="26.88"/>
    <s v="Cooler Rental"/>
    <n v="10"/>
    <n v="0"/>
    <n v="36.880000000000003"/>
    <x v="7"/>
    <x v="2"/>
    <s v="Credit Card"/>
    <s v="Sunny"/>
  </r>
  <r>
    <s v="WSR-2026-1506"/>
    <d v="2026-07-17T00:00:00"/>
    <x v="6"/>
    <x v="6"/>
    <s v="Friday"/>
    <x v="28"/>
    <d v="2026-07-31T00:00:00"/>
    <s v="Summer"/>
    <x v="4"/>
    <x v="3"/>
    <s v="Half Day"/>
    <n v="1"/>
    <n v="60.48"/>
    <s v="Cooler Rental"/>
    <n v="10"/>
    <n v="10.57"/>
    <n v="59.91"/>
    <x v="5"/>
    <x v="2"/>
    <s v="Debit Card"/>
    <s v="Sunny"/>
  </r>
  <r>
    <s v="WSR-2026-1507"/>
    <d v="2026-07-17T00:00:00"/>
    <x v="6"/>
    <x v="6"/>
    <s v="Friday"/>
    <x v="28"/>
    <d v="2026-07-31T00:00:00"/>
    <s v="Summer"/>
    <x v="3"/>
    <x v="1"/>
    <s v="1 Hour"/>
    <n v="1"/>
    <n v="26.88"/>
    <s v="Waterproof Speaker"/>
    <n v="12"/>
    <n v="0"/>
    <n v="38.880000000000003"/>
    <x v="2"/>
    <x v="4"/>
    <s v="Credit Card"/>
    <s v="Cloudy"/>
  </r>
  <r>
    <s v="WSR-2026-1508"/>
    <d v="2026-07-18T00:00:00"/>
    <x v="6"/>
    <x v="6"/>
    <s v="Saturday"/>
    <x v="28"/>
    <d v="2026-07-31T00:00:00"/>
    <s v="Summer"/>
    <x v="1"/>
    <x v="1"/>
    <s v="1 Hour"/>
    <n v="1"/>
    <n v="28.8"/>
    <s v="None"/>
    <n v="0"/>
    <n v="1.44"/>
    <n v="27.36"/>
    <x v="2"/>
    <x v="0"/>
    <s v="Credit Card"/>
    <s v="Sunny"/>
  </r>
  <r>
    <s v="WSR-2026-1509"/>
    <d v="2026-07-18T00:00:00"/>
    <x v="6"/>
    <x v="6"/>
    <s v="Saturday"/>
    <x v="28"/>
    <d v="2026-07-31T00:00:00"/>
    <s v="Summer"/>
    <x v="3"/>
    <x v="2"/>
    <s v="1 Hour"/>
    <n v="1"/>
    <n v="40.799999999999997"/>
    <s v="None"/>
    <n v="0"/>
    <n v="2.04"/>
    <n v="38.76"/>
    <x v="1"/>
    <x v="4"/>
    <s v="Mobile Pay"/>
    <s v="Sunny"/>
  </r>
  <r>
    <s v="WSR-2026-1510"/>
    <d v="2026-07-18T00:00:00"/>
    <x v="6"/>
    <x v="6"/>
    <s v="Saturday"/>
    <x v="28"/>
    <d v="2026-07-31T00:00:00"/>
    <s v="Summer"/>
    <x v="1"/>
    <x v="4"/>
    <s v="Full Day"/>
    <n v="1"/>
    <n v="48"/>
    <s v="None"/>
    <n v="0"/>
    <n v="4.8"/>
    <n v="43.2"/>
    <x v="4"/>
    <x v="0"/>
    <s v="Debit Card"/>
    <s v="Sunny"/>
  </r>
  <r>
    <s v="WSR-2026-1511"/>
    <d v="2026-07-18T00:00:00"/>
    <x v="6"/>
    <x v="6"/>
    <s v="Saturday"/>
    <x v="28"/>
    <d v="2026-07-31T00:00:00"/>
    <s v="Summer"/>
    <x v="2"/>
    <x v="3"/>
    <s v="1 Hour"/>
    <n v="1"/>
    <n v="26.4"/>
    <s v="Waterproof Speaker"/>
    <n v="12"/>
    <n v="1.92"/>
    <n v="36.479999999999997"/>
    <x v="9"/>
    <x v="3"/>
    <s v="Credit Card"/>
    <s v="Sunny"/>
  </r>
  <r>
    <s v="WSR-2026-1512"/>
    <d v="2026-07-18T00:00:00"/>
    <x v="6"/>
    <x v="6"/>
    <s v="Saturday"/>
    <x v="28"/>
    <d v="2026-07-31T00:00:00"/>
    <s v="Summer"/>
    <x v="1"/>
    <x v="5"/>
    <s v="2 Hours"/>
    <n v="1"/>
    <n v="50.4"/>
    <s v="None"/>
    <n v="0"/>
    <n v="0"/>
    <n v="50.4"/>
    <x v="0"/>
    <x v="3"/>
    <s v="Credit Card"/>
    <s v="Sunny"/>
  </r>
  <r>
    <s v="WSR-2026-1513"/>
    <d v="2026-07-18T00:00:00"/>
    <x v="6"/>
    <x v="6"/>
    <s v="Saturday"/>
    <x v="28"/>
    <d v="2026-07-31T00:00:00"/>
    <s v="Summer"/>
    <x v="2"/>
    <x v="5"/>
    <s v="1 Hour"/>
    <n v="1"/>
    <n v="31.2"/>
    <s v="Phone Pouch"/>
    <n v="5"/>
    <n v="0"/>
    <n v="36.200000000000003"/>
    <x v="6"/>
    <x v="3"/>
    <s v="Credit Card"/>
    <s v="Sunny"/>
  </r>
  <r>
    <s v="WSR-2026-1514"/>
    <d v="2026-07-18T00:00:00"/>
    <x v="6"/>
    <x v="6"/>
    <s v="Saturday"/>
    <x v="28"/>
    <d v="2026-07-31T00:00:00"/>
    <s v="Summer"/>
    <x v="2"/>
    <x v="5"/>
    <s v="Full Day"/>
    <n v="1"/>
    <n v="105.6"/>
    <s v="None"/>
    <n v="0"/>
    <n v="0"/>
    <n v="105.6"/>
    <x v="5"/>
    <x v="0"/>
    <s v="Debit Card"/>
    <s v="Windy"/>
  </r>
  <r>
    <s v="WSR-2026-1515"/>
    <d v="2026-07-18T00:00:00"/>
    <x v="6"/>
    <x v="6"/>
    <s v="Saturday"/>
    <x v="28"/>
    <d v="2026-07-31T00:00:00"/>
    <s v="Summer"/>
    <x v="3"/>
    <x v="9"/>
    <s v="1 Hour"/>
    <n v="1"/>
    <n v="36"/>
    <s v="None"/>
    <n v="0"/>
    <n v="0"/>
    <n v="36"/>
    <x v="4"/>
    <x v="4"/>
    <s v="Gift Card"/>
    <s v="Sunny"/>
  </r>
  <r>
    <s v="WSR-2026-1516"/>
    <d v="2026-07-18T00:00:00"/>
    <x v="6"/>
    <x v="6"/>
    <s v="Saturday"/>
    <x v="28"/>
    <d v="2026-07-31T00:00:00"/>
    <s v="Summer"/>
    <x v="3"/>
    <x v="0"/>
    <s v="Half Day"/>
    <n v="1"/>
    <n v="91.2"/>
    <s v="None"/>
    <n v="0"/>
    <n v="0"/>
    <n v="91.2"/>
    <x v="9"/>
    <x v="1"/>
    <s v="Credit Card"/>
    <s v="Sunny"/>
  </r>
  <r>
    <s v="WSR-2026-1517"/>
    <d v="2026-07-18T00:00:00"/>
    <x v="6"/>
    <x v="6"/>
    <s v="Saturday"/>
    <x v="28"/>
    <d v="2026-07-31T00:00:00"/>
    <s v="Summer"/>
    <x v="2"/>
    <x v="4"/>
    <s v="2 Hours"/>
    <n v="1"/>
    <n v="21.6"/>
    <s v="None"/>
    <n v="0"/>
    <n v="0"/>
    <n v="21.6"/>
    <x v="6"/>
    <x v="2"/>
    <s v="Credit Card"/>
    <s v="Sunny"/>
  </r>
  <r>
    <s v="WSR-2026-1518"/>
    <d v="2026-07-18T00:00:00"/>
    <x v="6"/>
    <x v="6"/>
    <s v="Saturday"/>
    <x v="28"/>
    <d v="2026-07-31T00:00:00"/>
    <s v="Summer"/>
    <x v="2"/>
    <x v="2"/>
    <s v="2 Hours"/>
    <n v="1"/>
    <n v="62.4"/>
    <s v="None"/>
    <n v="0"/>
    <n v="3.12"/>
    <n v="59.28"/>
    <x v="8"/>
    <x v="3"/>
    <s v="Credit Card"/>
    <s v="Sunny"/>
  </r>
  <r>
    <s v="WSR-2026-1519"/>
    <d v="2026-07-18T00:00:00"/>
    <x v="6"/>
    <x v="6"/>
    <s v="Saturday"/>
    <x v="28"/>
    <d v="2026-07-31T00:00:00"/>
    <s v="Summer"/>
    <x v="3"/>
    <x v="5"/>
    <s v="2 Hours"/>
    <n v="1"/>
    <n v="50.4"/>
    <s v="None"/>
    <n v="0"/>
    <n v="0"/>
    <n v="50.4"/>
    <x v="9"/>
    <x v="0"/>
    <s v="Cash"/>
    <s v="Sunny"/>
  </r>
  <r>
    <s v="WSR-2026-1520"/>
    <d v="2026-07-18T00:00:00"/>
    <x v="6"/>
    <x v="6"/>
    <s v="Saturday"/>
    <x v="28"/>
    <d v="2026-07-31T00:00:00"/>
    <s v="Summer"/>
    <x v="2"/>
    <x v="3"/>
    <s v="2 Hours"/>
    <n v="1"/>
    <n v="43.2"/>
    <s v="None"/>
    <n v="0"/>
    <n v="0"/>
    <n v="43.2"/>
    <x v="3"/>
    <x v="1"/>
    <s v="Cash"/>
    <s v="Windy"/>
  </r>
  <r>
    <s v="WSR-2026-1521"/>
    <d v="2026-07-18T00:00:00"/>
    <x v="6"/>
    <x v="6"/>
    <s v="Saturday"/>
    <x v="28"/>
    <d v="2026-07-31T00:00:00"/>
    <s v="Summer"/>
    <x v="2"/>
    <x v="2"/>
    <s v="Half Day"/>
    <n v="1"/>
    <n v="93.6"/>
    <s v="None"/>
    <n v="0"/>
    <n v="0"/>
    <n v="93.6"/>
    <x v="5"/>
    <x v="4"/>
    <s v="Cash"/>
    <s v="Sunny"/>
  </r>
  <r>
    <s v="WSR-2026-1522"/>
    <d v="2026-07-18T00:00:00"/>
    <x v="6"/>
    <x v="6"/>
    <s v="Saturday"/>
    <x v="28"/>
    <d v="2026-07-31T00:00:00"/>
    <s v="Summer"/>
    <x v="0"/>
    <x v="2"/>
    <s v="1 Hour"/>
    <n v="1"/>
    <n v="40.799999999999997"/>
    <s v="GoPro Mount"/>
    <n v="8"/>
    <n v="2.44"/>
    <n v="46.36"/>
    <x v="4"/>
    <x v="0"/>
    <s v="Credit Card"/>
    <s v="Sunny"/>
  </r>
  <r>
    <s v="WSR-2026-1523"/>
    <d v="2026-07-18T00:00:00"/>
    <x v="6"/>
    <x v="6"/>
    <s v="Saturday"/>
    <x v="28"/>
    <d v="2026-07-31T00:00:00"/>
    <s v="Summer"/>
    <x v="2"/>
    <x v="5"/>
    <s v="1 Hour"/>
    <n v="1"/>
    <n v="31.2"/>
    <s v="GoPro Mount"/>
    <n v="8"/>
    <n v="0"/>
    <n v="39.200000000000003"/>
    <x v="3"/>
    <x v="1"/>
    <s v="Credit Card"/>
    <s v="Sunny"/>
  </r>
  <r>
    <s v="WSR-2026-1524"/>
    <d v="2026-07-18T00:00:00"/>
    <x v="6"/>
    <x v="6"/>
    <s v="Saturday"/>
    <x v="28"/>
    <d v="2026-07-31T00:00:00"/>
    <s v="Summer"/>
    <x v="3"/>
    <x v="3"/>
    <s v="1 Hour"/>
    <n v="1"/>
    <n v="26.4"/>
    <s v="Phone Pouch"/>
    <n v="5"/>
    <n v="0"/>
    <n v="31.4"/>
    <x v="4"/>
    <x v="2"/>
    <s v="Credit Card"/>
    <s v="Sunny"/>
  </r>
  <r>
    <s v="WSR-2026-1525"/>
    <d v="2026-07-18T00:00:00"/>
    <x v="6"/>
    <x v="6"/>
    <s v="Saturday"/>
    <x v="28"/>
    <d v="2026-07-31T00:00:00"/>
    <s v="Summer"/>
    <x v="2"/>
    <x v="1"/>
    <s v="Half Day"/>
    <n v="1"/>
    <n v="69.599999999999994"/>
    <s v="Premium Life Jacket"/>
    <n v="7"/>
    <n v="0"/>
    <n v="76.599999999999994"/>
    <x v="8"/>
    <x v="0"/>
    <s v="Credit Card"/>
    <s v="Cloudy"/>
  </r>
  <r>
    <s v="WSR-2026-1526"/>
    <d v="2026-07-18T00:00:00"/>
    <x v="6"/>
    <x v="6"/>
    <s v="Saturday"/>
    <x v="28"/>
    <d v="2026-07-31T00:00:00"/>
    <s v="Summer"/>
    <x v="3"/>
    <x v="3"/>
    <s v="2 Hours"/>
    <n v="1"/>
    <n v="43.2"/>
    <s v="None"/>
    <n v="0"/>
    <n v="0"/>
    <n v="43.2"/>
    <x v="5"/>
    <x v="0"/>
    <s v="Mobile Pay"/>
    <s v="Cloudy"/>
  </r>
  <r>
    <s v="WSR-2026-1527"/>
    <d v="2026-07-18T00:00:00"/>
    <x v="6"/>
    <x v="6"/>
    <s v="Saturday"/>
    <x v="28"/>
    <d v="2026-07-31T00:00:00"/>
    <s v="Summer"/>
    <x v="0"/>
    <x v="9"/>
    <s v="1 Hour"/>
    <n v="1"/>
    <n v="36"/>
    <s v="Phone Pouch"/>
    <n v="5"/>
    <n v="0"/>
    <n v="41"/>
    <x v="5"/>
    <x v="3"/>
    <s v="Credit Card"/>
    <s v="Sunny"/>
  </r>
  <r>
    <s v="WSR-2026-1528"/>
    <d v="2026-07-18T00:00:00"/>
    <x v="6"/>
    <x v="6"/>
    <s v="Saturday"/>
    <x v="28"/>
    <d v="2026-07-31T00:00:00"/>
    <s v="Summer"/>
    <x v="0"/>
    <x v="5"/>
    <s v="2 Hours"/>
    <n v="1"/>
    <n v="50.4"/>
    <s v="Premium Life Jacket"/>
    <n v="7"/>
    <n v="0"/>
    <n v="57.4"/>
    <x v="0"/>
    <x v="2"/>
    <s v="Debit Card"/>
    <s v="Cloudy"/>
  </r>
  <r>
    <s v="WSR-2026-1529"/>
    <d v="2026-07-18T00:00:00"/>
    <x v="6"/>
    <x v="6"/>
    <s v="Saturday"/>
    <x v="28"/>
    <d v="2026-07-31T00:00:00"/>
    <s v="Summer"/>
    <x v="1"/>
    <x v="5"/>
    <s v="Full Day"/>
    <n v="1"/>
    <n v="105.6"/>
    <s v="Waterproof Speaker"/>
    <n v="12"/>
    <n v="5.88"/>
    <n v="111.72"/>
    <x v="2"/>
    <x v="4"/>
    <s v="Cash"/>
    <s v="Cloudy"/>
  </r>
  <r>
    <s v="WSR-2026-1530"/>
    <d v="2026-07-18T00:00:00"/>
    <x v="6"/>
    <x v="6"/>
    <s v="Saturday"/>
    <x v="28"/>
    <d v="2026-07-31T00:00:00"/>
    <s v="Summer"/>
    <x v="3"/>
    <x v="3"/>
    <s v="2 Hours"/>
    <n v="1"/>
    <n v="43.2"/>
    <s v="None"/>
    <n v="0"/>
    <n v="0"/>
    <n v="43.2"/>
    <x v="4"/>
    <x v="0"/>
    <s v="Credit Card"/>
    <s v="Sunny"/>
  </r>
  <r>
    <s v="WSR-2026-1531"/>
    <d v="2026-07-18T00:00:00"/>
    <x v="6"/>
    <x v="6"/>
    <s v="Saturday"/>
    <x v="28"/>
    <d v="2026-07-31T00:00:00"/>
    <s v="Summer"/>
    <x v="2"/>
    <x v="5"/>
    <s v="1 Hour"/>
    <n v="1"/>
    <n v="31.2"/>
    <s v="Dry Bag"/>
    <n v="6"/>
    <n v="0"/>
    <n v="37.200000000000003"/>
    <x v="7"/>
    <x v="1"/>
    <s v="Debit Card"/>
    <s v="Sunny"/>
  </r>
  <r>
    <s v="WSR-2026-1532"/>
    <d v="2026-07-18T00:00:00"/>
    <x v="6"/>
    <x v="6"/>
    <s v="Saturday"/>
    <x v="28"/>
    <d v="2026-07-31T00:00:00"/>
    <s v="Summer"/>
    <x v="4"/>
    <x v="9"/>
    <s v="1 Hour"/>
    <n v="1"/>
    <n v="36"/>
    <s v="Premium Life Jacket"/>
    <n v="7"/>
    <n v="4.3"/>
    <n v="38.700000000000003"/>
    <x v="3"/>
    <x v="1"/>
    <s v="Debit Card"/>
    <s v="Sunny"/>
  </r>
  <r>
    <s v="WSR-2026-1533"/>
    <d v="2026-07-18T00:00:00"/>
    <x v="6"/>
    <x v="6"/>
    <s v="Saturday"/>
    <x v="28"/>
    <d v="2026-07-31T00:00:00"/>
    <s v="Summer"/>
    <x v="3"/>
    <x v="2"/>
    <s v="1 Hour"/>
    <n v="1"/>
    <n v="40.799999999999997"/>
    <s v="GoPro Mount"/>
    <n v="8"/>
    <n v="0"/>
    <n v="48.8"/>
    <x v="3"/>
    <x v="1"/>
    <s v="Debit Card"/>
    <s v="Sunny"/>
  </r>
  <r>
    <s v="WSR-2026-1534"/>
    <d v="2026-07-18T00:00:00"/>
    <x v="6"/>
    <x v="6"/>
    <s v="Saturday"/>
    <x v="28"/>
    <d v="2026-07-31T00:00:00"/>
    <s v="Summer"/>
    <x v="0"/>
    <x v="2"/>
    <s v="2 Hours"/>
    <n v="1"/>
    <n v="62.4"/>
    <s v="None"/>
    <n v="0"/>
    <n v="0"/>
    <n v="62.4"/>
    <x v="4"/>
    <x v="1"/>
    <s v="Credit Card"/>
    <s v="Windy"/>
  </r>
  <r>
    <s v="WSR-2026-1535"/>
    <d v="2026-07-19T00:00:00"/>
    <x v="6"/>
    <x v="6"/>
    <s v="Sunday"/>
    <x v="29"/>
    <d v="2026-07-31T00:00:00"/>
    <s v="Summer"/>
    <x v="2"/>
    <x v="1"/>
    <s v="Half Day"/>
    <n v="1"/>
    <n v="69.599999999999994"/>
    <s v="GoPro Mount"/>
    <n v="8"/>
    <n v="0"/>
    <n v="77.599999999999994"/>
    <x v="7"/>
    <x v="4"/>
    <s v="Debit Card"/>
    <s v="Sunny"/>
  </r>
  <r>
    <s v="WSR-2026-1536"/>
    <d v="2026-07-19T00:00:00"/>
    <x v="6"/>
    <x v="6"/>
    <s v="Sunday"/>
    <x v="29"/>
    <d v="2026-07-31T00:00:00"/>
    <s v="Summer"/>
    <x v="2"/>
    <x v="9"/>
    <s v="1 Hour"/>
    <n v="1"/>
    <n v="36"/>
    <s v="GoPro Mount"/>
    <n v="8"/>
    <n v="0"/>
    <n v="44"/>
    <x v="3"/>
    <x v="0"/>
    <s v="Debit Card"/>
    <s v="Sunny"/>
  </r>
  <r>
    <s v="WSR-2026-1537"/>
    <d v="2026-07-19T00:00:00"/>
    <x v="6"/>
    <x v="6"/>
    <s v="Sunday"/>
    <x v="29"/>
    <d v="2026-07-31T00:00:00"/>
    <s v="Summer"/>
    <x v="3"/>
    <x v="1"/>
    <s v="1 Hour"/>
    <n v="1"/>
    <n v="28.8"/>
    <s v="Cooler Rental"/>
    <n v="10"/>
    <n v="0"/>
    <n v="38.799999999999997"/>
    <x v="8"/>
    <x v="1"/>
    <s v="Mobile Pay"/>
    <s v="Sunny"/>
  </r>
  <r>
    <s v="WSR-2026-1538"/>
    <d v="2026-07-19T00:00:00"/>
    <x v="6"/>
    <x v="6"/>
    <s v="Sunday"/>
    <x v="29"/>
    <d v="2026-07-31T00:00:00"/>
    <s v="Summer"/>
    <x v="0"/>
    <x v="1"/>
    <s v="2 Hours"/>
    <n v="1"/>
    <n v="45.6"/>
    <s v="None"/>
    <n v="0"/>
    <n v="0"/>
    <n v="45.6"/>
    <x v="6"/>
    <x v="1"/>
    <s v="Credit Card"/>
    <s v="Sunny"/>
  </r>
  <r>
    <s v="WSR-2026-1539"/>
    <d v="2026-07-19T00:00:00"/>
    <x v="6"/>
    <x v="6"/>
    <s v="Sunday"/>
    <x v="29"/>
    <d v="2026-07-31T00:00:00"/>
    <s v="Summer"/>
    <x v="4"/>
    <x v="2"/>
    <s v="2 Hours"/>
    <n v="1"/>
    <n v="62.4"/>
    <s v="Premium Life Jacket"/>
    <n v="7"/>
    <n v="10.41"/>
    <n v="58.99"/>
    <x v="8"/>
    <x v="3"/>
    <s v="Cash"/>
    <s v="Sunny"/>
  </r>
  <r>
    <s v="WSR-2026-1540"/>
    <d v="2026-07-19T00:00:00"/>
    <x v="6"/>
    <x v="6"/>
    <s v="Sunday"/>
    <x v="29"/>
    <d v="2026-07-31T00:00:00"/>
    <s v="Summer"/>
    <x v="3"/>
    <x v="0"/>
    <s v="2 Hours"/>
    <n v="1"/>
    <n v="60"/>
    <s v="None"/>
    <n v="0"/>
    <n v="3"/>
    <n v="57"/>
    <x v="6"/>
    <x v="1"/>
    <s v="Debit Card"/>
    <s v="Sunny"/>
  </r>
  <r>
    <s v="WSR-2026-1541"/>
    <d v="2026-07-19T00:00:00"/>
    <x v="6"/>
    <x v="6"/>
    <s v="Sunday"/>
    <x v="29"/>
    <d v="2026-07-31T00:00:00"/>
    <s v="Summer"/>
    <x v="3"/>
    <x v="5"/>
    <s v="2 Hours"/>
    <n v="1"/>
    <n v="50.4"/>
    <s v="Waterproof Speaker"/>
    <n v="12"/>
    <n v="0"/>
    <n v="62.4"/>
    <x v="9"/>
    <x v="2"/>
    <s v="Credit Card"/>
    <s v="Sunny"/>
  </r>
  <r>
    <s v="WSR-2026-1542"/>
    <d v="2026-07-19T00:00:00"/>
    <x v="6"/>
    <x v="6"/>
    <s v="Sunday"/>
    <x v="29"/>
    <d v="2026-07-31T00:00:00"/>
    <s v="Summer"/>
    <x v="3"/>
    <x v="7"/>
    <s v="2 Hours"/>
    <n v="1"/>
    <n v="26.4"/>
    <s v="None"/>
    <n v="0"/>
    <n v="0"/>
    <n v="26.4"/>
    <x v="0"/>
    <x v="0"/>
    <s v="Debit Card"/>
    <s v="Sunny"/>
  </r>
  <r>
    <s v="WSR-2026-1543"/>
    <d v="2026-07-19T00:00:00"/>
    <x v="6"/>
    <x v="6"/>
    <s v="Sunday"/>
    <x v="29"/>
    <d v="2026-07-31T00:00:00"/>
    <s v="Summer"/>
    <x v="0"/>
    <x v="3"/>
    <s v="2 Hours"/>
    <n v="1"/>
    <n v="43.2"/>
    <s v="None"/>
    <n v="0"/>
    <n v="0"/>
    <n v="43.2"/>
    <x v="8"/>
    <x v="0"/>
    <s v="Credit Card"/>
    <s v="Sunny"/>
  </r>
  <r>
    <s v="WSR-2026-1544"/>
    <d v="2026-07-19T00:00:00"/>
    <x v="6"/>
    <x v="6"/>
    <s v="Sunday"/>
    <x v="29"/>
    <d v="2026-07-31T00:00:00"/>
    <s v="Summer"/>
    <x v="2"/>
    <x v="1"/>
    <s v="2 Hours"/>
    <n v="1"/>
    <n v="45.6"/>
    <s v="Phone Pouch"/>
    <n v="5"/>
    <n v="0"/>
    <n v="50.6"/>
    <x v="7"/>
    <x v="3"/>
    <s v="Debit Card"/>
    <s v="Sunny"/>
  </r>
  <r>
    <s v="WSR-2026-1545"/>
    <d v="2026-07-19T00:00:00"/>
    <x v="6"/>
    <x v="6"/>
    <s v="Sunday"/>
    <x v="29"/>
    <d v="2026-07-31T00:00:00"/>
    <s v="Summer"/>
    <x v="3"/>
    <x v="3"/>
    <s v="2 Hours"/>
    <n v="1"/>
    <n v="43.2"/>
    <s v="Cooler Rental"/>
    <n v="10"/>
    <n v="0"/>
    <n v="53.2"/>
    <x v="5"/>
    <x v="0"/>
    <s v="Debit Card"/>
    <s v="Sunny"/>
  </r>
  <r>
    <s v="WSR-2026-1546"/>
    <d v="2026-07-19T00:00:00"/>
    <x v="6"/>
    <x v="6"/>
    <s v="Sunday"/>
    <x v="29"/>
    <d v="2026-07-31T00:00:00"/>
    <s v="Summer"/>
    <x v="1"/>
    <x v="9"/>
    <s v="1 Hour"/>
    <n v="1"/>
    <n v="36"/>
    <s v="Phone Pouch"/>
    <n v="5"/>
    <n v="2.0499999999999998"/>
    <n v="38.950000000000003"/>
    <x v="9"/>
    <x v="1"/>
    <s v="Cash"/>
    <s v="Cloudy"/>
  </r>
  <r>
    <s v="WSR-2026-1547"/>
    <d v="2026-07-19T00:00:00"/>
    <x v="6"/>
    <x v="6"/>
    <s v="Sunday"/>
    <x v="29"/>
    <d v="2026-07-31T00:00:00"/>
    <s v="Summer"/>
    <x v="4"/>
    <x v="8"/>
    <s v="2 Hours"/>
    <n v="1"/>
    <n v="19.2"/>
    <s v="Phone Pouch"/>
    <n v="5"/>
    <n v="2.42"/>
    <n v="21.78"/>
    <x v="3"/>
    <x v="2"/>
    <s v="Mobile Pay"/>
    <s v="Sunny"/>
  </r>
  <r>
    <s v="WSR-2026-1548"/>
    <d v="2026-07-19T00:00:00"/>
    <x v="6"/>
    <x v="6"/>
    <s v="Sunday"/>
    <x v="29"/>
    <d v="2026-07-31T00:00:00"/>
    <s v="Summer"/>
    <x v="3"/>
    <x v="3"/>
    <s v="1 Hour"/>
    <n v="1"/>
    <n v="26.4"/>
    <s v="Dry Bag"/>
    <n v="6"/>
    <n v="0"/>
    <n v="32.4"/>
    <x v="6"/>
    <x v="3"/>
    <s v="Debit Card"/>
    <s v="Sunny"/>
  </r>
  <r>
    <s v="WSR-2026-1549"/>
    <d v="2026-07-19T00:00:00"/>
    <x v="6"/>
    <x v="6"/>
    <s v="Sunday"/>
    <x v="29"/>
    <d v="2026-07-31T00:00:00"/>
    <s v="Summer"/>
    <x v="2"/>
    <x v="9"/>
    <s v="Full Day"/>
    <n v="1"/>
    <n v="124.8"/>
    <s v="Premium Life Jacket"/>
    <n v="7"/>
    <n v="0"/>
    <n v="131.80000000000001"/>
    <x v="2"/>
    <x v="1"/>
    <s v="Cash"/>
    <s v="Sunny"/>
  </r>
  <r>
    <s v="WSR-2026-1550"/>
    <d v="2026-07-19T00:00:00"/>
    <x v="6"/>
    <x v="6"/>
    <s v="Sunday"/>
    <x v="29"/>
    <d v="2026-07-31T00:00:00"/>
    <s v="Summer"/>
    <x v="3"/>
    <x v="2"/>
    <s v="1 Hour"/>
    <n v="1"/>
    <n v="40.799999999999997"/>
    <s v="None"/>
    <n v="0"/>
    <n v="0"/>
    <n v="40.799999999999997"/>
    <x v="4"/>
    <x v="1"/>
    <s v="Credit Card"/>
    <s v="Sunny"/>
  </r>
  <r>
    <s v="WSR-2026-1551"/>
    <d v="2026-07-19T00:00:00"/>
    <x v="6"/>
    <x v="6"/>
    <s v="Sunday"/>
    <x v="29"/>
    <d v="2026-07-31T00:00:00"/>
    <s v="Summer"/>
    <x v="3"/>
    <x v="5"/>
    <s v="2 Hours"/>
    <n v="1"/>
    <n v="50.4"/>
    <s v="Waterproof Speaker"/>
    <n v="12"/>
    <n v="0"/>
    <n v="62.4"/>
    <x v="8"/>
    <x v="3"/>
    <s v="Mobile Pay"/>
    <s v="Sunny"/>
  </r>
  <r>
    <s v="WSR-2026-1552"/>
    <d v="2026-07-19T00:00:00"/>
    <x v="6"/>
    <x v="6"/>
    <s v="Sunday"/>
    <x v="29"/>
    <d v="2026-07-31T00:00:00"/>
    <s v="Summer"/>
    <x v="2"/>
    <x v="7"/>
    <s v="1 Hour"/>
    <n v="1"/>
    <n v="16.8"/>
    <s v="GoPro Mount"/>
    <n v="8"/>
    <n v="0"/>
    <n v="24.8"/>
    <x v="9"/>
    <x v="1"/>
    <s v="Credit Card"/>
    <s v="Windy"/>
  </r>
  <r>
    <s v="WSR-2026-1553"/>
    <d v="2026-07-19T00:00:00"/>
    <x v="6"/>
    <x v="6"/>
    <s v="Sunday"/>
    <x v="29"/>
    <d v="2026-07-31T00:00:00"/>
    <s v="Summer"/>
    <x v="1"/>
    <x v="2"/>
    <s v="2 Hours"/>
    <n v="1"/>
    <n v="62.4"/>
    <s v="Phone Pouch"/>
    <n v="5"/>
    <n v="6.74"/>
    <n v="60.66"/>
    <x v="6"/>
    <x v="3"/>
    <s v="Debit Card"/>
    <s v="Sunny"/>
  </r>
  <r>
    <s v="WSR-2026-1554"/>
    <d v="2026-07-19T00:00:00"/>
    <x v="6"/>
    <x v="6"/>
    <s v="Sunday"/>
    <x v="29"/>
    <d v="2026-07-31T00:00:00"/>
    <s v="Summer"/>
    <x v="0"/>
    <x v="5"/>
    <s v="2 Hours"/>
    <n v="1"/>
    <n v="50.4"/>
    <s v="Cooler Rental"/>
    <n v="10"/>
    <n v="0"/>
    <n v="60.4"/>
    <x v="4"/>
    <x v="0"/>
    <s v="Credit Card"/>
    <s v="Rainy"/>
  </r>
  <r>
    <s v="WSR-2026-1555"/>
    <d v="2026-07-19T00:00:00"/>
    <x v="6"/>
    <x v="6"/>
    <s v="Sunday"/>
    <x v="29"/>
    <d v="2026-07-31T00:00:00"/>
    <s v="Summer"/>
    <x v="3"/>
    <x v="2"/>
    <s v="Half Day"/>
    <n v="1"/>
    <n v="93.6"/>
    <s v="None"/>
    <n v="0"/>
    <n v="0"/>
    <n v="93.6"/>
    <x v="6"/>
    <x v="4"/>
    <s v="Mobile Pay"/>
    <s v="Sunny"/>
  </r>
  <r>
    <s v="WSR-2026-1556"/>
    <d v="2026-07-19T00:00:00"/>
    <x v="6"/>
    <x v="6"/>
    <s v="Sunday"/>
    <x v="29"/>
    <d v="2026-07-31T00:00:00"/>
    <s v="Summer"/>
    <x v="1"/>
    <x v="1"/>
    <s v="2 Hours"/>
    <n v="1"/>
    <n v="45.6"/>
    <s v="Premium Life Jacket"/>
    <n v="7"/>
    <n v="5.26"/>
    <n v="47.34"/>
    <x v="1"/>
    <x v="4"/>
    <s v="Mobile Pay"/>
    <s v="Sunny"/>
  </r>
  <r>
    <s v="WSR-2026-1557"/>
    <d v="2026-07-19T00:00:00"/>
    <x v="6"/>
    <x v="6"/>
    <s v="Sunday"/>
    <x v="29"/>
    <d v="2026-07-31T00:00:00"/>
    <s v="Summer"/>
    <x v="2"/>
    <x v="0"/>
    <s v="1 Hour"/>
    <n v="1"/>
    <n v="38.4"/>
    <s v="Cooler Rental"/>
    <n v="10"/>
    <n v="0"/>
    <n v="48.4"/>
    <x v="3"/>
    <x v="1"/>
    <s v="Credit Card"/>
    <s v="Sunny"/>
  </r>
  <r>
    <s v="WSR-2026-1558"/>
    <d v="2026-07-19T00:00:00"/>
    <x v="6"/>
    <x v="6"/>
    <s v="Sunday"/>
    <x v="29"/>
    <d v="2026-07-31T00:00:00"/>
    <s v="Summer"/>
    <x v="3"/>
    <x v="0"/>
    <s v="1 Hour"/>
    <n v="1"/>
    <n v="38.4"/>
    <s v="None"/>
    <n v="0"/>
    <n v="0"/>
    <n v="38.4"/>
    <x v="6"/>
    <x v="2"/>
    <s v="Gift Card"/>
    <s v="Sunny"/>
  </r>
  <r>
    <s v="WSR-2026-1559"/>
    <d v="2026-07-19T00:00:00"/>
    <x v="6"/>
    <x v="6"/>
    <s v="Sunday"/>
    <x v="29"/>
    <d v="2026-07-31T00:00:00"/>
    <s v="Summer"/>
    <x v="2"/>
    <x v="5"/>
    <s v="1 Hour"/>
    <n v="1"/>
    <n v="31.2"/>
    <s v="GoPro Mount"/>
    <n v="8"/>
    <n v="0"/>
    <n v="39.200000000000003"/>
    <x v="3"/>
    <x v="3"/>
    <s v="Debit Card"/>
    <s v="Sunny"/>
  </r>
  <r>
    <s v="WSR-2026-1560"/>
    <d v="2026-07-20T00:00:00"/>
    <x v="6"/>
    <x v="6"/>
    <s v="Monday"/>
    <x v="29"/>
    <d v="2026-07-31T00:00:00"/>
    <s v="Summer"/>
    <x v="0"/>
    <x v="1"/>
    <s v="Half Day"/>
    <n v="1"/>
    <n v="64.959999999999994"/>
    <s v="None"/>
    <n v="0"/>
    <n v="0"/>
    <n v="64.959999999999994"/>
    <x v="3"/>
    <x v="2"/>
    <s v="Credit Card"/>
    <s v="Sunny"/>
  </r>
  <r>
    <s v="WSR-2026-1561"/>
    <d v="2026-07-20T00:00:00"/>
    <x v="6"/>
    <x v="6"/>
    <s v="Monday"/>
    <x v="29"/>
    <d v="2026-07-31T00:00:00"/>
    <s v="Summer"/>
    <x v="2"/>
    <x v="3"/>
    <s v="2 Hours"/>
    <n v="1"/>
    <n v="40.32"/>
    <s v="None"/>
    <n v="0"/>
    <n v="2.02"/>
    <n v="38.299999999999997"/>
    <x v="3"/>
    <x v="4"/>
    <s v="Debit Card"/>
    <s v="Sunny"/>
  </r>
  <r>
    <s v="WSR-2026-1562"/>
    <d v="2026-07-20T00:00:00"/>
    <x v="6"/>
    <x v="6"/>
    <s v="Monday"/>
    <x v="29"/>
    <d v="2026-07-31T00:00:00"/>
    <s v="Summer"/>
    <x v="2"/>
    <x v="3"/>
    <s v="1 Hour"/>
    <n v="1"/>
    <n v="24.64"/>
    <s v="Phone Pouch"/>
    <n v="5"/>
    <n v="0"/>
    <n v="29.64"/>
    <x v="7"/>
    <x v="1"/>
    <s v="Credit Card"/>
    <s v="Sunny"/>
  </r>
  <r>
    <s v="WSR-2026-1563"/>
    <d v="2026-07-20T00:00:00"/>
    <x v="6"/>
    <x v="6"/>
    <s v="Monday"/>
    <x v="29"/>
    <d v="2026-07-31T00:00:00"/>
    <s v="Summer"/>
    <x v="2"/>
    <x v="3"/>
    <s v="1 Hour"/>
    <n v="1"/>
    <n v="24.64"/>
    <s v="None"/>
    <n v="0"/>
    <n v="0"/>
    <n v="24.64"/>
    <x v="9"/>
    <x v="3"/>
    <s v="Credit Card"/>
    <s v="Sunny"/>
  </r>
  <r>
    <s v="WSR-2026-1564"/>
    <d v="2026-07-20T00:00:00"/>
    <x v="6"/>
    <x v="6"/>
    <s v="Monday"/>
    <x v="29"/>
    <d v="2026-07-31T00:00:00"/>
    <s v="Summer"/>
    <x v="0"/>
    <x v="1"/>
    <s v="2 Hours"/>
    <n v="1"/>
    <n v="42.56"/>
    <s v="Premium Life Jacket"/>
    <n v="7"/>
    <n v="0"/>
    <n v="49.56"/>
    <x v="6"/>
    <x v="3"/>
    <s v="Debit Card"/>
    <s v="Cloudy"/>
  </r>
  <r>
    <s v="WSR-2026-1565"/>
    <d v="2026-07-20T00:00:00"/>
    <x v="6"/>
    <x v="6"/>
    <s v="Monday"/>
    <x v="29"/>
    <d v="2026-07-31T00:00:00"/>
    <s v="Summer"/>
    <x v="4"/>
    <x v="1"/>
    <s v="1 Hour"/>
    <n v="1"/>
    <n v="26.88"/>
    <s v="Dry Bag"/>
    <n v="6"/>
    <n v="3.29"/>
    <n v="29.59"/>
    <x v="7"/>
    <x v="3"/>
    <s v="Credit Card"/>
    <s v="Sunny"/>
  </r>
  <r>
    <s v="WSR-2026-1566"/>
    <d v="2026-07-20T00:00:00"/>
    <x v="6"/>
    <x v="6"/>
    <s v="Monday"/>
    <x v="29"/>
    <d v="2026-07-31T00:00:00"/>
    <s v="Summer"/>
    <x v="3"/>
    <x v="1"/>
    <s v="2 Hours"/>
    <n v="1"/>
    <n v="42.56"/>
    <s v="None"/>
    <n v="0"/>
    <n v="0"/>
    <n v="42.56"/>
    <x v="2"/>
    <x v="4"/>
    <s v="Credit Card"/>
    <s v="Sunny"/>
  </r>
  <r>
    <s v="WSR-2026-1567"/>
    <d v="2026-07-20T00:00:00"/>
    <x v="6"/>
    <x v="6"/>
    <s v="Monday"/>
    <x v="29"/>
    <d v="2026-07-31T00:00:00"/>
    <s v="Summer"/>
    <x v="2"/>
    <x v="4"/>
    <s v="2 Hours"/>
    <n v="1"/>
    <n v="20.16"/>
    <s v="None"/>
    <n v="0"/>
    <n v="0"/>
    <n v="20.16"/>
    <x v="1"/>
    <x v="3"/>
    <s v="Credit Card"/>
    <s v="Sunny"/>
  </r>
  <r>
    <s v="WSR-2026-1568"/>
    <d v="2026-07-20T00:00:00"/>
    <x v="6"/>
    <x v="6"/>
    <s v="Monday"/>
    <x v="29"/>
    <d v="2026-07-31T00:00:00"/>
    <s v="Summer"/>
    <x v="3"/>
    <x v="7"/>
    <s v="2 Hours"/>
    <n v="1"/>
    <n v="24.64"/>
    <s v="None"/>
    <n v="0"/>
    <n v="0"/>
    <n v="24.64"/>
    <x v="1"/>
    <x v="4"/>
    <s v="Credit Card"/>
    <s v="Sunny"/>
  </r>
  <r>
    <s v="WSR-2026-1569"/>
    <d v="2026-07-20T00:00:00"/>
    <x v="6"/>
    <x v="6"/>
    <s v="Monday"/>
    <x v="29"/>
    <d v="2026-07-31T00:00:00"/>
    <s v="Summer"/>
    <x v="1"/>
    <x v="5"/>
    <s v="Half Day"/>
    <n v="1"/>
    <n v="69.44"/>
    <s v="Waterproof Speaker"/>
    <n v="12"/>
    <n v="4.07"/>
    <n v="77.37"/>
    <x v="8"/>
    <x v="0"/>
    <s v="Credit Card"/>
    <s v="Sunny"/>
  </r>
  <r>
    <s v="WSR-2026-1570"/>
    <d v="2026-07-20T00:00:00"/>
    <x v="6"/>
    <x v="6"/>
    <s v="Monday"/>
    <x v="29"/>
    <d v="2026-07-31T00:00:00"/>
    <s v="Summer"/>
    <x v="3"/>
    <x v="9"/>
    <s v="2 Hours"/>
    <n v="1"/>
    <n v="53.76"/>
    <s v="Dry Bag"/>
    <n v="6"/>
    <n v="0"/>
    <n v="59.76"/>
    <x v="3"/>
    <x v="3"/>
    <s v="Credit Card"/>
    <s v="Cloudy"/>
  </r>
  <r>
    <s v="WSR-2026-1571"/>
    <d v="2026-07-20T00:00:00"/>
    <x v="6"/>
    <x v="6"/>
    <s v="Monday"/>
    <x v="29"/>
    <d v="2026-07-31T00:00:00"/>
    <s v="Summer"/>
    <x v="2"/>
    <x v="1"/>
    <s v="Half Day"/>
    <n v="1"/>
    <n v="64.959999999999994"/>
    <s v="Cooler Rental"/>
    <n v="10"/>
    <n v="0"/>
    <n v="74.959999999999994"/>
    <x v="5"/>
    <x v="1"/>
    <s v="Credit Card"/>
    <s v="Sunny"/>
  </r>
  <r>
    <s v="WSR-2026-1572"/>
    <d v="2026-07-20T00:00:00"/>
    <x v="6"/>
    <x v="6"/>
    <s v="Monday"/>
    <x v="29"/>
    <d v="2026-07-31T00:00:00"/>
    <s v="Summer"/>
    <x v="2"/>
    <x v="0"/>
    <s v="Full Day"/>
    <n v="1"/>
    <n v="123.2"/>
    <s v="Premium Life Jacket"/>
    <n v="7"/>
    <n v="0"/>
    <n v="130.19999999999999"/>
    <x v="4"/>
    <x v="2"/>
    <s v="Credit Card"/>
    <s v="Cloudy"/>
  </r>
  <r>
    <s v="WSR-2026-1573"/>
    <d v="2026-07-20T00:00:00"/>
    <x v="6"/>
    <x v="6"/>
    <s v="Monday"/>
    <x v="29"/>
    <d v="2026-07-31T00:00:00"/>
    <s v="Summer"/>
    <x v="1"/>
    <x v="8"/>
    <s v="2 Hours"/>
    <n v="1"/>
    <n v="17.920000000000002"/>
    <s v="Dry Bag"/>
    <n v="6"/>
    <n v="2.39"/>
    <n v="21.53"/>
    <x v="0"/>
    <x v="0"/>
    <s v="Credit Card"/>
    <s v="Sunny"/>
  </r>
  <r>
    <s v="WSR-2026-1574"/>
    <d v="2026-07-20T00:00:00"/>
    <x v="6"/>
    <x v="6"/>
    <s v="Monday"/>
    <x v="29"/>
    <d v="2026-07-31T00:00:00"/>
    <s v="Summer"/>
    <x v="0"/>
    <x v="5"/>
    <s v="Full Day"/>
    <n v="1"/>
    <n v="98.56"/>
    <s v="None"/>
    <n v="0"/>
    <n v="0"/>
    <n v="98.56"/>
    <x v="8"/>
    <x v="2"/>
    <s v="Credit Card"/>
    <s v="Rainy"/>
  </r>
  <r>
    <s v="WSR-2026-1575"/>
    <d v="2026-07-21T00:00:00"/>
    <x v="6"/>
    <x v="6"/>
    <s v="Tuesday"/>
    <x v="29"/>
    <d v="2026-07-31T00:00:00"/>
    <s v="Summer"/>
    <x v="2"/>
    <x v="1"/>
    <s v="Full Day"/>
    <n v="1"/>
    <n v="94.08"/>
    <s v="Waterproof Speaker"/>
    <n v="12"/>
    <n v="0"/>
    <n v="106.08"/>
    <x v="5"/>
    <x v="1"/>
    <s v="Credit Card"/>
    <s v="Sunny"/>
  </r>
  <r>
    <s v="WSR-2026-1576"/>
    <d v="2026-07-21T00:00:00"/>
    <x v="6"/>
    <x v="6"/>
    <s v="Tuesday"/>
    <x v="29"/>
    <d v="2026-07-31T00:00:00"/>
    <s v="Summer"/>
    <x v="1"/>
    <x v="3"/>
    <s v="Half Day"/>
    <n v="1"/>
    <n v="60.48"/>
    <s v="None"/>
    <n v="0"/>
    <n v="6.05"/>
    <n v="54.43"/>
    <x v="9"/>
    <x v="1"/>
    <s v="Debit Card"/>
    <s v="Cloudy"/>
  </r>
  <r>
    <s v="WSR-2026-1577"/>
    <d v="2026-07-21T00:00:00"/>
    <x v="6"/>
    <x v="6"/>
    <s v="Tuesday"/>
    <x v="29"/>
    <d v="2026-07-31T00:00:00"/>
    <s v="Summer"/>
    <x v="0"/>
    <x v="0"/>
    <s v="1 Hour"/>
    <n v="1"/>
    <n v="35.840000000000003"/>
    <s v="None"/>
    <n v="0"/>
    <n v="0"/>
    <n v="35.840000000000003"/>
    <x v="5"/>
    <x v="1"/>
    <s v="Cash"/>
    <s v="Sunny"/>
  </r>
  <r>
    <s v="WSR-2026-1578"/>
    <d v="2026-07-21T00:00:00"/>
    <x v="6"/>
    <x v="6"/>
    <s v="Tuesday"/>
    <x v="29"/>
    <d v="2026-07-31T00:00:00"/>
    <s v="Summer"/>
    <x v="3"/>
    <x v="9"/>
    <s v="Half Day"/>
    <n v="1"/>
    <n v="80.64"/>
    <s v="Dry Bag"/>
    <n v="6"/>
    <n v="0"/>
    <n v="86.64"/>
    <x v="5"/>
    <x v="1"/>
    <s v="Cash"/>
    <s v="Sunny"/>
  </r>
  <r>
    <s v="WSR-2026-1579"/>
    <d v="2026-07-21T00:00:00"/>
    <x v="6"/>
    <x v="6"/>
    <s v="Tuesday"/>
    <x v="29"/>
    <d v="2026-07-31T00:00:00"/>
    <s v="Summer"/>
    <x v="2"/>
    <x v="7"/>
    <s v="1 Hour"/>
    <n v="1"/>
    <n v="15.68"/>
    <s v="Waterproof Speaker"/>
    <n v="12"/>
    <n v="0"/>
    <n v="27.68"/>
    <x v="8"/>
    <x v="3"/>
    <s v="Debit Card"/>
    <s v="Sunny"/>
  </r>
  <r>
    <s v="WSR-2026-1580"/>
    <d v="2026-07-21T00:00:00"/>
    <x v="6"/>
    <x v="6"/>
    <s v="Tuesday"/>
    <x v="29"/>
    <d v="2026-07-31T00:00:00"/>
    <s v="Summer"/>
    <x v="3"/>
    <x v="7"/>
    <s v="Half Day"/>
    <n v="1"/>
    <n v="38.08"/>
    <s v="Phone Pouch"/>
    <n v="5"/>
    <n v="0"/>
    <n v="43.08"/>
    <x v="2"/>
    <x v="4"/>
    <s v="Debit Card"/>
    <s v="Sunny"/>
  </r>
  <r>
    <s v="WSR-2026-1581"/>
    <d v="2026-07-21T00:00:00"/>
    <x v="6"/>
    <x v="6"/>
    <s v="Tuesday"/>
    <x v="29"/>
    <d v="2026-07-31T00:00:00"/>
    <s v="Summer"/>
    <x v="3"/>
    <x v="6"/>
    <s v="2 Hours"/>
    <n v="1"/>
    <n v="64.959999999999994"/>
    <s v="None"/>
    <n v="0"/>
    <n v="0"/>
    <n v="64.959999999999994"/>
    <x v="7"/>
    <x v="4"/>
    <s v="Mobile Pay"/>
    <s v="Sunny"/>
  </r>
  <r>
    <s v="WSR-2026-1582"/>
    <d v="2026-07-21T00:00:00"/>
    <x v="6"/>
    <x v="6"/>
    <s v="Tuesday"/>
    <x v="29"/>
    <d v="2026-07-31T00:00:00"/>
    <s v="Summer"/>
    <x v="1"/>
    <x v="3"/>
    <s v="Half Day"/>
    <n v="1"/>
    <n v="60.48"/>
    <s v="Premium Life Jacket"/>
    <n v="7"/>
    <n v="0"/>
    <n v="67.48"/>
    <x v="7"/>
    <x v="3"/>
    <s v="Credit Card"/>
    <s v="Cloudy"/>
  </r>
  <r>
    <s v="WSR-2026-1583"/>
    <d v="2026-07-21T00:00:00"/>
    <x v="6"/>
    <x v="6"/>
    <s v="Tuesday"/>
    <x v="29"/>
    <d v="2026-07-31T00:00:00"/>
    <s v="Summer"/>
    <x v="3"/>
    <x v="4"/>
    <s v="1 Hour"/>
    <n v="1"/>
    <n v="13.44"/>
    <s v="None"/>
    <n v="0"/>
    <n v="0"/>
    <n v="13.44"/>
    <x v="1"/>
    <x v="3"/>
    <s v="Credit Card"/>
    <s v="Sunny"/>
  </r>
  <r>
    <s v="WSR-2026-1584"/>
    <d v="2026-07-21T00:00:00"/>
    <x v="6"/>
    <x v="6"/>
    <s v="Tuesday"/>
    <x v="29"/>
    <d v="2026-07-31T00:00:00"/>
    <s v="Summer"/>
    <x v="3"/>
    <x v="1"/>
    <s v="Full Day"/>
    <n v="1"/>
    <n v="94.08"/>
    <s v="Cooler Rental"/>
    <n v="10"/>
    <n v="0"/>
    <n v="104.08"/>
    <x v="9"/>
    <x v="0"/>
    <s v="Debit Card"/>
    <s v="Cloudy"/>
  </r>
  <r>
    <s v="WSR-2026-1585"/>
    <d v="2026-07-21T00:00:00"/>
    <x v="6"/>
    <x v="6"/>
    <s v="Tuesday"/>
    <x v="29"/>
    <d v="2026-07-31T00:00:00"/>
    <s v="Summer"/>
    <x v="3"/>
    <x v="2"/>
    <s v="Half Day"/>
    <n v="1"/>
    <n v="87.36"/>
    <s v="Dry Bag"/>
    <n v="6"/>
    <n v="0"/>
    <n v="93.36"/>
    <x v="3"/>
    <x v="3"/>
    <s v="Credit Card"/>
    <s v="Sunny"/>
  </r>
  <r>
    <s v="WSR-2026-1586"/>
    <d v="2026-07-21T00:00:00"/>
    <x v="6"/>
    <x v="6"/>
    <s v="Tuesday"/>
    <x v="29"/>
    <d v="2026-07-31T00:00:00"/>
    <s v="Summer"/>
    <x v="3"/>
    <x v="5"/>
    <s v="2 Hours"/>
    <n v="1"/>
    <n v="47.04"/>
    <s v="Phone Pouch"/>
    <n v="5"/>
    <n v="0"/>
    <n v="52.04"/>
    <x v="3"/>
    <x v="3"/>
    <s v="Debit Card"/>
    <s v="Sunny"/>
  </r>
  <r>
    <s v="WSR-2026-1587"/>
    <d v="2026-07-21T00:00:00"/>
    <x v="6"/>
    <x v="6"/>
    <s v="Tuesday"/>
    <x v="29"/>
    <d v="2026-07-31T00:00:00"/>
    <s v="Summer"/>
    <x v="3"/>
    <x v="8"/>
    <s v="1 Hour"/>
    <n v="1"/>
    <n v="11.2"/>
    <s v="Waterproof Speaker"/>
    <n v="12"/>
    <n v="0"/>
    <n v="23.2"/>
    <x v="8"/>
    <x v="0"/>
    <s v="Credit Card"/>
    <s v="Sunny"/>
  </r>
  <r>
    <s v="WSR-2026-1588"/>
    <d v="2026-07-21T00:00:00"/>
    <x v="6"/>
    <x v="6"/>
    <s v="Tuesday"/>
    <x v="29"/>
    <d v="2026-07-31T00:00:00"/>
    <s v="Summer"/>
    <x v="2"/>
    <x v="1"/>
    <s v="2 Hours"/>
    <n v="1"/>
    <n v="42.56"/>
    <s v="None"/>
    <n v="0"/>
    <n v="0"/>
    <n v="42.56"/>
    <x v="5"/>
    <x v="0"/>
    <s v="Credit Card"/>
    <s v="Sunny"/>
  </r>
  <r>
    <s v="WSR-2026-1589"/>
    <d v="2026-07-21T00:00:00"/>
    <x v="6"/>
    <x v="6"/>
    <s v="Tuesday"/>
    <x v="29"/>
    <d v="2026-07-31T00:00:00"/>
    <s v="Summer"/>
    <x v="3"/>
    <x v="1"/>
    <s v="Full Day"/>
    <n v="1"/>
    <n v="94.08"/>
    <s v="Dry Bag"/>
    <n v="6"/>
    <n v="0"/>
    <n v="100.08"/>
    <x v="5"/>
    <x v="1"/>
    <s v="Debit Card"/>
    <s v="Sunny"/>
  </r>
  <r>
    <s v="WSR-2026-1590"/>
    <d v="2026-07-21T00:00:00"/>
    <x v="6"/>
    <x v="6"/>
    <s v="Tuesday"/>
    <x v="29"/>
    <d v="2026-07-31T00:00:00"/>
    <s v="Summer"/>
    <x v="2"/>
    <x v="4"/>
    <s v="1 Hour"/>
    <n v="1"/>
    <n v="13.44"/>
    <s v="Phone Pouch"/>
    <n v="5"/>
    <n v="0"/>
    <n v="18.440000000000001"/>
    <x v="8"/>
    <x v="3"/>
    <s v="Credit Card"/>
    <s v="Sunny"/>
  </r>
  <r>
    <s v="WSR-2026-1591"/>
    <d v="2026-07-21T00:00:00"/>
    <x v="6"/>
    <x v="6"/>
    <s v="Tuesday"/>
    <x v="29"/>
    <d v="2026-07-31T00:00:00"/>
    <s v="Summer"/>
    <x v="2"/>
    <x v="8"/>
    <s v="Full Day"/>
    <n v="1"/>
    <n v="38.08"/>
    <s v="Dry Bag"/>
    <n v="6"/>
    <n v="0"/>
    <n v="44.08"/>
    <x v="1"/>
    <x v="1"/>
    <s v="Credit Card"/>
    <s v="Cloudy"/>
  </r>
  <r>
    <s v="WSR-2026-1592"/>
    <d v="2026-07-22T00:00:00"/>
    <x v="6"/>
    <x v="6"/>
    <s v="Wednesday"/>
    <x v="29"/>
    <d v="2026-07-31T00:00:00"/>
    <s v="Summer"/>
    <x v="2"/>
    <x v="7"/>
    <s v="2 Hours"/>
    <n v="1"/>
    <n v="24.64"/>
    <s v="Phone Pouch"/>
    <n v="5"/>
    <n v="0"/>
    <n v="29.64"/>
    <x v="8"/>
    <x v="4"/>
    <s v="Cash"/>
    <s v="Sunny"/>
  </r>
  <r>
    <s v="WSR-2026-1593"/>
    <d v="2026-07-22T00:00:00"/>
    <x v="6"/>
    <x v="6"/>
    <s v="Wednesday"/>
    <x v="29"/>
    <d v="2026-07-31T00:00:00"/>
    <s v="Summer"/>
    <x v="1"/>
    <x v="2"/>
    <s v="Half Day"/>
    <n v="1"/>
    <n v="87.36"/>
    <s v="Phone Pouch"/>
    <n v="5"/>
    <n v="0"/>
    <n v="92.36"/>
    <x v="8"/>
    <x v="1"/>
    <s v="Mobile Pay"/>
    <s v="Sunny"/>
  </r>
  <r>
    <s v="WSR-2026-1594"/>
    <d v="2026-07-22T00:00:00"/>
    <x v="6"/>
    <x v="6"/>
    <s v="Wednesday"/>
    <x v="29"/>
    <d v="2026-07-31T00:00:00"/>
    <s v="Summer"/>
    <x v="0"/>
    <x v="1"/>
    <s v="Full Day"/>
    <n v="1"/>
    <n v="94.08"/>
    <s v="Waterproof Speaker"/>
    <n v="12"/>
    <n v="0"/>
    <n v="106.08"/>
    <x v="6"/>
    <x v="1"/>
    <s v="Credit Card"/>
    <s v="Sunny"/>
  </r>
  <r>
    <s v="WSR-2026-1595"/>
    <d v="2026-07-22T00:00:00"/>
    <x v="6"/>
    <x v="6"/>
    <s v="Wednesday"/>
    <x v="29"/>
    <d v="2026-07-31T00:00:00"/>
    <s v="Summer"/>
    <x v="3"/>
    <x v="9"/>
    <s v="Full Day"/>
    <n v="1"/>
    <n v="116.48"/>
    <s v="None"/>
    <n v="0"/>
    <n v="0"/>
    <n v="116.48"/>
    <x v="8"/>
    <x v="2"/>
    <s v="Mobile Pay"/>
    <s v="Sunny"/>
  </r>
  <r>
    <s v="WSR-2026-1596"/>
    <d v="2026-07-22T00:00:00"/>
    <x v="6"/>
    <x v="6"/>
    <s v="Wednesday"/>
    <x v="29"/>
    <d v="2026-07-31T00:00:00"/>
    <s v="Summer"/>
    <x v="2"/>
    <x v="4"/>
    <s v="Half Day"/>
    <n v="1"/>
    <n v="31.36"/>
    <s v="None"/>
    <n v="0"/>
    <n v="0"/>
    <n v="31.36"/>
    <x v="9"/>
    <x v="4"/>
    <s v="Credit Card"/>
    <s v="Windy"/>
  </r>
  <r>
    <s v="WSR-2026-1597"/>
    <d v="2026-07-22T00:00:00"/>
    <x v="6"/>
    <x v="6"/>
    <s v="Wednesday"/>
    <x v="29"/>
    <d v="2026-07-31T00:00:00"/>
    <s v="Summer"/>
    <x v="0"/>
    <x v="5"/>
    <s v="Half Day"/>
    <n v="1"/>
    <n v="69.44"/>
    <s v="Cooler Rental"/>
    <n v="10"/>
    <n v="0"/>
    <n v="79.44"/>
    <x v="1"/>
    <x v="0"/>
    <s v="Debit Card"/>
    <s v="Sunny"/>
  </r>
  <r>
    <s v="WSR-2026-1598"/>
    <d v="2026-07-22T00:00:00"/>
    <x v="6"/>
    <x v="6"/>
    <s v="Wednesday"/>
    <x v="29"/>
    <d v="2026-07-31T00:00:00"/>
    <s v="Summer"/>
    <x v="3"/>
    <x v="5"/>
    <s v="1 Hour"/>
    <n v="1"/>
    <n v="29.12"/>
    <s v="GoPro Mount"/>
    <n v="8"/>
    <n v="0"/>
    <n v="37.119999999999997"/>
    <x v="5"/>
    <x v="4"/>
    <s v="Credit Card"/>
    <s v="Sunny"/>
  </r>
  <r>
    <s v="WSR-2026-1599"/>
    <d v="2026-07-22T00:00:00"/>
    <x v="6"/>
    <x v="6"/>
    <s v="Wednesday"/>
    <x v="29"/>
    <d v="2026-07-31T00:00:00"/>
    <s v="Summer"/>
    <x v="0"/>
    <x v="2"/>
    <s v="1 Hour"/>
    <n v="1"/>
    <n v="38.08"/>
    <s v="None"/>
    <n v="0"/>
    <n v="0"/>
    <n v="38.08"/>
    <x v="5"/>
    <x v="0"/>
    <s v="Credit Card"/>
    <s v="Windy"/>
  </r>
  <r>
    <s v="WSR-2026-1600"/>
    <d v="2026-07-22T00:00:00"/>
    <x v="6"/>
    <x v="6"/>
    <s v="Wednesday"/>
    <x v="29"/>
    <d v="2026-07-31T00:00:00"/>
    <s v="Summer"/>
    <x v="2"/>
    <x v="6"/>
    <s v="2 Hours"/>
    <n v="1"/>
    <n v="64.959999999999994"/>
    <s v="Phone Pouch"/>
    <n v="5"/>
    <n v="0"/>
    <n v="69.959999999999994"/>
    <x v="5"/>
    <x v="3"/>
    <s v="Credit Card"/>
    <s v="Sunny"/>
  </r>
  <r>
    <s v="WSR-2026-1601"/>
    <d v="2026-07-22T00:00:00"/>
    <x v="6"/>
    <x v="6"/>
    <s v="Wednesday"/>
    <x v="29"/>
    <d v="2026-07-31T00:00:00"/>
    <s v="Summer"/>
    <x v="2"/>
    <x v="1"/>
    <s v="1 Hour"/>
    <n v="1"/>
    <n v="26.88"/>
    <s v="Cooler Rental"/>
    <n v="10"/>
    <n v="0"/>
    <n v="36.880000000000003"/>
    <x v="4"/>
    <x v="3"/>
    <s v="Credit Card"/>
    <s v="Sunny"/>
  </r>
  <r>
    <s v="WSR-2026-1602"/>
    <d v="2026-07-22T00:00:00"/>
    <x v="6"/>
    <x v="6"/>
    <s v="Wednesday"/>
    <x v="29"/>
    <d v="2026-07-31T00:00:00"/>
    <s v="Summer"/>
    <x v="2"/>
    <x v="2"/>
    <s v="2 Hours"/>
    <n v="1"/>
    <n v="58.24"/>
    <s v="None"/>
    <n v="0"/>
    <n v="0"/>
    <n v="58.24"/>
    <x v="5"/>
    <x v="1"/>
    <s v="Credit Card"/>
    <s v="Sunny"/>
  </r>
  <r>
    <s v="WSR-2026-1603"/>
    <d v="2026-07-22T00:00:00"/>
    <x v="6"/>
    <x v="6"/>
    <s v="Wednesday"/>
    <x v="29"/>
    <d v="2026-07-31T00:00:00"/>
    <s v="Summer"/>
    <x v="3"/>
    <x v="8"/>
    <s v="1 Hour"/>
    <n v="1"/>
    <n v="11.2"/>
    <s v="Dry Bag"/>
    <n v="6"/>
    <n v="0"/>
    <n v="17.2"/>
    <x v="6"/>
    <x v="3"/>
    <s v="Credit Card"/>
    <s v="Sunny"/>
  </r>
  <r>
    <s v="WSR-2026-1604"/>
    <d v="2026-07-22T00:00:00"/>
    <x v="6"/>
    <x v="6"/>
    <s v="Wednesday"/>
    <x v="29"/>
    <d v="2026-07-31T00:00:00"/>
    <s v="Summer"/>
    <x v="3"/>
    <x v="7"/>
    <s v="2 Hours"/>
    <n v="1"/>
    <n v="24.64"/>
    <s v="Phone Pouch"/>
    <n v="5"/>
    <n v="0"/>
    <n v="29.64"/>
    <x v="2"/>
    <x v="0"/>
    <s v="Debit Card"/>
    <s v="Sunny"/>
  </r>
  <r>
    <s v="WSR-2026-1605"/>
    <d v="2026-07-22T00:00:00"/>
    <x v="6"/>
    <x v="6"/>
    <s v="Wednesday"/>
    <x v="29"/>
    <d v="2026-07-31T00:00:00"/>
    <s v="Summer"/>
    <x v="3"/>
    <x v="0"/>
    <s v="1 Hour"/>
    <n v="1"/>
    <n v="35.840000000000003"/>
    <s v="Cooler Rental"/>
    <n v="10"/>
    <n v="0"/>
    <n v="45.84"/>
    <x v="8"/>
    <x v="0"/>
    <s v="Mobile Pay"/>
    <s v="Sunny"/>
  </r>
  <r>
    <s v="WSR-2026-1606"/>
    <d v="2026-07-23T00:00:00"/>
    <x v="6"/>
    <x v="6"/>
    <s v="Thursday"/>
    <x v="29"/>
    <d v="2026-07-31T00:00:00"/>
    <s v="Summer"/>
    <x v="0"/>
    <x v="5"/>
    <s v="2 Hours"/>
    <n v="1"/>
    <n v="47.04"/>
    <s v="Cooler Rental"/>
    <n v="10"/>
    <n v="0"/>
    <n v="57.04"/>
    <x v="5"/>
    <x v="2"/>
    <s v="Debit Card"/>
    <s v="Cloudy"/>
  </r>
  <r>
    <s v="WSR-2026-1607"/>
    <d v="2026-07-23T00:00:00"/>
    <x v="6"/>
    <x v="6"/>
    <s v="Thursday"/>
    <x v="29"/>
    <d v="2026-07-31T00:00:00"/>
    <s v="Summer"/>
    <x v="2"/>
    <x v="1"/>
    <s v="1 Hour"/>
    <n v="1"/>
    <n v="26.88"/>
    <s v="None"/>
    <n v="0"/>
    <n v="0"/>
    <n v="26.88"/>
    <x v="4"/>
    <x v="1"/>
    <s v="Credit Card"/>
    <s v="Sunny"/>
  </r>
  <r>
    <s v="WSR-2026-1608"/>
    <d v="2026-07-23T00:00:00"/>
    <x v="6"/>
    <x v="6"/>
    <s v="Thursday"/>
    <x v="29"/>
    <d v="2026-07-31T00:00:00"/>
    <s v="Summer"/>
    <x v="2"/>
    <x v="3"/>
    <s v="2 Hours"/>
    <n v="1"/>
    <n v="40.32"/>
    <s v="Dry Bag"/>
    <n v="6"/>
    <n v="0"/>
    <n v="46.32"/>
    <x v="4"/>
    <x v="2"/>
    <s v="Credit Card"/>
    <s v="Cloudy"/>
  </r>
  <r>
    <s v="WSR-2026-1609"/>
    <d v="2026-07-23T00:00:00"/>
    <x v="6"/>
    <x v="6"/>
    <s v="Thursday"/>
    <x v="29"/>
    <d v="2026-07-31T00:00:00"/>
    <s v="Summer"/>
    <x v="3"/>
    <x v="1"/>
    <s v="Half Day"/>
    <n v="1"/>
    <n v="64.959999999999994"/>
    <s v="None"/>
    <n v="0"/>
    <n v="0"/>
    <n v="64.959999999999994"/>
    <x v="9"/>
    <x v="1"/>
    <s v="Credit Card"/>
    <s v="Sunny"/>
  </r>
  <r>
    <s v="WSR-2026-1610"/>
    <d v="2026-07-23T00:00:00"/>
    <x v="6"/>
    <x v="6"/>
    <s v="Thursday"/>
    <x v="29"/>
    <d v="2026-07-31T00:00:00"/>
    <s v="Summer"/>
    <x v="1"/>
    <x v="4"/>
    <s v="2 Hours"/>
    <n v="1"/>
    <n v="20.16"/>
    <s v="Dry Bag"/>
    <n v="6"/>
    <n v="0"/>
    <n v="26.16"/>
    <x v="5"/>
    <x v="1"/>
    <s v="Credit Card"/>
    <s v="Sunny"/>
  </r>
  <r>
    <s v="WSR-2026-1611"/>
    <d v="2026-07-23T00:00:00"/>
    <x v="6"/>
    <x v="6"/>
    <s v="Thursday"/>
    <x v="29"/>
    <d v="2026-07-31T00:00:00"/>
    <s v="Summer"/>
    <x v="1"/>
    <x v="2"/>
    <s v="1 Hour"/>
    <n v="1"/>
    <n v="38.08"/>
    <s v="None"/>
    <n v="0"/>
    <n v="3.81"/>
    <n v="34.270000000000003"/>
    <x v="3"/>
    <x v="4"/>
    <s v="Credit Card"/>
    <s v="Cloudy"/>
  </r>
  <r>
    <s v="WSR-2026-1612"/>
    <d v="2026-07-23T00:00:00"/>
    <x v="6"/>
    <x v="6"/>
    <s v="Thursday"/>
    <x v="29"/>
    <d v="2026-07-31T00:00:00"/>
    <s v="Summer"/>
    <x v="2"/>
    <x v="3"/>
    <s v="Half Day"/>
    <n v="1"/>
    <n v="60.48"/>
    <s v="None"/>
    <n v="0"/>
    <n v="0"/>
    <n v="60.48"/>
    <x v="4"/>
    <x v="2"/>
    <s v="Debit Card"/>
    <s v="Sunny"/>
  </r>
  <r>
    <s v="WSR-2026-1613"/>
    <d v="2026-07-23T00:00:00"/>
    <x v="6"/>
    <x v="6"/>
    <s v="Thursday"/>
    <x v="29"/>
    <d v="2026-07-31T00:00:00"/>
    <s v="Summer"/>
    <x v="3"/>
    <x v="5"/>
    <s v="1 Hour"/>
    <n v="1"/>
    <n v="29.12"/>
    <s v="Premium Life Jacket"/>
    <n v="7"/>
    <n v="0"/>
    <n v="36.119999999999997"/>
    <x v="8"/>
    <x v="2"/>
    <s v="Cash"/>
    <s v="Cloudy"/>
  </r>
  <r>
    <s v="WSR-2026-1614"/>
    <d v="2026-07-23T00:00:00"/>
    <x v="6"/>
    <x v="6"/>
    <s v="Thursday"/>
    <x v="29"/>
    <d v="2026-07-31T00:00:00"/>
    <s v="Summer"/>
    <x v="2"/>
    <x v="1"/>
    <s v="2 Hours"/>
    <n v="1"/>
    <n v="42.56"/>
    <s v="None"/>
    <n v="0"/>
    <n v="0"/>
    <n v="42.56"/>
    <x v="2"/>
    <x v="1"/>
    <s v="Debit Card"/>
    <s v="Sunny"/>
  </r>
  <r>
    <s v="WSR-2026-1615"/>
    <d v="2026-07-23T00:00:00"/>
    <x v="6"/>
    <x v="6"/>
    <s v="Thursday"/>
    <x v="29"/>
    <d v="2026-07-31T00:00:00"/>
    <s v="Summer"/>
    <x v="0"/>
    <x v="0"/>
    <s v="1 Hour"/>
    <n v="1"/>
    <n v="35.840000000000003"/>
    <s v="Cooler Rental"/>
    <n v="10"/>
    <n v="0"/>
    <n v="45.84"/>
    <x v="7"/>
    <x v="1"/>
    <s v="Credit Card"/>
    <s v="Sunny"/>
  </r>
  <r>
    <s v="WSR-2026-1616"/>
    <d v="2026-07-23T00:00:00"/>
    <x v="6"/>
    <x v="6"/>
    <s v="Thursday"/>
    <x v="29"/>
    <d v="2026-07-31T00:00:00"/>
    <s v="Summer"/>
    <x v="0"/>
    <x v="8"/>
    <s v="1 Hour"/>
    <n v="1"/>
    <n v="11.2"/>
    <s v="Phone Pouch"/>
    <n v="5"/>
    <n v="0"/>
    <n v="16.2"/>
    <x v="9"/>
    <x v="3"/>
    <s v="Cash"/>
    <s v="Sunny"/>
  </r>
  <r>
    <s v="WSR-2026-1617"/>
    <d v="2026-07-23T00:00:00"/>
    <x v="6"/>
    <x v="6"/>
    <s v="Thursday"/>
    <x v="29"/>
    <d v="2026-07-31T00:00:00"/>
    <s v="Summer"/>
    <x v="0"/>
    <x v="0"/>
    <s v="Half Day"/>
    <n v="1"/>
    <n v="85.12"/>
    <s v="Dry Bag"/>
    <n v="6"/>
    <n v="0"/>
    <n v="91.12"/>
    <x v="7"/>
    <x v="3"/>
    <s v="Credit Card"/>
    <s v="Sunny"/>
  </r>
  <r>
    <s v="WSR-2026-1618"/>
    <d v="2026-07-23T00:00:00"/>
    <x v="6"/>
    <x v="6"/>
    <s v="Thursday"/>
    <x v="29"/>
    <d v="2026-07-31T00:00:00"/>
    <s v="Summer"/>
    <x v="0"/>
    <x v="5"/>
    <s v="2 Hours"/>
    <n v="1"/>
    <n v="47.04"/>
    <s v="Cooler Rental"/>
    <n v="10"/>
    <n v="0"/>
    <n v="57.04"/>
    <x v="2"/>
    <x v="4"/>
    <s v="Credit Card"/>
    <s v="Sunny"/>
  </r>
  <r>
    <s v="WSR-2026-1619"/>
    <d v="2026-07-23T00:00:00"/>
    <x v="6"/>
    <x v="6"/>
    <s v="Thursday"/>
    <x v="29"/>
    <d v="2026-07-31T00:00:00"/>
    <s v="Summer"/>
    <x v="0"/>
    <x v="5"/>
    <s v="2 Hours"/>
    <n v="1"/>
    <n v="47.04"/>
    <s v="GoPro Mount"/>
    <n v="8"/>
    <n v="0"/>
    <n v="55.04"/>
    <x v="6"/>
    <x v="4"/>
    <s v="Debit Card"/>
    <s v="Cloudy"/>
  </r>
  <r>
    <s v="WSR-2026-1620"/>
    <d v="2026-07-23T00:00:00"/>
    <x v="6"/>
    <x v="6"/>
    <s v="Thursday"/>
    <x v="29"/>
    <d v="2026-07-31T00:00:00"/>
    <s v="Summer"/>
    <x v="2"/>
    <x v="3"/>
    <s v="1 Hour"/>
    <n v="1"/>
    <n v="24.64"/>
    <s v="None"/>
    <n v="0"/>
    <n v="0"/>
    <n v="24.64"/>
    <x v="2"/>
    <x v="3"/>
    <s v="Debit Card"/>
    <s v="Sunny"/>
  </r>
  <r>
    <s v="WSR-2026-1621"/>
    <d v="2026-07-23T00:00:00"/>
    <x v="6"/>
    <x v="6"/>
    <s v="Thursday"/>
    <x v="29"/>
    <d v="2026-07-31T00:00:00"/>
    <s v="Summer"/>
    <x v="1"/>
    <x v="5"/>
    <s v="2 Hours"/>
    <n v="1"/>
    <n v="47.04"/>
    <s v="Cooler Rental"/>
    <n v="10"/>
    <n v="5.7"/>
    <n v="51.34"/>
    <x v="5"/>
    <x v="3"/>
    <s v="Credit Card"/>
    <s v="Sunny"/>
  </r>
  <r>
    <s v="WSR-2026-1622"/>
    <d v="2026-07-23T00:00:00"/>
    <x v="6"/>
    <x v="6"/>
    <s v="Thursday"/>
    <x v="29"/>
    <d v="2026-07-31T00:00:00"/>
    <s v="Summer"/>
    <x v="3"/>
    <x v="5"/>
    <s v="1 Hour"/>
    <n v="1"/>
    <n v="29.12"/>
    <s v="None"/>
    <n v="0"/>
    <n v="0"/>
    <n v="29.12"/>
    <x v="4"/>
    <x v="2"/>
    <s v="Credit Card"/>
    <s v="Windy"/>
  </r>
  <r>
    <s v="WSR-2026-1623"/>
    <d v="2026-07-23T00:00:00"/>
    <x v="6"/>
    <x v="6"/>
    <s v="Thursday"/>
    <x v="29"/>
    <d v="2026-07-31T00:00:00"/>
    <s v="Summer"/>
    <x v="3"/>
    <x v="1"/>
    <s v="1 Hour"/>
    <n v="1"/>
    <n v="26.88"/>
    <s v="Premium Life Jacket"/>
    <n v="7"/>
    <n v="0"/>
    <n v="33.880000000000003"/>
    <x v="8"/>
    <x v="3"/>
    <s v="Cash"/>
    <s v="Sunny"/>
  </r>
  <r>
    <s v="WSR-2026-1624"/>
    <d v="2026-07-24T00:00:00"/>
    <x v="6"/>
    <x v="6"/>
    <s v="Friday"/>
    <x v="29"/>
    <d v="2026-07-31T00:00:00"/>
    <s v="Summer"/>
    <x v="2"/>
    <x v="8"/>
    <s v="Full Day"/>
    <n v="1"/>
    <n v="38.08"/>
    <s v="Phone Pouch"/>
    <n v="5"/>
    <n v="0"/>
    <n v="43.08"/>
    <x v="8"/>
    <x v="1"/>
    <s v="Credit Card"/>
    <s v="Sunny"/>
  </r>
  <r>
    <s v="WSR-2026-1625"/>
    <d v="2026-07-24T00:00:00"/>
    <x v="6"/>
    <x v="6"/>
    <s v="Friday"/>
    <x v="29"/>
    <d v="2026-07-31T00:00:00"/>
    <s v="Summer"/>
    <x v="0"/>
    <x v="8"/>
    <s v="1 Hour"/>
    <n v="1"/>
    <n v="11.2"/>
    <s v="None"/>
    <n v="0"/>
    <n v="0"/>
    <n v="11.2"/>
    <x v="4"/>
    <x v="4"/>
    <s v="Debit Card"/>
    <s v="Cloudy"/>
  </r>
  <r>
    <s v="WSR-2026-1626"/>
    <d v="2026-07-24T00:00:00"/>
    <x v="6"/>
    <x v="6"/>
    <s v="Friday"/>
    <x v="29"/>
    <d v="2026-07-31T00:00:00"/>
    <s v="Summer"/>
    <x v="3"/>
    <x v="1"/>
    <s v="Half Day"/>
    <n v="1"/>
    <n v="64.959999999999994"/>
    <s v="Phone Pouch"/>
    <n v="5"/>
    <n v="3.5"/>
    <n v="66.459999999999994"/>
    <x v="7"/>
    <x v="2"/>
    <s v="Debit Card"/>
    <s v="Sunny"/>
  </r>
  <r>
    <s v="WSR-2026-1627"/>
    <d v="2026-07-24T00:00:00"/>
    <x v="6"/>
    <x v="6"/>
    <s v="Friday"/>
    <x v="29"/>
    <d v="2026-07-31T00:00:00"/>
    <s v="Summer"/>
    <x v="2"/>
    <x v="0"/>
    <s v="2 Hours"/>
    <n v="1"/>
    <n v="56"/>
    <s v="None"/>
    <n v="0"/>
    <n v="0"/>
    <n v="56"/>
    <x v="5"/>
    <x v="3"/>
    <s v="Credit Card"/>
    <s v="Cloudy"/>
  </r>
  <r>
    <s v="WSR-2026-1628"/>
    <d v="2026-07-24T00:00:00"/>
    <x v="6"/>
    <x v="6"/>
    <s v="Friday"/>
    <x v="29"/>
    <d v="2026-07-31T00:00:00"/>
    <s v="Summer"/>
    <x v="1"/>
    <x v="5"/>
    <s v="2 Hours"/>
    <n v="1"/>
    <n v="47.04"/>
    <s v="None"/>
    <n v="0"/>
    <n v="4.7"/>
    <n v="42.34"/>
    <x v="3"/>
    <x v="1"/>
    <s v="Debit Card"/>
    <s v="Sunny"/>
  </r>
  <r>
    <s v="WSR-2026-1629"/>
    <d v="2026-07-24T00:00:00"/>
    <x v="6"/>
    <x v="6"/>
    <s v="Friday"/>
    <x v="29"/>
    <d v="2026-07-31T00:00:00"/>
    <s v="Summer"/>
    <x v="0"/>
    <x v="8"/>
    <s v="1 Hour"/>
    <n v="1"/>
    <n v="11.2"/>
    <s v="GoPro Mount"/>
    <n v="8"/>
    <n v="0"/>
    <n v="19.2"/>
    <x v="5"/>
    <x v="0"/>
    <s v="Credit Card"/>
    <s v="Sunny"/>
  </r>
  <r>
    <s v="WSR-2026-1630"/>
    <d v="2026-07-24T00:00:00"/>
    <x v="6"/>
    <x v="6"/>
    <s v="Friday"/>
    <x v="29"/>
    <d v="2026-07-31T00:00:00"/>
    <s v="Summer"/>
    <x v="0"/>
    <x v="6"/>
    <s v="1 Hour"/>
    <n v="1"/>
    <n v="40.32"/>
    <s v="Dry Bag"/>
    <n v="6"/>
    <n v="0"/>
    <n v="46.32"/>
    <x v="7"/>
    <x v="0"/>
    <s v="Credit Card"/>
    <s v="Windy"/>
  </r>
  <r>
    <s v="WSR-2026-1631"/>
    <d v="2026-07-24T00:00:00"/>
    <x v="6"/>
    <x v="6"/>
    <s v="Friday"/>
    <x v="29"/>
    <d v="2026-07-31T00:00:00"/>
    <s v="Summer"/>
    <x v="2"/>
    <x v="3"/>
    <s v="1 Hour"/>
    <n v="1"/>
    <n v="24.64"/>
    <s v="None"/>
    <n v="0"/>
    <n v="0"/>
    <n v="24.64"/>
    <x v="5"/>
    <x v="2"/>
    <s v="Mobile Pay"/>
    <s v="Sunny"/>
  </r>
  <r>
    <s v="WSR-2026-1632"/>
    <d v="2026-07-24T00:00:00"/>
    <x v="6"/>
    <x v="6"/>
    <s v="Friday"/>
    <x v="29"/>
    <d v="2026-07-31T00:00:00"/>
    <s v="Summer"/>
    <x v="2"/>
    <x v="1"/>
    <s v="1 Hour"/>
    <n v="1"/>
    <n v="26.88"/>
    <s v="Cooler Rental"/>
    <n v="10"/>
    <n v="0"/>
    <n v="36.880000000000003"/>
    <x v="9"/>
    <x v="4"/>
    <s v="Debit Card"/>
    <s v="Sunny"/>
  </r>
  <r>
    <s v="WSR-2026-1633"/>
    <d v="2026-07-24T00:00:00"/>
    <x v="6"/>
    <x v="6"/>
    <s v="Friday"/>
    <x v="29"/>
    <d v="2026-07-31T00:00:00"/>
    <s v="Summer"/>
    <x v="0"/>
    <x v="0"/>
    <s v="2 Hours"/>
    <n v="1"/>
    <n v="56"/>
    <s v="Waterproof Speaker"/>
    <n v="12"/>
    <n v="0"/>
    <n v="68"/>
    <x v="2"/>
    <x v="4"/>
    <s v="Credit Card"/>
    <s v="Sunny"/>
  </r>
  <r>
    <s v="WSR-2026-1634"/>
    <d v="2026-07-24T00:00:00"/>
    <x v="6"/>
    <x v="6"/>
    <s v="Friday"/>
    <x v="29"/>
    <d v="2026-07-31T00:00:00"/>
    <s v="Summer"/>
    <x v="0"/>
    <x v="3"/>
    <s v="Half Day"/>
    <n v="1"/>
    <n v="60.48"/>
    <s v="None"/>
    <n v="0"/>
    <n v="3.02"/>
    <n v="57.46"/>
    <x v="6"/>
    <x v="4"/>
    <s v="Gift Card"/>
    <s v="Sunny"/>
  </r>
  <r>
    <s v="WSR-2026-1635"/>
    <d v="2026-07-24T00:00:00"/>
    <x v="6"/>
    <x v="6"/>
    <s v="Friday"/>
    <x v="29"/>
    <d v="2026-07-31T00:00:00"/>
    <s v="Summer"/>
    <x v="3"/>
    <x v="3"/>
    <s v="1 Hour"/>
    <n v="1"/>
    <n v="24.64"/>
    <s v="None"/>
    <n v="0"/>
    <n v="1.23"/>
    <n v="23.41"/>
    <x v="8"/>
    <x v="4"/>
    <s v="Credit Card"/>
    <s v="Sunny"/>
  </r>
  <r>
    <s v="WSR-2026-1636"/>
    <d v="2026-07-24T00:00:00"/>
    <x v="6"/>
    <x v="6"/>
    <s v="Friday"/>
    <x v="29"/>
    <d v="2026-07-31T00:00:00"/>
    <s v="Summer"/>
    <x v="2"/>
    <x v="6"/>
    <s v="2 Hours"/>
    <n v="1"/>
    <n v="64.959999999999994"/>
    <s v="Cooler Rental"/>
    <n v="10"/>
    <n v="0"/>
    <n v="74.959999999999994"/>
    <x v="6"/>
    <x v="0"/>
    <s v="Credit Card"/>
    <s v="Sunny"/>
  </r>
  <r>
    <s v="WSR-2026-1637"/>
    <d v="2026-07-24T00:00:00"/>
    <x v="6"/>
    <x v="6"/>
    <s v="Friday"/>
    <x v="29"/>
    <d v="2026-07-31T00:00:00"/>
    <s v="Summer"/>
    <x v="2"/>
    <x v="1"/>
    <s v="Half Day"/>
    <n v="1"/>
    <n v="64.959999999999994"/>
    <s v="Phone Pouch"/>
    <n v="5"/>
    <n v="0"/>
    <n v="69.959999999999994"/>
    <x v="3"/>
    <x v="2"/>
    <s v="Credit Card"/>
    <s v="Sunny"/>
  </r>
  <r>
    <s v="WSR-2026-1638"/>
    <d v="2026-07-24T00:00:00"/>
    <x v="6"/>
    <x v="6"/>
    <s v="Friday"/>
    <x v="29"/>
    <d v="2026-07-31T00:00:00"/>
    <s v="Summer"/>
    <x v="3"/>
    <x v="5"/>
    <s v="Half Day"/>
    <n v="1"/>
    <n v="69.44"/>
    <s v="Phone Pouch"/>
    <n v="5"/>
    <n v="0"/>
    <n v="74.44"/>
    <x v="1"/>
    <x v="3"/>
    <s v="Credit Card"/>
    <s v="Sunny"/>
  </r>
  <r>
    <s v="WSR-2026-1639"/>
    <d v="2026-07-24T00:00:00"/>
    <x v="6"/>
    <x v="6"/>
    <s v="Friday"/>
    <x v="29"/>
    <d v="2026-07-31T00:00:00"/>
    <s v="Summer"/>
    <x v="0"/>
    <x v="5"/>
    <s v="2 Hours"/>
    <n v="1"/>
    <n v="47.04"/>
    <s v="Waterproof Speaker"/>
    <n v="12"/>
    <n v="0"/>
    <n v="59.04"/>
    <x v="8"/>
    <x v="3"/>
    <s v="Debit Card"/>
    <s v="Sunny"/>
  </r>
  <r>
    <s v="WSR-2026-1640"/>
    <d v="2026-07-24T00:00:00"/>
    <x v="6"/>
    <x v="6"/>
    <s v="Friday"/>
    <x v="29"/>
    <d v="2026-07-31T00:00:00"/>
    <s v="Summer"/>
    <x v="3"/>
    <x v="2"/>
    <s v="2 Hours"/>
    <n v="1"/>
    <n v="58.24"/>
    <s v="None"/>
    <n v="0"/>
    <n v="0"/>
    <n v="58.24"/>
    <x v="6"/>
    <x v="4"/>
    <s v="Gift Card"/>
    <s v="Sunny"/>
  </r>
  <r>
    <s v="WSR-2026-1641"/>
    <d v="2026-07-24T00:00:00"/>
    <x v="6"/>
    <x v="6"/>
    <s v="Friday"/>
    <x v="29"/>
    <d v="2026-07-31T00:00:00"/>
    <s v="Summer"/>
    <x v="2"/>
    <x v="5"/>
    <s v="1 Hour"/>
    <n v="1"/>
    <n v="29.12"/>
    <s v="None"/>
    <n v="0"/>
    <n v="0"/>
    <n v="29.12"/>
    <x v="4"/>
    <x v="1"/>
    <s v="Cash"/>
    <s v="Sunny"/>
  </r>
  <r>
    <s v="WSR-2026-1642"/>
    <d v="2026-07-24T00:00:00"/>
    <x v="6"/>
    <x v="6"/>
    <s v="Friday"/>
    <x v="29"/>
    <d v="2026-07-31T00:00:00"/>
    <s v="Summer"/>
    <x v="0"/>
    <x v="1"/>
    <s v="Half Day"/>
    <n v="1"/>
    <n v="64.959999999999994"/>
    <s v="Dry Bag"/>
    <n v="6"/>
    <n v="0"/>
    <n v="70.959999999999994"/>
    <x v="9"/>
    <x v="0"/>
    <s v="Credit Card"/>
    <s v="Sunny"/>
  </r>
  <r>
    <s v="WSR-2026-1643"/>
    <d v="2026-07-24T00:00:00"/>
    <x v="6"/>
    <x v="6"/>
    <s v="Friday"/>
    <x v="29"/>
    <d v="2026-07-31T00:00:00"/>
    <s v="Summer"/>
    <x v="2"/>
    <x v="4"/>
    <s v="Full Day"/>
    <n v="1"/>
    <n v="44.8"/>
    <s v="None"/>
    <n v="0"/>
    <n v="0"/>
    <n v="44.8"/>
    <x v="2"/>
    <x v="3"/>
    <s v="Cash"/>
    <s v="Sunny"/>
  </r>
  <r>
    <s v="WSR-2026-1644"/>
    <d v="2026-07-24T00:00:00"/>
    <x v="6"/>
    <x v="6"/>
    <s v="Friday"/>
    <x v="29"/>
    <d v="2026-07-31T00:00:00"/>
    <s v="Summer"/>
    <x v="1"/>
    <x v="8"/>
    <s v="Half Day"/>
    <n v="1"/>
    <n v="26.88"/>
    <s v="Waterproof Speaker"/>
    <n v="12"/>
    <n v="1.94"/>
    <n v="36.94"/>
    <x v="6"/>
    <x v="0"/>
    <s v="Mobile Pay"/>
    <s v="Sunny"/>
  </r>
  <r>
    <s v="WSR-2026-1645"/>
    <d v="2026-07-24T00:00:00"/>
    <x v="6"/>
    <x v="6"/>
    <s v="Friday"/>
    <x v="29"/>
    <d v="2026-07-31T00:00:00"/>
    <s v="Summer"/>
    <x v="3"/>
    <x v="3"/>
    <s v="Full Day"/>
    <n v="1"/>
    <n v="85.12"/>
    <s v="None"/>
    <n v="0"/>
    <n v="0"/>
    <n v="85.12"/>
    <x v="7"/>
    <x v="4"/>
    <s v="Mobile Pay"/>
    <s v="Sunny"/>
  </r>
  <r>
    <s v="WSR-2026-1646"/>
    <d v="2026-07-24T00:00:00"/>
    <x v="6"/>
    <x v="6"/>
    <s v="Friday"/>
    <x v="29"/>
    <d v="2026-07-31T00:00:00"/>
    <s v="Summer"/>
    <x v="3"/>
    <x v="2"/>
    <s v="1 Hour"/>
    <n v="1"/>
    <n v="38.08"/>
    <s v="None"/>
    <n v="0"/>
    <n v="0"/>
    <n v="38.08"/>
    <x v="2"/>
    <x v="1"/>
    <s v="Debit Card"/>
    <s v="Windy"/>
  </r>
  <r>
    <s v="WSR-2026-1647"/>
    <d v="2026-07-24T00:00:00"/>
    <x v="6"/>
    <x v="6"/>
    <s v="Friday"/>
    <x v="29"/>
    <d v="2026-07-31T00:00:00"/>
    <s v="Summer"/>
    <x v="3"/>
    <x v="0"/>
    <s v="Full Day"/>
    <n v="1"/>
    <n v="123.2"/>
    <s v="None"/>
    <n v="0"/>
    <n v="0"/>
    <n v="123.2"/>
    <x v="7"/>
    <x v="3"/>
    <s v="Credit Card"/>
    <s v="Cloudy"/>
  </r>
  <r>
    <s v="WSR-2026-1648"/>
    <d v="2026-07-24T00:00:00"/>
    <x v="6"/>
    <x v="6"/>
    <s v="Friday"/>
    <x v="29"/>
    <d v="2026-07-31T00:00:00"/>
    <s v="Summer"/>
    <x v="3"/>
    <x v="5"/>
    <s v="2 Hours"/>
    <n v="1"/>
    <n v="47.04"/>
    <s v="None"/>
    <n v="0"/>
    <n v="0"/>
    <n v="47.04"/>
    <x v="6"/>
    <x v="1"/>
    <s v="Credit Card"/>
    <s v="Rainy"/>
  </r>
  <r>
    <s v="WSR-2026-1649"/>
    <d v="2026-07-24T00:00:00"/>
    <x v="6"/>
    <x v="6"/>
    <s v="Friday"/>
    <x v="29"/>
    <d v="2026-07-31T00:00:00"/>
    <s v="Summer"/>
    <x v="0"/>
    <x v="1"/>
    <s v="2 Hours"/>
    <n v="1"/>
    <n v="42.56"/>
    <s v="Premium Life Jacket"/>
    <n v="7"/>
    <n v="0"/>
    <n v="49.56"/>
    <x v="9"/>
    <x v="0"/>
    <s v="Credit Card"/>
    <s v="Sunny"/>
  </r>
  <r>
    <s v="WSR-2026-1650"/>
    <d v="2026-07-24T00:00:00"/>
    <x v="6"/>
    <x v="6"/>
    <s v="Friday"/>
    <x v="29"/>
    <d v="2026-07-31T00:00:00"/>
    <s v="Summer"/>
    <x v="3"/>
    <x v="2"/>
    <s v="2 Hours"/>
    <n v="1"/>
    <n v="58.24"/>
    <s v="GoPro Mount"/>
    <n v="8"/>
    <n v="0"/>
    <n v="66.239999999999995"/>
    <x v="9"/>
    <x v="1"/>
    <s v="Credit Card"/>
    <s v="Sunny"/>
  </r>
  <r>
    <s v="WSR-2026-1651"/>
    <d v="2026-07-24T00:00:00"/>
    <x v="6"/>
    <x v="6"/>
    <s v="Friday"/>
    <x v="29"/>
    <d v="2026-07-31T00:00:00"/>
    <s v="Summer"/>
    <x v="3"/>
    <x v="2"/>
    <s v="Half Day"/>
    <n v="1"/>
    <n v="87.36"/>
    <s v="Dry Bag"/>
    <n v="6"/>
    <n v="0"/>
    <n v="93.36"/>
    <x v="7"/>
    <x v="2"/>
    <s v="Credit Card"/>
    <s v="Cloudy"/>
  </r>
  <r>
    <s v="WSR-2026-1652"/>
    <d v="2026-07-24T00:00:00"/>
    <x v="6"/>
    <x v="6"/>
    <s v="Friday"/>
    <x v="29"/>
    <d v="2026-07-31T00:00:00"/>
    <s v="Summer"/>
    <x v="2"/>
    <x v="0"/>
    <s v="1 Hour"/>
    <n v="1"/>
    <n v="35.840000000000003"/>
    <s v="Phone Pouch"/>
    <n v="5"/>
    <n v="0"/>
    <n v="40.840000000000003"/>
    <x v="2"/>
    <x v="0"/>
    <s v="Mobile Pay"/>
    <s v="Sunny"/>
  </r>
  <r>
    <s v="WSR-2026-1653"/>
    <d v="2026-07-24T00:00:00"/>
    <x v="6"/>
    <x v="6"/>
    <s v="Friday"/>
    <x v="29"/>
    <d v="2026-07-31T00:00:00"/>
    <s v="Summer"/>
    <x v="2"/>
    <x v="1"/>
    <s v="2 Hours"/>
    <n v="1"/>
    <n v="42.56"/>
    <s v="None"/>
    <n v="0"/>
    <n v="0"/>
    <n v="42.56"/>
    <x v="3"/>
    <x v="2"/>
    <s v="Credit Card"/>
    <s v="Cloudy"/>
  </r>
  <r>
    <s v="WSR-2026-1654"/>
    <d v="2026-07-24T00:00:00"/>
    <x v="6"/>
    <x v="6"/>
    <s v="Friday"/>
    <x v="29"/>
    <d v="2026-07-31T00:00:00"/>
    <s v="Summer"/>
    <x v="3"/>
    <x v="7"/>
    <s v="Half Day"/>
    <n v="1"/>
    <n v="38.08"/>
    <s v="Cooler Rental"/>
    <n v="10"/>
    <n v="0"/>
    <n v="48.08"/>
    <x v="2"/>
    <x v="0"/>
    <s v="Mobile Pay"/>
    <s v="Sunny"/>
  </r>
  <r>
    <s v="WSR-2026-1655"/>
    <d v="2026-07-24T00:00:00"/>
    <x v="6"/>
    <x v="6"/>
    <s v="Friday"/>
    <x v="29"/>
    <d v="2026-07-31T00:00:00"/>
    <s v="Summer"/>
    <x v="2"/>
    <x v="7"/>
    <s v="1 Hour"/>
    <n v="1"/>
    <n v="15.68"/>
    <s v="Phone Pouch"/>
    <n v="5"/>
    <n v="0"/>
    <n v="20.68"/>
    <x v="8"/>
    <x v="1"/>
    <s v="Debit Card"/>
    <s v="Sunny"/>
  </r>
  <r>
    <s v="WSR-2026-1656"/>
    <d v="2026-07-24T00:00:00"/>
    <x v="6"/>
    <x v="6"/>
    <s v="Friday"/>
    <x v="29"/>
    <d v="2026-07-31T00:00:00"/>
    <s v="Summer"/>
    <x v="3"/>
    <x v="5"/>
    <s v="Half Day"/>
    <n v="1"/>
    <n v="69.44"/>
    <s v="Waterproof Speaker"/>
    <n v="12"/>
    <n v="0"/>
    <n v="81.44"/>
    <x v="4"/>
    <x v="4"/>
    <s v="Credit Card"/>
    <s v="Sunny"/>
  </r>
  <r>
    <s v="WSR-2026-1657"/>
    <d v="2026-07-25T00:00:00"/>
    <x v="6"/>
    <x v="6"/>
    <s v="Saturday"/>
    <x v="29"/>
    <d v="2026-07-31T00:00:00"/>
    <s v="Summer"/>
    <x v="3"/>
    <x v="2"/>
    <s v="2 Hours"/>
    <n v="1"/>
    <n v="62.4"/>
    <s v="Waterproof Speaker"/>
    <n v="12"/>
    <n v="0"/>
    <n v="74.400000000000006"/>
    <x v="5"/>
    <x v="0"/>
    <s v="Cash"/>
    <s v="Cloudy"/>
  </r>
  <r>
    <s v="WSR-2026-1658"/>
    <d v="2026-07-25T00:00:00"/>
    <x v="6"/>
    <x v="6"/>
    <s v="Saturday"/>
    <x v="29"/>
    <d v="2026-07-31T00:00:00"/>
    <s v="Summer"/>
    <x v="1"/>
    <x v="0"/>
    <s v="1 Hour"/>
    <n v="1"/>
    <n v="38.4"/>
    <s v="None"/>
    <n v="0"/>
    <n v="3.84"/>
    <n v="34.56"/>
    <x v="2"/>
    <x v="1"/>
    <s v="Credit Card"/>
    <s v="Windy"/>
  </r>
  <r>
    <s v="WSR-2026-1659"/>
    <d v="2026-07-25T00:00:00"/>
    <x v="6"/>
    <x v="6"/>
    <s v="Saturday"/>
    <x v="29"/>
    <d v="2026-07-31T00:00:00"/>
    <s v="Summer"/>
    <x v="0"/>
    <x v="5"/>
    <s v="Half Day"/>
    <n v="1"/>
    <n v="74.400000000000006"/>
    <s v="None"/>
    <n v="0"/>
    <n v="0"/>
    <n v="74.400000000000006"/>
    <x v="2"/>
    <x v="2"/>
    <s v="Credit Card"/>
    <s v="Sunny"/>
  </r>
  <r>
    <s v="WSR-2026-1660"/>
    <d v="2026-07-25T00:00:00"/>
    <x v="6"/>
    <x v="6"/>
    <s v="Saturday"/>
    <x v="29"/>
    <d v="2026-07-31T00:00:00"/>
    <s v="Summer"/>
    <x v="0"/>
    <x v="2"/>
    <s v="Full Day"/>
    <n v="1"/>
    <n v="134.4"/>
    <s v="None"/>
    <n v="0"/>
    <n v="0"/>
    <n v="134.4"/>
    <x v="7"/>
    <x v="3"/>
    <s v="Cash"/>
    <s v="Sunny"/>
  </r>
  <r>
    <s v="WSR-2026-1661"/>
    <d v="2026-07-25T00:00:00"/>
    <x v="6"/>
    <x v="6"/>
    <s v="Saturday"/>
    <x v="29"/>
    <d v="2026-07-31T00:00:00"/>
    <s v="Summer"/>
    <x v="3"/>
    <x v="5"/>
    <s v="1 Hour"/>
    <n v="1"/>
    <n v="31.2"/>
    <s v="None"/>
    <n v="0"/>
    <n v="0"/>
    <n v="31.2"/>
    <x v="9"/>
    <x v="2"/>
    <s v="Debit Card"/>
    <s v="Sunny"/>
  </r>
  <r>
    <s v="WSR-2026-1662"/>
    <d v="2026-07-25T00:00:00"/>
    <x v="6"/>
    <x v="6"/>
    <s v="Saturday"/>
    <x v="29"/>
    <d v="2026-07-31T00:00:00"/>
    <s v="Summer"/>
    <x v="0"/>
    <x v="0"/>
    <s v="1 Hour"/>
    <n v="1"/>
    <n v="38.4"/>
    <s v="Dry Bag"/>
    <n v="6"/>
    <n v="0"/>
    <n v="44.4"/>
    <x v="2"/>
    <x v="2"/>
    <s v="Credit Card"/>
    <s v="Sunny"/>
  </r>
  <r>
    <s v="WSR-2026-1663"/>
    <d v="2026-07-25T00:00:00"/>
    <x v="6"/>
    <x v="6"/>
    <s v="Saturday"/>
    <x v="29"/>
    <d v="2026-07-31T00:00:00"/>
    <s v="Summer"/>
    <x v="1"/>
    <x v="8"/>
    <s v="2 Hours"/>
    <n v="1"/>
    <n v="19.2"/>
    <s v="Phone Pouch"/>
    <n v="5"/>
    <n v="0"/>
    <n v="24.2"/>
    <x v="6"/>
    <x v="2"/>
    <s v="Credit Card"/>
    <s v="Sunny"/>
  </r>
  <r>
    <s v="WSR-2026-1664"/>
    <d v="2026-07-25T00:00:00"/>
    <x v="6"/>
    <x v="6"/>
    <s v="Saturday"/>
    <x v="29"/>
    <d v="2026-07-31T00:00:00"/>
    <s v="Summer"/>
    <x v="0"/>
    <x v="4"/>
    <s v="2 Hours"/>
    <n v="1"/>
    <n v="21.6"/>
    <s v="None"/>
    <n v="0"/>
    <n v="0"/>
    <n v="21.6"/>
    <x v="1"/>
    <x v="1"/>
    <s v="Credit Card"/>
    <s v="Cloudy"/>
  </r>
  <r>
    <s v="WSR-2026-1665"/>
    <d v="2026-07-25T00:00:00"/>
    <x v="6"/>
    <x v="6"/>
    <s v="Saturday"/>
    <x v="29"/>
    <d v="2026-07-31T00:00:00"/>
    <s v="Summer"/>
    <x v="0"/>
    <x v="7"/>
    <s v="Half Day"/>
    <n v="1"/>
    <n v="40.799999999999997"/>
    <s v="None"/>
    <n v="0"/>
    <n v="0"/>
    <n v="40.799999999999997"/>
    <x v="4"/>
    <x v="4"/>
    <s v="Credit Card"/>
    <s v="Sunny"/>
  </r>
  <r>
    <s v="WSR-2026-1666"/>
    <d v="2026-07-25T00:00:00"/>
    <x v="6"/>
    <x v="6"/>
    <s v="Saturday"/>
    <x v="29"/>
    <d v="2026-07-31T00:00:00"/>
    <s v="Summer"/>
    <x v="3"/>
    <x v="8"/>
    <s v="2 Hours"/>
    <n v="1"/>
    <n v="19.2"/>
    <s v="None"/>
    <n v="0"/>
    <n v="0"/>
    <n v="19.2"/>
    <x v="5"/>
    <x v="2"/>
    <s v="Credit Card"/>
    <s v="Sunny"/>
  </r>
  <r>
    <s v="WSR-2026-1667"/>
    <d v="2026-07-25T00:00:00"/>
    <x v="6"/>
    <x v="6"/>
    <s v="Saturday"/>
    <x v="29"/>
    <d v="2026-07-31T00:00:00"/>
    <s v="Summer"/>
    <x v="0"/>
    <x v="8"/>
    <s v="Half Day"/>
    <n v="1"/>
    <n v="28.8"/>
    <s v="Cooler Rental"/>
    <n v="10"/>
    <n v="0"/>
    <n v="38.799999999999997"/>
    <x v="5"/>
    <x v="1"/>
    <s v="Debit Card"/>
    <s v="Sunny"/>
  </r>
  <r>
    <s v="WSR-2026-1668"/>
    <d v="2026-07-25T00:00:00"/>
    <x v="6"/>
    <x v="6"/>
    <s v="Saturday"/>
    <x v="29"/>
    <d v="2026-07-31T00:00:00"/>
    <s v="Summer"/>
    <x v="4"/>
    <x v="1"/>
    <s v="2 Hours"/>
    <n v="1"/>
    <n v="45.6"/>
    <s v="Premium Life Jacket"/>
    <n v="7"/>
    <n v="5.26"/>
    <n v="47.34"/>
    <x v="0"/>
    <x v="3"/>
    <s v="Debit Card"/>
    <s v="Sunny"/>
  </r>
  <r>
    <s v="WSR-2026-1669"/>
    <d v="2026-07-25T00:00:00"/>
    <x v="6"/>
    <x v="6"/>
    <s v="Saturday"/>
    <x v="29"/>
    <d v="2026-07-31T00:00:00"/>
    <s v="Summer"/>
    <x v="1"/>
    <x v="1"/>
    <s v="1 Hour"/>
    <n v="1"/>
    <n v="28.8"/>
    <s v="Phone Pouch"/>
    <n v="5"/>
    <n v="3.38"/>
    <n v="30.42"/>
    <x v="2"/>
    <x v="0"/>
    <s v="Debit Card"/>
    <s v="Sunny"/>
  </r>
  <r>
    <s v="WSR-2026-1670"/>
    <d v="2026-07-25T00:00:00"/>
    <x v="6"/>
    <x v="6"/>
    <s v="Saturday"/>
    <x v="29"/>
    <d v="2026-07-31T00:00:00"/>
    <s v="Summer"/>
    <x v="2"/>
    <x v="5"/>
    <s v="1 Hour"/>
    <n v="1"/>
    <n v="31.2"/>
    <s v="None"/>
    <n v="0"/>
    <n v="0"/>
    <n v="31.2"/>
    <x v="6"/>
    <x v="2"/>
    <s v="Gift Card"/>
    <s v="Rainy"/>
  </r>
  <r>
    <s v="WSR-2026-1671"/>
    <d v="2026-07-25T00:00:00"/>
    <x v="6"/>
    <x v="6"/>
    <s v="Saturday"/>
    <x v="29"/>
    <d v="2026-07-31T00:00:00"/>
    <s v="Summer"/>
    <x v="0"/>
    <x v="1"/>
    <s v="1 Hour"/>
    <n v="1"/>
    <n v="28.8"/>
    <s v="None"/>
    <n v="0"/>
    <n v="0"/>
    <n v="28.8"/>
    <x v="1"/>
    <x v="0"/>
    <s v="Gift Card"/>
    <s v="Sunny"/>
  </r>
  <r>
    <s v="WSR-2026-1672"/>
    <d v="2026-07-25T00:00:00"/>
    <x v="6"/>
    <x v="6"/>
    <s v="Saturday"/>
    <x v="29"/>
    <d v="2026-07-31T00:00:00"/>
    <s v="Summer"/>
    <x v="2"/>
    <x v="8"/>
    <s v="Half Day"/>
    <n v="1"/>
    <n v="28.8"/>
    <s v="Phone Pouch"/>
    <n v="5"/>
    <n v="0"/>
    <n v="33.799999999999997"/>
    <x v="8"/>
    <x v="2"/>
    <s v="Credit Card"/>
    <s v="Windy"/>
  </r>
  <r>
    <s v="WSR-2026-1673"/>
    <d v="2026-07-25T00:00:00"/>
    <x v="6"/>
    <x v="6"/>
    <s v="Saturday"/>
    <x v="29"/>
    <d v="2026-07-31T00:00:00"/>
    <s v="Summer"/>
    <x v="1"/>
    <x v="5"/>
    <s v="2 Hours"/>
    <n v="1"/>
    <n v="50.4"/>
    <s v="Dry Bag"/>
    <n v="6"/>
    <n v="2.82"/>
    <n v="53.58"/>
    <x v="4"/>
    <x v="1"/>
    <s v="Mobile Pay"/>
    <s v="Sunny"/>
  </r>
  <r>
    <s v="WSR-2026-1674"/>
    <d v="2026-07-25T00:00:00"/>
    <x v="6"/>
    <x v="6"/>
    <s v="Saturday"/>
    <x v="29"/>
    <d v="2026-07-31T00:00:00"/>
    <s v="Summer"/>
    <x v="2"/>
    <x v="0"/>
    <s v="Half Day"/>
    <n v="1"/>
    <n v="91.2"/>
    <s v="GoPro Mount"/>
    <n v="8"/>
    <n v="0"/>
    <n v="99.2"/>
    <x v="8"/>
    <x v="3"/>
    <s v="Credit Card"/>
    <s v="Sunny"/>
  </r>
  <r>
    <s v="WSR-2026-1675"/>
    <d v="2026-07-25T00:00:00"/>
    <x v="6"/>
    <x v="6"/>
    <s v="Saturday"/>
    <x v="29"/>
    <d v="2026-07-31T00:00:00"/>
    <s v="Summer"/>
    <x v="1"/>
    <x v="4"/>
    <s v="1 Hour"/>
    <n v="1"/>
    <n v="14.4"/>
    <s v="None"/>
    <n v="0"/>
    <n v="1.44"/>
    <n v="12.96"/>
    <x v="3"/>
    <x v="3"/>
    <s v="Mobile Pay"/>
    <s v="Cloudy"/>
  </r>
  <r>
    <s v="WSR-2026-1676"/>
    <d v="2026-07-25T00:00:00"/>
    <x v="6"/>
    <x v="6"/>
    <s v="Saturday"/>
    <x v="29"/>
    <d v="2026-07-31T00:00:00"/>
    <s v="Summer"/>
    <x v="3"/>
    <x v="3"/>
    <s v="1 Hour"/>
    <n v="1"/>
    <n v="26.4"/>
    <s v="Phone Pouch"/>
    <n v="5"/>
    <n v="0"/>
    <n v="31.4"/>
    <x v="9"/>
    <x v="4"/>
    <s v="Debit Card"/>
    <s v="Sunny"/>
  </r>
  <r>
    <s v="WSR-2026-1677"/>
    <d v="2026-07-25T00:00:00"/>
    <x v="6"/>
    <x v="6"/>
    <s v="Saturday"/>
    <x v="29"/>
    <d v="2026-07-31T00:00:00"/>
    <s v="Summer"/>
    <x v="2"/>
    <x v="2"/>
    <s v="2 Hours"/>
    <n v="1"/>
    <n v="62.4"/>
    <s v="Phone Pouch"/>
    <n v="5"/>
    <n v="0"/>
    <n v="67.400000000000006"/>
    <x v="9"/>
    <x v="0"/>
    <s v="Cash"/>
    <s v="Cloudy"/>
  </r>
  <r>
    <s v="WSR-2026-1678"/>
    <d v="2026-07-25T00:00:00"/>
    <x v="6"/>
    <x v="6"/>
    <s v="Saturday"/>
    <x v="29"/>
    <d v="2026-07-31T00:00:00"/>
    <s v="Summer"/>
    <x v="2"/>
    <x v="1"/>
    <s v="1 Hour"/>
    <n v="1"/>
    <n v="28.8"/>
    <s v="GoPro Mount"/>
    <n v="8"/>
    <n v="0"/>
    <n v="36.799999999999997"/>
    <x v="8"/>
    <x v="0"/>
    <s v="Credit Card"/>
    <s v="Windy"/>
  </r>
  <r>
    <s v="WSR-2026-1679"/>
    <d v="2026-07-25T00:00:00"/>
    <x v="6"/>
    <x v="6"/>
    <s v="Saturday"/>
    <x v="29"/>
    <d v="2026-07-31T00:00:00"/>
    <s v="Summer"/>
    <x v="0"/>
    <x v="2"/>
    <s v="1 Hour"/>
    <n v="1"/>
    <n v="40.799999999999997"/>
    <s v="Phone Pouch"/>
    <n v="5"/>
    <n v="0"/>
    <n v="45.8"/>
    <x v="3"/>
    <x v="3"/>
    <s v="Mobile Pay"/>
    <s v="Sunny"/>
  </r>
  <r>
    <s v="WSR-2026-1680"/>
    <d v="2026-07-25T00:00:00"/>
    <x v="6"/>
    <x v="6"/>
    <s v="Saturday"/>
    <x v="29"/>
    <d v="2026-07-31T00:00:00"/>
    <s v="Summer"/>
    <x v="3"/>
    <x v="7"/>
    <s v="2 Hours"/>
    <n v="1"/>
    <n v="26.4"/>
    <s v="None"/>
    <n v="0"/>
    <n v="0"/>
    <n v="26.4"/>
    <x v="9"/>
    <x v="2"/>
    <s v="Credit Card"/>
    <s v="Cloudy"/>
  </r>
  <r>
    <s v="WSR-2026-1681"/>
    <d v="2026-07-25T00:00:00"/>
    <x v="6"/>
    <x v="6"/>
    <s v="Saturday"/>
    <x v="29"/>
    <d v="2026-07-31T00:00:00"/>
    <s v="Summer"/>
    <x v="3"/>
    <x v="9"/>
    <s v="1 Hour"/>
    <n v="1"/>
    <n v="36"/>
    <s v="Premium Life Jacket"/>
    <n v="7"/>
    <n v="0"/>
    <n v="43"/>
    <x v="5"/>
    <x v="4"/>
    <s v="Credit Card"/>
    <s v="Sunny"/>
  </r>
  <r>
    <s v="WSR-2026-1682"/>
    <d v="2026-07-25T00:00:00"/>
    <x v="6"/>
    <x v="6"/>
    <s v="Saturday"/>
    <x v="29"/>
    <d v="2026-07-31T00:00:00"/>
    <s v="Summer"/>
    <x v="1"/>
    <x v="1"/>
    <s v="1 Hour"/>
    <n v="1"/>
    <n v="28.8"/>
    <s v="Dry Bag"/>
    <n v="6"/>
    <n v="3.48"/>
    <n v="31.32"/>
    <x v="2"/>
    <x v="3"/>
    <s v="Credit Card"/>
    <s v="Sunny"/>
  </r>
  <r>
    <s v="WSR-2026-1683"/>
    <d v="2026-07-25T00:00:00"/>
    <x v="6"/>
    <x v="6"/>
    <s v="Saturday"/>
    <x v="29"/>
    <d v="2026-07-31T00:00:00"/>
    <s v="Summer"/>
    <x v="2"/>
    <x v="3"/>
    <s v="2 Hours"/>
    <n v="1"/>
    <n v="43.2"/>
    <s v="Dry Bag"/>
    <n v="6"/>
    <n v="0"/>
    <n v="49.2"/>
    <x v="4"/>
    <x v="4"/>
    <s v="Mobile Pay"/>
    <s v="Sunny"/>
  </r>
  <r>
    <s v="WSR-2026-1684"/>
    <d v="2026-07-25T00:00:00"/>
    <x v="6"/>
    <x v="6"/>
    <s v="Saturday"/>
    <x v="29"/>
    <d v="2026-07-31T00:00:00"/>
    <s v="Summer"/>
    <x v="3"/>
    <x v="4"/>
    <s v="Full Day"/>
    <n v="1"/>
    <n v="48"/>
    <s v="None"/>
    <n v="0"/>
    <n v="0"/>
    <n v="48"/>
    <x v="7"/>
    <x v="4"/>
    <s v="Mobile Pay"/>
    <s v="Sunny"/>
  </r>
  <r>
    <s v="WSR-2026-1685"/>
    <d v="2026-07-25T00:00:00"/>
    <x v="6"/>
    <x v="6"/>
    <s v="Saturday"/>
    <x v="29"/>
    <d v="2026-07-31T00:00:00"/>
    <s v="Summer"/>
    <x v="2"/>
    <x v="8"/>
    <s v="2 Hours"/>
    <n v="1"/>
    <n v="19.2"/>
    <s v="Dry Bag"/>
    <n v="6"/>
    <n v="0"/>
    <n v="25.2"/>
    <x v="0"/>
    <x v="2"/>
    <s v="Mobile Pay"/>
    <s v="Sunny"/>
  </r>
  <r>
    <s v="WSR-2026-1686"/>
    <d v="2026-07-25T00:00:00"/>
    <x v="6"/>
    <x v="6"/>
    <s v="Saturday"/>
    <x v="29"/>
    <d v="2026-07-31T00:00:00"/>
    <s v="Summer"/>
    <x v="3"/>
    <x v="0"/>
    <s v="Half Day"/>
    <n v="1"/>
    <n v="91.2"/>
    <s v="None"/>
    <n v="0"/>
    <n v="0"/>
    <n v="91.2"/>
    <x v="7"/>
    <x v="0"/>
    <s v="Credit Card"/>
    <s v="Sunny"/>
  </r>
  <r>
    <s v="WSR-2026-1687"/>
    <d v="2026-07-26T00:00:00"/>
    <x v="6"/>
    <x v="6"/>
    <s v="Sunday"/>
    <x v="30"/>
    <d v="2026-07-31T00:00:00"/>
    <s v="Summer"/>
    <x v="2"/>
    <x v="5"/>
    <s v="Half Day"/>
    <n v="1"/>
    <n v="74.400000000000006"/>
    <s v="None"/>
    <n v="0"/>
    <n v="0"/>
    <n v="74.400000000000006"/>
    <x v="4"/>
    <x v="2"/>
    <s v="Credit Card"/>
    <s v="Sunny"/>
  </r>
  <r>
    <s v="WSR-2026-1688"/>
    <d v="2026-07-26T00:00:00"/>
    <x v="6"/>
    <x v="6"/>
    <s v="Sunday"/>
    <x v="30"/>
    <d v="2026-07-31T00:00:00"/>
    <s v="Summer"/>
    <x v="2"/>
    <x v="9"/>
    <s v="Half Day"/>
    <n v="1"/>
    <n v="86.4"/>
    <s v="None"/>
    <n v="0"/>
    <n v="0"/>
    <n v="86.4"/>
    <x v="1"/>
    <x v="4"/>
    <s v="Cash"/>
    <s v="Sunny"/>
  </r>
  <r>
    <s v="WSR-2026-1689"/>
    <d v="2026-07-26T00:00:00"/>
    <x v="6"/>
    <x v="6"/>
    <s v="Sunday"/>
    <x v="30"/>
    <d v="2026-07-31T00:00:00"/>
    <s v="Summer"/>
    <x v="3"/>
    <x v="1"/>
    <s v="1 Hour"/>
    <n v="1"/>
    <n v="28.8"/>
    <s v="Premium Life Jacket"/>
    <n v="7"/>
    <n v="0"/>
    <n v="35.799999999999997"/>
    <x v="3"/>
    <x v="3"/>
    <s v="Debit Card"/>
    <s v="Sunny"/>
  </r>
  <r>
    <s v="WSR-2026-1690"/>
    <d v="2026-07-26T00:00:00"/>
    <x v="6"/>
    <x v="6"/>
    <s v="Sunday"/>
    <x v="30"/>
    <d v="2026-07-31T00:00:00"/>
    <s v="Summer"/>
    <x v="2"/>
    <x v="5"/>
    <s v="2 Hours"/>
    <n v="1"/>
    <n v="50.4"/>
    <s v="Waterproof Speaker"/>
    <n v="12"/>
    <n v="0"/>
    <n v="62.4"/>
    <x v="5"/>
    <x v="2"/>
    <s v="Credit Card"/>
    <s v="Sunny"/>
  </r>
  <r>
    <s v="WSR-2026-1691"/>
    <d v="2026-07-26T00:00:00"/>
    <x v="6"/>
    <x v="6"/>
    <s v="Sunday"/>
    <x v="30"/>
    <d v="2026-07-31T00:00:00"/>
    <s v="Summer"/>
    <x v="1"/>
    <x v="7"/>
    <s v="1 Hour"/>
    <n v="1"/>
    <n v="16.8"/>
    <s v="None"/>
    <n v="0"/>
    <n v="0.84"/>
    <n v="15.96"/>
    <x v="3"/>
    <x v="0"/>
    <s v="Debit Card"/>
    <s v="Sunny"/>
  </r>
  <r>
    <s v="WSR-2026-1692"/>
    <d v="2026-07-26T00:00:00"/>
    <x v="6"/>
    <x v="6"/>
    <s v="Sunday"/>
    <x v="30"/>
    <d v="2026-07-31T00:00:00"/>
    <s v="Summer"/>
    <x v="4"/>
    <x v="1"/>
    <s v="Half Day"/>
    <n v="1"/>
    <n v="69.599999999999994"/>
    <s v="Dry Bag"/>
    <n v="6"/>
    <n v="7.56"/>
    <n v="68.040000000000006"/>
    <x v="6"/>
    <x v="4"/>
    <s v="Credit Card"/>
    <s v="Cloudy"/>
  </r>
  <r>
    <s v="WSR-2026-1693"/>
    <d v="2026-07-26T00:00:00"/>
    <x v="6"/>
    <x v="6"/>
    <s v="Sunday"/>
    <x v="30"/>
    <d v="2026-07-31T00:00:00"/>
    <s v="Summer"/>
    <x v="2"/>
    <x v="3"/>
    <s v="2 Hours"/>
    <n v="1"/>
    <n v="43.2"/>
    <s v="None"/>
    <n v="0"/>
    <n v="0"/>
    <n v="43.2"/>
    <x v="5"/>
    <x v="0"/>
    <s v="Debit Card"/>
    <s v="Sunny"/>
  </r>
  <r>
    <s v="WSR-2026-1694"/>
    <d v="2026-07-26T00:00:00"/>
    <x v="6"/>
    <x v="6"/>
    <s v="Sunday"/>
    <x v="30"/>
    <d v="2026-07-31T00:00:00"/>
    <s v="Summer"/>
    <x v="3"/>
    <x v="1"/>
    <s v="2 Hours"/>
    <n v="1"/>
    <n v="45.6"/>
    <s v="None"/>
    <n v="0"/>
    <n v="0"/>
    <n v="45.6"/>
    <x v="4"/>
    <x v="0"/>
    <s v="Credit Card"/>
    <s v="Sunny"/>
  </r>
  <r>
    <s v="WSR-2026-1695"/>
    <d v="2026-07-26T00:00:00"/>
    <x v="6"/>
    <x v="6"/>
    <s v="Sunday"/>
    <x v="30"/>
    <d v="2026-07-31T00:00:00"/>
    <s v="Summer"/>
    <x v="2"/>
    <x v="2"/>
    <s v="1 Hour"/>
    <n v="1"/>
    <n v="40.799999999999997"/>
    <s v="Cooler Rental"/>
    <n v="10"/>
    <n v="0"/>
    <n v="50.8"/>
    <x v="7"/>
    <x v="3"/>
    <s v="Credit Card"/>
    <s v="Windy"/>
  </r>
  <r>
    <s v="WSR-2026-1696"/>
    <d v="2026-07-26T00:00:00"/>
    <x v="6"/>
    <x v="6"/>
    <s v="Sunday"/>
    <x v="30"/>
    <d v="2026-07-31T00:00:00"/>
    <s v="Summer"/>
    <x v="3"/>
    <x v="5"/>
    <s v="2 Hours"/>
    <n v="1"/>
    <n v="50.4"/>
    <s v="None"/>
    <n v="0"/>
    <n v="0"/>
    <n v="50.4"/>
    <x v="6"/>
    <x v="0"/>
    <s v="Cash"/>
    <s v="Sunny"/>
  </r>
  <r>
    <s v="WSR-2026-1697"/>
    <d v="2026-07-26T00:00:00"/>
    <x v="6"/>
    <x v="6"/>
    <s v="Sunday"/>
    <x v="30"/>
    <d v="2026-07-31T00:00:00"/>
    <s v="Summer"/>
    <x v="1"/>
    <x v="2"/>
    <s v="1 Hour"/>
    <n v="1"/>
    <n v="40.799999999999997"/>
    <s v="Dry Bag"/>
    <n v="6"/>
    <n v="2.34"/>
    <n v="44.46"/>
    <x v="1"/>
    <x v="3"/>
    <s v="Debit Card"/>
    <s v="Sunny"/>
  </r>
  <r>
    <s v="WSR-2026-1698"/>
    <d v="2026-07-26T00:00:00"/>
    <x v="6"/>
    <x v="6"/>
    <s v="Sunday"/>
    <x v="30"/>
    <d v="2026-07-31T00:00:00"/>
    <s v="Summer"/>
    <x v="1"/>
    <x v="2"/>
    <s v="Half Day"/>
    <n v="1"/>
    <n v="93.6"/>
    <s v="None"/>
    <n v="0"/>
    <n v="4.68"/>
    <n v="88.92"/>
    <x v="3"/>
    <x v="3"/>
    <s v="Mobile Pay"/>
    <s v="Cloudy"/>
  </r>
  <r>
    <s v="WSR-2026-1699"/>
    <d v="2026-07-26T00:00:00"/>
    <x v="6"/>
    <x v="6"/>
    <s v="Sunday"/>
    <x v="30"/>
    <d v="2026-07-31T00:00:00"/>
    <s v="Summer"/>
    <x v="0"/>
    <x v="2"/>
    <s v="2 Hours"/>
    <n v="1"/>
    <n v="62.4"/>
    <s v="Phone Pouch"/>
    <n v="5"/>
    <n v="0"/>
    <n v="67.400000000000006"/>
    <x v="4"/>
    <x v="1"/>
    <s v="Debit Card"/>
    <s v="Sunny"/>
  </r>
  <r>
    <s v="WSR-2026-1700"/>
    <d v="2026-07-26T00:00:00"/>
    <x v="6"/>
    <x v="6"/>
    <s v="Sunday"/>
    <x v="30"/>
    <d v="2026-07-31T00:00:00"/>
    <s v="Summer"/>
    <x v="0"/>
    <x v="1"/>
    <s v="Half Day"/>
    <n v="1"/>
    <n v="69.599999999999994"/>
    <s v="None"/>
    <n v="0"/>
    <n v="0"/>
    <n v="69.599999999999994"/>
    <x v="0"/>
    <x v="3"/>
    <s v="Debit Card"/>
    <s v="Windy"/>
  </r>
  <r>
    <s v="WSR-2026-1701"/>
    <d v="2026-07-26T00:00:00"/>
    <x v="6"/>
    <x v="6"/>
    <s v="Sunday"/>
    <x v="30"/>
    <d v="2026-07-31T00:00:00"/>
    <s v="Summer"/>
    <x v="4"/>
    <x v="1"/>
    <s v="1 Hour"/>
    <n v="1"/>
    <n v="28.8"/>
    <s v="Premium Life Jacket"/>
    <n v="7"/>
    <n v="5.37"/>
    <n v="30.43"/>
    <x v="4"/>
    <x v="2"/>
    <s v="Credit Card"/>
    <s v="Sunny"/>
  </r>
  <r>
    <s v="WSR-2026-1702"/>
    <d v="2026-07-26T00:00:00"/>
    <x v="6"/>
    <x v="6"/>
    <s v="Sunday"/>
    <x v="30"/>
    <d v="2026-07-31T00:00:00"/>
    <s v="Summer"/>
    <x v="1"/>
    <x v="1"/>
    <s v="1 Hour"/>
    <n v="1"/>
    <n v="28.8"/>
    <s v="Dry Bag"/>
    <n v="6"/>
    <n v="0"/>
    <n v="34.799999999999997"/>
    <x v="3"/>
    <x v="4"/>
    <s v="Credit Card"/>
    <s v="Sunny"/>
  </r>
  <r>
    <s v="WSR-2026-1703"/>
    <d v="2026-07-26T00:00:00"/>
    <x v="6"/>
    <x v="6"/>
    <s v="Sunday"/>
    <x v="30"/>
    <d v="2026-07-31T00:00:00"/>
    <s v="Summer"/>
    <x v="3"/>
    <x v="3"/>
    <s v="Half Day"/>
    <n v="1"/>
    <n v="64.8"/>
    <s v="None"/>
    <n v="0"/>
    <n v="3.24"/>
    <n v="61.56"/>
    <x v="3"/>
    <x v="4"/>
    <s v="Mobile Pay"/>
    <s v="Sunny"/>
  </r>
  <r>
    <s v="WSR-2026-1704"/>
    <d v="2026-07-26T00:00:00"/>
    <x v="6"/>
    <x v="6"/>
    <s v="Sunday"/>
    <x v="30"/>
    <d v="2026-07-31T00:00:00"/>
    <s v="Summer"/>
    <x v="3"/>
    <x v="1"/>
    <s v="Half Day"/>
    <n v="1"/>
    <n v="69.599999999999994"/>
    <s v="None"/>
    <n v="0"/>
    <n v="3.48"/>
    <n v="66.12"/>
    <x v="6"/>
    <x v="0"/>
    <s v="Credit Card"/>
    <s v="Cloudy"/>
  </r>
  <r>
    <s v="WSR-2026-1705"/>
    <d v="2026-07-26T00:00:00"/>
    <x v="6"/>
    <x v="6"/>
    <s v="Sunday"/>
    <x v="30"/>
    <d v="2026-07-31T00:00:00"/>
    <s v="Summer"/>
    <x v="2"/>
    <x v="2"/>
    <s v="Half Day"/>
    <n v="1"/>
    <n v="93.6"/>
    <s v="None"/>
    <n v="0"/>
    <n v="0"/>
    <n v="93.6"/>
    <x v="8"/>
    <x v="4"/>
    <s v="Credit Card"/>
    <s v="Sunny"/>
  </r>
  <r>
    <s v="WSR-2026-1706"/>
    <d v="2026-07-26T00:00:00"/>
    <x v="6"/>
    <x v="6"/>
    <s v="Sunday"/>
    <x v="30"/>
    <d v="2026-07-31T00:00:00"/>
    <s v="Summer"/>
    <x v="4"/>
    <x v="3"/>
    <s v="Half Day"/>
    <n v="1"/>
    <n v="64.8"/>
    <s v="Dry Bag"/>
    <n v="6"/>
    <n v="10.62"/>
    <n v="60.18"/>
    <x v="6"/>
    <x v="1"/>
    <s v="Mobile Pay"/>
    <s v="Sunny"/>
  </r>
  <r>
    <s v="WSR-2026-1707"/>
    <d v="2026-07-26T00:00:00"/>
    <x v="6"/>
    <x v="6"/>
    <s v="Sunday"/>
    <x v="30"/>
    <d v="2026-07-31T00:00:00"/>
    <s v="Summer"/>
    <x v="2"/>
    <x v="8"/>
    <s v="1 Hour"/>
    <n v="1"/>
    <n v="12"/>
    <s v="None"/>
    <n v="0"/>
    <n v="0"/>
    <n v="12"/>
    <x v="3"/>
    <x v="4"/>
    <s v="Credit Card"/>
    <s v="Sunny"/>
  </r>
  <r>
    <s v="WSR-2026-1708"/>
    <d v="2026-07-26T00:00:00"/>
    <x v="6"/>
    <x v="6"/>
    <s v="Sunday"/>
    <x v="30"/>
    <d v="2026-07-31T00:00:00"/>
    <s v="Summer"/>
    <x v="3"/>
    <x v="0"/>
    <s v="2 Hours"/>
    <n v="1"/>
    <n v="60"/>
    <s v="None"/>
    <n v="0"/>
    <n v="0"/>
    <n v="60"/>
    <x v="4"/>
    <x v="4"/>
    <s v="Credit Card"/>
    <s v="Sunny"/>
  </r>
  <r>
    <s v="WSR-2026-1709"/>
    <d v="2026-07-26T00:00:00"/>
    <x v="6"/>
    <x v="6"/>
    <s v="Sunday"/>
    <x v="30"/>
    <d v="2026-07-31T00:00:00"/>
    <s v="Summer"/>
    <x v="3"/>
    <x v="1"/>
    <s v="Half Day"/>
    <n v="1"/>
    <n v="69.599999999999994"/>
    <s v="None"/>
    <n v="0"/>
    <n v="0"/>
    <n v="69.599999999999994"/>
    <x v="9"/>
    <x v="1"/>
    <s v="Credit Card"/>
    <s v="Sunny"/>
  </r>
  <r>
    <s v="WSR-2026-1710"/>
    <d v="2026-07-26T00:00:00"/>
    <x v="6"/>
    <x v="6"/>
    <s v="Sunday"/>
    <x v="30"/>
    <d v="2026-07-31T00:00:00"/>
    <s v="Summer"/>
    <x v="2"/>
    <x v="5"/>
    <s v="2 Hours"/>
    <n v="1"/>
    <n v="50.4"/>
    <s v="Phone Pouch"/>
    <n v="5"/>
    <n v="0"/>
    <n v="55.4"/>
    <x v="9"/>
    <x v="3"/>
    <s v="Mobile Pay"/>
    <s v="Sunny"/>
  </r>
  <r>
    <s v="WSR-2026-1711"/>
    <d v="2026-07-26T00:00:00"/>
    <x v="6"/>
    <x v="6"/>
    <s v="Sunday"/>
    <x v="30"/>
    <d v="2026-07-31T00:00:00"/>
    <s v="Summer"/>
    <x v="0"/>
    <x v="4"/>
    <s v="Full Day"/>
    <n v="1"/>
    <n v="48"/>
    <s v="Phone Pouch"/>
    <n v="5"/>
    <n v="0"/>
    <n v="53"/>
    <x v="1"/>
    <x v="0"/>
    <s v="Credit Card"/>
    <s v="Sunny"/>
  </r>
  <r>
    <s v="WSR-2026-1712"/>
    <d v="2026-07-26T00:00:00"/>
    <x v="6"/>
    <x v="6"/>
    <s v="Sunday"/>
    <x v="30"/>
    <d v="2026-07-31T00:00:00"/>
    <s v="Summer"/>
    <x v="0"/>
    <x v="1"/>
    <s v="Half Day"/>
    <n v="1"/>
    <n v="69.599999999999994"/>
    <s v="Phone Pouch"/>
    <n v="5"/>
    <n v="0"/>
    <n v="74.599999999999994"/>
    <x v="2"/>
    <x v="0"/>
    <s v="Credit Card"/>
    <s v="Sunny"/>
  </r>
  <r>
    <s v="WSR-2026-1713"/>
    <d v="2026-07-27T00:00:00"/>
    <x v="6"/>
    <x v="6"/>
    <s v="Monday"/>
    <x v="30"/>
    <d v="2026-07-31T00:00:00"/>
    <s v="Summer"/>
    <x v="0"/>
    <x v="8"/>
    <s v="1 Hour"/>
    <n v="1"/>
    <n v="11.2"/>
    <s v="None"/>
    <n v="0"/>
    <n v="0"/>
    <n v="11.2"/>
    <x v="7"/>
    <x v="0"/>
    <s v="Mobile Pay"/>
    <s v="Sunny"/>
  </r>
  <r>
    <s v="WSR-2026-1714"/>
    <d v="2026-07-27T00:00:00"/>
    <x v="6"/>
    <x v="6"/>
    <s v="Monday"/>
    <x v="30"/>
    <d v="2026-07-31T00:00:00"/>
    <s v="Summer"/>
    <x v="3"/>
    <x v="9"/>
    <s v="2 Hours"/>
    <n v="1"/>
    <n v="53.76"/>
    <s v="None"/>
    <n v="0"/>
    <n v="0"/>
    <n v="53.76"/>
    <x v="7"/>
    <x v="2"/>
    <s v="Credit Card"/>
    <s v="Sunny"/>
  </r>
  <r>
    <s v="WSR-2026-1715"/>
    <d v="2026-07-27T00:00:00"/>
    <x v="6"/>
    <x v="6"/>
    <s v="Monday"/>
    <x v="30"/>
    <d v="2026-07-31T00:00:00"/>
    <s v="Summer"/>
    <x v="3"/>
    <x v="8"/>
    <s v="2 Hours"/>
    <n v="1"/>
    <n v="17.920000000000002"/>
    <s v="None"/>
    <n v="0"/>
    <n v="0"/>
    <n v="17.920000000000002"/>
    <x v="9"/>
    <x v="1"/>
    <s v="Credit Card"/>
    <s v="Cloudy"/>
  </r>
  <r>
    <s v="WSR-2026-1716"/>
    <d v="2026-07-27T00:00:00"/>
    <x v="6"/>
    <x v="6"/>
    <s v="Monday"/>
    <x v="30"/>
    <d v="2026-07-31T00:00:00"/>
    <s v="Summer"/>
    <x v="3"/>
    <x v="2"/>
    <s v="1 Hour"/>
    <n v="1"/>
    <n v="38.08"/>
    <s v="None"/>
    <n v="0"/>
    <n v="0"/>
    <n v="38.08"/>
    <x v="8"/>
    <x v="4"/>
    <s v="Cash"/>
    <s v="Sunny"/>
  </r>
  <r>
    <s v="WSR-2026-1717"/>
    <d v="2026-07-27T00:00:00"/>
    <x v="6"/>
    <x v="6"/>
    <s v="Monday"/>
    <x v="30"/>
    <d v="2026-07-31T00:00:00"/>
    <s v="Summer"/>
    <x v="2"/>
    <x v="9"/>
    <s v="2 Hours"/>
    <n v="1"/>
    <n v="53.76"/>
    <s v="GoPro Mount"/>
    <n v="8"/>
    <n v="0"/>
    <n v="61.76"/>
    <x v="9"/>
    <x v="0"/>
    <s v="Credit Card"/>
    <s v="Sunny"/>
  </r>
  <r>
    <s v="WSR-2026-1718"/>
    <d v="2026-07-27T00:00:00"/>
    <x v="6"/>
    <x v="6"/>
    <s v="Monday"/>
    <x v="30"/>
    <d v="2026-07-31T00:00:00"/>
    <s v="Summer"/>
    <x v="3"/>
    <x v="1"/>
    <s v="2 Hours"/>
    <n v="1"/>
    <n v="42.56"/>
    <s v="None"/>
    <n v="0"/>
    <n v="0"/>
    <n v="42.56"/>
    <x v="6"/>
    <x v="3"/>
    <s v="Debit Card"/>
    <s v="Sunny"/>
  </r>
  <r>
    <s v="WSR-2026-1719"/>
    <d v="2026-07-27T00:00:00"/>
    <x v="6"/>
    <x v="6"/>
    <s v="Monday"/>
    <x v="30"/>
    <d v="2026-07-31T00:00:00"/>
    <s v="Summer"/>
    <x v="3"/>
    <x v="5"/>
    <s v="1 Hour"/>
    <n v="1"/>
    <n v="29.12"/>
    <s v="Phone Pouch"/>
    <n v="5"/>
    <n v="0"/>
    <n v="34.119999999999997"/>
    <x v="4"/>
    <x v="2"/>
    <s v="Debit Card"/>
    <s v="Sunny"/>
  </r>
  <r>
    <s v="WSR-2026-1720"/>
    <d v="2026-07-27T00:00:00"/>
    <x v="6"/>
    <x v="6"/>
    <s v="Monday"/>
    <x v="30"/>
    <d v="2026-07-31T00:00:00"/>
    <s v="Summer"/>
    <x v="0"/>
    <x v="8"/>
    <s v="Half Day"/>
    <n v="1"/>
    <n v="26.88"/>
    <s v="GoPro Mount"/>
    <n v="8"/>
    <n v="0"/>
    <n v="34.880000000000003"/>
    <x v="5"/>
    <x v="4"/>
    <s v="Cash"/>
    <s v="Windy"/>
  </r>
  <r>
    <s v="WSR-2026-1721"/>
    <d v="2026-07-27T00:00:00"/>
    <x v="6"/>
    <x v="6"/>
    <s v="Monday"/>
    <x v="30"/>
    <d v="2026-07-31T00:00:00"/>
    <s v="Summer"/>
    <x v="3"/>
    <x v="7"/>
    <s v="1 Hour"/>
    <n v="1"/>
    <n v="15.68"/>
    <s v="None"/>
    <n v="0"/>
    <n v="0"/>
    <n v="15.68"/>
    <x v="0"/>
    <x v="4"/>
    <s v="Mobile Pay"/>
    <s v="Sunny"/>
  </r>
  <r>
    <s v="WSR-2026-1722"/>
    <d v="2026-07-27T00:00:00"/>
    <x v="6"/>
    <x v="6"/>
    <s v="Monday"/>
    <x v="30"/>
    <d v="2026-07-31T00:00:00"/>
    <s v="Summer"/>
    <x v="0"/>
    <x v="0"/>
    <s v="2 Hours"/>
    <n v="1"/>
    <n v="56"/>
    <s v="None"/>
    <n v="0"/>
    <n v="0"/>
    <n v="56"/>
    <x v="8"/>
    <x v="4"/>
    <s v="Credit Card"/>
    <s v="Sunny"/>
  </r>
  <r>
    <s v="WSR-2026-1723"/>
    <d v="2026-07-27T00:00:00"/>
    <x v="6"/>
    <x v="6"/>
    <s v="Monday"/>
    <x v="30"/>
    <d v="2026-07-31T00:00:00"/>
    <s v="Summer"/>
    <x v="2"/>
    <x v="1"/>
    <s v="Half Day"/>
    <n v="1"/>
    <n v="64.959999999999994"/>
    <s v="Cooler Rental"/>
    <n v="10"/>
    <n v="0"/>
    <n v="74.959999999999994"/>
    <x v="5"/>
    <x v="0"/>
    <s v="Debit Card"/>
    <s v="Sunny"/>
  </r>
  <r>
    <s v="WSR-2026-1724"/>
    <d v="2026-07-27T00:00:00"/>
    <x v="6"/>
    <x v="6"/>
    <s v="Monday"/>
    <x v="30"/>
    <d v="2026-07-31T00:00:00"/>
    <s v="Summer"/>
    <x v="0"/>
    <x v="6"/>
    <s v="2 Hours"/>
    <n v="1"/>
    <n v="64.959999999999994"/>
    <s v="None"/>
    <n v="0"/>
    <n v="0"/>
    <n v="64.959999999999994"/>
    <x v="2"/>
    <x v="1"/>
    <s v="Credit Card"/>
    <s v="Sunny"/>
  </r>
  <r>
    <s v="WSR-2026-1725"/>
    <d v="2026-07-27T00:00:00"/>
    <x v="6"/>
    <x v="6"/>
    <s v="Monday"/>
    <x v="30"/>
    <d v="2026-07-31T00:00:00"/>
    <s v="Summer"/>
    <x v="0"/>
    <x v="1"/>
    <s v="Full Day"/>
    <n v="1"/>
    <n v="94.08"/>
    <s v="None"/>
    <n v="0"/>
    <n v="0"/>
    <n v="94.08"/>
    <x v="2"/>
    <x v="0"/>
    <s v="Mobile Pay"/>
    <s v="Sunny"/>
  </r>
  <r>
    <s v="WSR-2026-1726"/>
    <d v="2026-07-27T00:00:00"/>
    <x v="6"/>
    <x v="6"/>
    <s v="Monday"/>
    <x v="30"/>
    <d v="2026-07-31T00:00:00"/>
    <s v="Summer"/>
    <x v="3"/>
    <x v="1"/>
    <s v="1 Hour"/>
    <n v="1"/>
    <n v="26.88"/>
    <s v="None"/>
    <n v="0"/>
    <n v="0"/>
    <n v="26.88"/>
    <x v="6"/>
    <x v="2"/>
    <s v="Credit Card"/>
    <s v="Sunny"/>
  </r>
  <r>
    <s v="WSR-2026-1727"/>
    <d v="2026-07-27T00:00:00"/>
    <x v="6"/>
    <x v="6"/>
    <s v="Monday"/>
    <x v="30"/>
    <d v="2026-07-31T00:00:00"/>
    <s v="Summer"/>
    <x v="2"/>
    <x v="8"/>
    <s v="1 Hour"/>
    <n v="1"/>
    <n v="11.2"/>
    <s v="Dry Bag"/>
    <n v="6"/>
    <n v="0"/>
    <n v="17.2"/>
    <x v="9"/>
    <x v="3"/>
    <s v="Credit Card"/>
    <s v="Windy"/>
  </r>
  <r>
    <s v="WSR-2026-1728"/>
    <d v="2026-07-27T00:00:00"/>
    <x v="6"/>
    <x v="6"/>
    <s v="Monday"/>
    <x v="30"/>
    <d v="2026-07-31T00:00:00"/>
    <s v="Summer"/>
    <x v="1"/>
    <x v="3"/>
    <s v="2 Hours"/>
    <n v="1"/>
    <n v="40.32"/>
    <s v="Cooler Rental"/>
    <n v="10"/>
    <n v="2.52"/>
    <n v="47.8"/>
    <x v="0"/>
    <x v="4"/>
    <s v="Credit Card"/>
    <s v="Sunny"/>
  </r>
  <r>
    <s v="WSR-2026-1729"/>
    <d v="2026-07-27T00:00:00"/>
    <x v="6"/>
    <x v="6"/>
    <s v="Monday"/>
    <x v="30"/>
    <d v="2026-07-31T00:00:00"/>
    <s v="Summer"/>
    <x v="3"/>
    <x v="3"/>
    <s v="1 Hour"/>
    <n v="1"/>
    <n v="24.64"/>
    <s v="None"/>
    <n v="0"/>
    <n v="0"/>
    <n v="24.64"/>
    <x v="1"/>
    <x v="0"/>
    <s v="Credit Card"/>
    <s v="Sunny"/>
  </r>
  <r>
    <s v="WSR-2026-1730"/>
    <d v="2026-07-28T00:00:00"/>
    <x v="6"/>
    <x v="6"/>
    <s v="Tuesday"/>
    <x v="30"/>
    <d v="2026-07-31T00:00:00"/>
    <s v="Summer"/>
    <x v="2"/>
    <x v="0"/>
    <s v="Half Day"/>
    <n v="1"/>
    <n v="85.12"/>
    <s v="None"/>
    <n v="0"/>
    <n v="0"/>
    <n v="85.12"/>
    <x v="2"/>
    <x v="4"/>
    <s v="Cash"/>
    <s v="Sunny"/>
  </r>
  <r>
    <s v="WSR-2026-1731"/>
    <d v="2026-07-28T00:00:00"/>
    <x v="6"/>
    <x v="6"/>
    <s v="Tuesday"/>
    <x v="30"/>
    <d v="2026-07-31T00:00:00"/>
    <s v="Summer"/>
    <x v="3"/>
    <x v="3"/>
    <s v="1 Hour"/>
    <n v="1"/>
    <n v="24.64"/>
    <s v="Cooler Rental"/>
    <n v="10"/>
    <n v="0"/>
    <n v="34.64"/>
    <x v="5"/>
    <x v="2"/>
    <s v="Credit Card"/>
    <s v="Sunny"/>
  </r>
  <r>
    <s v="WSR-2026-1732"/>
    <d v="2026-07-28T00:00:00"/>
    <x v="6"/>
    <x v="6"/>
    <s v="Tuesday"/>
    <x v="30"/>
    <d v="2026-07-31T00:00:00"/>
    <s v="Summer"/>
    <x v="2"/>
    <x v="9"/>
    <s v="2 Hours"/>
    <n v="1"/>
    <n v="53.76"/>
    <s v="Cooler Rental"/>
    <n v="10"/>
    <n v="0"/>
    <n v="63.76"/>
    <x v="4"/>
    <x v="1"/>
    <s v="Debit Card"/>
    <s v="Cloudy"/>
  </r>
  <r>
    <s v="WSR-2026-1733"/>
    <d v="2026-07-28T00:00:00"/>
    <x v="6"/>
    <x v="6"/>
    <s v="Tuesday"/>
    <x v="30"/>
    <d v="2026-07-31T00:00:00"/>
    <s v="Summer"/>
    <x v="3"/>
    <x v="2"/>
    <s v="1 Hour"/>
    <n v="1"/>
    <n v="38.08"/>
    <s v="Cooler Rental"/>
    <n v="10"/>
    <n v="0"/>
    <n v="48.08"/>
    <x v="3"/>
    <x v="3"/>
    <s v="Debit Card"/>
    <s v="Sunny"/>
  </r>
  <r>
    <s v="WSR-2026-1734"/>
    <d v="2026-07-28T00:00:00"/>
    <x v="6"/>
    <x v="6"/>
    <s v="Tuesday"/>
    <x v="30"/>
    <d v="2026-07-31T00:00:00"/>
    <s v="Summer"/>
    <x v="2"/>
    <x v="0"/>
    <s v="1 Hour"/>
    <n v="1"/>
    <n v="35.840000000000003"/>
    <s v="GoPro Mount"/>
    <n v="8"/>
    <n v="2.19"/>
    <n v="41.65"/>
    <x v="9"/>
    <x v="4"/>
    <s v="Cash"/>
    <s v="Sunny"/>
  </r>
  <r>
    <s v="WSR-2026-1735"/>
    <d v="2026-07-28T00:00:00"/>
    <x v="6"/>
    <x v="6"/>
    <s v="Tuesday"/>
    <x v="30"/>
    <d v="2026-07-31T00:00:00"/>
    <s v="Summer"/>
    <x v="3"/>
    <x v="1"/>
    <s v="Half Day"/>
    <n v="1"/>
    <n v="64.959999999999994"/>
    <s v="GoPro Mount"/>
    <n v="8"/>
    <n v="0"/>
    <n v="72.959999999999994"/>
    <x v="3"/>
    <x v="2"/>
    <s v="Credit Card"/>
    <s v="Sunny"/>
  </r>
  <r>
    <s v="WSR-2026-1736"/>
    <d v="2026-07-28T00:00:00"/>
    <x v="6"/>
    <x v="6"/>
    <s v="Tuesday"/>
    <x v="30"/>
    <d v="2026-07-31T00:00:00"/>
    <s v="Summer"/>
    <x v="2"/>
    <x v="2"/>
    <s v="Full Day"/>
    <n v="1"/>
    <n v="125.44"/>
    <s v="None"/>
    <n v="0"/>
    <n v="0"/>
    <n v="125.44"/>
    <x v="4"/>
    <x v="4"/>
    <s v="Debit Card"/>
    <s v="Cloudy"/>
  </r>
  <r>
    <s v="WSR-2026-1737"/>
    <d v="2026-07-28T00:00:00"/>
    <x v="6"/>
    <x v="6"/>
    <s v="Tuesday"/>
    <x v="30"/>
    <d v="2026-07-31T00:00:00"/>
    <s v="Summer"/>
    <x v="3"/>
    <x v="1"/>
    <s v="2 Hours"/>
    <n v="1"/>
    <n v="42.56"/>
    <s v="None"/>
    <n v="0"/>
    <n v="0"/>
    <n v="42.56"/>
    <x v="9"/>
    <x v="1"/>
    <s v="Credit Card"/>
    <s v="Sunny"/>
  </r>
  <r>
    <s v="WSR-2026-1738"/>
    <d v="2026-07-28T00:00:00"/>
    <x v="6"/>
    <x v="6"/>
    <s v="Tuesday"/>
    <x v="30"/>
    <d v="2026-07-31T00:00:00"/>
    <s v="Summer"/>
    <x v="0"/>
    <x v="1"/>
    <s v="2 Hours"/>
    <n v="1"/>
    <n v="42.56"/>
    <s v="None"/>
    <n v="0"/>
    <n v="0"/>
    <n v="42.56"/>
    <x v="5"/>
    <x v="0"/>
    <s v="Mobile Pay"/>
    <s v="Windy"/>
  </r>
  <r>
    <s v="WSR-2026-1739"/>
    <d v="2026-07-29T00:00:00"/>
    <x v="6"/>
    <x v="6"/>
    <s v="Wednesday"/>
    <x v="30"/>
    <d v="2026-07-31T00:00:00"/>
    <s v="Summer"/>
    <x v="3"/>
    <x v="4"/>
    <s v="1 Hour"/>
    <n v="1"/>
    <n v="13.44"/>
    <s v="None"/>
    <n v="0"/>
    <n v="0"/>
    <n v="13.44"/>
    <x v="8"/>
    <x v="4"/>
    <s v="Credit Card"/>
    <s v="Sunny"/>
  </r>
  <r>
    <s v="WSR-2026-1740"/>
    <d v="2026-07-29T00:00:00"/>
    <x v="6"/>
    <x v="6"/>
    <s v="Wednesday"/>
    <x v="30"/>
    <d v="2026-07-31T00:00:00"/>
    <s v="Summer"/>
    <x v="2"/>
    <x v="7"/>
    <s v="Half Day"/>
    <n v="1"/>
    <n v="38.08"/>
    <s v="None"/>
    <n v="0"/>
    <n v="0"/>
    <n v="38.08"/>
    <x v="3"/>
    <x v="2"/>
    <s v="Credit Card"/>
    <s v="Sunny"/>
  </r>
  <r>
    <s v="WSR-2026-1741"/>
    <d v="2026-07-29T00:00:00"/>
    <x v="6"/>
    <x v="6"/>
    <s v="Wednesday"/>
    <x v="30"/>
    <d v="2026-07-31T00:00:00"/>
    <s v="Summer"/>
    <x v="2"/>
    <x v="5"/>
    <s v="1 Hour"/>
    <n v="1"/>
    <n v="29.12"/>
    <s v="Phone Pouch"/>
    <n v="5"/>
    <n v="0"/>
    <n v="34.119999999999997"/>
    <x v="5"/>
    <x v="2"/>
    <s v="Cash"/>
    <s v="Sunny"/>
  </r>
  <r>
    <s v="WSR-2026-1742"/>
    <d v="2026-07-29T00:00:00"/>
    <x v="6"/>
    <x v="6"/>
    <s v="Wednesday"/>
    <x v="30"/>
    <d v="2026-07-31T00:00:00"/>
    <s v="Summer"/>
    <x v="3"/>
    <x v="3"/>
    <s v="Half Day"/>
    <n v="1"/>
    <n v="60.48"/>
    <s v="Dry Bag"/>
    <n v="6"/>
    <n v="0"/>
    <n v="66.48"/>
    <x v="3"/>
    <x v="2"/>
    <s v="Credit Card"/>
    <s v="Sunny"/>
  </r>
  <r>
    <s v="WSR-2026-1743"/>
    <d v="2026-07-29T00:00:00"/>
    <x v="6"/>
    <x v="6"/>
    <s v="Wednesday"/>
    <x v="30"/>
    <d v="2026-07-31T00:00:00"/>
    <s v="Summer"/>
    <x v="1"/>
    <x v="1"/>
    <s v="1 Hour"/>
    <n v="1"/>
    <n v="26.88"/>
    <s v="None"/>
    <n v="0"/>
    <n v="0"/>
    <n v="26.88"/>
    <x v="9"/>
    <x v="0"/>
    <s v="Debit Card"/>
    <s v="Windy"/>
  </r>
  <r>
    <s v="WSR-2026-1744"/>
    <d v="2026-07-29T00:00:00"/>
    <x v="6"/>
    <x v="6"/>
    <s v="Wednesday"/>
    <x v="30"/>
    <d v="2026-07-31T00:00:00"/>
    <s v="Summer"/>
    <x v="3"/>
    <x v="1"/>
    <s v="2 Hours"/>
    <n v="1"/>
    <n v="42.56"/>
    <s v="None"/>
    <n v="0"/>
    <n v="0"/>
    <n v="42.56"/>
    <x v="2"/>
    <x v="4"/>
    <s v="Credit Card"/>
    <s v="Sunny"/>
  </r>
  <r>
    <s v="WSR-2026-1745"/>
    <d v="2026-07-29T00:00:00"/>
    <x v="6"/>
    <x v="6"/>
    <s v="Wednesday"/>
    <x v="30"/>
    <d v="2026-07-31T00:00:00"/>
    <s v="Summer"/>
    <x v="3"/>
    <x v="4"/>
    <s v="1 Hour"/>
    <n v="1"/>
    <n v="13.44"/>
    <s v="Dry Bag"/>
    <n v="6"/>
    <n v="0.97"/>
    <n v="18.47"/>
    <x v="3"/>
    <x v="0"/>
    <s v="Cash"/>
    <s v="Cloudy"/>
  </r>
  <r>
    <s v="WSR-2026-1746"/>
    <d v="2026-07-29T00:00:00"/>
    <x v="6"/>
    <x v="6"/>
    <s v="Wednesday"/>
    <x v="30"/>
    <d v="2026-07-31T00:00:00"/>
    <s v="Summer"/>
    <x v="2"/>
    <x v="7"/>
    <s v="1 Hour"/>
    <n v="1"/>
    <n v="15.68"/>
    <s v="Dry Bag"/>
    <n v="6"/>
    <n v="0"/>
    <n v="21.68"/>
    <x v="6"/>
    <x v="4"/>
    <s v="Debit Card"/>
    <s v="Sunny"/>
  </r>
  <r>
    <s v="WSR-2026-1747"/>
    <d v="2026-07-29T00:00:00"/>
    <x v="6"/>
    <x v="6"/>
    <s v="Wednesday"/>
    <x v="30"/>
    <d v="2026-07-31T00:00:00"/>
    <s v="Summer"/>
    <x v="0"/>
    <x v="9"/>
    <s v="2 Hours"/>
    <n v="1"/>
    <n v="53.76"/>
    <s v="Premium Life Jacket"/>
    <n v="7"/>
    <n v="0"/>
    <n v="60.76"/>
    <x v="3"/>
    <x v="4"/>
    <s v="Cash"/>
    <s v="Cloudy"/>
  </r>
  <r>
    <s v="WSR-2026-1748"/>
    <d v="2026-07-29T00:00:00"/>
    <x v="6"/>
    <x v="6"/>
    <s v="Wednesday"/>
    <x v="30"/>
    <d v="2026-07-31T00:00:00"/>
    <s v="Summer"/>
    <x v="3"/>
    <x v="1"/>
    <s v="2 Hours"/>
    <n v="1"/>
    <n v="42.56"/>
    <s v="None"/>
    <n v="0"/>
    <n v="0"/>
    <n v="42.56"/>
    <x v="1"/>
    <x v="4"/>
    <s v="Cash"/>
    <s v="Sunny"/>
  </r>
  <r>
    <s v="WSR-2026-1749"/>
    <d v="2026-07-29T00:00:00"/>
    <x v="6"/>
    <x v="6"/>
    <s v="Wednesday"/>
    <x v="30"/>
    <d v="2026-07-31T00:00:00"/>
    <s v="Summer"/>
    <x v="0"/>
    <x v="1"/>
    <s v="1 Hour"/>
    <n v="1"/>
    <n v="26.88"/>
    <s v="None"/>
    <n v="0"/>
    <n v="0"/>
    <n v="26.88"/>
    <x v="3"/>
    <x v="2"/>
    <s v="Cash"/>
    <s v="Sunny"/>
  </r>
  <r>
    <s v="WSR-2026-1750"/>
    <d v="2026-07-29T00:00:00"/>
    <x v="6"/>
    <x v="6"/>
    <s v="Wednesday"/>
    <x v="30"/>
    <d v="2026-07-31T00:00:00"/>
    <s v="Summer"/>
    <x v="1"/>
    <x v="4"/>
    <s v="Full Day"/>
    <n v="1"/>
    <n v="44.8"/>
    <s v="Dry Bag"/>
    <n v="6"/>
    <n v="5.08"/>
    <n v="45.72"/>
    <x v="0"/>
    <x v="1"/>
    <s v="Debit Card"/>
    <s v="Sunny"/>
  </r>
  <r>
    <s v="WSR-2026-1751"/>
    <d v="2026-07-29T00:00:00"/>
    <x v="6"/>
    <x v="6"/>
    <s v="Wednesday"/>
    <x v="30"/>
    <d v="2026-07-31T00:00:00"/>
    <s v="Summer"/>
    <x v="2"/>
    <x v="1"/>
    <s v="Half Day"/>
    <n v="1"/>
    <n v="64.959999999999994"/>
    <s v="Dry Bag"/>
    <n v="6"/>
    <n v="0"/>
    <n v="70.959999999999994"/>
    <x v="1"/>
    <x v="3"/>
    <s v="Credit Card"/>
    <s v="Sunny"/>
  </r>
  <r>
    <s v="WSR-2026-1752"/>
    <d v="2026-07-29T00:00:00"/>
    <x v="6"/>
    <x v="6"/>
    <s v="Wednesday"/>
    <x v="30"/>
    <d v="2026-07-31T00:00:00"/>
    <s v="Summer"/>
    <x v="2"/>
    <x v="7"/>
    <s v="1 Hour"/>
    <n v="1"/>
    <n v="15.68"/>
    <s v="None"/>
    <n v="0"/>
    <n v="0"/>
    <n v="15.68"/>
    <x v="9"/>
    <x v="1"/>
    <s v="Cash"/>
    <s v="Sunny"/>
  </r>
  <r>
    <s v="WSR-2026-1753"/>
    <d v="2026-07-29T00:00:00"/>
    <x v="6"/>
    <x v="6"/>
    <s v="Wednesday"/>
    <x v="30"/>
    <d v="2026-07-31T00:00:00"/>
    <s v="Summer"/>
    <x v="2"/>
    <x v="7"/>
    <s v="1 Hour"/>
    <n v="1"/>
    <n v="15.68"/>
    <s v="None"/>
    <n v="0"/>
    <n v="0"/>
    <n v="15.68"/>
    <x v="9"/>
    <x v="3"/>
    <s v="Credit Card"/>
    <s v="Cloudy"/>
  </r>
  <r>
    <s v="WSR-2026-1754"/>
    <d v="2026-07-29T00:00:00"/>
    <x v="6"/>
    <x v="6"/>
    <s v="Wednesday"/>
    <x v="30"/>
    <d v="2026-07-31T00:00:00"/>
    <s v="Summer"/>
    <x v="3"/>
    <x v="1"/>
    <s v="2 Hours"/>
    <n v="1"/>
    <n v="42.56"/>
    <s v="None"/>
    <n v="0"/>
    <n v="0"/>
    <n v="42.56"/>
    <x v="2"/>
    <x v="2"/>
    <s v="Debit Card"/>
    <s v="Sunny"/>
  </r>
  <r>
    <s v="WSR-2026-1755"/>
    <d v="2026-07-30T00:00:00"/>
    <x v="6"/>
    <x v="6"/>
    <s v="Thursday"/>
    <x v="30"/>
    <d v="2026-07-31T00:00:00"/>
    <s v="Summer"/>
    <x v="1"/>
    <x v="5"/>
    <s v="Half Day"/>
    <n v="1"/>
    <n v="69.44"/>
    <s v="Cooler Rental"/>
    <n v="10"/>
    <n v="7.94"/>
    <n v="71.5"/>
    <x v="4"/>
    <x v="3"/>
    <s v="Cash"/>
    <s v="Sunny"/>
  </r>
  <r>
    <s v="WSR-2026-1756"/>
    <d v="2026-07-30T00:00:00"/>
    <x v="6"/>
    <x v="6"/>
    <s v="Thursday"/>
    <x v="30"/>
    <d v="2026-07-31T00:00:00"/>
    <s v="Summer"/>
    <x v="2"/>
    <x v="5"/>
    <s v="2 Hours"/>
    <n v="1"/>
    <n v="47.04"/>
    <s v="Cooler Rental"/>
    <n v="10"/>
    <n v="0"/>
    <n v="57.04"/>
    <x v="6"/>
    <x v="2"/>
    <s v="Credit Card"/>
    <s v="Sunny"/>
  </r>
  <r>
    <s v="WSR-2026-1757"/>
    <d v="2026-07-30T00:00:00"/>
    <x v="6"/>
    <x v="6"/>
    <s v="Thursday"/>
    <x v="30"/>
    <d v="2026-07-31T00:00:00"/>
    <s v="Summer"/>
    <x v="2"/>
    <x v="0"/>
    <s v="Half Day"/>
    <n v="1"/>
    <n v="85.12"/>
    <s v="Cooler Rental"/>
    <n v="10"/>
    <n v="0"/>
    <n v="95.12"/>
    <x v="0"/>
    <x v="2"/>
    <s v="Credit Card"/>
    <s v="Sunny"/>
  </r>
  <r>
    <s v="WSR-2026-1758"/>
    <d v="2026-07-30T00:00:00"/>
    <x v="6"/>
    <x v="6"/>
    <s v="Thursday"/>
    <x v="30"/>
    <d v="2026-07-31T00:00:00"/>
    <s v="Summer"/>
    <x v="3"/>
    <x v="0"/>
    <s v="1 Hour"/>
    <n v="1"/>
    <n v="35.840000000000003"/>
    <s v="None"/>
    <n v="0"/>
    <n v="0"/>
    <n v="35.840000000000003"/>
    <x v="1"/>
    <x v="4"/>
    <s v="Credit Card"/>
    <s v="Sunny"/>
  </r>
  <r>
    <s v="WSR-2026-1759"/>
    <d v="2026-07-30T00:00:00"/>
    <x v="6"/>
    <x v="6"/>
    <s v="Thursday"/>
    <x v="30"/>
    <d v="2026-07-31T00:00:00"/>
    <s v="Summer"/>
    <x v="4"/>
    <x v="2"/>
    <s v="2 Hours"/>
    <n v="1"/>
    <n v="58.24"/>
    <s v="None"/>
    <n v="0"/>
    <n v="5.82"/>
    <n v="52.42"/>
    <x v="4"/>
    <x v="3"/>
    <s v="Cash"/>
    <s v="Sunny"/>
  </r>
  <r>
    <s v="WSR-2026-1760"/>
    <d v="2026-07-30T00:00:00"/>
    <x v="6"/>
    <x v="6"/>
    <s v="Thursday"/>
    <x v="30"/>
    <d v="2026-07-31T00:00:00"/>
    <s v="Summer"/>
    <x v="3"/>
    <x v="2"/>
    <s v="2 Hours"/>
    <n v="1"/>
    <n v="58.24"/>
    <s v="Dry Bag"/>
    <n v="6"/>
    <n v="0"/>
    <n v="64.239999999999995"/>
    <x v="6"/>
    <x v="0"/>
    <s v="Mobile Pay"/>
    <s v="Sunny"/>
  </r>
  <r>
    <s v="WSR-2026-1761"/>
    <d v="2026-07-30T00:00:00"/>
    <x v="6"/>
    <x v="6"/>
    <s v="Thursday"/>
    <x v="30"/>
    <d v="2026-07-31T00:00:00"/>
    <s v="Summer"/>
    <x v="2"/>
    <x v="3"/>
    <s v="Half Day"/>
    <n v="1"/>
    <n v="60.48"/>
    <s v="None"/>
    <n v="0"/>
    <n v="0"/>
    <n v="60.48"/>
    <x v="7"/>
    <x v="1"/>
    <s v="Credit Card"/>
    <s v="Cloudy"/>
  </r>
  <r>
    <s v="WSR-2026-1762"/>
    <d v="2026-07-30T00:00:00"/>
    <x v="6"/>
    <x v="6"/>
    <s v="Thursday"/>
    <x v="30"/>
    <d v="2026-07-31T00:00:00"/>
    <s v="Summer"/>
    <x v="3"/>
    <x v="5"/>
    <s v="1 Hour"/>
    <n v="1"/>
    <n v="29.12"/>
    <s v="GoPro Mount"/>
    <n v="8"/>
    <n v="0"/>
    <n v="37.119999999999997"/>
    <x v="0"/>
    <x v="2"/>
    <s v="Credit Card"/>
    <s v="Cloudy"/>
  </r>
  <r>
    <s v="WSR-2026-1763"/>
    <d v="2026-07-30T00:00:00"/>
    <x v="6"/>
    <x v="6"/>
    <s v="Thursday"/>
    <x v="30"/>
    <d v="2026-07-31T00:00:00"/>
    <s v="Summer"/>
    <x v="2"/>
    <x v="3"/>
    <s v="1 Hour"/>
    <n v="1"/>
    <n v="24.64"/>
    <s v="None"/>
    <n v="0"/>
    <n v="0"/>
    <n v="24.64"/>
    <x v="1"/>
    <x v="4"/>
    <s v="Debit Card"/>
    <s v="Windy"/>
  </r>
  <r>
    <s v="WSR-2026-1764"/>
    <d v="2026-07-30T00:00:00"/>
    <x v="6"/>
    <x v="6"/>
    <s v="Thursday"/>
    <x v="30"/>
    <d v="2026-07-31T00:00:00"/>
    <s v="Summer"/>
    <x v="0"/>
    <x v="1"/>
    <s v="Full Day"/>
    <n v="1"/>
    <n v="94.08"/>
    <s v="None"/>
    <n v="0"/>
    <n v="0"/>
    <n v="94.08"/>
    <x v="1"/>
    <x v="3"/>
    <s v="Debit Card"/>
    <s v="Sunny"/>
  </r>
  <r>
    <s v="WSR-2026-1765"/>
    <d v="2026-07-31T00:00:00"/>
    <x v="6"/>
    <x v="6"/>
    <s v="Friday"/>
    <x v="30"/>
    <d v="2026-07-31T00:00:00"/>
    <s v="Summer"/>
    <x v="3"/>
    <x v="2"/>
    <s v="2 Hours"/>
    <n v="1"/>
    <n v="58.24"/>
    <s v="Phone Pouch"/>
    <n v="5"/>
    <n v="0"/>
    <n v="63.24"/>
    <x v="0"/>
    <x v="2"/>
    <s v="Debit Card"/>
    <s v="Sunny"/>
  </r>
  <r>
    <s v="WSR-2026-1766"/>
    <d v="2026-07-31T00:00:00"/>
    <x v="6"/>
    <x v="6"/>
    <s v="Friday"/>
    <x v="30"/>
    <d v="2026-07-31T00:00:00"/>
    <s v="Summer"/>
    <x v="2"/>
    <x v="7"/>
    <s v="Half Day"/>
    <n v="1"/>
    <n v="38.08"/>
    <s v="GoPro Mount"/>
    <n v="8"/>
    <n v="0"/>
    <n v="46.08"/>
    <x v="9"/>
    <x v="1"/>
    <s v="Credit Card"/>
    <s v="Sunny"/>
  </r>
  <r>
    <s v="WSR-2026-1767"/>
    <d v="2026-07-31T00:00:00"/>
    <x v="6"/>
    <x v="6"/>
    <s v="Friday"/>
    <x v="30"/>
    <d v="2026-07-31T00:00:00"/>
    <s v="Summer"/>
    <x v="2"/>
    <x v="2"/>
    <s v="2 Hours"/>
    <n v="1"/>
    <n v="58.24"/>
    <s v="Premium Life Jacket"/>
    <n v="7"/>
    <n v="0"/>
    <n v="65.239999999999995"/>
    <x v="3"/>
    <x v="0"/>
    <s v="Debit Card"/>
    <s v="Sunny"/>
  </r>
  <r>
    <s v="WSR-2026-1768"/>
    <d v="2026-07-31T00:00:00"/>
    <x v="6"/>
    <x v="6"/>
    <s v="Friday"/>
    <x v="30"/>
    <d v="2026-07-31T00:00:00"/>
    <s v="Summer"/>
    <x v="3"/>
    <x v="1"/>
    <s v="2 Hours"/>
    <n v="1"/>
    <n v="42.56"/>
    <s v="None"/>
    <n v="0"/>
    <n v="0"/>
    <n v="42.56"/>
    <x v="5"/>
    <x v="0"/>
    <s v="Debit Card"/>
    <s v="Sunny"/>
  </r>
  <r>
    <s v="WSR-2026-1769"/>
    <d v="2026-07-31T00:00:00"/>
    <x v="6"/>
    <x v="6"/>
    <s v="Friday"/>
    <x v="30"/>
    <d v="2026-07-31T00:00:00"/>
    <s v="Summer"/>
    <x v="4"/>
    <x v="3"/>
    <s v="2 Hours"/>
    <n v="1"/>
    <n v="40.32"/>
    <s v="None"/>
    <n v="0"/>
    <n v="6.05"/>
    <n v="34.270000000000003"/>
    <x v="1"/>
    <x v="4"/>
    <s v="Debit Card"/>
    <s v="Sunny"/>
  </r>
  <r>
    <s v="WSR-2026-1770"/>
    <d v="2026-07-31T00:00:00"/>
    <x v="6"/>
    <x v="6"/>
    <s v="Friday"/>
    <x v="30"/>
    <d v="2026-07-31T00:00:00"/>
    <s v="Summer"/>
    <x v="3"/>
    <x v="3"/>
    <s v="2 Hours"/>
    <n v="1"/>
    <n v="40.32"/>
    <s v="Phone Pouch"/>
    <n v="5"/>
    <n v="0"/>
    <n v="45.32"/>
    <x v="9"/>
    <x v="3"/>
    <s v="Mobile Pay"/>
    <s v="Sunny"/>
  </r>
  <r>
    <s v="WSR-2026-1771"/>
    <d v="2026-07-31T00:00:00"/>
    <x v="6"/>
    <x v="6"/>
    <s v="Friday"/>
    <x v="30"/>
    <d v="2026-07-31T00:00:00"/>
    <s v="Summer"/>
    <x v="3"/>
    <x v="2"/>
    <s v="Full Day"/>
    <n v="1"/>
    <n v="125.44"/>
    <s v="Dry Bag"/>
    <n v="6"/>
    <n v="0"/>
    <n v="131.44"/>
    <x v="3"/>
    <x v="4"/>
    <s v="Debit Card"/>
    <s v="Sunny"/>
  </r>
  <r>
    <s v="WSR-2026-1772"/>
    <d v="2026-07-31T00:00:00"/>
    <x v="6"/>
    <x v="6"/>
    <s v="Friday"/>
    <x v="30"/>
    <d v="2026-07-31T00:00:00"/>
    <s v="Summer"/>
    <x v="2"/>
    <x v="5"/>
    <s v="Full Day"/>
    <n v="1"/>
    <n v="98.56"/>
    <s v="None"/>
    <n v="0"/>
    <n v="0"/>
    <n v="98.56"/>
    <x v="7"/>
    <x v="1"/>
    <s v="Gift Card"/>
    <s v="Sunny"/>
  </r>
  <r>
    <s v="WSR-2026-1773"/>
    <d v="2026-07-31T00:00:00"/>
    <x v="6"/>
    <x v="6"/>
    <s v="Friday"/>
    <x v="30"/>
    <d v="2026-07-31T00:00:00"/>
    <s v="Summer"/>
    <x v="3"/>
    <x v="3"/>
    <s v="1 Hour"/>
    <n v="1"/>
    <n v="24.64"/>
    <s v="None"/>
    <n v="0"/>
    <n v="0"/>
    <n v="24.64"/>
    <x v="8"/>
    <x v="3"/>
    <s v="Cash"/>
    <s v="Cloudy"/>
  </r>
  <r>
    <s v="WSR-2026-1774"/>
    <d v="2026-07-31T00:00:00"/>
    <x v="6"/>
    <x v="6"/>
    <s v="Friday"/>
    <x v="30"/>
    <d v="2026-07-31T00:00:00"/>
    <s v="Summer"/>
    <x v="0"/>
    <x v="5"/>
    <s v="1 Hour"/>
    <n v="1"/>
    <n v="29.12"/>
    <s v="Premium Life Jacket"/>
    <n v="7"/>
    <n v="0"/>
    <n v="36.119999999999997"/>
    <x v="4"/>
    <x v="4"/>
    <s v="Credit Card"/>
    <s v="Sunny"/>
  </r>
  <r>
    <s v="WSR-2026-1775"/>
    <d v="2026-07-31T00:00:00"/>
    <x v="6"/>
    <x v="6"/>
    <s v="Friday"/>
    <x v="30"/>
    <d v="2026-07-31T00:00:00"/>
    <s v="Summer"/>
    <x v="3"/>
    <x v="3"/>
    <s v="Full Day"/>
    <n v="1"/>
    <n v="85.12"/>
    <s v="Dry Bag"/>
    <n v="6"/>
    <n v="0"/>
    <n v="91.12"/>
    <x v="0"/>
    <x v="0"/>
    <s v="Debit Card"/>
    <s v="Cloudy"/>
  </r>
  <r>
    <s v="WSR-2026-1776"/>
    <d v="2026-07-31T00:00:00"/>
    <x v="6"/>
    <x v="6"/>
    <s v="Friday"/>
    <x v="30"/>
    <d v="2026-07-31T00:00:00"/>
    <s v="Summer"/>
    <x v="2"/>
    <x v="1"/>
    <s v="Half Day"/>
    <n v="1"/>
    <n v="64.959999999999994"/>
    <s v="None"/>
    <n v="0"/>
    <n v="0"/>
    <n v="64.959999999999994"/>
    <x v="5"/>
    <x v="4"/>
    <s v="Credit Card"/>
    <s v="Cloudy"/>
  </r>
  <r>
    <s v="WSR-2026-1777"/>
    <d v="2026-07-31T00:00:00"/>
    <x v="6"/>
    <x v="6"/>
    <s v="Friday"/>
    <x v="30"/>
    <d v="2026-07-31T00:00:00"/>
    <s v="Summer"/>
    <x v="0"/>
    <x v="3"/>
    <s v="2 Hours"/>
    <n v="1"/>
    <n v="40.32"/>
    <s v="None"/>
    <n v="0"/>
    <n v="0"/>
    <n v="40.32"/>
    <x v="6"/>
    <x v="3"/>
    <s v="Credit Card"/>
    <s v="Rainy"/>
  </r>
  <r>
    <s v="WSR-2026-1778"/>
    <d v="2026-07-31T00:00:00"/>
    <x v="6"/>
    <x v="6"/>
    <s v="Friday"/>
    <x v="30"/>
    <d v="2026-07-31T00:00:00"/>
    <s v="Summer"/>
    <x v="4"/>
    <x v="2"/>
    <s v="1 Hour"/>
    <n v="1"/>
    <n v="38.08"/>
    <s v="GoPro Mount"/>
    <n v="8"/>
    <n v="4.6100000000000003"/>
    <n v="41.47"/>
    <x v="5"/>
    <x v="2"/>
    <s v="Credit Card"/>
    <s v="Sunny"/>
  </r>
  <r>
    <s v="WSR-2026-1779"/>
    <d v="2026-07-31T00:00:00"/>
    <x v="6"/>
    <x v="6"/>
    <s v="Friday"/>
    <x v="30"/>
    <d v="2026-07-31T00:00:00"/>
    <s v="Summer"/>
    <x v="3"/>
    <x v="5"/>
    <s v="Half Day"/>
    <n v="1"/>
    <n v="69.44"/>
    <s v="Cooler Rental"/>
    <n v="10"/>
    <n v="0"/>
    <n v="79.44"/>
    <x v="9"/>
    <x v="2"/>
    <s v="Credit Card"/>
    <s v="Windy"/>
  </r>
  <r>
    <s v="WSR-2026-1780"/>
    <d v="2026-07-31T00:00:00"/>
    <x v="6"/>
    <x v="6"/>
    <s v="Friday"/>
    <x v="30"/>
    <d v="2026-07-31T00:00:00"/>
    <s v="Summer"/>
    <x v="2"/>
    <x v="5"/>
    <s v="1 Hour"/>
    <n v="1"/>
    <n v="29.12"/>
    <s v="GoPro Mount"/>
    <n v="8"/>
    <n v="0"/>
    <n v="37.119999999999997"/>
    <x v="2"/>
    <x v="3"/>
    <s v="Debit Card"/>
    <s v="Cloudy"/>
  </r>
  <r>
    <s v="WSR-2026-1781"/>
    <d v="2026-07-31T00:00:00"/>
    <x v="6"/>
    <x v="6"/>
    <s v="Friday"/>
    <x v="30"/>
    <d v="2026-07-31T00:00:00"/>
    <s v="Summer"/>
    <x v="3"/>
    <x v="2"/>
    <s v="2 Hours"/>
    <n v="1"/>
    <n v="58.24"/>
    <s v="GoPro Mount"/>
    <n v="8"/>
    <n v="0"/>
    <n v="66.239999999999995"/>
    <x v="6"/>
    <x v="1"/>
    <s v="Debit Card"/>
    <s v="Sunny"/>
  </r>
  <r>
    <s v="WSR-2026-1782"/>
    <d v="2026-08-01T00:00:00"/>
    <x v="7"/>
    <x v="7"/>
    <s v="Saturday"/>
    <x v="30"/>
    <d v="2026-08-31T00:00:00"/>
    <s v="Summer"/>
    <x v="3"/>
    <x v="6"/>
    <s v="Half Day"/>
    <n v="1"/>
    <n v="103.2"/>
    <s v="Phone Pouch"/>
    <n v="5"/>
    <n v="0"/>
    <n v="108.2"/>
    <x v="9"/>
    <x v="1"/>
    <s v="Credit Card"/>
    <s v="Sunny"/>
  </r>
  <r>
    <s v="WSR-2026-1783"/>
    <d v="2026-08-01T00:00:00"/>
    <x v="7"/>
    <x v="7"/>
    <s v="Saturday"/>
    <x v="30"/>
    <d v="2026-08-31T00:00:00"/>
    <s v="Summer"/>
    <x v="3"/>
    <x v="2"/>
    <s v="Full Day"/>
    <n v="1"/>
    <n v="134.4"/>
    <s v="Dry Bag"/>
    <n v="6"/>
    <n v="0"/>
    <n v="140.4"/>
    <x v="9"/>
    <x v="0"/>
    <s v="Debit Card"/>
    <s v="Windy"/>
  </r>
  <r>
    <s v="WSR-2026-1784"/>
    <d v="2026-08-01T00:00:00"/>
    <x v="7"/>
    <x v="7"/>
    <s v="Saturday"/>
    <x v="30"/>
    <d v="2026-08-31T00:00:00"/>
    <s v="Summer"/>
    <x v="1"/>
    <x v="3"/>
    <s v="Full Day"/>
    <n v="1"/>
    <n v="91.2"/>
    <s v="None"/>
    <n v="0"/>
    <n v="4.5599999999999996"/>
    <n v="86.64"/>
    <x v="6"/>
    <x v="4"/>
    <s v="Credit Card"/>
    <s v="Cloudy"/>
  </r>
  <r>
    <s v="WSR-2026-1785"/>
    <d v="2026-08-01T00:00:00"/>
    <x v="7"/>
    <x v="7"/>
    <s v="Saturday"/>
    <x v="30"/>
    <d v="2026-08-31T00:00:00"/>
    <s v="Summer"/>
    <x v="2"/>
    <x v="1"/>
    <s v="Full Day"/>
    <n v="1"/>
    <n v="100.8"/>
    <s v="None"/>
    <n v="0"/>
    <n v="0"/>
    <n v="100.8"/>
    <x v="3"/>
    <x v="4"/>
    <s v="Cash"/>
    <s v="Sunny"/>
  </r>
  <r>
    <s v="WSR-2026-1786"/>
    <d v="2026-08-01T00:00:00"/>
    <x v="7"/>
    <x v="7"/>
    <s v="Saturday"/>
    <x v="30"/>
    <d v="2026-08-31T00:00:00"/>
    <s v="Summer"/>
    <x v="3"/>
    <x v="6"/>
    <s v="1 Hour"/>
    <n v="1"/>
    <n v="43.2"/>
    <s v="None"/>
    <n v="0"/>
    <n v="0"/>
    <n v="43.2"/>
    <x v="8"/>
    <x v="0"/>
    <s v="Credit Card"/>
    <s v="Sunny"/>
  </r>
  <r>
    <s v="WSR-2026-1787"/>
    <d v="2026-08-01T00:00:00"/>
    <x v="7"/>
    <x v="7"/>
    <s v="Saturday"/>
    <x v="30"/>
    <d v="2026-08-31T00:00:00"/>
    <s v="Summer"/>
    <x v="2"/>
    <x v="5"/>
    <s v="2 Hours"/>
    <n v="1"/>
    <n v="50.4"/>
    <s v="Dry Bag"/>
    <n v="6"/>
    <n v="0"/>
    <n v="56.4"/>
    <x v="3"/>
    <x v="3"/>
    <s v="Credit Card"/>
    <s v="Sunny"/>
  </r>
  <r>
    <s v="WSR-2026-1788"/>
    <d v="2026-08-01T00:00:00"/>
    <x v="7"/>
    <x v="7"/>
    <s v="Saturday"/>
    <x v="30"/>
    <d v="2026-08-31T00:00:00"/>
    <s v="Summer"/>
    <x v="1"/>
    <x v="1"/>
    <s v="Half Day"/>
    <n v="1"/>
    <n v="69.599999999999994"/>
    <s v="Dry Bag"/>
    <n v="6"/>
    <n v="3.78"/>
    <n v="71.819999999999993"/>
    <x v="5"/>
    <x v="1"/>
    <s v="Mobile Pay"/>
    <s v="Sunny"/>
  </r>
  <r>
    <s v="WSR-2026-1789"/>
    <d v="2026-08-01T00:00:00"/>
    <x v="7"/>
    <x v="7"/>
    <s v="Saturday"/>
    <x v="30"/>
    <d v="2026-08-31T00:00:00"/>
    <s v="Summer"/>
    <x v="3"/>
    <x v="4"/>
    <s v="1 Hour"/>
    <n v="1"/>
    <n v="14.4"/>
    <s v="Cooler Rental"/>
    <n v="10"/>
    <n v="0"/>
    <n v="24.4"/>
    <x v="5"/>
    <x v="2"/>
    <s v="Credit Card"/>
    <s v="Sunny"/>
  </r>
  <r>
    <s v="WSR-2026-1790"/>
    <d v="2026-08-01T00:00:00"/>
    <x v="7"/>
    <x v="7"/>
    <s v="Saturday"/>
    <x v="30"/>
    <d v="2026-08-31T00:00:00"/>
    <s v="Summer"/>
    <x v="3"/>
    <x v="8"/>
    <s v="Full Day"/>
    <n v="1"/>
    <n v="40.799999999999997"/>
    <s v="Phone Pouch"/>
    <n v="5"/>
    <n v="0"/>
    <n v="45.8"/>
    <x v="6"/>
    <x v="2"/>
    <s v="Debit Card"/>
    <s v="Sunny"/>
  </r>
  <r>
    <s v="WSR-2026-1791"/>
    <d v="2026-08-01T00:00:00"/>
    <x v="7"/>
    <x v="7"/>
    <s v="Saturday"/>
    <x v="30"/>
    <d v="2026-08-31T00:00:00"/>
    <s v="Summer"/>
    <x v="2"/>
    <x v="1"/>
    <s v="Half Day"/>
    <n v="1"/>
    <n v="69.599999999999994"/>
    <s v="Dry Bag"/>
    <n v="6"/>
    <n v="0"/>
    <n v="75.599999999999994"/>
    <x v="9"/>
    <x v="0"/>
    <s v="Cash"/>
    <s v="Sunny"/>
  </r>
  <r>
    <s v="WSR-2026-1792"/>
    <d v="2026-08-01T00:00:00"/>
    <x v="7"/>
    <x v="7"/>
    <s v="Saturday"/>
    <x v="30"/>
    <d v="2026-08-31T00:00:00"/>
    <s v="Summer"/>
    <x v="0"/>
    <x v="2"/>
    <s v="1 Hour"/>
    <n v="1"/>
    <n v="40.799999999999997"/>
    <s v="None"/>
    <n v="0"/>
    <n v="0"/>
    <n v="40.799999999999997"/>
    <x v="4"/>
    <x v="0"/>
    <s v="Credit Card"/>
    <s v="Sunny"/>
  </r>
  <r>
    <s v="WSR-2026-1793"/>
    <d v="2026-08-01T00:00:00"/>
    <x v="7"/>
    <x v="7"/>
    <s v="Saturday"/>
    <x v="30"/>
    <d v="2026-08-31T00:00:00"/>
    <s v="Summer"/>
    <x v="2"/>
    <x v="5"/>
    <s v="2 Hours"/>
    <n v="1"/>
    <n v="50.4"/>
    <s v="None"/>
    <n v="0"/>
    <n v="2.52"/>
    <n v="47.88"/>
    <x v="6"/>
    <x v="3"/>
    <s v="Mobile Pay"/>
    <s v="Sunny"/>
  </r>
  <r>
    <s v="WSR-2026-1794"/>
    <d v="2026-08-01T00:00:00"/>
    <x v="7"/>
    <x v="7"/>
    <s v="Saturday"/>
    <x v="30"/>
    <d v="2026-08-31T00:00:00"/>
    <s v="Summer"/>
    <x v="2"/>
    <x v="2"/>
    <s v="1 Hour"/>
    <n v="1"/>
    <n v="40.799999999999997"/>
    <s v="None"/>
    <n v="0"/>
    <n v="0"/>
    <n v="40.799999999999997"/>
    <x v="7"/>
    <x v="2"/>
    <s v="Credit Card"/>
    <s v="Sunny"/>
  </r>
  <r>
    <s v="WSR-2026-1795"/>
    <d v="2026-08-01T00:00:00"/>
    <x v="7"/>
    <x v="7"/>
    <s v="Saturday"/>
    <x v="30"/>
    <d v="2026-08-31T00:00:00"/>
    <s v="Summer"/>
    <x v="0"/>
    <x v="5"/>
    <s v="2 Hours"/>
    <n v="1"/>
    <n v="50.4"/>
    <s v="Phone Pouch"/>
    <n v="5"/>
    <n v="0"/>
    <n v="55.4"/>
    <x v="7"/>
    <x v="4"/>
    <s v="Credit Card"/>
    <s v="Sunny"/>
  </r>
  <r>
    <s v="WSR-2026-1796"/>
    <d v="2026-08-01T00:00:00"/>
    <x v="7"/>
    <x v="7"/>
    <s v="Saturday"/>
    <x v="30"/>
    <d v="2026-08-31T00:00:00"/>
    <s v="Summer"/>
    <x v="2"/>
    <x v="7"/>
    <s v="Full Day"/>
    <n v="1"/>
    <n v="57.6"/>
    <s v="None"/>
    <n v="0"/>
    <n v="0"/>
    <n v="57.6"/>
    <x v="1"/>
    <x v="1"/>
    <s v="Credit Card"/>
    <s v="Sunny"/>
  </r>
  <r>
    <s v="WSR-2026-1797"/>
    <d v="2026-08-01T00:00:00"/>
    <x v="7"/>
    <x v="7"/>
    <s v="Saturday"/>
    <x v="30"/>
    <d v="2026-08-31T00:00:00"/>
    <s v="Summer"/>
    <x v="3"/>
    <x v="5"/>
    <s v="1 Hour"/>
    <n v="1"/>
    <n v="31.2"/>
    <s v="None"/>
    <n v="0"/>
    <n v="0"/>
    <n v="31.2"/>
    <x v="7"/>
    <x v="2"/>
    <s v="Credit Card"/>
    <s v="Sunny"/>
  </r>
  <r>
    <s v="WSR-2026-1798"/>
    <d v="2026-08-01T00:00:00"/>
    <x v="7"/>
    <x v="7"/>
    <s v="Saturday"/>
    <x v="30"/>
    <d v="2026-08-31T00:00:00"/>
    <s v="Summer"/>
    <x v="2"/>
    <x v="0"/>
    <s v="Full Day"/>
    <n v="1"/>
    <n v="132"/>
    <s v="None"/>
    <n v="0"/>
    <n v="0"/>
    <n v="132"/>
    <x v="2"/>
    <x v="2"/>
    <s v="Cash"/>
    <s v="Sunny"/>
  </r>
  <r>
    <s v="WSR-2026-1799"/>
    <d v="2026-08-01T00:00:00"/>
    <x v="7"/>
    <x v="7"/>
    <s v="Saturday"/>
    <x v="30"/>
    <d v="2026-08-31T00:00:00"/>
    <s v="Summer"/>
    <x v="2"/>
    <x v="5"/>
    <s v="1 Hour"/>
    <n v="1"/>
    <n v="31.2"/>
    <s v="None"/>
    <n v="0"/>
    <n v="0"/>
    <n v="31.2"/>
    <x v="1"/>
    <x v="2"/>
    <s v="Credit Card"/>
    <s v="Sunny"/>
  </r>
  <r>
    <s v="WSR-2026-1800"/>
    <d v="2026-08-01T00:00:00"/>
    <x v="7"/>
    <x v="7"/>
    <s v="Saturday"/>
    <x v="30"/>
    <d v="2026-08-31T00:00:00"/>
    <s v="Summer"/>
    <x v="3"/>
    <x v="1"/>
    <s v="2 Hours"/>
    <n v="1"/>
    <n v="45.6"/>
    <s v="None"/>
    <n v="0"/>
    <n v="0"/>
    <n v="45.6"/>
    <x v="6"/>
    <x v="2"/>
    <s v="Debit Card"/>
    <s v="Cloudy"/>
  </r>
  <r>
    <s v="WSR-2026-1801"/>
    <d v="2026-08-01T00:00:00"/>
    <x v="7"/>
    <x v="7"/>
    <s v="Saturday"/>
    <x v="30"/>
    <d v="2026-08-31T00:00:00"/>
    <s v="Summer"/>
    <x v="2"/>
    <x v="5"/>
    <s v="1 Hour"/>
    <n v="1"/>
    <n v="31.2"/>
    <s v="None"/>
    <n v="0"/>
    <n v="0"/>
    <n v="31.2"/>
    <x v="2"/>
    <x v="0"/>
    <s v="Credit Card"/>
    <s v="Sunny"/>
  </r>
  <r>
    <s v="WSR-2026-1802"/>
    <d v="2026-08-01T00:00:00"/>
    <x v="7"/>
    <x v="7"/>
    <s v="Saturday"/>
    <x v="30"/>
    <d v="2026-08-31T00:00:00"/>
    <s v="Summer"/>
    <x v="0"/>
    <x v="1"/>
    <s v="2 Hours"/>
    <n v="1"/>
    <n v="45.6"/>
    <s v="Waterproof Speaker"/>
    <n v="12"/>
    <n v="0"/>
    <n v="57.6"/>
    <x v="9"/>
    <x v="1"/>
    <s v="Gift Card"/>
    <s v="Sunny"/>
  </r>
  <r>
    <s v="WSR-2026-1803"/>
    <d v="2026-08-01T00:00:00"/>
    <x v="7"/>
    <x v="7"/>
    <s v="Saturday"/>
    <x v="30"/>
    <d v="2026-08-31T00:00:00"/>
    <s v="Summer"/>
    <x v="2"/>
    <x v="9"/>
    <s v="1 Hour"/>
    <n v="1"/>
    <n v="36"/>
    <s v="None"/>
    <n v="0"/>
    <n v="0"/>
    <n v="36"/>
    <x v="7"/>
    <x v="0"/>
    <s v="Gift Card"/>
    <s v="Sunny"/>
  </r>
  <r>
    <s v="WSR-2026-1804"/>
    <d v="2026-08-01T00:00:00"/>
    <x v="7"/>
    <x v="7"/>
    <s v="Saturday"/>
    <x v="30"/>
    <d v="2026-08-31T00:00:00"/>
    <s v="Summer"/>
    <x v="0"/>
    <x v="3"/>
    <s v="2 Hours"/>
    <n v="1"/>
    <n v="43.2"/>
    <s v="Phone Pouch"/>
    <n v="5"/>
    <n v="0"/>
    <n v="48.2"/>
    <x v="2"/>
    <x v="3"/>
    <s v="Credit Card"/>
    <s v="Sunny"/>
  </r>
  <r>
    <s v="WSR-2026-1805"/>
    <d v="2026-08-01T00:00:00"/>
    <x v="7"/>
    <x v="7"/>
    <s v="Saturday"/>
    <x v="30"/>
    <d v="2026-08-31T00:00:00"/>
    <s v="Summer"/>
    <x v="1"/>
    <x v="1"/>
    <s v="Full Day"/>
    <n v="1"/>
    <n v="100.8"/>
    <s v="Phone Pouch"/>
    <n v="5"/>
    <n v="5.29"/>
    <n v="100.51"/>
    <x v="4"/>
    <x v="1"/>
    <s v="Debit Card"/>
    <s v="Sunny"/>
  </r>
  <r>
    <s v="WSR-2026-1806"/>
    <d v="2026-08-01T00:00:00"/>
    <x v="7"/>
    <x v="7"/>
    <s v="Saturday"/>
    <x v="30"/>
    <d v="2026-08-31T00:00:00"/>
    <s v="Summer"/>
    <x v="3"/>
    <x v="5"/>
    <s v="Full Day"/>
    <n v="1"/>
    <n v="105.6"/>
    <s v="None"/>
    <n v="0"/>
    <n v="0"/>
    <n v="105.6"/>
    <x v="6"/>
    <x v="3"/>
    <s v="Credit Card"/>
    <s v="Sunny"/>
  </r>
  <r>
    <s v="WSR-2026-1807"/>
    <d v="2026-08-01T00:00:00"/>
    <x v="7"/>
    <x v="7"/>
    <s v="Saturday"/>
    <x v="30"/>
    <d v="2026-08-31T00:00:00"/>
    <s v="Summer"/>
    <x v="0"/>
    <x v="0"/>
    <s v="2 Hours"/>
    <n v="1"/>
    <n v="60"/>
    <s v="Dry Bag"/>
    <n v="6"/>
    <n v="0"/>
    <n v="66"/>
    <x v="1"/>
    <x v="0"/>
    <s v="Cash"/>
    <s v="Cloudy"/>
  </r>
  <r>
    <s v="WSR-2026-1808"/>
    <d v="2026-08-01T00:00:00"/>
    <x v="7"/>
    <x v="7"/>
    <s v="Saturday"/>
    <x v="30"/>
    <d v="2026-08-31T00:00:00"/>
    <s v="Summer"/>
    <x v="2"/>
    <x v="2"/>
    <s v="Half Day"/>
    <n v="1"/>
    <n v="93.6"/>
    <s v="Dry Bag"/>
    <n v="6"/>
    <n v="0"/>
    <n v="99.6"/>
    <x v="7"/>
    <x v="3"/>
    <s v="Credit Card"/>
    <s v="Sunny"/>
  </r>
  <r>
    <s v="WSR-2026-1809"/>
    <d v="2026-08-02T00:00:00"/>
    <x v="7"/>
    <x v="7"/>
    <s v="Sunday"/>
    <x v="31"/>
    <d v="2026-08-31T00:00:00"/>
    <s v="Summer"/>
    <x v="0"/>
    <x v="5"/>
    <s v="2 Hours"/>
    <n v="1"/>
    <n v="50.4"/>
    <s v="Dry Bag"/>
    <n v="6"/>
    <n v="0"/>
    <n v="56.4"/>
    <x v="0"/>
    <x v="1"/>
    <s v="Cash"/>
    <s v="Sunny"/>
  </r>
  <r>
    <s v="WSR-2026-1810"/>
    <d v="2026-08-02T00:00:00"/>
    <x v="7"/>
    <x v="7"/>
    <s v="Sunday"/>
    <x v="31"/>
    <d v="2026-08-31T00:00:00"/>
    <s v="Summer"/>
    <x v="1"/>
    <x v="5"/>
    <s v="2 Hours"/>
    <n v="1"/>
    <n v="50.4"/>
    <s v="None"/>
    <n v="0"/>
    <n v="0"/>
    <n v="50.4"/>
    <x v="2"/>
    <x v="0"/>
    <s v="Cash"/>
    <s v="Sunny"/>
  </r>
  <r>
    <s v="WSR-2026-1811"/>
    <d v="2026-08-02T00:00:00"/>
    <x v="7"/>
    <x v="7"/>
    <s v="Sunday"/>
    <x v="31"/>
    <d v="2026-08-31T00:00:00"/>
    <s v="Summer"/>
    <x v="2"/>
    <x v="0"/>
    <s v="1 Hour"/>
    <n v="1"/>
    <n v="38.4"/>
    <s v="None"/>
    <n v="0"/>
    <n v="0"/>
    <n v="38.4"/>
    <x v="6"/>
    <x v="4"/>
    <s v="Debit Card"/>
    <s v="Cloudy"/>
  </r>
  <r>
    <s v="WSR-2026-1812"/>
    <d v="2026-08-02T00:00:00"/>
    <x v="7"/>
    <x v="7"/>
    <s v="Sunday"/>
    <x v="31"/>
    <d v="2026-08-31T00:00:00"/>
    <s v="Summer"/>
    <x v="2"/>
    <x v="5"/>
    <s v="2 Hours"/>
    <n v="1"/>
    <n v="50.4"/>
    <s v="None"/>
    <n v="0"/>
    <n v="0"/>
    <n v="50.4"/>
    <x v="8"/>
    <x v="2"/>
    <s v="Debit Card"/>
    <s v="Sunny"/>
  </r>
  <r>
    <s v="WSR-2026-1813"/>
    <d v="2026-08-02T00:00:00"/>
    <x v="7"/>
    <x v="7"/>
    <s v="Sunday"/>
    <x v="31"/>
    <d v="2026-08-31T00:00:00"/>
    <s v="Summer"/>
    <x v="0"/>
    <x v="5"/>
    <s v="2 Hours"/>
    <n v="1"/>
    <n v="50.4"/>
    <s v="Dry Bag"/>
    <n v="6"/>
    <n v="0"/>
    <n v="56.4"/>
    <x v="6"/>
    <x v="3"/>
    <s v="Credit Card"/>
    <s v="Windy"/>
  </r>
  <r>
    <s v="WSR-2026-1814"/>
    <d v="2026-08-02T00:00:00"/>
    <x v="7"/>
    <x v="7"/>
    <s v="Sunday"/>
    <x v="31"/>
    <d v="2026-08-31T00:00:00"/>
    <s v="Summer"/>
    <x v="1"/>
    <x v="2"/>
    <s v="1 Hour"/>
    <n v="1"/>
    <n v="40.799999999999997"/>
    <s v="Phone Pouch"/>
    <n v="5"/>
    <n v="4.58"/>
    <n v="41.22"/>
    <x v="8"/>
    <x v="3"/>
    <s v="Debit Card"/>
    <s v="Sunny"/>
  </r>
  <r>
    <s v="WSR-2026-1815"/>
    <d v="2026-08-02T00:00:00"/>
    <x v="7"/>
    <x v="7"/>
    <s v="Sunday"/>
    <x v="31"/>
    <d v="2026-08-31T00:00:00"/>
    <s v="Summer"/>
    <x v="3"/>
    <x v="1"/>
    <s v="2 Hours"/>
    <n v="1"/>
    <n v="45.6"/>
    <s v="None"/>
    <n v="0"/>
    <n v="0"/>
    <n v="45.6"/>
    <x v="9"/>
    <x v="4"/>
    <s v="Debit Card"/>
    <s v="Sunny"/>
  </r>
  <r>
    <s v="WSR-2026-1816"/>
    <d v="2026-08-02T00:00:00"/>
    <x v="7"/>
    <x v="7"/>
    <s v="Sunday"/>
    <x v="31"/>
    <d v="2026-08-31T00:00:00"/>
    <s v="Summer"/>
    <x v="1"/>
    <x v="4"/>
    <s v="1 Hour"/>
    <n v="1"/>
    <n v="14.4"/>
    <s v="None"/>
    <n v="0"/>
    <n v="1.44"/>
    <n v="12.96"/>
    <x v="2"/>
    <x v="1"/>
    <s v="Cash"/>
    <s v="Sunny"/>
  </r>
  <r>
    <s v="WSR-2026-1817"/>
    <d v="2026-08-02T00:00:00"/>
    <x v="7"/>
    <x v="7"/>
    <s v="Sunday"/>
    <x v="31"/>
    <d v="2026-08-31T00:00:00"/>
    <s v="Summer"/>
    <x v="0"/>
    <x v="4"/>
    <s v="Half Day"/>
    <n v="1"/>
    <n v="33.6"/>
    <s v="None"/>
    <n v="0"/>
    <n v="0"/>
    <n v="33.6"/>
    <x v="5"/>
    <x v="1"/>
    <s v="Credit Card"/>
    <s v="Sunny"/>
  </r>
  <r>
    <s v="WSR-2026-1818"/>
    <d v="2026-08-02T00:00:00"/>
    <x v="7"/>
    <x v="7"/>
    <s v="Sunday"/>
    <x v="31"/>
    <d v="2026-08-31T00:00:00"/>
    <s v="Summer"/>
    <x v="4"/>
    <x v="3"/>
    <s v="1 Hour"/>
    <n v="1"/>
    <n v="26.4"/>
    <s v="Dry Bag"/>
    <n v="6"/>
    <n v="4.8600000000000003"/>
    <n v="27.54"/>
    <x v="3"/>
    <x v="0"/>
    <s v="Credit Card"/>
    <s v="Sunny"/>
  </r>
  <r>
    <s v="WSR-2026-1819"/>
    <d v="2026-08-02T00:00:00"/>
    <x v="7"/>
    <x v="7"/>
    <s v="Sunday"/>
    <x v="31"/>
    <d v="2026-08-31T00:00:00"/>
    <s v="Summer"/>
    <x v="0"/>
    <x v="5"/>
    <s v="2 Hours"/>
    <n v="1"/>
    <n v="50.4"/>
    <s v="None"/>
    <n v="0"/>
    <n v="0"/>
    <n v="50.4"/>
    <x v="5"/>
    <x v="3"/>
    <s v="Cash"/>
    <s v="Sunny"/>
  </r>
  <r>
    <s v="WSR-2026-1820"/>
    <d v="2026-08-02T00:00:00"/>
    <x v="7"/>
    <x v="7"/>
    <s v="Sunday"/>
    <x v="31"/>
    <d v="2026-08-31T00:00:00"/>
    <s v="Summer"/>
    <x v="3"/>
    <x v="2"/>
    <s v="Half Day"/>
    <n v="1"/>
    <n v="93.6"/>
    <s v="Phone Pouch"/>
    <n v="5"/>
    <n v="0"/>
    <n v="98.6"/>
    <x v="5"/>
    <x v="0"/>
    <s v="Mobile Pay"/>
    <s v="Cloudy"/>
  </r>
  <r>
    <s v="WSR-2026-1821"/>
    <d v="2026-08-02T00:00:00"/>
    <x v="7"/>
    <x v="7"/>
    <s v="Sunday"/>
    <x v="31"/>
    <d v="2026-08-31T00:00:00"/>
    <s v="Summer"/>
    <x v="0"/>
    <x v="5"/>
    <s v="1 Hour"/>
    <n v="1"/>
    <n v="31.2"/>
    <s v="None"/>
    <n v="0"/>
    <n v="0"/>
    <n v="31.2"/>
    <x v="4"/>
    <x v="0"/>
    <s v="Debit Card"/>
    <s v="Sunny"/>
  </r>
  <r>
    <s v="WSR-2026-1822"/>
    <d v="2026-08-02T00:00:00"/>
    <x v="7"/>
    <x v="7"/>
    <s v="Sunday"/>
    <x v="31"/>
    <d v="2026-08-31T00:00:00"/>
    <s v="Summer"/>
    <x v="3"/>
    <x v="3"/>
    <s v="1 Hour"/>
    <n v="1"/>
    <n v="26.4"/>
    <s v="Dry Bag"/>
    <n v="6"/>
    <n v="0"/>
    <n v="32.4"/>
    <x v="1"/>
    <x v="3"/>
    <s v="Credit Card"/>
    <s v="Cloudy"/>
  </r>
  <r>
    <s v="WSR-2026-1823"/>
    <d v="2026-08-02T00:00:00"/>
    <x v="7"/>
    <x v="7"/>
    <s v="Sunday"/>
    <x v="31"/>
    <d v="2026-08-31T00:00:00"/>
    <s v="Summer"/>
    <x v="3"/>
    <x v="4"/>
    <s v="Full Day"/>
    <n v="1"/>
    <n v="48"/>
    <s v="Phone Pouch"/>
    <n v="5"/>
    <n v="0"/>
    <n v="53"/>
    <x v="8"/>
    <x v="1"/>
    <s v="Debit Card"/>
    <s v="Cloudy"/>
  </r>
  <r>
    <s v="WSR-2026-1824"/>
    <d v="2026-08-02T00:00:00"/>
    <x v="7"/>
    <x v="7"/>
    <s v="Sunday"/>
    <x v="31"/>
    <d v="2026-08-31T00:00:00"/>
    <s v="Summer"/>
    <x v="2"/>
    <x v="9"/>
    <s v="1 Hour"/>
    <n v="1"/>
    <n v="36"/>
    <s v="None"/>
    <n v="0"/>
    <n v="0"/>
    <n v="36"/>
    <x v="0"/>
    <x v="1"/>
    <s v="Credit Card"/>
    <s v="Sunny"/>
  </r>
  <r>
    <s v="WSR-2026-1825"/>
    <d v="2026-08-02T00:00:00"/>
    <x v="7"/>
    <x v="7"/>
    <s v="Sunday"/>
    <x v="31"/>
    <d v="2026-08-31T00:00:00"/>
    <s v="Summer"/>
    <x v="0"/>
    <x v="8"/>
    <s v="2 Hours"/>
    <n v="1"/>
    <n v="19.2"/>
    <s v="Cooler Rental"/>
    <n v="10"/>
    <n v="0"/>
    <n v="29.2"/>
    <x v="2"/>
    <x v="2"/>
    <s v="Credit Card"/>
    <s v="Cloudy"/>
  </r>
  <r>
    <s v="WSR-2026-1826"/>
    <d v="2026-08-02T00:00:00"/>
    <x v="7"/>
    <x v="7"/>
    <s v="Sunday"/>
    <x v="31"/>
    <d v="2026-08-31T00:00:00"/>
    <s v="Summer"/>
    <x v="0"/>
    <x v="3"/>
    <s v="2 Hours"/>
    <n v="1"/>
    <n v="43.2"/>
    <s v="None"/>
    <n v="0"/>
    <n v="2.16"/>
    <n v="41.04"/>
    <x v="6"/>
    <x v="0"/>
    <s v="Credit Card"/>
    <s v="Sunny"/>
  </r>
  <r>
    <s v="WSR-2026-1827"/>
    <d v="2026-08-02T00:00:00"/>
    <x v="7"/>
    <x v="7"/>
    <s v="Sunday"/>
    <x v="31"/>
    <d v="2026-08-31T00:00:00"/>
    <s v="Summer"/>
    <x v="1"/>
    <x v="9"/>
    <s v="1 Hour"/>
    <n v="1"/>
    <n v="36"/>
    <s v="Phone Pouch"/>
    <n v="5"/>
    <n v="0"/>
    <n v="41"/>
    <x v="5"/>
    <x v="1"/>
    <s v="Debit Card"/>
    <s v="Sunny"/>
  </r>
  <r>
    <s v="WSR-2026-1828"/>
    <d v="2026-08-02T00:00:00"/>
    <x v="7"/>
    <x v="7"/>
    <s v="Sunday"/>
    <x v="31"/>
    <d v="2026-08-31T00:00:00"/>
    <s v="Summer"/>
    <x v="1"/>
    <x v="8"/>
    <s v="1 Hour"/>
    <n v="1"/>
    <n v="12"/>
    <s v="None"/>
    <n v="0"/>
    <n v="1.2"/>
    <n v="10.8"/>
    <x v="6"/>
    <x v="4"/>
    <s v="Cash"/>
    <s v="Sunny"/>
  </r>
  <r>
    <s v="WSR-2026-1829"/>
    <d v="2026-08-02T00:00:00"/>
    <x v="7"/>
    <x v="7"/>
    <s v="Sunday"/>
    <x v="31"/>
    <d v="2026-08-31T00:00:00"/>
    <s v="Summer"/>
    <x v="3"/>
    <x v="5"/>
    <s v="1 Hour"/>
    <n v="1"/>
    <n v="31.2"/>
    <s v="Dry Bag"/>
    <n v="6"/>
    <n v="1.86"/>
    <n v="35.340000000000003"/>
    <x v="2"/>
    <x v="2"/>
    <s v="Credit Card"/>
    <s v="Sunny"/>
  </r>
  <r>
    <s v="WSR-2026-1830"/>
    <d v="2026-08-02T00:00:00"/>
    <x v="7"/>
    <x v="7"/>
    <s v="Sunday"/>
    <x v="31"/>
    <d v="2026-08-31T00:00:00"/>
    <s v="Summer"/>
    <x v="1"/>
    <x v="5"/>
    <s v="2 Hours"/>
    <n v="1"/>
    <n v="50.4"/>
    <s v="Dry Bag"/>
    <n v="6"/>
    <n v="0"/>
    <n v="56.4"/>
    <x v="3"/>
    <x v="0"/>
    <s v="Debit Card"/>
    <s v="Sunny"/>
  </r>
  <r>
    <s v="WSR-2026-1831"/>
    <d v="2026-08-02T00:00:00"/>
    <x v="7"/>
    <x v="7"/>
    <s v="Sunday"/>
    <x v="31"/>
    <d v="2026-08-31T00:00:00"/>
    <s v="Summer"/>
    <x v="2"/>
    <x v="5"/>
    <s v="2 Hours"/>
    <n v="1"/>
    <n v="50.4"/>
    <s v="GoPro Mount"/>
    <n v="8"/>
    <n v="0"/>
    <n v="58.4"/>
    <x v="1"/>
    <x v="3"/>
    <s v="Cash"/>
    <s v="Sunny"/>
  </r>
  <r>
    <s v="WSR-2026-1832"/>
    <d v="2026-08-02T00:00:00"/>
    <x v="7"/>
    <x v="7"/>
    <s v="Sunday"/>
    <x v="31"/>
    <d v="2026-08-31T00:00:00"/>
    <s v="Summer"/>
    <x v="1"/>
    <x v="5"/>
    <s v="Half Day"/>
    <n v="1"/>
    <n v="74.400000000000006"/>
    <s v="Phone Pouch"/>
    <n v="5"/>
    <n v="7.94"/>
    <n v="71.459999999999994"/>
    <x v="1"/>
    <x v="1"/>
    <s v="Debit Card"/>
    <s v="Sunny"/>
  </r>
  <r>
    <s v="WSR-2026-1833"/>
    <d v="2026-08-03T00:00:00"/>
    <x v="7"/>
    <x v="7"/>
    <s v="Monday"/>
    <x v="31"/>
    <d v="2026-08-31T00:00:00"/>
    <s v="Summer"/>
    <x v="1"/>
    <x v="3"/>
    <s v="Half Day"/>
    <n v="1"/>
    <n v="60.48"/>
    <s v="Dry Bag"/>
    <n v="6"/>
    <n v="3.32"/>
    <n v="63.16"/>
    <x v="0"/>
    <x v="0"/>
    <s v="Credit Card"/>
    <s v="Sunny"/>
  </r>
  <r>
    <s v="WSR-2026-1834"/>
    <d v="2026-08-03T00:00:00"/>
    <x v="7"/>
    <x v="7"/>
    <s v="Monday"/>
    <x v="31"/>
    <d v="2026-08-31T00:00:00"/>
    <s v="Summer"/>
    <x v="2"/>
    <x v="9"/>
    <s v="Half Day"/>
    <n v="1"/>
    <n v="80.64"/>
    <s v="Cooler Rental"/>
    <n v="10"/>
    <n v="0"/>
    <n v="90.64"/>
    <x v="2"/>
    <x v="4"/>
    <s v="Credit Card"/>
    <s v="Sunny"/>
  </r>
  <r>
    <s v="WSR-2026-1835"/>
    <d v="2026-08-03T00:00:00"/>
    <x v="7"/>
    <x v="7"/>
    <s v="Monday"/>
    <x v="31"/>
    <d v="2026-08-31T00:00:00"/>
    <s v="Summer"/>
    <x v="2"/>
    <x v="3"/>
    <s v="2 Hours"/>
    <n v="1"/>
    <n v="40.32"/>
    <s v="Dry Bag"/>
    <n v="6"/>
    <n v="0"/>
    <n v="46.32"/>
    <x v="5"/>
    <x v="4"/>
    <s v="Mobile Pay"/>
    <s v="Cloudy"/>
  </r>
  <r>
    <s v="WSR-2026-1836"/>
    <d v="2026-08-03T00:00:00"/>
    <x v="7"/>
    <x v="7"/>
    <s v="Monday"/>
    <x v="31"/>
    <d v="2026-08-31T00:00:00"/>
    <s v="Summer"/>
    <x v="3"/>
    <x v="4"/>
    <s v="Half Day"/>
    <n v="1"/>
    <n v="31.36"/>
    <s v="None"/>
    <n v="0"/>
    <n v="0"/>
    <n v="31.36"/>
    <x v="2"/>
    <x v="3"/>
    <s v="Mobile Pay"/>
    <s v="Sunny"/>
  </r>
  <r>
    <s v="WSR-2026-1837"/>
    <d v="2026-08-03T00:00:00"/>
    <x v="7"/>
    <x v="7"/>
    <s v="Monday"/>
    <x v="31"/>
    <d v="2026-08-31T00:00:00"/>
    <s v="Summer"/>
    <x v="2"/>
    <x v="2"/>
    <s v="2 Hours"/>
    <n v="1"/>
    <n v="58.24"/>
    <s v="None"/>
    <n v="0"/>
    <n v="0"/>
    <n v="58.24"/>
    <x v="8"/>
    <x v="2"/>
    <s v="Credit Card"/>
    <s v="Cloudy"/>
  </r>
  <r>
    <s v="WSR-2026-1838"/>
    <d v="2026-08-03T00:00:00"/>
    <x v="7"/>
    <x v="7"/>
    <s v="Monday"/>
    <x v="31"/>
    <d v="2026-08-31T00:00:00"/>
    <s v="Summer"/>
    <x v="3"/>
    <x v="5"/>
    <s v="Half Day"/>
    <n v="1"/>
    <n v="69.44"/>
    <s v="Phone Pouch"/>
    <n v="5"/>
    <n v="0"/>
    <n v="74.44"/>
    <x v="1"/>
    <x v="1"/>
    <s v="Mobile Pay"/>
    <s v="Sunny"/>
  </r>
  <r>
    <s v="WSR-2026-1839"/>
    <d v="2026-08-03T00:00:00"/>
    <x v="7"/>
    <x v="7"/>
    <s v="Monday"/>
    <x v="31"/>
    <d v="2026-08-31T00:00:00"/>
    <s v="Summer"/>
    <x v="2"/>
    <x v="5"/>
    <s v="2 Hours"/>
    <n v="1"/>
    <n v="47.04"/>
    <s v="None"/>
    <n v="0"/>
    <n v="0"/>
    <n v="47.04"/>
    <x v="9"/>
    <x v="0"/>
    <s v="Credit Card"/>
    <s v="Sunny"/>
  </r>
  <r>
    <s v="WSR-2026-1840"/>
    <d v="2026-08-03T00:00:00"/>
    <x v="7"/>
    <x v="7"/>
    <s v="Monday"/>
    <x v="31"/>
    <d v="2026-08-31T00:00:00"/>
    <s v="Summer"/>
    <x v="2"/>
    <x v="1"/>
    <s v="1 Hour"/>
    <n v="1"/>
    <n v="26.88"/>
    <s v="None"/>
    <n v="0"/>
    <n v="0"/>
    <n v="26.88"/>
    <x v="0"/>
    <x v="3"/>
    <s v="Credit Card"/>
    <s v="Sunny"/>
  </r>
  <r>
    <s v="WSR-2026-1841"/>
    <d v="2026-08-03T00:00:00"/>
    <x v="7"/>
    <x v="7"/>
    <s v="Monday"/>
    <x v="31"/>
    <d v="2026-08-31T00:00:00"/>
    <s v="Summer"/>
    <x v="3"/>
    <x v="5"/>
    <s v="1 Hour"/>
    <n v="1"/>
    <n v="29.12"/>
    <s v="None"/>
    <n v="0"/>
    <n v="1.46"/>
    <n v="27.66"/>
    <x v="8"/>
    <x v="4"/>
    <s v="Debit Card"/>
    <s v="Cloudy"/>
  </r>
  <r>
    <s v="WSR-2026-1842"/>
    <d v="2026-08-03T00:00:00"/>
    <x v="7"/>
    <x v="7"/>
    <s v="Monday"/>
    <x v="31"/>
    <d v="2026-08-31T00:00:00"/>
    <s v="Summer"/>
    <x v="3"/>
    <x v="2"/>
    <s v="2 Hours"/>
    <n v="1"/>
    <n v="58.24"/>
    <s v="None"/>
    <n v="0"/>
    <n v="0"/>
    <n v="58.24"/>
    <x v="0"/>
    <x v="1"/>
    <s v="Credit Card"/>
    <s v="Sunny"/>
  </r>
  <r>
    <s v="WSR-2026-1843"/>
    <d v="2026-08-03T00:00:00"/>
    <x v="7"/>
    <x v="7"/>
    <s v="Monday"/>
    <x v="31"/>
    <d v="2026-08-31T00:00:00"/>
    <s v="Summer"/>
    <x v="2"/>
    <x v="3"/>
    <s v="1 Hour"/>
    <n v="1"/>
    <n v="24.64"/>
    <s v="None"/>
    <n v="0"/>
    <n v="0"/>
    <n v="24.64"/>
    <x v="1"/>
    <x v="4"/>
    <s v="Credit Card"/>
    <s v="Sunny"/>
  </r>
  <r>
    <s v="WSR-2026-1844"/>
    <d v="2026-08-03T00:00:00"/>
    <x v="7"/>
    <x v="7"/>
    <s v="Monday"/>
    <x v="31"/>
    <d v="2026-08-31T00:00:00"/>
    <s v="Summer"/>
    <x v="2"/>
    <x v="3"/>
    <s v="1 Hour"/>
    <n v="1"/>
    <n v="24.64"/>
    <s v="None"/>
    <n v="0"/>
    <n v="0"/>
    <n v="24.64"/>
    <x v="9"/>
    <x v="2"/>
    <s v="Credit Card"/>
    <s v="Sunny"/>
  </r>
  <r>
    <s v="WSR-2026-1845"/>
    <d v="2026-08-03T00:00:00"/>
    <x v="7"/>
    <x v="7"/>
    <s v="Monday"/>
    <x v="31"/>
    <d v="2026-08-31T00:00:00"/>
    <s v="Summer"/>
    <x v="3"/>
    <x v="5"/>
    <s v="1 Hour"/>
    <n v="1"/>
    <n v="29.12"/>
    <s v="None"/>
    <n v="0"/>
    <n v="0"/>
    <n v="29.12"/>
    <x v="0"/>
    <x v="2"/>
    <s v="Credit Card"/>
    <s v="Sunny"/>
  </r>
  <r>
    <s v="WSR-2026-1846"/>
    <d v="2026-08-04T00:00:00"/>
    <x v="7"/>
    <x v="7"/>
    <s v="Tuesday"/>
    <x v="31"/>
    <d v="2026-08-31T00:00:00"/>
    <s v="Summer"/>
    <x v="3"/>
    <x v="5"/>
    <s v="2 Hours"/>
    <n v="1"/>
    <n v="47.04"/>
    <s v="None"/>
    <n v="0"/>
    <n v="0"/>
    <n v="47.04"/>
    <x v="5"/>
    <x v="4"/>
    <s v="Credit Card"/>
    <s v="Sunny"/>
  </r>
  <r>
    <s v="WSR-2026-1847"/>
    <d v="2026-08-04T00:00:00"/>
    <x v="7"/>
    <x v="7"/>
    <s v="Tuesday"/>
    <x v="31"/>
    <d v="2026-08-31T00:00:00"/>
    <s v="Summer"/>
    <x v="0"/>
    <x v="1"/>
    <s v="2 Hours"/>
    <n v="1"/>
    <n v="42.56"/>
    <s v="None"/>
    <n v="0"/>
    <n v="0"/>
    <n v="42.56"/>
    <x v="4"/>
    <x v="1"/>
    <s v="Credit Card"/>
    <s v="Sunny"/>
  </r>
  <r>
    <s v="WSR-2026-1848"/>
    <d v="2026-08-04T00:00:00"/>
    <x v="7"/>
    <x v="7"/>
    <s v="Tuesday"/>
    <x v="31"/>
    <d v="2026-08-31T00:00:00"/>
    <s v="Summer"/>
    <x v="0"/>
    <x v="4"/>
    <s v="2 Hours"/>
    <n v="1"/>
    <n v="20.16"/>
    <s v="Phone Pouch"/>
    <n v="5"/>
    <n v="0"/>
    <n v="25.16"/>
    <x v="9"/>
    <x v="4"/>
    <s v="Mobile Pay"/>
    <s v="Sunny"/>
  </r>
  <r>
    <s v="WSR-2026-1849"/>
    <d v="2026-08-04T00:00:00"/>
    <x v="7"/>
    <x v="7"/>
    <s v="Tuesday"/>
    <x v="31"/>
    <d v="2026-08-31T00:00:00"/>
    <s v="Summer"/>
    <x v="2"/>
    <x v="1"/>
    <s v="2 Hours"/>
    <n v="1"/>
    <n v="42.56"/>
    <s v="None"/>
    <n v="0"/>
    <n v="0"/>
    <n v="42.56"/>
    <x v="3"/>
    <x v="0"/>
    <s v="Mobile Pay"/>
    <s v="Sunny"/>
  </r>
  <r>
    <s v="WSR-2026-1850"/>
    <d v="2026-08-04T00:00:00"/>
    <x v="7"/>
    <x v="7"/>
    <s v="Tuesday"/>
    <x v="31"/>
    <d v="2026-08-31T00:00:00"/>
    <s v="Summer"/>
    <x v="3"/>
    <x v="1"/>
    <s v="Half Day"/>
    <n v="1"/>
    <n v="64.959999999999994"/>
    <s v="None"/>
    <n v="0"/>
    <n v="0"/>
    <n v="64.959999999999994"/>
    <x v="7"/>
    <x v="4"/>
    <s v="Credit Card"/>
    <s v="Sunny"/>
  </r>
  <r>
    <s v="WSR-2026-1851"/>
    <d v="2026-08-04T00:00:00"/>
    <x v="7"/>
    <x v="7"/>
    <s v="Tuesday"/>
    <x v="31"/>
    <d v="2026-08-31T00:00:00"/>
    <s v="Summer"/>
    <x v="2"/>
    <x v="2"/>
    <s v="Half Day"/>
    <n v="1"/>
    <n v="87.36"/>
    <s v="GoPro Mount"/>
    <n v="8"/>
    <n v="0"/>
    <n v="95.36"/>
    <x v="5"/>
    <x v="4"/>
    <s v="Debit Card"/>
    <s v="Sunny"/>
  </r>
  <r>
    <s v="WSR-2026-1852"/>
    <d v="2026-08-05T00:00:00"/>
    <x v="7"/>
    <x v="7"/>
    <s v="Wednesday"/>
    <x v="31"/>
    <d v="2026-08-31T00:00:00"/>
    <s v="Summer"/>
    <x v="3"/>
    <x v="1"/>
    <s v="Half Day"/>
    <n v="1"/>
    <n v="64.959999999999994"/>
    <s v="Waterproof Speaker"/>
    <n v="12"/>
    <n v="0"/>
    <n v="76.959999999999994"/>
    <x v="7"/>
    <x v="1"/>
    <s v="Gift Card"/>
    <s v="Sunny"/>
  </r>
  <r>
    <s v="WSR-2026-1853"/>
    <d v="2026-08-05T00:00:00"/>
    <x v="7"/>
    <x v="7"/>
    <s v="Wednesday"/>
    <x v="31"/>
    <d v="2026-08-31T00:00:00"/>
    <s v="Summer"/>
    <x v="4"/>
    <x v="1"/>
    <s v="Half Day"/>
    <n v="1"/>
    <n v="64.959999999999994"/>
    <s v="None"/>
    <n v="0"/>
    <n v="6.5"/>
    <n v="58.46"/>
    <x v="2"/>
    <x v="0"/>
    <s v="Credit Card"/>
    <s v="Sunny"/>
  </r>
  <r>
    <s v="WSR-2026-1854"/>
    <d v="2026-08-05T00:00:00"/>
    <x v="7"/>
    <x v="7"/>
    <s v="Wednesday"/>
    <x v="31"/>
    <d v="2026-08-31T00:00:00"/>
    <s v="Summer"/>
    <x v="0"/>
    <x v="8"/>
    <s v="Half Day"/>
    <n v="1"/>
    <n v="26.88"/>
    <s v="None"/>
    <n v="0"/>
    <n v="0"/>
    <n v="26.88"/>
    <x v="6"/>
    <x v="2"/>
    <s v="Credit Card"/>
    <s v="Sunny"/>
  </r>
  <r>
    <s v="WSR-2026-1855"/>
    <d v="2026-08-05T00:00:00"/>
    <x v="7"/>
    <x v="7"/>
    <s v="Wednesday"/>
    <x v="31"/>
    <d v="2026-08-31T00:00:00"/>
    <s v="Summer"/>
    <x v="3"/>
    <x v="5"/>
    <s v="1 Hour"/>
    <n v="1"/>
    <n v="29.12"/>
    <s v="Waterproof Speaker"/>
    <n v="12"/>
    <n v="0"/>
    <n v="41.12"/>
    <x v="5"/>
    <x v="1"/>
    <s v="Debit Card"/>
    <s v="Sunny"/>
  </r>
  <r>
    <s v="WSR-2026-1856"/>
    <d v="2026-08-05T00:00:00"/>
    <x v="7"/>
    <x v="7"/>
    <s v="Wednesday"/>
    <x v="31"/>
    <d v="2026-08-31T00:00:00"/>
    <s v="Summer"/>
    <x v="2"/>
    <x v="9"/>
    <s v="Half Day"/>
    <n v="1"/>
    <n v="80.64"/>
    <s v="None"/>
    <n v="0"/>
    <n v="0"/>
    <n v="80.64"/>
    <x v="4"/>
    <x v="2"/>
    <s v="Credit Card"/>
    <s v="Sunny"/>
  </r>
  <r>
    <s v="WSR-2026-1857"/>
    <d v="2026-08-05T00:00:00"/>
    <x v="7"/>
    <x v="7"/>
    <s v="Wednesday"/>
    <x v="31"/>
    <d v="2026-08-31T00:00:00"/>
    <s v="Summer"/>
    <x v="3"/>
    <x v="2"/>
    <s v="1 Hour"/>
    <n v="1"/>
    <n v="38.08"/>
    <s v="None"/>
    <n v="0"/>
    <n v="0"/>
    <n v="38.08"/>
    <x v="1"/>
    <x v="0"/>
    <s v="Cash"/>
    <s v="Sunny"/>
  </r>
  <r>
    <s v="WSR-2026-1858"/>
    <d v="2026-08-05T00:00:00"/>
    <x v="7"/>
    <x v="7"/>
    <s v="Wednesday"/>
    <x v="31"/>
    <d v="2026-08-31T00:00:00"/>
    <s v="Summer"/>
    <x v="1"/>
    <x v="8"/>
    <s v="1 Hour"/>
    <n v="1"/>
    <n v="11.2"/>
    <s v="Cooler Rental"/>
    <n v="10"/>
    <n v="1.06"/>
    <n v="20.14"/>
    <x v="1"/>
    <x v="0"/>
    <s v="Credit Card"/>
    <s v="Sunny"/>
  </r>
  <r>
    <s v="WSR-2026-1859"/>
    <d v="2026-08-05T00:00:00"/>
    <x v="7"/>
    <x v="7"/>
    <s v="Wednesday"/>
    <x v="31"/>
    <d v="2026-08-31T00:00:00"/>
    <s v="Summer"/>
    <x v="3"/>
    <x v="1"/>
    <s v="2 Hours"/>
    <n v="1"/>
    <n v="42.56"/>
    <s v="Premium Life Jacket"/>
    <n v="7"/>
    <n v="0"/>
    <n v="49.56"/>
    <x v="6"/>
    <x v="1"/>
    <s v="Credit Card"/>
    <s v="Sunny"/>
  </r>
  <r>
    <s v="WSR-2026-1860"/>
    <d v="2026-08-05T00:00:00"/>
    <x v="7"/>
    <x v="7"/>
    <s v="Wednesday"/>
    <x v="31"/>
    <d v="2026-08-31T00:00:00"/>
    <s v="Summer"/>
    <x v="0"/>
    <x v="6"/>
    <s v="Full Day"/>
    <n v="1"/>
    <n v="138.88"/>
    <s v="Phone Pouch"/>
    <n v="5"/>
    <n v="0"/>
    <n v="143.88"/>
    <x v="0"/>
    <x v="0"/>
    <s v="Debit Card"/>
    <s v="Sunny"/>
  </r>
  <r>
    <s v="WSR-2026-1861"/>
    <d v="2026-08-05T00:00:00"/>
    <x v="7"/>
    <x v="7"/>
    <s v="Wednesday"/>
    <x v="31"/>
    <d v="2026-08-31T00:00:00"/>
    <s v="Summer"/>
    <x v="2"/>
    <x v="6"/>
    <s v="Full Day"/>
    <n v="1"/>
    <n v="138.88"/>
    <s v="None"/>
    <n v="0"/>
    <n v="0"/>
    <n v="138.88"/>
    <x v="6"/>
    <x v="1"/>
    <s v="Debit Card"/>
    <s v="Sunny"/>
  </r>
  <r>
    <s v="WSR-2026-1862"/>
    <d v="2026-08-05T00:00:00"/>
    <x v="7"/>
    <x v="7"/>
    <s v="Wednesday"/>
    <x v="31"/>
    <d v="2026-08-31T00:00:00"/>
    <s v="Summer"/>
    <x v="0"/>
    <x v="5"/>
    <s v="1 Hour"/>
    <n v="1"/>
    <n v="29.12"/>
    <s v="None"/>
    <n v="0"/>
    <n v="0"/>
    <n v="29.12"/>
    <x v="6"/>
    <x v="3"/>
    <s v="Credit Card"/>
    <s v="Sunny"/>
  </r>
  <r>
    <s v="WSR-2026-1863"/>
    <d v="2026-08-05T00:00:00"/>
    <x v="7"/>
    <x v="7"/>
    <s v="Wednesday"/>
    <x v="31"/>
    <d v="2026-08-31T00:00:00"/>
    <s v="Summer"/>
    <x v="3"/>
    <x v="2"/>
    <s v="Half Day"/>
    <n v="1"/>
    <n v="87.36"/>
    <s v="None"/>
    <n v="0"/>
    <n v="4.37"/>
    <n v="82.99"/>
    <x v="9"/>
    <x v="3"/>
    <s v="Mobile Pay"/>
    <s v="Cloudy"/>
  </r>
  <r>
    <s v="WSR-2026-1864"/>
    <d v="2026-08-06T00:00:00"/>
    <x v="7"/>
    <x v="7"/>
    <s v="Thursday"/>
    <x v="31"/>
    <d v="2026-08-31T00:00:00"/>
    <s v="Summer"/>
    <x v="2"/>
    <x v="8"/>
    <s v="1 Hour"/>
    <n v="1"/>
    <n v="11.2"/>
    <s v="Phone Pouch"/>
    <n v="5"/>
    <n v="0"/>
    <n v="16.2"/>
    <x v="4"/>
    <x v="0"/>
    <s v="Gift Card"/>
    <s v="Sunny"/>
  </r>
  <r>
    <s v="WSR-2026-1865"/>
    <d v="2026-08-06T00:00:00"/>
    <x v="7"/>
    <x v="7"/>
    <s v="Thursday"/>
    <x v="31"/>
    <d v="2026-08-31T00:00:00"/>
    <s v="Summer"/>
    <x v="2"/>
    <x v="2"/>
    <s v="2 Hours"/>
    <n v="1"/>
    <n v="58.24"/>
    <s v="Premium Life Jacket"/>
    <n v="7"/>
    <n v="0"/>
    <n v="65.239999999999995"/>
    <x v="5"/>
    <x v="3"/>
    <s v="Mobile Pay"/>
    <s v="Sunny"/>
  </r>
  <r>
    <s v="WSR-2026-1866"/>
    <d v="2026-08-06T00:00:00"/>
    <x v="7"/>
    <x v="7"/>
    <s v="Thursday"/>
    <x v="31"/>
    <d v="2026-08-31T00:00:00"/>
    <s v="Summer"/>
    <x v="0"/>
    <x v="2"/>
    <s v="1 Hour"/>
    <n v="1"/>
    <n v="38.08"/>
    <s v="None"/>
    <n v="0"/>
    <n v="0"/>
    <n v="38.08"/>
    <x v="4"/>
    <x v="4"/>
    <s v="Debit Card"/>
    <s v="Sunny"/>
  </r>
  <r>
    <s v="WSR-2026-1867"/>
    <d v="2026-08-06T00:00:00"/>
    <x v="7"/>
    <x v="7"/>
    <s v="Thursday"/>
    <x v="31"/>
    <d v="2026-08-31T00:00:00"/>
    <s v="Summer"/>
    <x v="3"/>
    <x v="6"/>
    <s v="2 Hours"/>
    <n v="1"/>
    <n v="64.959999999999994"/>
    <s v="Cooler Rental"/>
    <n v="10"/>
    <n v="0"/>
    <n v="74.959999999999994"/>
    <x v="5"/>
    <x v="1"/>
    <s v="Credit Card"/>
    <s v="Sunny"/>
  </r>
  <r>
    <s v="WSR-2026-1868"/>
    <d v="2026-08-06T00:00:00"/>
    <x v="7"/>
    <x v="7"/>
    <s v="Thursday"/>
    <x v="31"/>
    <d v="2026-08-31T00:00:00"/>
    <s v="Summer"/>
    <x v="0"/>
    <x v="2"/>
    <s v="1 Hour"/>
    <n v="1"/>
    <n v="38.08"/>
    <s v="None"/>
    <n v="0"/>
    <n v="0"/>
    <n v="38.08"/>
    <x v="5"/>
    <x v="1"/>
    <s v="Credit Card"/>
    <s v="Sunny"/>
  </r>
  <r>
    <s v="WSR-2026-1869"/>
    <d v="2026-08-06T00:00:00"/>
    <x v="7"/>
    <x v="7"/>
    <s v="Thursday"/>
    <x v="31"/>
    <d v="2026-08-31T00:00:00"/>
    <s v="Summer"/>
    <x v="3"/>
    <x v="4"/>
    <s v="2 Hours"/>
    <n v="1"/>
    <n v="20.16"/>
    <s v="None"/>
    <n v="0"/>
    <n v="0"/>
    <n v="20.16"/>
    <x v="5"/>
    <x v="3"/>
    <s v="Mobile Pay"/>
    <s v="Cloudy"/>
  </r>
  <r>
    <s v="WSR-2026-1870"/>
    <d v="2026-08-06T00:00:00"/>
    <x v="7"/>
    <x v="7"/>
    <s v="Thursday"/>
    <x v="31"/>
    <d v="2026-08-31T00:00:00"/>
    <s v="Summer"/>
    <x v="2"/>
    <x v="5"/>
    <s v="Half Day"/>
    <n v="1"/>
    <n v="69.44"/>
    <s v="Cooler Rental"/>
    <n v="10"/>
    <n v="0"/>
    <n v="79.44"/>
    <x v="2"/>
    <x v="4"/>
    <s v="Cash"/>
    <s v="Sunny"/>
  </r>
  <r>
    <s v="WSR-2026-1871"/>
    <d v="2026-08-06T00:00:00"/>
    <x v="7"/>
    <x v="7"/>
    <s v="Thursday"/>
    <x v="31"/>
    <d v="2026-08-31T00:00:00"/>
    <s v="Summer"/>
    <x v="0"/>
    <x v="5"/>
    <s v="Half Day"/>
    <n v="1"/>
    <n v="69.44"/>
    <s v="GoPro Mount"/>
    <n v="8"/>
    <n v="0"/>
    <n v="77.44"/>
    <x v="9"/>
    <x v="3"/>
    <s v="Cash"/>
    <s v="Sunny"/>
  </r>
  <r>
    <s v="WSR-2026-1872"/>
    <d v="2026-08-06T00:00:00"/>
    <x v="7"/>
    <x v="7"/>
    <s v="Thursday"/>
    <x v="31"/>
    <d v="2026-08-31T00:00:00"/>
    <s v="Summer"/>
    <x v="3"/>
    <x v="3"/>
    <s v="Half Day"/>
    <n v="1"/>
    <n v="60.48"/>
    <s v="Cooler Rental"/>
    <n v="10"/>
    <n v="0"/>
    <n v="70.48"/>
    <x v="9"/>
    <x v="0"/>
    <s v="Credit Card"/>
    <s v="Sunny"/>
  </r>
  <r>
    <s v="WSR-2026-1873"/>
    <d v="2026-08-06T00:00:00"/>
    <x v="7"/>
    <x v="7"/>
    <s v="Thursday"/>
    <x v="31"/>
    <d v="2026-08-31T00:00:00"/>
    <s v="Summer"/>
    <x v="0"/>
    <x v="1"/>
    <s v="2 Hours"/>
    <n v="1"/>
    <n v="42.56"/>
    <s v="Dry Bag"/>
    <n v="6"/>
    <n v="0"/>
    <n v="48.56"/>
    <x v="4"/>
    <x v="4"/>
    <s v="Credit Card"/>
    <s v="Sunny"/>
  </r>
  <r>
    <s v="WSR-2026-1874"/>
    <d v="2026-08-06T00:00:00"/>
    <x v="7"/>
    <x v="7"/>
    <s v="Thursday"/>
    <x v="31"/>
    <d v="2026-08-31T00:00:00"/>
    <s v="Summer"/>
    <x v="3"/>
    <x v="9"/>
    <s v="Full Day"/>
    <n v="1"/>
    <n v="116.48"/>
    <s v="None"/>
    <n v="0"/>
    <n v="0"/>
    <n v="116.48"/>
    <x v="3"/>
    <x v="3"/>
    <s v="Debit Card"/>
    <s v="Sunny"/>
  </r>
  <r>
    <s v="WSR-2026-1875"/>
    <d v="2026-08-06T00:00:00"/>
    <x v="7"/>
    <x v="7"/>
    <s v="Thursday"/>
    <x v="31"/>
    <d v="2026-08-31T00:00:00"/>
    <s v="Summer"/>
    <x v="0"/>
    <x v="2"/>
    <s v="2 Hours"/>
    <n v="1"/>
    <n v="58.24"/>
    <s v="Premium Life Jacket"/>
    <n v="7"/>
    <n v="0"/>
    <n v="65.239999999999995"/>
    <x v="6"/>
    <x v="2"/>
    <s v="Debit Card"/>
    <s v="Cloudy"/>
  </r>
  <r>
    <s v="WSR-2026-1876"/>
    <d v="2026-08-06T00:00:00"/>
    <x v="7"/>
    <x v="7"/>
    <s v="Thursday"/>
    <x v="31"/>
    <d v="2026-08-31T00:00:00"/>
    <s v="Summer"/>
    <x v="3"/>
    <x v="7"/>
    <s v="1 Hour"/>
    <n v="1"/>
    <n v="15.68"/>
    <s v="GoPro Mount"/>
    <n v="8"/>
    <n v="0"/>
    <n v="23.68"/>
    <x v="9"/>
    <x v="4"/>
    <s v="Credit Card"/>
    <s v="Windy"/>
  </r>
  <r>
    <s v="WSR-2026-1877"/>
    <d v="2026-08-06T00:00:00"/>
    <x v="7"/>
    <x v="7"/>
    <s v="Thursday"/>
    <x v="31"/>
    <d v="2026-08-31T00:00:00"/>
    <s v="Summer"/>
    <x v="2"/>
    <x v="3"/>
    <s v="1 Hour"/>
    <n v="1"/>
    <n v="24.64"/>
    <s v="Phone Pouch"/>
    <n v="5"/>
    <n v="0"/>
    <n v="29.64"/>
    <x v="2"/>
    <x v="2"/>
    <s v="Cash"/>
    <s v="Sunny"/>
  </r>
  <r>
    <s v="WSR-2026-1878"/>
    <d v="2026-08-06T00:00:00"/>
    <x v="7"/>
    <x v="7"/>
    <s v="Thursday"/>
    <x v="31"/>
    <d v="2026-08-31T00:00:00"/>
    <s v="Summer"/>
    <x v="2"/>
    <x v="3"/>
    <s v="1 Hour"/>
    <n v="1"/>
    <n v="24.64"/>
    <s v="None"/>
    <n v="0"/>
    <n v="0"/>
    <n v="24.64"/>
    <x v="7"/>
    <x v="1"/>
    <s v="Debit Card"/>
    <s v="Sunny"/>
  </r>
  <r>
    <s v="WSR-2026-1879"/>
    <d v="2026-08-07T00:00:00"/>
    <x v="7"/>
    <x v="7"/>
    <s v="Friday"/>
    <x v="31"/>
    <d v="2026-08-31T00:00:00"/>
    <s v="Summer"/>
    <x v="2"/>
    <x v="1"/>
    <s v="1 Hour"/>
    <n v="1"/>
    <n v="26.88"/>
    <s v="Waterproof Speaker"/>
    <n v="12"/>
    <n v="0"/>
    <n v="38.880000000000003"/>
    <x v="5"/>
    <x v="4"/>
    <s v="Credit Card"/>
    <s v="Sunny"/>
  </r>
  <r>
    <s v="WSR-2026-1880"/>
    <d v="2026-08-07T00:00:00"/>
    <x v="7"/>
    <x v="7"/>
    <s v="Friday"/>
    <x v="31"/>
    <d v="2026-08-31T00:00:00"/>
    <s v="Summer"/>
    <x v="3"/>
    <x v="5"/>
    <s v="1 Hour"/>
    <n v="1"/>
    <n v="29.12"/>
    <s v="None"/>
    <n v="0"/>
    <n v="0"/>
    <n v="29.12"/>
    <x v="3"/>
    <x v="0"/>
    <s v="Debit Card"/>
    <s v="Sunny"/>
  </r>
  <r>
    <s v="WSR-2026-1881"/>
    <d v="2026-08-07T00:00:00"/>
    <x v="7"/>
    <x v="7"/>
    <s v="Friday"/>
    <x v="31"/>
    <d v="2026-08-31T00:00:00"/>
    <s v="Summer"/>
    <x v="3"/>
    <x v="2"/>
    <s v="Full Day"/>
    <n v="1"/>
    <n v="125.44"/>
    <s v="Premium Life Jacket"/>
    <n v="7"/>
    <n v="6.62"/>
    <n v="125.82"/>
    <x v="3"/>
    <x v="2"/>
    <s v="Debit Card"/>
    <s v="Rainy"/>
  </r>
  <r>
    <s v="WSR-2026-1882"/>
    <d v="2026-08-07T00:00:00"/>
    <x v="7"/>
    <x v="7"/>
    <s v="Friday"/>
    <x v="31"/>
    <d v="2026-08-31T00:00:00"/>
    <s v="Summer"/>
    <x v="0"/>
    <x v="3"/>
    <s v="1 Hour"/>
    <n v="1"/>
    <n v="24.64"/>
    <s v="None"/>
    <n v="0"/>
    <n v="0"/>
    <n v="24.64"/>
    <x v="9"/>
    <x v="1"/>
    <s v="Debit Card"/>
    <s v="Cloudy"/>
  </r>
  <r>
    <s v="WSR-2026-1883"/>
    <d v="2026-08-07T00:00:00"/>
    <x v="7"/>
    <x v="7"/>
    <s v="Friday"/>
    <x v="31"/>
    <d v="2026-08-31T00:00:00"/>
    <s v="Summer"/>
    <x v="3"/>
    <x v="8"/>
    <s v="2 Hours"/>
    <n v="1"/>
    <n v="17.920000000000002"/>
    <s v="Phone Pouch"/>
    <n v="5"/>
    <n v="0"/>
    <n v="22.92"/>
    <x v="5"/>
    <x v="1"/>
    <s v="Credit Card"/>
    <s v="Sunny"/>
  </r>
  <r>
    <s v="WSR-2026-1884"/>
    <d v="2026-08-07T00:00:00"/>
    <x v="7"/>
    <x v="7"/>
    <s v="Friday"/>
    <x v="31"/>
    <d v="2026-08-31T00:00:00"/>
    <s v="Summer"/>
    <x v="2"/>
    <x v="2"/>
    <s v="1 Hour"/>
    <n v="1"/>
    <n v="38.08"/>
    <s v="None"/>
    <n v="0"/>
    <n v="0"/>
    <n v="38.08"/>
    <x v="3"/>
    <x v="2"/>
    <s v="Credit Card"/>
    <s v="Sunny"/>
  </r>
  <r>
    <s v="WSR-2026-1885"/>
    <d v="2026-08-07T00:00:00"/>
    <x v="7"/>
    <x v="7"/>
    <s v="Friday"/>
    <x v="31"/>
    <d v="2026-08-31T00:00:00"/>
    <s v="Summer"/>
    <x v="3"/>
    <x v="4"/>
    <s v="Half Day"/>
    <n v="1"/>
    <n v="31.36"/>
    <s v="Premium Life Jacket"/>
    <n v="7"/>
    <n v="0"/>
    <n v="38.36"/>
    <x v="7"/>
    <x v="4"/>
    <s v="Credit Card"/>
    <s v="Sunny"/>
  </r>
  <r>
    <s v="WSR-2026-1886"/>
    <d v="2026-08-07T00:00:00"/>
    <x v="7"/>
    <x v="7"/>
    <s v="Friday"/>
    <x v="31"/>
    <d v="2026-08-31T00:00:00"/>
    <s v="Summer"/>
    <x v="1"/>
    <x v="1"/>
    <s v="Full Day"/>
    <n v="1"/>
    <n v="94.08"/>
    <s v="Phone Pouch"/>
    <n v="5"/>
    <n v="0"/>
    <n v="99.08"/>
    <x v="2"/>
    <x v="4"/>
    <s v="Credit Card"/>
    <s v="Sunny"/>
  </r>
  <r>
    <s v="WSR-2026-1887"/>
    <d v="2026-08-07T00:00:00"/>
    <x v="7"/>
    <x v="7"/>
    <s v="Friday"/>
    <x v="31"/>
    <d v="2026-08-31T00:00:00"/>
    <s v="Summer"/>
    <x v="0"/>
    <x v="8"/>
    <s v="Half Day"/>
    <n v="1"/>
    <n v="26.88"/>
    <s v="Premium Life Jacket"/>
    <n v="7"/>
    <n v="0"/>
    <n v="33.880000000000003"/>
    <x v="9"/>
    <x v="1"/>
    <s v="Gift Card"/>
    <s v="Sunny"/>
  </r>
  <r>
    <s v="WSR-2026-1888"/>
    <d v="2026-08-07T00:00:00"/>
    <x v="7"/>
    <x v="7"/>
    <s v="Friday"/>
    <x v="31"/>
    <d v="2026-08-31T00:00:00"/>
    <s v="Summer"/>
    <x v="2"/>
    <x v="1"/>
    <s v="1 Hour"/>
    <n v="1"/>
    <n v="26.88"/>
    <s v="Premium Life Jacket"/>
    <n v="7"/>
    <n v="0"/>
    <n v="33.880000000000003"/>
    <x v="3"/>
    <x v="1"/>
    <s v="Credit Card"/>
    <s v="Sunny"/>
  </r>
  <r>
    <s v="WSR-2026-1889"/>
    <d v="2026-08-07T00:00:00"/>
    <x v="7"/>
    <x v="7"/>
    <s v="Friday"/>
    <x v="31"/>
    <d v="2026-08-31T00:00:00"/>
    <s v="Summer"/>
    <x v="0"/>
    <x v="2"/>
    <s v="2 Hours"/>
    <n v="1"/>
    <n v="58.24"/>
    <s v="GoPro Mount"/>
    <n v="8"/>
    <n v="0"/>
    <n v="66.239999999999995"/>
    <x v="6"/>
    <x v="0"/>
    <s v="Debit Card"/>
    <s v="Sunny"/>
  </r>
  <r>
    <s v="WSR-2026-1890"/>
    <d v="2026-08-07T00:00:00"/>
    <x v="7"/>
    <x v="7"/>
    <s v="Friday"/>
    <x v="31"/>
    <d v="2026-08-31T00:00:00"/>
    <s v="Summer"/>
    <x v="2"/>
    <x v="2"/>
    <s v="2 Hours"/>
    <n v="1"/>
    <n v="58.24"/>
    <s v="Dry Bag"/>
    <n v="6"/>
    <n v="0"/>
    <n v="64.239999999999995"/>
    <x v="4"/>
    <x v="0"/>
    <s v="Cash"/>
    <s v="Sunny"/>
  </r>
  <r>
    <s v="WSR-2026-1891"/>
    <d v="2026-08-07T00:00:00"/>
    <x v="7"/>
    <x v="7"/>
    <s v="Friday"/>
    <x v="31"/>
    <d v="2026-08-31T00:00:00"/>
    <s v="Summer"/>
    <x v="4"/>
    <x v="1"/>
    <s v="2 Hours"/>
    <n v="1"/>
    <n v="42.56"/>
    <s v="None"/>
    <n v="0"/>
    <n v="4.26"/>
    <n v="38.299999999999997"/>
    <x v="2"/>
    <x v="4"/>
    <s v="Debit Card"/>
    <s v="Sunny"/>
  </r>
  <r>
    <s v="WSR-2026-1892"/>
    <d v="2026-08-07T00:00:00"/>
    <x v="7"/>
    <x v="7"/>
    <s v="Friday"/>
    <x v="31"/>
    <d v="2026-08-31T00:00:00"/>
    <s v="Summer"/>
    <x v="2"/>
    <x v="5"/>
    <s v="Half Day"/>
    <n v="1"/>
    <n v="69.44"/>
    <s v="None"/>
    <n v="0"/>
    <n v="0"/>
    <n v="69.44"/>
    <x v="6"/>
    <x v="3"/>
    <s v="Mobile Pay"/>
    <s v="Cloudy"/>
  </r>
  <r>
    <s v="WSR-2026-1893"/>
    <d v="2026-08-07T00:00:00"/>
    <x v="7"/>
    <x v="7"/>
    <s v="Friday"/>
    <x v="31"/>
    <d v="2026-08-31T00:00:00"/>
    <s v="Summer"/>
    <x v="2"/>
    <x v="5"/>
    <s v="2 Hours"/>
    <n v="1"/>
    <n v="47.04"/>
    <s v="Cooler Rental"/>
    <n v="10"/>
    <n v="0"/>
    <n v="57.04"/>
    <x v="3"/>
    <x v="4"/>
    <s v="Cash"/>
    <s v="Sunny"/>
  </r>
  <r>
    <s v="WSR-2026-1894"/>
    <d v="2026-08-07T00:00:00"/>
    <x v="7"/>
    <x v="7"/>
    <s v="Friday"/>
    <x v="31"/>
    <d v="2026-08-31T00:00:00"/>
    <s v="Summer"/>
    <x v="2"/>
    <x v="3"/>
    <s v="2 Hours"/>
    <n v="1"/>
    <n v="40.32"/>
    <s v="None"/>
    <n v="0"/>
    <n v="0"/>
    <n v="40.32"/>
    <x v="5"/>
    <x v="3"/>
    <s v="Credit Card"/>
    <s v="Sunny"/>
  </r>
  <r>
    <s v="WSR-2026-1895"/>
    <d v="2026-08-07T00:00:00"/>
    <x v="7"/>
    <x v="7"/>
    <s v="Friday"/>
    <x v="31"/>
    <d v="2026-08-31T00:00:00"/>
    <s v="Summer"/>
    <x v="3"/>
    <x v="8"/>
    <s v="Full Day"/>
    <n v="1"/>
    <n v="38.08"/>
    <s v="None"/>
    <n v="0"/>
    <n v="0"/>
    <n v="38.08"/>
    <x v="4"/>
    <x v="1"/>
    <s v="Credit Card"/>
    <s v="Sunny"/>
  </r>
  <r>
    <s v="WSR-2026-1896"/>
    <d v="2026-08-07T00:00:00"/>
    <x v="7"/>
    <x v="7"/>
    <s v="Friday"/>
    <x v="31"/>
    <d v="2026-08-31T00:00:00"/>
    <s v="Summer"/>
    <x v="3"/>
    <x v="4"/>
    <s v="2 Hours"/>
    <n v="1"/>
    <n v="20.16"/>
    <s v="None"/>
    <n v="0"/>
    <n v="0"/>
    <n v="20.16"/>
    <x v="7"/>
    <x v="4"/>
    <s v="Mobile Pay"/>
    <s v="Sunny"/>
  </r>
  <r>
    <s v="WSR-2026-1897"/>
    <d v="2026-08-07T00:00:00"/>
    <x v="7"/>
    <x v="7"/>
    <s v="Friday"/>
    <x v="31"/>
    <d v="2026-08-31T00:00:00"/>
    <s v="Summer"/>
    <x v="3"/>
    <x v="4"/>
    <s v="1 Hour"/>
    <n v="1"/>
    <n v="13.44"/>
    <s v="GoPro Mount"/>
    <n v="8"/>
    <n v="1.07"/>
    <n v="20.37"/>
    <x v="9"/>
    <x v="0"/>
    <s v="Cash"/>
    <s v="Sunny"/>
  </r>
  <r>
    <s v="WSR-2026-1898"/>
    <d v="2026-08-07T00:00:00"/>
    <x v="7"/>
    <x v="7"/>
    <s v="Friday"/>
    <x v="31"/>
    <d v="2026-08-31T00:00:00"/>
    <s v="Summer"/>
    <x v="2"/>
    <x v="1"/>
    <s v="1 Hour"/>
    <n v="1"/>
    <n v="26.88"/>
    <s v="Dry Bag"/>
    <n v="6"/>
    <n v="0"/>
    <n v="32.880000000000003"/>
    <x v="1"/>
    <x v="1"/>
    <s v="Debit Card"/>
    <s v="Sunny"/>
  </r>
  <r>
    <s v="WSR-2026-1899"/>
    <d v="2026-08-07T00:00:00"/>
    <x v="7"/>
    <x v="7"/>
    <s v="Friday"/>
    <x v="31"/>
    <d v="2026-08-31T00:00:00"/>
    <s v="Summer"/>
    <x v="3"/>
    <x v="1"/>
    <s v="2 Hours"/>
    <n v="1"/>
    <n v="42.56"/>
    <s v="None"/>
    <n v="0"/>
    <n v="0"/>
    <n v="42.56"/>
    <x v="7"/>
    <x v="3"/>
    <s v="Mobile Pay"/>
    <s v="Sunny"/>
  </r>
  <r>
    <s v="WSR-2026-1900"/>
    <d v="2026-08-07T00:00:00"/>
    <x v="7"/>
    <x v="7"/>
    <s v="Friday"/>
    <x v="31"/>
    <d v="2026-08-31T00:00:00"/>
    <s v="Summer"/>
    <x v="2"/>
    <x v="1"/>
    <s v="1 Hour"/>
    <n v="1"/>
    <n v="26.88"/>
    <s v="Dry Bag"/>
    <n v="6"/>
    <n v="0"/>
    <n v="32.880000000000003"/>
    <x v="5"/>
    <x v="4"/>
    <s v="Credit Card"/>
    <s v="Cloudy"/>
  </r>
  <r>
    <s v="WSR-2026-1901"/>
    <d v="2026-08-07T00:00:00"/>
    <x v="7"/>
    <x v="7"/>
    <s v="Friday"/>
    <x v="31"/>
    <d v="2026-08-31T00:00:00"/>
    <s v="Summer"/>
    <x v="0"/>
    <x v="1"/>
    <s v="Half Day"/>
    <n v="1"/>
    <n v="64.959999999999994"/>
    <s v="Premium Life Jacket"/>
    <n v="7"/>
    <n v="0"/>
    <n v="71.959999999999994"/>
    <x v="4"/>
    <x v="0"/>
    <s v="Credit Card"/>
    <s v="Sunny"/>
  </r>
  <r>
    <s v="WSR-2026-1902"/>
    <d v="2026-08-07T00:00:00"/>
    <x v="7"/>
    <x v="7"/>
    <s v="Friday"/>
    <x v="31"/>
    <d v="2026-08-31T00:00:00"/>
    <s v="Summer"/>
    <x v="3"/>
    <x v="2"/>
    <s v="Half Day"/>
    <n v="1"/>
    <n v="87.36"/>
    <s v="Cooler Rental"/>
    <n v="10"/>
    <n v="0"/>
    <n v="97.36"/>
    <x v="9"/>
    <x v="0"/>
    <s v="Debit Card"/>
    <s v="Windy"/>
  </r>
  <r>
    <s v="WSR-2026-1903"/>
    <d v="2026-08-08T00:00:00"/>
    <x v="7"/>
    <x v="7"/>
    <s v="Saturday"/>
    <x v="31"/>
    <d v="2026-08-31T00:00:00"/>
    <s v="Summer"/>
    <x v="3"/>
    <x v="5"/>
    <s v="Half Day"/>
    <n v="1"/>
    <n v="74.400000000000006"/>
    <s v="None"/>
    <n v="0"/>
    <n v="0"/>
    <n v="74.400000000000006"/>
    <x v="8"/>
    <x v="3"/>
    <s v="Credit Card"/>
    <s v="Rainy"/>
  </r>
  <r>
    <s v="WSR-2026-1904"/>
    <d v="2026-08-08T00:00:00"/>
    <x v="7"/>
    <x v="7"/>
    <s v="Saturday"/>
    <x v="31"/>
    <d v="2026-08-31T00:00:00"/>
    <s v="Summer"/>
    <x v="0"/>
    <x v="2"/>
    <s v="1 Hour"/>
    <n v="1"/>
    <n v="40.799999999999997"/>
    <s v="None"/>
    <n v="0"/>
    <n v="0"/>
    <n v="40.799999999999997"/>
    <x v="0"/>
    <x v="3"/>
    <s v="Debit Card"/>
    <s v="Windy"/>
  </r>
  <r>
    <s v="WSR-2026-1905"/>
    <d v="2026-08-08T00:00:00"/>
    <x v="7"/>
    <x v="7"/>
    <s v="Saturday"/>
    <x v="31"/>
    <d v="2026-08-31T00:00:00"/>
    <s v="Summer"/>
    <x v="3"/>
    <x v="1"/>
    <s v="Half Day"/>
    <n v="1"/>
    <n v="69.599999999999994"/>
    <s v="None"/>
    <n v="0"/>
    <n v="0"/>
    <n v="69.599999999999994"/>
    <x v="6"/>
    <x v="1"/>
    <s v="Credit Card"/>
    <s v="Sunny"/>
  </r>
  <r>
    <s v="WSR-2026-1906"/>
    <d v="2026-08-08T00:00:00"/>
    <x v="7"/>
    <x v="7"/>
    <s v="Saturday"/>
    <x v="31"/>
    <d v="2026-08-31T00:00:00"/>
    <s v="Summer"/>
    <x v="1"/>
    <x v="5"/>
    <s v="1 Hour"/>
    <n v="1"/>
    <n v="31.2"/>
    <s v="GoPro Mount"/>
    <n v="8"/>
    <n v="3.92"/>
    <n v="35.28"/>
    <x v="9"/>
    <x v="1"/>
    <s v="Mobile Pay"/>
    <s v="Sunny"/>
  </r>
  <r>
    <s v="WSR-2026-1907"/>
    <d v="2026-08-08T00:00:00"/>
    <x v="7"/>
    <x v="7"/>
    <s v="Saturday"/>
    <x v="31"/>
    <d v="2026-08-31T00:00:00"/>
    <s v="Summer"/>
    <x v="4"/>
    <x v="6"/>
    <s v="1 Hour"/>
    <n v="1"/>
    <n v="43.2"/>
    <s v="None"/>
    <n v="0"/>
    <n v="4.32"/>
    <n v="38.880000000000003"/>
    <x v="8"/>
    <x v="0"/>
    <s v="Credit Card"/>
    <s v="Sunny"/>
  </r>
  <r>
    <s v="WSR-2026-1908"/>
    <d v="2026-08-08T00:00:00"/>
    <x v="7"/>
    <x v="7"/>
    <s v="Saturday"/>
    <x v="31"/>
    <d v="2026-08-31T00:00:00"/>
    <s v="Summer"/>
    <x v="1"/>
    <x v="6"/>
    <s v="2 Hours"/>
    <n v="1"/>
    <n v="69.599999999999994"/>
    <s v="None"/>
    <n v="0"/>
    <n v="3.48"/>
    <n v="66.12"/>
    <x v="6"/>
    <x v="1"/>
    <s v="Credit Card"/>
    <s v="Windy"/>
  </r>
  <r>
    <s v="WSR-2026-1909"/>
    <d v="2026-08-08T00:00:00"/>
    <x v="7"/>
    <x v="7"/>
    <s v="Saturday"/>
    <x v="31"/>
    <d v="2026-08-31T00:00:00"/>
    <s v="Summer"/>
    <x v="3"/>
    <x v="2"/>
    <s v="2 Hours"/>
    <n v="1"/>
    <n v="62.4"/>
    <s v="None"/>
    <n v="0"/>
    <n v="0"/>
    <n v="62.4"/>
    <x v="4"/>
    <x v="3"/>
    <s v="Debit Card"/>
    <s v="Cloudy"/>
  </r>
  <r>
    <s v="WSR-2026-1910"/>
    <d v="2026-08-08T00:00:00"/>
    <x v="7"/>
    <x v="7"/>
    <s v="Saturday"/>
    <x v="31"/>
    <d v="2026-08-31T00:00:00"/>
    <s v="Summer"/>
    <x v="3"/>
    <x v="5"/>
    <s v="1 Hour"/>
    <n v="1"/>
    <n v="31.2"/>
    <s v="None"/>
    <n v="0"/>
    <n v="0"/>
    <n v="31.2"/>
    <x v="8"/>
    <x v="4"/>
    <s v="Credit Card"/>
    <s v="Sunny"/>
  </r>
  <r>
    <s v="WSR-2026-1911"/>
    <d v="2026-08-08T00:00:00"/>
    <x v="7"/>
    <x v="7"/>
    <s v="Saturday"/>
    <x v="31"/>
    <d v="2026-08-31T00:00:00"/>
    <s v="Summer"/>
    <x v="2"/>
    <x v="5"/>
    <s v="2 Hours"/>
    <n v="1"/>
    <n v="50.4"/>
    <s v="GoPro Mount"/>
    <n v="8"/>
    <n v="0"/>
    <n v="58.4"/>
    <x v="0"/>
    <x v="2"/>
    <s v="Mobile Pay"/>
    <s v="Sunny"/>
  </r>
  <r>
    <s v="WSR-2026-1912"/>
    <d v="2026-08-08T00:00:00"/>
    <x v="7"/>
    <x v="7"/>
    <s v="Saturday"/>
    <x v="31"/>
    <d v="2026-08-31T00:00:00"/>
    <s v="Summer"/>
    <x v="4"/>
    <x v="6"/>
    <s v="2 Hours"/>
    <n v="1"/>
    <n v="69.599999999999994"/>
    <s v="None"/>
    <n v="0"/>
    <n v="10.44"/>
    <n v="59.16"/>
    <x v="7"/>
    <x v="3"/>
    <s v="Credit Card"/>
    <s v="Sunny"/>
  </r>
  <r>
    <s v="WSR-2026-1913"/>
    <d v="2026-08-08T00:00:00"/>
    <x v="7"/>
    <x v="7"/>
    <s v="Saturday"/>
    <x v="31"/>
    <d v="2026-08-31T00:00:00"/>
    <s v="Summer"/>
    <x v="2"/>
    <x v="2"/>
    <s v="2 Hours"/>
    <n v="1"/>
    <n v="62.4"/>
    <s v="Cooler Rental"/>
    <n v="10"/>
    <n v="0"/>
    <n v="72.400000000000006"/>
    <x v="5"/>
    <x v="0"/>
    <s v="Debit Card"/>
    <s v="Sunny"/>
  </r>
  <r>
    <s v="WSR-2026-1914"/>
    <d v="2026-08-08T00:00:00"/>
    <x v="7"/>
    <x v="7"/>
    <s v="Saturday"/>
    <x v="31"/>
    <d v="2026-08-31T00:00:00"/>
    <s v="Summer"/>
    <x v="2"/>
    <x v="7"/>
    <s v="2 Hours"/>
    <n v="1"/>
    <n v="26.4"/>
    <s v="Cooler Rental"/>
    <n v="10"/>
    <n v="0"/>
    <n v="36.4"/>
    <x v="5"/>
    <x v="0"/>
    <s v="Debit Card"/>
    <s v="Sunny"/>
  </r>
  <r>
    <s v="WSR-2026-1915"/>
    <d v="2026-08-08T00:00:00"/>
    <x v="7"/>
    <x v="7"/>
    <s v="Saturday"/>
    <x v="31"/>
    <d v="2026-08-31T00:00:00"/>
    <s v="Summer"/>
    <x v="1"/>
    <x v="4"/>
    <s v="1 Hour"/>
    <n v="1"/>
    <n v="14.4"/>
    <s v="Premium Life Jacket"/>
    <n v="7"/>
    <n v="0"/>
    <n v="21.4"/>
    <x v="6"/>
    <x v="1"/>
    <s v="Credit Card"/>
    <s v="Sunny"/>
  </r>
  <r>
    <s v="WSR-2026-1916"/>
    <d v="2026-08-08T00:00:00"/>
    <x v="7"/>
    <x v="7"/>
    <s v="Saturday"/>
    <x v="31"/>
    <d v="2026-08-31T00:00:00"/>
    <s v="Summer"/>
    <x v="0"/>
    <x v="8"/>
    <s v="2 Hours"/>
    <n v="1"/>
    <n v="19.2"/>
    <s v="Dry Bag"/>
    <n v="6"/>
    <n v="0"/>
    <n v="25.2"/>
    <x v="3"/>
    <x v="4"/>
    <s v="Credit Card"/>
    <s v="Cloudy"/>
  </r>
  <r>
    <s v="WSR-2026-1917"/>
    <d v="2026-08-08T00:00:00"/>
    <x v="7"/>
    <x v="7"/>
    <s v="Saturday"/>
    <x v="31"/>
    <d v="2026-08-31T00:00:00"/>
    <s v="Summer"/>
    <x v="2"/>
    <x v="7"/>
    <s v="2 Hours"/>
    <n v="1"/>
    <n v="26.4"/>
    <s v="Phone Pouch"/>
    <n v="5"/>
    <n v="0"/>
    <n v="31.4"/>
    <x v="0"/>
    <x v="0"/>
    <s v="Debit Card"/>
    <s v="Windy"/>
  </r>
  <r>
    <s v="WSR-2026-1918"/>
    <d v="2026-08-08T00:00:00"/>
    <x v="7"/>
    <x v="7"/>
    <s v="Saturday"/>
    <x v="31"/>
    <d v="2026-08-31T00:00:00"/>
    <s v="Summer"/>
    <x v="3"/>
    <x v="8"/>
    <s v="1 Hour"/>
    <n v="1"/>
    <n v="12"/>
    <s v="None"/>
    <n v="0"/>
    <n v="0"/>
    <n v="12"/>
    <x v="3"/>
    <x v="2"/>
    <s v="Credit Card"/>
    <s v="Sunny"/>
  </r>
  <r>
    <s v="WSR-2026-1919"/>
    <d v="2026-08-08T00:00:00"/>
    <x v="7"/>
    <x v="7"/>
    <s v="Saturday"/>
    <x v="31"/>
    <d v="2026-08-31T00:00:00"/>
    <s v="Summer"/>
    <x v="2"/>
    <x v="0"/>
    <s v="1 Hour"/>
    <n v="1"/>
    <n v="38.4"/>
    <s v="Premium Life Jacket"/>
    <n v="7"/>
    <n v="0"/>
    <n v="45.4"/>
    <x v="8"/>
    <x v="0"/>
    <s v="Mobile Pay"/>
    <s v="Sunny"/>
  </r>
  <r>
    <s v="WSR-2026-1920"/>
    <d v="2026-08-08T00:00:00"/>
    <x v="7"/>
    <x v="7"/>
    <s v="Saturday"/>
    <x v="31"/>
    <d v="2026-08-31T00:00:00"/>
    <s v="Summer"/>
    <x v="0"/>
    <x v="6"/>
    <s v="Half Day"/>
    <n v="1"/>
    <n v="103.2"/>
    <s v="Phone Pouch"/>
    <n v="5"/>
    <n v="0"/>
    <n v="108.2"/>
    <x v="1"/>
    <x v="0"/>
    <s v="Debit Card"/>
    <s v="Sunny"/>
  </r>
  <r>
    <s v="WSR-2026-1921"/>
    <d v="2026-08-08T00:00:00"/>
    <x v="7"/>
    <x v="7"/>
    <s v="Saturday"/>
    <x v="31"/>
    <d v="2026-08-31T00:00:00"/>
    <s v="Summer"/>
    <x v="3"/>
    <x v="1"/>
    <s v="1 Hour"/>
    <n v="1"/>
    <n v="28.8"/>
    <s v="None"/>
    <n v="0"/>
    <n v="0"/>
    <n v="28.8"/>
    <x v="7"/>
    <x v="1"/>
    <s v="Cash"/>
    <s v="Sunny"/>
  </r>
  <r>
    <s v="WSR-2026-1922"/>
    <d v="2026-08-08T00:00:00"/>
    <x v="7"/>
    <x v="7"/>
    <s v="Saturday"/>
    <x v="31"/>
    <d v="2026-08-31T00:00:00"/>
    <s v="Summer"/>
    <x v="2"/>
    <x v="2"/>
    <s v="1 Hour"/>
    <n v="1"/>
    <n v="40.799999999999997"/>
    <s v="None"/>
    <n v="0"/>
    <n v="0"/>
    <n v="40.799999999999997"/>
    <x v="9"/>
    <x v="3"/>
    <s v="Gift Card"/>
    <s v="Sunny"/>
  </r>
  <r>
    <s v="WSR-2026-1923"/>
    <d v="2026-08-08T00:00:00"/>
    <x v="7"/>
    <x v="7"/>
    <s v="Saturday"/>
    <x v="31"/>
    <d v="2026-08-31T00:00:00"/>
    <s v="Summer"/>
    <x v="3"/>
    <x v="5"/>
    <s v="Half Day"/>
    <n v="1"/>
    <n v="74.400000000000006"/>
    <s v="Cooler Rental"/>
    <n v="10"/>
    <n v="0"/>
    <n v="84.4"/>
    <x v="3"/>
    <x v="0"/>
    <s v="Debit Card"/>
    <s v="Sunny"/>
  </r>
  <r>
    <s v="WSR-2026-1924"/>
    <d v="2026-08-08T00:00:00"/>
    <x v="7"/>
    <x v="7"/>
    <s v="Saturday"/>
    <x v="31"/>
    <d v="2026-08-31T00:00:00"/>
    <s v="Summer"/>
    <x v="1"/>
    <x v="2"/>
    <s v="Half Day"/>
    <n v="1"/>
    <n v="93.6"/>
    <s v="None"/>
    <n v="0"/>
    <n v="4.68"/>
    <n v="88.92"/>
    <x v="9"/>
    <x v="2"/>
    <s v="Debit Card"/>
    <s v="Cloudy"/>
  </r>
  <r>
    <s v="WSR-2026-1925"/>
    <d v="2026-08-08T00:00:00"/>
    <x v="7"/>
    <x v="7"/>
    <s v="Saturday"/>
    <x v="31"/>
    <d v="2026-08-31T00:00:00"/>
    <s v="Summer"/>
    <x v="4"/>
    <x v="3"/>
    <s v="2 Hours"/>
    <n v="1"/>
    <n v="43.2"/>
    <s v="None"/>
    <n v="0"/>
    <n v="4.32"/>
    <n v="38.880000000000003"/>
    <x v="1"/>
    <x v="0"/>
    <s v="Cash"/>
    <s v="Windy"/>
  </r>
  <r>
    <s v="WSR-2026-1926"/>
    <d v="2026-08-08T00:00:00"/>
    <x v="7"/>
    <x v="7"/>
    <s v="Saturday"/>
    <x v="31"/>
    <d v="2026-08-31T00:00:00"/>
    <s v="Summer"/>
    <x v="3"/>
    <x v="1"/>
    <s v="2 Hours"/>
    <n v="1"/>
    <n v="45.6"/>
    <s v="None"/>
    <n v="0"/>
    <n v="0"/>
    <n v="45.6"/>
    <x v="7"/>
    <x v="2"/>
    <s v="Credit Card"/>
    <s v="Sunny"/>
  </r>
  <r>
    <s v="WSR-2026-1927"/>
    <d v="2026-08-08T00:00:00"/>
    <x v="7"/>
    <x v="7"/>
    <s v="Saturday"/>
    <x v="31"/>
    <d v="2026-08-31T00:00:00"/>
    <s v="Summer"/>
    <x v="2"/>
    <x v="3"/>
    <s v="2 Hours"/>
    <n v="1"/>
    <n v="43.2"/>
    <s v="None"/>
    <n v="0"/>
    <n v="0"/>
    <n v="43.2"/>
    <x v="6"/>
    <x v="1"/>
    <s v="Cash"/>
    <s v="Cloudy"/>
  </r>
  <r>
    <s v="WSR-2026-1928"/>
    <d v="2026-08-08T00:00:00"/>
    <x v="7"/>
    <x v="7"/>
    <s v="Saturday"/>
    <x v="31"/>
    <d v="2026-08-31T00:00:00"/>
    <s v="Summer"/>
    <x v="2"/>
    <x v="5"/>
    <s v="1 Hour"/>
    <n v="1"/>
    <n v="31.2"/>
    <s v="None"/>
    <n v="0"/>
    <n v="0"/>
    <n v="31.2"/>
    <x v="2"/>
    <x v="0"/>
    <s v="Cash"/>
    <s v="Sunny"/>
  </r>
  <r>
    <s v="WSR-2026-1929"/>
    <d v="2026-08-08T00:00:00"/>
    <x v="7"/>
    <x v="7"/>
    <s v="Saturday"/>
    <x v="31"/>
    <d v="2026-08-31T00:00:00"/>
    <s v="Summer"/>
    <x v="2"/>
    <x v="5"/>
    <s v="1 Hour"/>
    <n v="1"/>
    <n v="31.2"/>
    <s v="None"/>
    <n v="0"/>
    <n v="1.56"/>
    <n v="29.64"/>
    <x v="4"/>
    <x v="3"/>
    <s v="Debit Card"/>
    <s v="Sunny"/>
  </r>
  <r>
    <s v="WSR-2026-1930"/>
    <d v="2026-08-08T00:00:00"/>
    <x v="7"/>
    <x v="7"/>
    <s v="Saturday"/>
    <x v="31"/>
    <d v="2026-08-31T00:00:00"/>
    <s v="Summer"/>
    <x v="2"/>
    <x v="9"/>
    <s v="Half Day"/>
    <n v="1"/>
    <n v="86.4"/>
    <s v="Premium Life Jacket"/>
    <n v="7"/>
    <n v="0"/>
    <n v="93.4"/>
    <x v="2"/>
    <x v="1"/>
    <s v="Credit Card"/>
    <s v="Sunny"/>
  </r>
  <r>
    <s v="WSR-2026-1931"/>
    <d v="2026-08-08T00:00:00"/>
    <x v="7"/>
    <x v="7"/>
    <s v="Saturday"/>
    <x v="31"/>
    <d v="2026-08-31T00:00:00"/>
    <s v="Summer"/>
    <x v="3"/>
    <x v="2"/>
    <s v="1 Hour"/>
    <n v="1"/>
    <n v="40.799999999999997"/>
    <s v="None"/>
    <n v="0"/>
    <n v="0"/>
    <n v="40.799999999999997"/>
    <x v="0"/>
    <x v="0"/>
    <s v="Debit Card"/>
    <s v="Sunny"/>
  </r>
  <r>
    <s v="WSR-2026-1932"/>
    <d v="2026-08-08T00:00:00"/>
    <x v="7"/>
    <x v="7"/>
    <s v="Saturday"/>
    <x v="31"/>
    <d v="2026-08-31T00:00:00"/>
    <s v="Summer"/>
    <x v="3"/>
    <x v="5"/>
    <s v="1 Hour"/>
    <n v="1"/>
    <n v="31.2"/>
    <s v="Dry Bag"/>
    <n v="6"/>
    <n v="0"/>
    <n v="37.200000000000003"/>
    <x v="7"/>
    <x v="4"/>
    <s v="Debit Card"/>
    <s v="Sunny"/>
  </r>
  <r>
    <s v="WSR-2026-1933"/>
    <d v="2026-08-08T00:00:00"/>
    <x v="7"/>
    <x v="7"/>
    <s v="Saturday"/>
    <x v="31"/>
    <d v="2026-08-31T00:00:00"/>
    <s v="Summer"/>
    <x v="2"/>
    <x v="1"/>
    <s v="2 Hours"/>
    <n v="1"/>
    <n v="45.6"/>
    <s v="Cooler Rental"/>
    <n v="10"/>
    <n v="0"/>
    <n v="55.6"/>
    <x v="2"/>
    <x v="4"/>
    <s v="Credit Card"/>
    <s v="Sunny"/>
  </r>
  <r>
    <s v="WSR-2026-1934"/>
    <d v="2026-08-08T00:00:00"/>
    <x v="7"/>
    <x v="7"/>
    <s v="Saturday"/>
    <x v="31"/>
    <d v="2026-08-31T00:00:00"/>
    <s v="Summer"/>
    <x v="3"/>
    <x v="3"/>
    <s v="2 Hours"/>
    <n v="1"/>
    <n v="43.2"/>
    <s v="None"/>
    <n v="0"/>
    <n v="0"/>
    <n v="43.2"/>
    <x v="0"/>
    <x v="2"/>
    <s v="Mobile Pay"/>
    <s v="Sunny"/>
  </r>
  <r>
    <s v="WSR-2026-1935"/>
    <d v="2026-08-08T00:00:00"/>
    <x v="7"/>
    <x v="7"/>
    <s v="Saturday"/>
    <x v="31"/>
    <d v="2026-08-31T00:00:00"/>
    <s v="Summer"/>
    <x v="2"/>
    <x v="3"/>
    <s v="Full Day"/>
    <n v="1"/>
    <n v="91.2"/>
    <s v="Phone Pouch"/>
    <n v="5"/>
    <n v="0"/>
    <n v="96.2"/>
    <x v="4"/>
    <x v="3"/>
    <s v="Credit Card"/>
    <s v="Sunny"/>
  </r>
  <r>
    <s v="WSR-2026-1936"/>
    <d v="2026-08-09T00:00:00"/>
    <x v="7"/>
    <x v="7"/>
    <s v="Sunday"/>
    <x v="32"/>
    <d v="2026-08-31T00:00:00"/>
    <s v="Summer"/>
    <x v="1"/>
    <x v="5"/>
    <s v="1 Hour"/>
    <n v="1"/>
    <n v="31.2"/>
    <s v="Phone Pouch"/>
    <n v="5"/>
    <n v="1.81"/>
    <n v="34.39"/>
    <x v="2"/>
    <x v="3"/>
    <s v="Gift Card"/>
    <s v="Sunny"/>
  </r>
  <r>
    <s v="WSR-2026-1937"/>
    <d v="2026-08-09T00:00:00"/>
    <x v="7"/>
    <x v="7"/>
    <s v="Sunday"/>
    <x v="32"/>
    <d v="2026-08-31T00:00:00"/>
    <s v="Summer"/>
    <x v="2"/>
    <x v="2"/>
    <s v="1 Hour"/>
    <n v="1"/>
    <n v="40.799999999999997"/>
    <s v="None"/>
    <n v="0"/>
    <n v="0"/>
    <n v="40.799999999999997"/>
    <x v="5"/>
    <x v="1"/>
    <s v="Debit Card"/>
    <s v="Windy"/>
  </r>
  <r>
    <s v="WSR-2026-1938"/>
    <d v="2026-08-09T00:00:00"/>
    <x v="7"/>
    <x v="7"/>
    <s v="Sunday"/>
    <x v="32"/>
    <d v="2026-08-31T00:00:00"/>
    <s v="Summer"/>
    <x v="3"/>
    <x v="3"/>
    <s v="1 Hour"/>
    <n v="1"/>
    <n v="26.4"/>
    <s v="None"/>
    <n v="0"/>
    <n v="0"/>
    <n v="26.4"/>
    <x v="6"/>
    <x v="3"/>
    <s v="Mobile Pay"/>
    <s v="Sunny"/>
  </r>
  <r>
    <s v="WSR-2026-1939"/>
    <d v="2026-08-09T00:00:00"/>
    <x v="7"/>
    <x v="7"/>
    <s v="Sunday"/>
    <x v="32"/>
    <d v="2026-08-31T00:00:00"/>
    <s v="Summer"/>
    <x v="3"/>
    <x v="2"/>
    <s v="1 Hour"/>
    <n v="1"/>
    <n v="40.799999999999997"/>
    <s v="Phone Pouch"/>
    <n v="5"/>
    <n v="0"/>
    <n v="45.8"/>
    <x v="2"/>
    <x v="4"/>
    <s v="Debit Card"/>
    <s v="Cloudy"/>
  </r>
  <r>
    <s v="WSR-2026-1940"/>
    <d v="2026-08-09T00:00:00"/>
    <x v="7"/>
    <x v="7"/>
    <s v="Sunday"/>
    <x v="32"/>
    <d v="2026-08-31T00:00:00"/>
    <s v="Summer"/>
    <x v="3"/>
    <x v="5"/>
    <s v="2 Hours"/>
    <n v="1"/>
    <n v="50.4"/>
    <s v="None"/>
    <n v="0"/>
    <n v="0"/>
    <n v="50.4"/>
    <x v="8"/>
    <x v="1"/>
    <s v="Credit Card"/>
    <s v="Cloudy"/>
  </r>
  <r>
    <s v="WSR-2026-1941"/>
    <d v="2026-08-09T00:00:00"/>
    <x v="7"/>
    <x v="7"/>
    <s v="Sunday"/>
    <x v="32"/>
    <d v="2026-08-31T00:00:00"/>
    <s v="Summer"/>
    <x v="2"/>
    <x v="2"/>
    <s v="Half Day"/>
    <n v="1"/>
    <n v="93.6"/>
    <s v="Cooler Rental"/>
    <n v="10"/>
    <n v="0"/>
    <n v="103.6"/>
    <x v="4"/>
    <x v="2"/>
    <s v="Credit Card"/>
    <s v="Sunny"/>
  </r>
  <r>
    <s v="WSR-2026-1942"/>
    <d v="2026-08-09T00:00:00"/>
    <x v="7"/>
    <x v="7"/>
    <s v="Sunday"/>
    <x v="32"/>
    <d v="2026-08-31T00:00:00"/>
    <s v="Summer"/>
    <x v="2"/>
    <x v="1"/>
    <s v="2 Hours"/>
    <n v="1"/>
    <n v="45.6"/>
    <s v="None"/>
    <n v="0"/>
    <n v="0"/>
    <n v="45.6"/>
    <x v="2"/>
    <x v="0"/>
    <s v="Debit Card"/>
    <s v="Sunny"/>
  </r>
  <r>
    <s v="WSR-2026-1943"/>
    <d v="2026-08-09T00:00:00"/>
    <x v="7"/>
    <x v="7"/>
    <s v="Sunday"/>
    <x v="32"/>
    <d v="2026-08-31T00:00:00"/>
    <s v="Summer"/>
    <x v="3"/>
    <x v="3"/>
    <s v="Full Day"/>
    <n v="1"/>
    <n v="91.2"/>
    <s v="None"/>
    <n v="0"/>
    <n v="0"/>
    <n v="91.2"/>
    <x v="4"/>
    <x v="3"/>
    <s v="Credit Card"/>
    <s v="Sunny"/>
  </r>
  <r>
    <s v="WSR-2026-1944"/>
    <d v="2026-08-09T00:00:00"/>
    <x v="7"/>
    <x v="7"/>
    <s v="Sunday"/>
    <x v="32"/>
    <d v="2026-08-31T00:00:00"/>
    <s v="Summer"/>
    <x v="2"/>
    <x v="9"/>
    <s v="2 Hours"/>
    <n v="1"/>
    <n v="57.6"/>
    <s v="None"/>
    <n v="0"/>
    <n v="0"/>
    <n v="57.6"/>
    <x v="5"/>
    <x v="4"/>
    <s v="Mobile Pay"/>
    <s v="Sunny"/>
  </r>
  <r>
    <s v="WSR-2026-1945"/>
    <d v="2026-08-09T00:00:00"/>
    <x v="7"/>
    <x v="7"/>
    <s v="Sunday"/>
    <x v="32"/>
    <d v="2026-08-31T00:00:00"/>
    <s v="Summer"/>
    <x v="3"/>
    <x v="3"/>
    <s v="Half Day"/>
    <n v="1"/>
    <n v="64.8"/>
    <s v="Cooler Rental"/>
    <n v="10"/>
    <n v="0"/>
    <n v="74.8"/>
    <x v="6"/>
    <x v="3"/>
    <s v="Cash"/>
    <s v="Sunny"/>
  </r>
  <r>
    <s v="WSR-2026-1946"/>
    <d v="2026-08-09T00:00:00"/>
    <x v="7"/>
    <x v="7"/>
    <s v="Sunday"/>
    <x v="32"/>
    <d v="2026-08-31T00:00:00"/>
    <s v="Summer"/>
    <x v="3"/>
    <x v="8"/>
    <s v="Full Day"/>
    <n v="1"/>
    <n v="40.799999999999997"/>
    <s v="None"/>
    <n v="0"/>
    <n v="0"/>
    <n v="40.799999999999997"/>
    <x v="5"/>
    <x v="4"/>
    <s v="Debit Card"/>
    <s v="Cloudy"/>
  </r>
  <r>
    <s v="WSR-2026-1947"/>
    <d v="2026-08-09T00:00:00"/>
    <x v="7"/>
    <x v="7"/>
    <s v="Sunday"/>
    <x v="32"/>
    <d v="2026-08-31T00:00:00"/>
    <s v="Summer"/>
    <x v="0"/>
    <x v="5"/>
    <s v="Half Day"/>
    <n v="1"/>
    <n v="74.400000000000006"/>
    <s v="Waterproof Speaker"/>
    <n v="12"/>
    <n v="0"/>
    <n v="86.4"/>
    <x v="5"/>
    <x v="2"/>
    <s v="Credit Card"/>
    <s v="Cloudy"/>
  </r>
  <r>
    <s v="WSR-2026-1948"/>
    <d v="2026-08-09T00:00:00"/>
    <x v="7"/>
    <x v="7"/>
    <s v="Sunday"/>
    <x v="32"/>
    <d v="2026-08-31T00:00:00"/>
    <s v="Summer"/>
    <x v="1"/>
    <x v="0"/>
    <s v="Half Day"/>
    <n v="1"/>
    <n v="91.2"/>
    <s v="None"/>
    <n v="0"/>
    <n v="0"/>
    <n v="91.2"/>
    <x v="4"/>
    <x v="4"/>
    <s v="Mobile Pay"/>
    <s v="Sunny"/>
  </r>
  <r>
    <s v="WSR-2026-1949"/>
    <d v="2026-08-09T00:00:00"/>
    <x v="7"/>
    <x v="7"/>
    <s v="Sunday"/>
    <x v="32"/>
    <d v="2026-08-31T00:00:00"/>
    <s v="Summer"/>
    <x v="3"/>
    <x v="0"/>
    <s v="2 Hours"/>
    <n v="1"/>
    <n v="60"/>
    <s v="None"/>
    <n v="0"/>
    <n v="0"/>
    <n v="60"/>
    <x v="4"/>
    <x v="0"/>
    <s v="Cash"/>
    <s v="Sunny"/>
  </r>
  <r>
    <s v="WSR-2026-1950"/>
    <d v="2026-08-09T00:00:00"/>
    <x v="7"/>
    <x v="7"/>
    <s v="Sunday"/>
    <x v="32"/>
    <d v="2026-08-31T00:00:00"/>
    <s v="Summer"/>
    <x v="2"/>
    <x v="2"/>
    <s v="2 Hours"/>
    <n v="1"/>
    <n v="62.4"/>
    <s v="Premium Life Jacket"/>
    <n v="7"/>
    <n v="3.47"/>
    <n v="65.930000000000007"/>
    <x v="9"/>
    <x v="0"/>
    <s v="Credit Card"/>
    <s v="Sunny"/>
  </r>
  <r>
    <s v="WSR-2026-1951"/>
    <d v="2026-08-09T00:00:00"/>
    <x v="7"/>
    <x v="7"/>
    <s v="Sunday"/>
    <x v="32"/>
    <d v="2026-08-31T00:00:00"/>
    <s v="Summer"/>
    <x v="1"/>
    <x v="5"/>
    <s v="Half Day"/>
    <n v="1"/>
    <n v="74.400000000000006"/>
    <s v="Dry Bag"/>
    <n v="6"/>
    <n v="0"/>
    <n v="80.400000000000006"/>
    <x v="8"/>
    <x v="2"/>
    <s v="Cash"/>
    <s v="Sunny"/>
  </r>
  <r>
    <s v="WSR-2026-1952"/>
    <d v="2026-08-09T00:00:00"/>
    <x v="7"/>
    <x v="7"/>
    <s v="Sunday"/>
    <x v="32"/>
    <d v="2026-08-31T00:00:00"/>
    <s v="Summer"/>
    <x v="0"/>
    <x v="5"/>
    <s v="1 Hour"/>
    <n v="1"/>
    <n v="31.2"/>
    <s v="None"/>
    <n v="0"/>
    <n v="0"/>
    <n v="31.2"/>
    <x v="4"/>
    <x v="3"/>
    <s v="Credit Card"/>
    <s v="Sunny"/>
  </r>
  <r>
    <s v="WSR-2026-1953"/>
    <d v="2026-08-09T00:00:00"/>
    <x v="7"/>
    <x v="7"/>
    <s v="Sunday"/>
    <x v="32"/>
    <d v="2026-08-31T00:00:00"/>
    <s v="Summer"/>
    <x v="4"/>
    <x v="5"/>
    <s v="1 Hour"/>
    <n v="1"/>
    <n v="31.2"/>
    <s v="Dry Bag"/>
    <n v="6"/>
    <n v="5.58"/>
    <n v="31.62"/>
    <x v="5"/>
    <x v="4"/>
    <s v="Cash"/>
    <s v="Sunny"/>
  </r>
  <r>
    <s v="WSR-2026-1954"/>
    <d v="2026-08-09T00:00:00"/>
    <x v="7"/>
    <x v="7"/>
    <s v="Sunday"/>
    <x v="32"/>
    <d v="2026-08-31T00:00:00"/>
    <s v="Summer"/>
    <x v="2"/>
    <x v="3"/>
    <s v="Half Day"/>
    <n v="1"/>
    <n v="64.8"/>
    <s v="None"/>
    <n v="0"/>
    <n v="0"/>
    <n v="64.8"/>
    <x v="9"/>
    <x v="2"/>
    <s v="Debit Card"/>
    <s v="Sunny"/>
  </r>
  <r>
    <s v="WSR-2026-1955"/>
    <d v="2026-08-09T00:00:00"/>
    <x v="7"/>
    <x v="7"/>
    <s v="Sunday"/>
    <x v="32"/>
    <d v="2026-08-31T00:00:00"/>
    <s v="Summer"/>
    <x v="3"/>
    <x v="4"/>
    <s v="2 Hours"/>
    <n v="1"/>
    <n v="21.6"/>
    <s v="Phone Pouch"/>
    <n v="5"/>
    <n v="0"/>
    <n v="26.6"/>
    <x v="1"/>
    <x v="0"/>
    <s v="Cash"/>
    <s v="Sunny"/>
  </r>
  <r>
    <s v="WSR-2026-1956"/>
    <d v="2026-08-09T00:00:00"/>
    <x v="7"/>
    <x v="7"/>
    <s v="Sunday"/>
    <x v="32"/>
    <d v="2026-08-31T00:00:00"/>
    <s v="Summer"/>
    <x v="2"/>
    <x v="5"/>
    <s v="2 Hours"/>
    <n v="1"/>
    <n v="50.4"/>
    <s v="Cooler Rental"/>
    <n v="10"/>
    <n v="0"/>
    <n v="60.4"/>
    <x v="1"/>
    <x v="1"/>
    <s v="Debit Card"/>
    <s v="Cloudy"/>
  </r>
  <r>
    <s v="WSR-2026-1957"/>
    <d v="2026-08-09T00:00:00"/>
    <x v="7"/>
    <x v="7"/>
    <s v="Sunday"/>
    <x v="32"/>
    <d v="2026-08-31T00:00:00"/>
    <s v="Summer"/>
    <x v="3"/>
    <x v="1"/>
    <s v="1 Hour"/>
    <n v="1"/>
    <n v="28.8"/>
    <s v="None"/>
    <n v="0"/>
    <n v="0"/>
    <n v="28.8"/>
    <x v="0"/>
    <x v="0"/>
    <s v="Mobile Pay"/>
    <s v="Sunny"/>
  </r>
  <r>
    <s v="WSR-2026-1958"/>
    <d v="2026-08-09T00:00:00"/>
    <x v="7"/>
    <x v="7"/>
    <s v="Sunday"/>
    <x v="32"/>
    <d v="2026-08-31T00:00:00"/>
    <s v="Summer"/>
    <x v="2"/>
    <x v="1"/>
    <s v="1 Hour"/>
    <n v="1"/>
    <n v="28.8"/>
    <s v="None"/>
    <n v="0"/>
    <n v="0"/>
    <n v="28.8"/>
    <x v="6"/>
    <x v="0"/>
    <s v="Mobile Pay"/>
    <s v="Sunny"/>
  </r>
  <r>
    <s v="WSR-2026-1959"/>
    <d v="2026-08-09T00:00:00"/>
    <x v="7"/>
    <x v="7"/>
    <s v="Sunday"/>
    <x v="32"/>
    <d v="2026-08-31T00:00:00"/>
    <s v="Summer"/>
    <x v="3"/>
    <x v="1"/>
    <s v="Full Day"/>
    <n v="1"/>
    <n v="100.8"/>
    <s v="None"/>
    <n v="0"/>
    <n v="0"/>
    <n v="100.8"/>
    <x v="9"/>
    <x v="0"/>
    <s v="Credit Card"/>
    <s v="Windy"/>
  </r>
  <r>
    <s v="WSR-2026-1960"/>
    <d v="2026-08-09T00:00:00"/>
    <x v="7"/>
    <x v="7"/>
    <s v="Sunday"/>
    <x v="32"/>
    <d v="2026-08-31T00:00:00"/>
    <s v="Summer"/>
    <x v="3"/>
    <x v="1"/>
    <s v="Half Day"/>
    <n v="1"/>
    <n v="69.599999999999994"/>
    <s v="None"/>
    <n v="0"/>
    <n v="0"/>
    <n v="69.599999999999994"/>
    <x v="8"/>
    <x v="1"/>
    <s v="Credit Card"/>
    <s v="Sunny"/>
  </r>
  <r>
    <s v="WSR-2026-1961"/>
    <d v="2026-08-09T00:00:00"/>
    <x v="7"/>
    <x v="7"/>
    <s v="Sunday"/>
    <x v="32"/>
    <d v="2026-08-31T00:00:00"/>
    <s v="Summer"/>
    <x v="2"/>
    <x v="5"/>
    <s v="2 Hours"/>
    <n v="1"/>
    <n v="50.4"/>
    <s v="Phone Pouch"/>
    <n v="5"/>
    <n v="0"/>
    <n v="55.4"/>
    <x v="4"/>
    <x v="2"/>
    <s v="Credit Card"/>
    <s v="Sunny"/>
  </r>
  <r>
    <s v="WSR-2026-1962"/>
    <d v="2026-08-09T00:00:00"/>
    <x v="7"/>
    <x v="7"/>
    <s v="Sunday"/>
    <x v="32"/>
    <d v="2026-08-31T00:00:00"/>
    <s v="Summer"/>
    <x v="3"/>
    <x v="6"/>
    <s v="2 Hours"/>
    <n v="1"/>
    <n v="69.599999999999994"/>
    <s v="None"/>
    <n v="0"/>
    <n v="3.48"/>
    <n v="66.12"/>
    <x v="2"/>
    <x v="0"/>
    <s v="Debit Card"/>
    <s v="Sunny"/>
  </r>
  <r>
    <s v="WSR-2026-1963"/>
    <d v="2026-08-09T00:00:00"/>
    <x v="7"/>
    <x v="7"/>
    <s v="Sunday"/>
    <x v="32"/>
    <d v="2026-08-31T00:00:00"/>
    <s v="Summer"/>
    <x v="3"/>
    <x v="8"/>
    <s v="1 Hour"/>
    <n v="1"/>
    <n v="12"/>
    <s v="Premium Life Jacket"/>
    <n v="7"/>
    <n v="0"/>
    <n v="19"/>
    <x v="3"/>
    <x v="2"/>
    <s v="Mobile Pay"/>
    <s v="Sunny"/>
  </r>
  <r>
    <s v="WSR-2026-1964"/>
    <d v="2026-08-10T00:00:00"/>
    <x v="7"/>
    <x v="7"/>
    <s v="Monday"/>
    <x v="32"/>
    <d v="2026-08-31T00:00:00"/>
    <s v="Summer"/>
    <x v="2"/>
    <x v="4"/>
    <s v="Half Day"/>
    <n v="1"/>
    <n v="31.36"/>
    <s v="Waterproof Speaker"/>
    <n v="12"/>
    <n v="0"/>
    <n v="43.36"/>
    <x v="1"/>
    <x v="1"/>
    <s v="Credit Card"/>
    <s v="Sunny"/>
  </r>
  <r>
    <s v="WSR-2026-1965"/>
    <d v="2026-08-10T00:00:00"/>
    <x v="7"/>
    <x v="7"/>
    <s v="Monday"/>
    <x v="32"/>
    <d v="2026-08-31T00:00:00"/>
    <s v="Summer"/>
    <x v="2"/>
    <x v="5"/>
    <s v="1 Hour"/>
    <n v="1"/>
    <n v="29.12"/>
    <s v="None"/>
    <n v="0"/>
    <n v="0"/>
    <n v="29.12"/>
    <x v="4"/>
    <x v="1"/>
    <s v="Credit Card"/>
    <s v="Sunny"/>
  </r>
  <r>
    <s v="WSR-2026-1966"/>
    <d v="2026-08-10T00:00:00"/>
    <x v="7"/>
    <x v="7"/>
    <s v="Monday"/>
    <x v="32"/>
    <d v="2026-08-31T00:00:00"/>
    <s v="Summer"/>
    <x v="2"/>
    <x v="6"/>
    <s v="2 Hours"/>
    <n v="1"/>
    <n v="64.959999999999994"/>
    <s v="Waterproof Speaker"/>
    <n v="12"/>
    <n v="0"/>
    <n v="76.959999999999994"/>
    <x v="6"/>
    <x v="1"/>
    <s v="Debit Card"/>
    <s v="Sunny"/>
  </r>
  <r>
    <s v="WSR-2026-1967"/>
    <d v="2026-08-10T00:00:00"/>
    <x v="7"/>
    <x v="7"/>
    <s v="Monday"/>
    <x v="32"/>
    <d v="2026-08-31T00:00:00"/>
    <s v="Summer"/>
    <x v="3"/>
    <x v="5"/>
    <s v="Half Day"/>
    <n v="1"/>
    <n v="69.44"/>
    <s v="None"/>
    <n v="0"/>
    <n v="0"/>
    <n v="69.44"/>
    <x v="4"/>
    <x v="4"/>
    <s v="Mobile Pay"/>
    <s v="Sunny"/>
  </r>
  <r>
    <s v="WSR-2026-1968"/>
    <d v="2026-08-10T00:00:00"/>
    <x v="7"/>
    <x v="7"/>
    <s v="Monday"/>
    <x v="32"/>
    <d v="2026-08-31T00:00:00"/>
    <s v="Summer"/>
    <x v="2"/>
    <x v="2"/>
    <s v="2 Hours"/>
    <n v="1"/>
    <n v="58.24"/>
    <s v="Waterproof Speaker"/>
    <n v="12"/>
    <n v="0"/>
    <n v="70.239999999999995"/>
    <x v="5"/>
    <x v="2"/>
    <s v="Debit Card"/>
    <s v="Cloudy"/>
  </r>
  <r>
    <s v="WSR-2026-1969"/>
    <d v="2026-08-10T00:00:00"/>
    <x v="7"/>
    <x v="7"/>
    <s v="Monday"/>
    <x v="32"/>
    <d v="2026-08-31T00:00:00"/>
    <s v="Summer"/>
    <x v="0"/>
    <x v="5"/>
    <s v="2 Hours"/>
    <n v="1"/>
    <n v="47.04"/>
    <s v="None"/>
    <n v="0"/>
    <n v="0"/>
    <n v="47.04"/>
    <x v="4"/>
    <x v="3"/>
    <s v="Mobile Pay"/>
    <s v="Sunny"/>
  </r>
  <r>
    <s v="WSR-2026-1970"/>
    <d v="2026-08-10T00:00:00"/>
    <x v="7"/>
    <x v="7"/>
    <s v="Monday"/>
    <x v="32"/>
    <d v="2026-08-31T00:00:00"/>
    <s v="Summer"/>
    <x v="3"/>
    <x v="1"/>
    <s v="1 Hour"/>
    <n v="1"/>
    <n v="26.88"/>
    <s v="None"/>
    <n v="0"/>
    <n v="0"/>
    <n v="26.88"/>
    <x v="3"/>
    <x v="0"/>
    <s v="Credit Card"/>
    <s v="Sunny"/>
  </r>
  <r>
    <s v="WSR-2026-1971"/>
    <d v="2026-08-10T00:00:00"/>
    <x v="7"/>
    <x v="7"/>
    <s v="Monday"/>
    <x v="32"/>
    <d v="2026-08-31T00:00:00"/>
    <s v="Summer"/>
    <x v="3"/>
    <x v="2"/>
    <s v="Half Day"/>
    <n v="1"/>
    <n v="87.36"/>
    <s v="Dry Bag"/>
    <n v="6"/>
    <n v="0"/>
    <n v="93.36"/>
    <x v="3"/>
    <x v="1"/>
    <s v="Debit Card"/>
    <s v="Sunny"/>
  </r>
  <r>
    <s v="WSR-2026-1972"/>
    <d v="2026-08-10T00:00:00"/>
    <x v="7"/>
    <x v="7"/>
    <s v="Monday"/>
    <x v="32"/>
    <d v="2026-08-31T00:00:00"/>
    <s v="Summer"/>
    <x v="3"/>
    <x v="0"/>
    <s v="2 Hours"/>
    <n v="1"/>
    <n v="56"/>
    <s v="None"/>
    <n v="0"/>
    <n v="0"/>
    <n v="56"/>
    <x v="9"/>
    <x v="0"/>
    <s v="Mobile Pay"/>
    <s v="Sunny"/>
  </r>
  <r>
    <s v="WSR-2026-1973"/>
    <d v="2026-08-10T00:00:00"/>
    <x v="7"/>
    <x v="7"/>
    <s v="Monday"/>
    <x v="32"/>
    <d v="2026-08-31T00:00:00"/>
    <s v="Summer"/>
    <x v="0"/>
    <x v="1"/>
    <s v="2 Hours"/>
    <n v="1"/>
    <n v="42.56"/>
    <s v="None"/>
    <n v="0"/>
    <n v="0"/>
    <n v="42.56"/>
    <x v="3"/>
    <x v="3"/>
    <s v="Cash"/>
    <s v="Sunny"/>
  </r>
  <r>
    <s v="WSR-2026-1974"/>
    <d v="2026-08-10T00:00:00"/>
    <x v="7"/>
    <x v="7"/>
    <s v="Monday"/>
    <x v="32"/>
    <d v="2026-08-31T00:00:00"/>
    <s v="Summer"/>
    <x v="3"/>
    <x v="4"/>
    <s v="Full Day"/>
    <n v="1"/>
    <n v="44.8"/>
    <s v="Dry Bag"/>
    <n v="6"/>
    <n v="0"/>
    <n v="50.8"/>
    <x v="2"/>
    <x v="4"/>
    <s v="Cash"/>
    <s v="Sunny"/>
  </r>
  <r>
    <s v="WSR-2026-1975"/>
    <d v="2026-08-11T00:00:00"/>
    <x v="7"/>
    <x v="7"/>
    <s v="Tuesday"/>
    <x v="32"/>
    <d v="2026-08-31T00:00:00"/>
    <s v="Summer"/>
    <x v="3"/>
    <x v="2"/>
    <s v="1 Hour"/>
    <n v="1"/>
    <n v="38.08"/>
    <s v="Dry Bag"/>
    <n v="6"/>
    <n v="0"/>
    <n v="44.08"/>
    <x v="9"/>
    <x v="0"/>
    <s v="Mobile Pay"/>
    <s v="Windy"/>
  </r>
  <r>
    <s v="WSR-2026-1976"/>
    <d v="2026-08-11T00:00:00"/>
    <x v="7"/>
    <x v="7"/>
    <s v="Tuesday"/>
    <x v="32"/>
    <d v="2026-08-31T00:00:00"/>
    <s v="Summer"/>
    <x v="2"/>
    <x v="1"/>
    <s v="2 Hours"/>
    <n v="1"/>
    <n v="42.56"/>
    <s v="None"/>
    <n v="0"/>
    <n v="0"/>
    <n v="42.56"/>
    <x v="5"/>
    <x v="3"/>
    <s v="Credit Card"/>
    <s v="Sunny"/>
  </r>
  <r>
    <s v="WSR-2026-1977"/>
    <d v="2026-08-11T00:00:00"/>
    <x v="7"/>
    <x v="7"/>
    <s v="Tuesday"/>
    <x v="32"/>
    <d v="2026-08-31T00:00:00"/>
    <s v="Summer"/>
    <x v="2"/>
    <x v="4"/>
    <s v="Half Day"/>
    <n v="1"/>
    <n v="31.36"/>
    <s v="Cooler Rental"/>
    <n v="10"/>
    <n v="0"/>
    <n v="41.36"/>
    <x v="6"/>
    <x v="0"/>
    <s v="Debit Card"/>
    <s v="Sunny"/>
  </r>
  <r>
    <s v="WSR-2026-1978"/>
    <d v="2026-08-11T00:00:00"/>
    <x v="7"/>
    <x v="7"/>
    <s v="Tuesday"/>
    <x v="32"/>
    <d v="2026-08-31T00:00:00"/>
    <s v="Summer"/>
    <x v="3"/>
    <x v="5"/>
    <s v="2 Hours"/>
    <n v="1"/>
    <n v="47.04"/>
    <s v="Phone Pouch"/>
    <n v="5"/>
    <n v="0"/>
    <n v="52.04"/>
    <x v="2"/>
    <x v="3"/>
    <s v="Cash"/>
    <s v="Sunny"/>
  </r>
  <r>
    <s v="WSR-2026-1979"/>
    <d v="2026-08-11T00:00:00"/>
    <x v="7"/>
    <x v="7"/>
    <s v="Tuesday"/>
    <x v="32"/>
    <d v="2026-08-31T00:00:00"/>
    <s v="Summer"/>
    <x v="2"/>
    <x v="0"/>
    <s v="Half Day"/>
    <n v="1"/>
    <n v="85.12"/>
    <s v="None"/>
    <n v="0"/>
    <n v="0"/>
    <n v="85.12"/>
    <x v="7"/>
    <x v="4"/>
    <s v="Credit Card"/>
    <s v="Sunny"/>
  </r>
  <r>
    <s v="WSR-2026-1980"/>
    <d v="2026-08-11T00:00:00"/>
    <x v="7"/>
    <x v="7"/>
    <s v="Tuesday"/>
    <x v="32"/>
    <d v="2026-08-31T00:00:00"/>
    <s v="Summer"/>
    <x v="0"/>
    <x v="1"/>
    <s v="2 Hours"/>
    <n v="1"/>
    <n v="42.56"/>
    <s v="Dry Bag"/>
    <n v="6"/>
    <n v="0"/>
    <n v="48.56"/>
    <x v="7"/>
    <x v="4"/>
    <s v="Credit Card"/>
    <s v="Cloudy"/>
  </r>
  <r>
    <s v="WSR-2026-1981"/>
    <d v="2026-08-11T00:00:00"/>
    <x v="7"/>
    <x v="7"/>
    <s v="Tuesday"/>
    <x v="32"/>
    <d v="2026-08-31T00:00:00"/>
    <s v="Summer"/>
    <x v="2"/>
    <x v="2"/>
    <s v="1 Hour"/>
    <n v="1"/>
    <n v="38.08"/>
    <s v="Dry Bag"/>
    <n v="6"/>
    <n v="0"/>
    <n v="44.08"/>
    <x v="4"/>
    <x v="1"/>
    <s v="Credit Card"/>
    <s v="Windy"/>
  </r>
  <r>
    <s v="WSR-2026-1982"/>
    <d v="2026-08-11T00:00:00"/>
    <x v="7"/>
    <x v="7"/>
    <s v="Tuesday"/>
    <x v="32"/>
    <d v="2026-08-31T00:00:00"/>
    <s v="Summer"/>
    <x v="3"/>
    <x v="4"/>
    <s v="1 Hour"/>
    <n v="1"/>
    <n v="13.44"/>
    <s v="None"/>
    <n v="0"/>
    <n v="0"/>
    <n v="13.44"/>
    <x v="1"/>
    <x v="1"/>
    <s v="Debit Card"/>
    <s v="Sunny"/>
  </r>
  <r>
    <s v="WSR-2026-1983"/>
    <d v="2026-08-11T00:00:00"/>
    <x v="7"/>
    <x v="7"/>
    <s v="Tuesday"/>
    <x v="32"/>
    <d v="2026-08-31T00:00:00"/>
    <s v="Summer"/>
    <x v="2"/>
    <x v="5"/>
    <s v="Half Day"/>
    <n v="1"/>
    <n v="69.44"/>
    <s v="None"/>
    <n v="0"/>
    <n v="0"/>
    <n v="69.44"/>
    <x v="3"/>
    <x v="0"/>
    <s v="Cash"/>
    <s v="Sunny"/>
  </r>
  <r>
    <s v="WSR-2026-1984"/>
    <d v="2026-08-11T00:00:00"/>
    <x v="7"/>
    <x v="7"/>
    <s v="Tuesday"/>
    <x v="32"/>
    <d v="2026-08-31T00:00:00"/>
    <s v="Summer"/>
    <x v="3"/>
    <x v="3"/>
    <s v="2 Hours"/>
    <n v="1"/>
    <n v="40.32"/>
    <s v="None"/>
    <n v="0"/>
    <n v="0"/>
    <n v="40.32"/>
    <x v="5"/>
    <x v="2"/>
    <s v="Debit Card"/>
    <s v="Sunny"/>
  </r>
  <r>
    <s v="WSR-2026-1985"/>
    <d v="2026-08-12T00:00:00"/>
    <x v="7"/>
    <x v="7"/>
    <s v="Wednesday"/>
    <x v="32"/>
    <d v="2026-08-31T00:00:00"/>
    <s v="Summer"/>
    <x v="3"/>
    <x v="4"/>
    <s v="2 Hours"/>
    <n v="1"/>
    <n v="20.16"/>
    <s v="GoPro Mount"/>
    <n v="8"/>
    <n v="0"/>
    <n v="28.16"/>
    <x v="4"/>
    <x v="2"/>
    <s v="Credit Card"/>
    <s v="Sunny"/>
  </r>
  <r>
    <s v="WSR-2026-1986"/>
    <d v="2026-08-12T00:00:00"/>
    <x v="7"/>
    <x v="7"/>
    <s v="Wednesday"/>
    <x v="32"/>
    <d v="2026-08-31T00:00:00"/>
    <s v="Summer"/>
    <x v="2"/>
    <x v="1"/>
    <s v="2 Hours"/>
    <n v="1"/>
    <n v="42.56"/>
    <s v="None"/>
    <n v="0"/>
    <n v="2.13"/>
    <n v="40.43"/>
    <x v="6"/>
    <x v="3"/>
    <s v="Credit Card"/>
    <s v="Sunny"/>
  </r>
  <r>
    <s v="WSR-2026-1987"/>
    <d v="2026-08-12T00:00:00"/>
    <x v="7"/>
    <x v="7"/>
    <s v="Wednesday"/>
    <x v="32"/>
    <d v="2026-08-31T00:00:00"/>
    <s v="Summer"/>
    <x v="2"/>
    <x v="1"/>
    <s v="2 Hours"/>
    <n v="1"/>
    <n v="42.56"/>
    <s v="Waterproof Speaker"/>
    <n v="12"/>
    <n v="0"/>
    <n v="54.56"/>
    <x v="0"/>
    <x v="1"/>
    <s v="Debit Card"/>
    <s v="Sunny"/>
  </r>
  <r>
    <s v="WSR-2026-1988"/>
    <d v="2026-08-12T00:00:00"/>
    <x v="7"/>
    <x v="7"/>
    <s v="Wednesday"/>
    <x v="32"/>
    <d v="2026-08-31T00:00:00"/>
    <s v="Summer"/>
    <x v="0"/>
    <x v="1"/>
    <s v="1 Hour"/>
    <n v="1"/>
    <n v="26.88"/>
    <s v="Phone Pouch"/>
    <n v="5"/>
    <n v="0"/>
    <n v="31.88"/>
    <x v="5"/>
    <x v="0"/>
    <s v="Credit Card"/>
    <s v="Sunny"/>
  </r>
  <r>
    <s v="WSR-2026-1989"/>
    <d v="2026-08-12T00:00:00"/>
    <x v="7"/>
    <x v="7"/>
    <s v="Wednesday"/>
    <x v="32"/>
    <d v="2026-08-31T00:00:00"/>
    <s v="Summer"/>
    <x v="0"/>
    <x v="2"/>
    <s v="1 Hour"/>
    <n v="1"/>
    <n v="38.08"/>
    <s v="Phone Pouch"/>
    <n v="5"/>
    <n v="0"/>
    <n v="43.08"/>
    <x v="8"/>
    <x v="2"/>
    <s v="Gift Card"/>
    <s v="Cloudy"/>
  </r>
  <r>
    <s v="WSR-2026-1990"/>
    <d v="2026-08-12T00:00:00"/>
    <x v="7"/>
    <x v="7"/>
    <s v="Wednesday"/>
    <x v="32"/>
    <d v="2026-08-31T00:00:00"/>
    <s v="Summer"/>
    <x v="2"/>
    <x v="4"/>
    <s v="1 Hour"/>
    <n v="1"/>
    <n v="13.44"/>
    <s v="GoPro Mount"/>
    <n v="8"/>
    <n v="0"/>
    <n v="21.44"/>
    <x v="8"/>
    <x v="4"/>
    <s v="Credit Card"/>
    <s v="Windy"/>
  </r>
  <r>
    <s v="WSR-2026-1991"/>
    <d v="2026-08-12T00:00:00"/>
    <x v="7"/>
    <x v="7"/>
    <s v="Wednesday"/>
    <x v="32"/>
    <d v="2026-08-31T00:00:00"/>
    <s v="Summer"/>
    <x v="3"/>
    <x v="7"/>
    <s v="2 Hours"/>
    <n v="1"/>
    <n v="24.64"/>
    <s v="GoPro Mount"/>
    <n v="8"/>
    <n v="0"/>
    <n v="32.64"/>
    <x v="7"/>
    <x v="4"/>
    <s v="Credit Card"/>
    <s v="Sunny"/>
  </r>
  <r>
    <s v="WSR-2026-1992"/>
    <d v="2026-08-12T00:00:00"/>
    <x v="7"/>
    <x v="7"/>
    <s v="Wednesday"/>
    <x v="32"/>
    <d v="2026-08-31T00:00:00"/>
    <s v="Summer"/>
    <x v="2"/>
    <x v="0"/>
    <s v="2 Hours"/>
    <n v="1"/>
    <n v="56"/>
    <s v="None"/>
    <n v="0"/>
    <n v="0"/>
    <n v="56"/>
    <x v="5"/>
    <x v="2"/>
    <s v="Cash"/>
    <s v="Sunny"/>
  </r>
  <r>
    <s v="WSR-2026-1993"/>
    <d v="2026-08-12T00:00:00"/>
    <x v="7"/>
    <x v="7"/>
    <s v="Wednesday"/>
    <x v="32"/>
    <d v="2026-08-31T00:00:00"/>
    <s v="Summer"/>
    <x v="0"/>
    <x v="1"/>
    <s v="Full Day"/>
    <n v="1"/>
    <n v="94.08"/>
    <s v="Cooler Rental"/>
    <n v="10"/>
    <n v="0"/>
    <n v="104.08"/>
    <x v="2"/>
    <x v="0"/>
    <s v="Credit Card"/>
    <s v="Sunny"/>
  </r>
  <r>
    <s v="WSR-2026-1994"/>
    <d v="2026-08-12T00:00:00"/>
    <x v="7"/>
    <x v="7"/>
    <s v="Wednesday"/>
    <x v="32"/>
    <d v="2026-08-31T00:00:00"/>
    <s v="Summer"/>
    <x v="0"/>
    <x v="1"/>
    <s v="1 Hour"/>
    <n v="1"/>
    <n v="26.88"/>
    <s v="Dry Bag"/>
    <n v="6"/>
    <n v="0"/>
    <n v="32.880000000000003"/>
    <x v="4"/>
    <x v="2"/>
    <s v="Credit Card"/>
    <s v="Sunny"/>
  </r>
  <r>
    <s v="WSR-2026-1995"/>
    <d v="2026-08-13T00:00:00"/>
    <x v="7"/>
    <x v="7"/>
    <s v="Thursday"/>
    <x v="32"/>
    <d v="2026-08-31T00:00:00"/>
    <s v="Summer"/>
    <x v="3"/>
    <x v="3"/>
    <s v="2 Hours"/>
    <n v="1"/>
    <n v="40.32"/>
    <s v="None"/>
    <n v="0"/>
    <n v="0"/>
    <n v="40.32"/>
    <x v="4"/>
    <x v="0"/>
    <s v="Credit Card"/>
    <s v="Cloudy"/>
  </r>
  <r>
    <s v="WSR-2026-1996"/>
    <d v="2026-08-13T00:00:00"/>
    <x v="7"/>
    <x v="7"/>
    <s v="Thursday"/>
    <x v="32"/>
    <d v="2026-08-31T00:00:00"/>
    <s v="Summer"/>
    <x v="2"/>
    <x v="4"/>
    <s v="2 Hours"/>
    <n v="1"/>
    <n v="20.16"/>
    <s v="None"/>
    <n v="0"/>
    <n v="0"/>
    <n v="20.16"/>
    <x v="6"/>
    <x v="2"/>
    <s v="Credit Card"/>
    <s v="Sunny"/>
  </r>
  <r>
    <s v="WSR-2026-1997"/>
    <d v="2026-08-13T00:00:00"/>
    <x v="7"/>
    <x v="7"/>
    <s v="Thursday"/>
    <x v="32"/>
    <d v="2026-08-31T00:00:00"/>
    <s v="Summer"/>
    <x v="2"/>
    <x v="3"/>
    <s v="Half Day"/>
    <n v="1"/>
    <n v="60.48"/>
    <s v="GoPro Mount"/>
    <n v="8"/>
    <n v="0"/>
    <n v="68.48"/>
    <x v="1"/>
    <x v="0"/>
    <s v="Debit Card"/>
    <s v="Sunny"/>
  </r>
  <r>
    <s v="WSR-2026-1998"/>
    <d v="2026-08-13T00:00:00"/>
    <x v="7"/>
    <x v="7"/>
    <s v="Thursday"/>
    <x v="32"/>
    <d v="2026-08-31T00:00:00"/>
    <s v="Summer"/>
    <x v="3"/>
    <x v="5"/>
    <s v="Half Day"/>
    <n v="1"/>
    <n v="69.44"/>
    <s v="Phone Pouch"/>
    <n v="5"/>
    <n v="0"/>
    <n v="74.44"/>
    <x v="5"/>
    <x v="0"/>
    <s v="Credit Card"/>
    <s v="Cloudy"/>
  </r>
  <r>
    <s v="WSR-2026-1999"/>
    <d v="2026-08-13T00:00:00"/>
    <x v="7"/>
    <x v="7"/>
    <s v="Thursday"/>
    <x v="32"/>
    <d v="2026-08-31T00:00:00"/>
    <s v="Summer"/>
    <x v="0"/>
    <x v="3"/>
    <s v="1 Hour"/>
    <n v="1"/>
    <n v="24.64"/>
    <s v="None"/>
    <n v="0"/>
    <n v="0"/>
    <n v="24.64"/>
    <x v="8"/>
    <x v="2"/>
    <s v="Credit Card"/>
    <s v="Sunny"/>
  </r>
  <r>
    <s v="WSR-2026-2000"/>
    <d v="2026-08-13T00:00:00"/>
    <x v="7"/>
    <x v="7"/>
    <s v="Thursday"/>
    <x v="32"/>
    <d v="2026-08-31T00:00:00"/>
    <s v="Summer"/>
    <x v="2"/>
    <x v="1"/>
    <s v="Half Day"/>
    <n v="1"/>
    <n v="64.959999999999994"/>
    <s v="None"/>
    <n v="0"/>
    <n v="0"/>
    <n v="64.959999999999994"/>
    <x v="3"/>
    <x v="4"/>
    <s v="Credit Card"/>
    <s v="Sunny"/>
  </r>
  <r>
    <s v="WSR-2026-2001"/>
    <d v="2026-08-13T00:00:00"/>
    <x v="7"/>
    <x v="7"/>
    <s v="Thursday"/>
    <x v="32"/>
    <d v="2026-08-31T00:00:00"/>
    <s v="Summer"/>
    <x v="3"/>
    <x v="3"/>
    <s v="2 Hours"/>
    <n v="1"/>
    <n v="40.32"/>
    <s v="None"/>
    <n v="0"/>
    <n v="0"/>
    <n v="40.32"/>
    <x v="6"/>
    <x v="0"/>
    <s v="Credit Card"/>
    <s v="Sunny"/>
  </r>
  <r>
    <s v="WSR-2026-2002"/>
    <d v="2026-08-13T00:00:00"/>
    <x v="7"/>
    <x v="7"/>
    <s v="Thursday"/>
    <x v="32"/>
    <d v="2026-08-31T00:00:00"/>
    <s v="Summer"/>
    <x v="2"/>
    <x v="5"/>
    <s v="2 Hours"/>
    <n v="1"/>
    <n v="47.04"/>
    <s v="None"/>
    <n v="0"/>
    <n v="0"/>
    <n v="47.04"/>
    <x v="0"/>
    <x v="4"/>
    <s v="Credit Card"/>
    <s v="Sunny"/>
  </r>
  <r>
    <s v="WSR-2026-2003"/>
    <d v="2026-08-13T00:00:00"/>
    <x v="7"/>
    <x v="7"/>
    <s v="Thursday"/>
    <x v="32"/>
    <d v="2026-08-31T00:00:00"/>
    <s v="Summer"/>
    <x v="2"/>
    <x v="5"/>
    <s v="Half Day"/>
    <n v="1"/>
    <n v="69.44"/>
    <s v="None"/>
    <n v="0"/>
    <n v="0"/>
    <n v="69.44"/>
    <x v="7"/>
    <x v="1"/>
    <s v="Credit Card"/>
    <s v="Sunny"/>
  </r>
  <r>
    <s v="WSR-2026-2004"/>
    <d v="2026-08-13T00:00:00"/>
    <x v="7"/>
    <x v="7"/>
    <s v="Thursday"/>
    <x v="32"/>
    <d v="2026-08-31T00:00:00"/>
    <s v="Summer"/>
    <x v="0"/>
    <x v="7"/>
    <s v="2 Hours"/>
    <n v="1"/>
    <n v="24.64"/>
    <s v="GoPro Mount"/>
    <n v="8"/>
    <n v="0"/>
    <n v="32.64"/>
    <x v="6"/>
    <x v="2"/>
    <s v="Credit Card"/>
    <s v="Windy"/>
  </r>
  <r>
    <s v="WSR-2026-2005"/>
    <d v="2026-08-13T00:00:00"/>
    <x v="7"/>
    <x v="7"/>
    <s v="Thursday"/>
    <x v="32"/>
    <d v="2026-08-31T00:00:00"/>
    <s v="Summer"/>
    <x v="3"/>
    <x v="1"/>
    <s v="Half Day"/>
    <n v="1"/>
    <n v="64.959999999999994"/>
    <s v="Dry Bag"/>
    <n v="6"/>
    <n v="0"/>
    <n v="70.959999999999994"/>
    <x v="8"/>
    <x v="3"/>
    <s v="Credit Card"/>
    <s v="Sunny"/>
  </r>
  <r>
    <s v="WSR-2026-2006"/>
    <d v="2026-08-13T00:00:00"/>
    <x v="7"/>
    <x v="7"/>
    <s v="Thursday"/>
    <x v="32"/>
    <d v="2026-08-31T00:00:00"/>
    <s v="Summer"/>
    <x v="1"/>
    <x v="2"/>
    <s v="2 Hours"/>
    <n v="1"/>
    <n v="58.24"/>
    <s v="None"/>
    <n v="0"/>
    <n v="0"/>
    <n v="58.24"/>
    <x v="3"/>
    <x v="2"/>
    <s v="Credit Card"/>
    <s v="Windy"/>
  </r>
  <r>
    <s v="WSR-2026-2007"/>
    <d v="2026-08-13T00:00:00"/>
    <x v="7"/>
    <x v="7"/>
    <s v="Thursday"/>
    <x v="32"/>
    <d v="2026-08-31T00:00:00"/>
    <s v="Summer"/>
    <x v="3"/>
    <x v="3"/>
    <s v="1 Hour"/>
    <n v="1"/>
    <n v="24.64"/>
    <s v="Dry Bag"/>
    <n v="6"/>
    <n v="0"/>
    <n v="30.64"/>
    <x v="4"/>
    <x v="4"/>
    <s v="Debit Card"/>
    <s v="Cloudy"/>
  </r>
  <r>
    <s v="WSR-2026-2008"/>
    <d v="2026-08-13T00:00:00"/>
    <x v="7"/>
    <x v="7"/>
    <s v="Thursday"/>
    <x v="32"/>
    <d v="2026-08-31T00:00:00"/>
    <s v="Summer"/>
    <x v="3"/>
    <x v="0"/>
    <s v="2 Hours"/>
    <n v="1"/>
    <n v="56"/>
    <s v="Phone Pouch"/>
    <n v="5"/>
    <n v="0"/>
    <n v="61"/>
    <x v="0"/>
    <x v="4"/>
    <s v="Mobile Pay"/>
    <s v="Sunny"/>
  </r>
  <r>
    <s v="WSR-2026-2009"/>
    <d v="2026-08-14T00:00:00"/>
    <x v="7"/>
    <x v="7"/>
    <s v="Friday"/>
    <x v="32"/>
    <d v="2026-08-31T00:00:00"/>
    <s v="Summer"/>
    <x v="0"/>
    <x v="4"/>
    <s v="2 Hours"/>
    <n v="1"/>
    <n v="20.16"/>
    <s v="None"/>
    <n v="0"/>
    <n v="0"/>
    <n v="20.16"/>
    <x v="2"/>
    <x v="2"/>
    <s v="Debit Card"/>
    <s v="Sunny"/>
  </r>
  <r>
    <s v="WSR-2026-2010"/>
    <d v="2026-08-14T00:00:00"/>
    <x v="7"/>
    <x v="7"/>
    <s v="Friday"/>
    <x v="32"/>
    <d v="2026-08-31T00:00:00"/>
    <s v="Summer"/>
    <x v="2"/>
    <x v="3"/>
    <s v="Half Day"/>
    <n v="1"/>
    <n v="60.48"/>
    <s v="GoPro Mount"/>
    <n v="8"/>
    <n v="0"/>
    <n v="68.48"/>
    <x v="4"/>
    <x v="2"/>
    <s v="Debit Card"/>
    <s v="Sunny"/>
  </r>
  <r>
    <s v="WSR-2026-2011"/>
    <d v="2026-08-14T00:00:00"/>
    <x v="7"/>
    <x v="7"/>
    <s v="Friday"/>
    <x v="32"/>
    <d v="2026-08-31T00:00:00"/>
    <s v="Summer"/>
    <x v="2"/>
    <x v="6"/>
    <s v="2 Hours"/>
    <n v="1"/>
    <n v="64.959999999999994"/>
    <s v="None"/>
    <n v="0"/>
    <n v="0"/>
    <n v="64.959999999999994"/>
    <x v="3"/>
    <x v="0"/>
    <s v="Mobile Pay"/>
    <s v="Cloudy"/>
  </r>
  <r>
    <s v="WSR-2026-2012"/>
    <d v="2026-08-14T00:00:00"/>
    <x v="7"/>
    <x v="7"/>
    <s v="Friday"/>
    <x v="32"/>
    <d v="2026-08-31T00:00:00"/>
    <s v="Summer"/>
    <x v="3"/>
    <x v="3"/>
    <s v="2 Hours"/>
    <n v="1"/>
    <n v="40.32"/>
    <s v="None"/>
    <n v="0"/>
    <n v="0"/>
    <n v="40.32"/>
    <x v="3"/>
    <x v="3"/>
    <s v="Credit Card"/>
    <s v="Sunny"/>
  </r>
  <r>
    <s v="WSR-2026-2013"/>
    <d v="2026-08-14T00:00:00"/>
    <x v="7"/>
    <x v="7"/>
    <s v="Friday"/>
    <x v="32"/>
    <d v="2026-08-31T00:00:00"/>
    <s v="Summer"/>
    <x v="0"/>
    <x v="1"/>
    <s v="Half Day"/>
    <n v="1"/>
    <n v="64.959999999999994"/>
    <s v="None"/>
    <n v="0"/>
    <n v="0"/>
    <n v="64.959999999999994"/>
    <x v="4"/>
    <x v="1"/>
    <s v="Cash"/>
    <s v="Sunny"/>
  </r>
  <r>
    <s v="WSR-2026-2014"/>
    <d v="2026-08-14T00:00:00"/>
    <x v="7"/>
    <x v="7"/>
    <s v="Friday"/>
    <x v="32"/>
    <d v="2026-08-31T00:00:00"/>
    <s v="Summer"/>
    <x v="2"/>
    <x v="1"/>
    <s v="Full Day"/>
    <n v="1"/>
    <n v="94.08"/>
    <s v="Cooler Rental"/>
    <n v="10"/>
    <n v="0"/>
    <n v="104.08"/>
    <x v="6"/>
    <x v="3"/>
    <s v="Debit Card"/>
    <s v="Cloudy"/>
  </r>
  <r>
    <s v="WSR-2026-2015"/>
    <d v="2026-08-14T00:00:00"/>
    <x v="7"/>
    <x v="7"/>
    <s v="Friday"/>
    <x v="32"/>
    <d v="2026-08-31T00:00:00"/>
    <s v="Summer"/>
    <x v="2"/>
    <x v="5"/>
    <s v="2 Hours"/>
    <n v="1"/>
    <n v="47.04"/>
    <s v="Dry Bag"/>
    <n v="6"/>
    <n v="0"/>
    <n v="53.04"/>
    <x v="4"/>
    <x v="1"/>
    <s v="Debit Card"/>
    <s v="Sunny"/>
  </r>
  <r>
    <s v="WSR-2026-2016"/>
    <d v="2026-08-14T00:00:00"/>
    <x v="7"/>
    <x v="7"/>
    <s v="Friday"/>
    <x v="32"/>
    <d v="2026-08-31T00:00:00"/>
    <s v="Summer"/>
    <x v="3"/>
    <x v="2"/>
    <s v="Half Day"/>
    <n v="1"/>
    <n v="87.36"/>
    <s v="GoPro Mount"/>
    <n v="8"/>
    <n v="0"/>
    <n v="95.36"/>
    <x v="2"/>
    <x v="1"/>
    <s v="Debit Card"/>
    <s v="Cloudy"/>
  </r>
  <r>
    <s v="WSR-2026-2017"/>
    <d v="2026-08-14T00:00:00"/>
    <x v="7"/>
    <x v="7"/>
    <s v="Friday"/>
    <x v="32"/>
    <d v="2026-08-31T00:00:00"/>
    <s v="Summer"/>
    <x v="2"/>
    <x v="2"/>
    <s v="1 Hour"/>
    <n v="1"/>
    <n v="38.08"/>
    <s v="None"/>
    <n v="0"/>
    <n v="1.9"/>
    <n v="36.18"/>
    <x v="8"/>
    <x v="3"/>
    <s v="Debit Card"/>
    <s v="Windy"/>
  </r>
  <r>
    <s v="WSR-2026-2018"/>
    <d v="2026-08-14T00:00:00"/>
    <x v="7"/>
    <x v="7"/>
    <s v="Friday"/>
    <x v="32"/>
    <d v="2026-08-31T00:00:00"/>
    <s v="Summer"/>
    <x v="2"/>
    <x v="2"/>
    <s v="Half Day"/>
    <n v="1"/>
    <n v="87.36"/>
    <s v="None"/>
    <n v="0"/>
    <n v="0"/>
    <n v="87.36"/>
    <x v="8"/>
    <x v="3"/>
    <s v="Debit Card"/>
    <s v="Sunny"/>
  </r>
  <r>
    <s v="WSR-2026-2019"/>
    <d v="2026-08-14T00:00:00"/>
    <x v="7"/>
    <x v="7"/>
    <s v="Friday"/>
    <x v="32"/>
    <d v="2026-08-31T00:00:00"/>
    <s v="Summer"/>
    <x v="4"/>
    <x v="5"/>
    <s v="2 Hours"/>
    <n v="1"/>
    <n v="47.04"/>
    <s v="None"/>
    <n v="0"/>
    <n v="7.06"/>
    <n v="39.979999999999997"/>
    <x v="1"/>
    <x v="1"/>
    <s v="Debit Card"/>
    <s v="Cloudy"/>
  </r>
  <r>
    <s v="WSR-2026-2020"/>
    <d v="2026-08-14T00:00:00"/>
    <x v="7"/>
    <x v="7"/>
    <s v="Friday"/>
    <x v="32"/>
    <d v="2026-08-31T00:00:00"/>
    <s v="Summer"/>
    <x v="3"/>
    <x v="5"/>
    <s v="1 Hour"/>
    <n v="1"/>
    <n v="29.12"/>
    <s v="Dry Bag"/>
    <n v="6"/>
    <n v="0"/>
    <n v="35.119999999999997"/>
    <x v="6"/>
    <x v="2"/>
    <s v="Debit Card"/>
    <s v="Sunny"/>
  </r>
  <r>
    <s v="WSR-2026-2021"/>
    <d v="2026-08-14T00:00:00"/>
    <x v="7"/>
    <x v="7"/>
    <s v="Friday"/>
    <x v="32"/>
    <d v="2026-08-31T00:00:00"/>
    <s v="Summer"/>
    <x v="3"/>
    <x v="4"/>
    <s v="2 Hours"/>
    <n v="1"/>
    <n v="20.16"/>
    <s v="None"/>
    <n v="0"/>
    <n v="0"/>
    <n v="20.16"/>
    <x v="0"/>
    <x v="1"/>
    <s v="Debit Card"/>
    <s v="Sunny"/>
  </r>
  <r>
    <s v="WSR-2026-2022"/>
    <d v="2026-08-14T00:00:00"/>
    <x v="7"/>
    <x v="7"/>
    <s v="Friday"/>
    <x v="32"/>
    <d v="2026-08-31T00:00:00"/>
    <s v="Summer"/>
    <x v="1"/>
    <x v="5"/>
    <s v="2 Hours"/>
    <n v="1"/>
    <n v="47.04"/>
    <s v="None"/>
    <n v="0"/>
    <n v="2.35"/>
    <n v="44.69"/>
    <x v="6"/>
    <x v="0"/>
    <s v="Debit Card"/>
    <s v="Sunny"/>
  </r>
  <r>
    <s v="WSR-2026-2023"/>
    <d v="2026-08-14T00:00:00"/>
    <x v="7"/>
    <x v="7"/>
    <s v="Friday"/>
    <x v="32"/>
    <d v="2026-08-31T00:00:00"/>
    <s v="Summer"/>
    <x v="2"/>
    <x v="5"/>
    <s v="2 Hours"/>
    <n v="1"/>
    <n v="47.04"/>
    <s v="GoPro Mount"/>
    <n v="8"/>
    <n v="0"/>
    <n v="55.04"/>
    <x v="5"/>
    <x v="4"/>
    <s v="Debit Card"/>
    <s v="Sunny"/>
  </r>
  <r>
    <s v="WSR-2026-2024"/>
    <d v="2026-08-14T00:00:00"/>
    <x v="7"/>
    <x v="7"/>
    <s v="Friday"/>
    <x v="32"/>
    <d v="2026-08-31T00:00:00"/>
    <s v="Summer"/>
    <x v="2"/>
    <x v="4"/>
    <s v="Full Day"/>
    <n v="1"/>
    <n v="44.8"/>
    <s v="Waterproof Speaker"/>
    <n v="12"/>
    <n v="0"/>
    <n v="56.8"/>
    <x v="5"/>
    <x v="1"/>
    <s v="Credit Card"/>
    <s v="Sunny"/>
  </r>
  <r>
    <s v="WSR-2026-2025"/>
    <d v="2026-08-14T00:00:00"/>
    <x v="7"/>
    <x v="7"/>
    <s v="Friday"/>
    <x v="32"/>
    <d v="2026-08-31T00:00:00"/>
    <s v="Summer"/>
    <x v="1"/>
    <x v="1"/>
    <s v="2 Hours"/>
    <n v="1"/>
    <n v="42.56"/>
    <s v="Premium Life Jacket"/>
    <n v="7"/>
    <n v="2.48"/>
    <n v="47.08"/>
    <x v="8"/>
    <x v="1"/>
    <s v="Credit Card"/>
    <s v="Sunny"/>
  </r>
  <r>
    <s v="WSR-2026-2026"/>
    <d v="2026-08-14T00:00:00"/>
    <x v="7"/>
    <x v="7"/>
    <s v="Friday"/>
    <x v="32"/>
    <d v="2026-08-31T00:00:00"/>
    <s v="Summer"/>
    <x v="3"/>
    <x v="1"/>
    <s v="2 Hours"/>
    <n v="1"/>
    <n v="42.56"/>
    <s v="Phone Pouch"/>
    <n v="5"/>
    <n v="0"/>
    <n v="47.56"/>
    <x v="0"/>
    <x v="4"/>
    <s v="Credit Card"/>
    <s v="Sunny"/>
  </r>
  <r>
    <s v="WSR-2026-2027"/>
    <d v="2026-08-14T00:00:00"/>
    <x v="7"/>
    <x v="7"/>
    <s v="Friday"/>
    <x v="32"/>
    <d v="2026-08-31T00:00:00"/>
    <s v="Summer"/>
    <x v="2"/>
    <x v="1"/>
    <s v="Full Day"/>
    <n v="1"/>
    <n v="94.08"/>
    <s v="Phone Pouch"/>
    <n v="5"/>
    <n v="0"/>
    <n v="99.08"/>
    <x v="0"/>
    <x v="3"/>
    <s v="Credit Card"/>
    <s v="Windy"/>
  </r>
  <r>
    <s v="WSR-2026-2028"/>
    <d v="2026-08-14T00:00:00"/>
    <x v="7"/>
    <x v="7"/>
    <s v="Friday"/>
    <x v="32"/>
    <d v="2026-08-31T00:00:00"/>
    <s v="Summer"/>
    <x v="3"/>
    <x v="7"/>
    <s v="1 Hour"/>
    <n v="1"/>
    <n v="15.68"/>
    <s v="Dry Bag"/>
    <n v="6"/>
    <n v="0"/>
    <n v="21.68"/>
    <x v="9"/>
    <x v="3"/>
    <s v="Credit Card"/>
    <s v="Sunny"/>
  </r>
  <r>
    <s v="WSR-2026-2029"/>
    <d v="2026-08-14T00:00:00"/>
    <x v="7"/>
    <x v="7"/>
    <s v="Friday"/>
    <x v="32"/>
    <d v="2026-08-31T00:00:00"/>
    <s v="Summer"/>
    <x v="2"/>
    <x v="3"/>
    <s v="1 Hour"/>
    <n v="1"/>
    <n v="24.64"/>
    <s v="None"/>
    <n v="0"/>
    <n v="0"/>
    <n v="24.64"/>
    <x v="8"/>
    <x v="3"/>
    <s v="Mobile Pay"/>
    <s v="Sunny"/>
  </r>
  <r>
    <s v="WSR-2026-2030"/>
    <d v="2026-08-14T00:00:00"/>
    <x v="7"/>
    <x v="7"/>
    <s v="Friday"/>
    <x v="32"/>
    <d v="2026-08-31T00:00:00"/>
    <s v="Summer"/>
    <x v="2"/>
    <x v="1"/>
    <s v="Half Day"/>
    <n v="1"/>
    <n v="64.959999999999994"/>
    <s v="None"/>
    <n v="0"/>
    <n v="0"/>
    <n v="64.959999999999994"/>
    <x v="2"/>
    <x v="1"/>
    <s v="Credit Card"/>
    <s v="Sunny"/>
  </r>
  <r>
    <s v="WSR-2026-2031"/>
    <d v="2026-08-14T00:00:00"/>
    <x v="7"/>
    <x v="7"/>
    <s v="Friday"/>
    <x v="32"/>
    <d v="2026-08-31T00:00:00"/>
    <s v="Summer"/>
    <x v="3"/>
    <x v="1"/>
    <s v="Half Day"/>
    <n v="1"/>
    <n v="64.959999999999994"/>
    <s v="Waterproof Speaker"/>
    <n v="12"/>
    <n v="0"/>
    <n v="76.959999999999994"/>
    <x v="6"/>
    <x v="0"/>
    <s v="Credit Card"/>
    <s v="Sunny"/>
  </r>
  <r>
    <s v="WSR-2026-2032"/>
    <d v="2026-08-14T00:00:00"/>
    <x v="7"/>
    <x v="7"/>
    <s v="Friday"/>
    <x v="32"/>
    <d v="2026-08-31T00:00:00"/>
    <s v="Summer"/>
    <x v="2"/>
    <x v="9"/>
    <s v="2 Hours"/>
    <n v="1"/>
    <n v="53.76"/>
    <s v="Phone Pouch"/>
    <n v="5"/>
    <n v="0"/>
    <n v="58.76"/>
    <x v="2"/>
    <x v="4"/>
    <s v="Mobile Pay"/>
    <s v="Sunny"/>
  </r>
  <r>
    <s v="WSR-2026-2033"/>
    <d v="2026-08-14T00:00:00"/>
    <x v="7"/>
    <x v="7"/>
    <s v="Friday"/>
    <x v="32"/>
    <d v="2026-08-31T00:00:00"/>
    <s v="Summer"/>
    <x v="0"/>
    <x v="1"/>
    <s v="Half Day"/>
    <n v="1"/>
    <n v="64.959999999999994"/>
    <s v="Waterproof Speaker"/>
    <n v="12"/>
    <n v="0"/>
    <n v="76.959999999999994"/>
    <x v="4"/>
    <x v="0"/>
    <s v="Credit Card"/>
    <s v="Sunny"/>
  </r>
  <r>
    <s v="WSR-2026-2034"/>
    <d v="2026-08-14T00:00:00"/>
    <x v="7"/>
    <x v="7"/>
    <s v="Friday"/>
    <x v="32"/>
    <d v="2026-08-31T00:00:00"/>
    <s v="Summer"/>
    <x v="3"/>
    <x v="3"/>
    <s v="Full Day"/>
    <n v="1"/>
    <n v="85.12"/>
    <s v="None"/>
    <n v="0"/>
    <n v="0"/>
    <n v="85.12"/>
    <x v="5"/>
    <x v="3"/>
    <s v="Mobile Pay"/>
    <s v="Sunny"/>
  </r>
  <r>
    <s v="WSR-2026-2035"/>
    <d v="2026-08-15T00:00:00"/>
    <x v="7"/>
    <x v="7"/>
    <s v="Saturday"/>
    <x v="32"/>
    <d v="2026-08-31T00:00:00"/>
    <s v="Summer"/>
    <x v="0"/>
    <x v="5"/>
    <s v="Half Day"/>
    <n v="1"/>
    <n v="74.400000000000006"/>
    <s v="None"/>
    <n v="0"/>
    <n v="0"/>
    <n v="74.400000000000006"/>
    <x v="7"/>
    <x v="1"/>
    <s v="Credit Card"/>
    <s v="Sunny"/>
  </r>
  <r>
    <s v="WSR-2026-2036"/>
    <d v="2026-08-15T00:00:00"/>
    <x v="7"/>
    <x v="7"/>
    <s v="Saturday"/>
    <x v="32"/>
    <d v="2026-08-31T00:00:00"/>
    <s v="Summer"/>
    <x v="1"/>
    <x v="2"/>
    <s v="1 Hour"/>
    <n v="1"/>
    <n v="40.799999999999997"/>
    <s v="Cooler Rental"/>
    <n v="10"/>
    <n v="2.54"/>
    <n v="48.26"/>
    <x v="5"/>
    <x v="0"/>
    <s v="Credit Card"/>
    <s v="Cloudy"/>
  </r>
  <r>
    <s v="WSR-2026-2037"/>
    <d v="2026-08-15T00:00:00"/>
    <x v="7"/>
    <x v="7"/>
    <s v="Saturday"/>
    <x v="32"/>
    <d v="2026-08-31T00:00:00"/>
    <s v="Summer"/>
    <x v="0"/>
    <x v="2"/>
    <s v="Half Day"/>
    <n v="1"/>
    <n v="93.6"/>
    <s v="GoPro Mount"/>
    <n v="8"/>
    <n v="0"/>
    <n v="101.6"/>
    <x v="7"/>
    <x v="0"/>
    <s v="Debit Card"/>
    <s v="Windy"/>
  </r>
  <r>
    <s v="WSR-2026-2038"/>
    <d v="2026-08-15T00:00:00"/>
    <x v="7"/>
    <x v="7"/>
    <s v="Saturday"/>
    <x v="32"/>
    <d v="2026-08-31T00:00:00"/>
    <s v="Summer"/>
    <x v="3"/>
    <x v="6"/>
    <s v="Half Day"/>
    <n v="1"/>
    <n v="103.2"/>
    <s v="Cooler Rental"/>
    <n v="10"/>
    <n v="0"/>
    <n v="113.2"/>
    <x v="4"/>
    <x v="0"/>
    <s v="Mobile Pay"/>
    <s v="Sunny"/>
  </r>
  <r>
    <s v="WSR-2026-2039"/>
    <d v="2026-08-15T00:00:00"/>
    <x v="7"/>
    <x v="7"/>
    <s v="Saturday"/>
    <x v="32"/>
    <d v="2026-08-31T00:00:00"/>
    <s v="Summer"/>
    <x v="2"/>
    <x v="8"/>
    <s v="1 Hour"/>
    <n v="1"/>
    <n v="12"/>
    <s v="Waterproof Speaker"/>
    <n v="12"/>
    <n v="0"/>
    <n v="24"/>
    <x v="4"/>
    <x v="2"/>
    <s v="Mobile Pay"/>
    <s v="Sunny"/>
  </r>
  <r>
    <s v="WSR-2026-2040"/>
    <d v="2026-08-15T00:00:00"/>
    <x v="7"/>
    <x v="7"/>
    <s v="Saturday"/>
    <x v="32"/>
    <d v="2026-08-31T00:00:00"/>
    <s v="Summer"/>
    <x v="2"/>
    <x v="1"/>
    <s v="2 Hours"/>
    <n v="1"/>
    <n v="45.6"/>
    <s v="GoPro Mount"/>
    <n v="8"/>
    <n v="0"/>
    <n v="53.6"/>
    <x v="9"/>
    <x v="3"/>
    <s v="Credit Card"/>
    <s v="Sunny"/>
  </r>
  <r>
    <s v="WSR-2026-2041"/>
    <d v="2026-08-15T00:00:00"/>
    <x v="7"/>
    <x v="7"/>
    <s v="Saturday"/>
    <x v="32"/>
    <d v="2026-08-31T00:00:00"/>
    <s v="Summer"/>
    <x v="4"/>
    <x v="2"/>
    <s v="Half Day"/>
    <n v="1"/>
    <n v="93.6"/>
    <s v="Cooler Rental"/>
    <n v="10"/>
    <n v="10.36"/>
    <n v="93.24"/>
    <x v="4"/>
    <x v="1"/>
    <s v="Mobile Pay"/>
    <s v="Sunny"/>
  </r>
  <r>
    <s v="WSR-2026-2042"/>
    <d v="2026-08-15T00:00:00"/>
    <x v="7"/>
    <x v="7"/>
    <s v="Saturday"/>
    <x v="32"/>
    <d v="2026-08-31T00:00:00"/>
    <s v="Summer"/>
    <x v="4"/>
    <x v="5"/>
    <s v="1 Hour"/>
    <n v="1"/>
    <n v="31.2"/>
    <s v="Dry Bag"/>
    <n v="6"/>
    <n v="3.72"/>
    <n v="33.479999999999997"/>
    <x v="5"/>
    <x v="4"/>
    <s v="Credit Card"/>
    <s v="Windy"/>
  </r>
  <r>
    <s v="WSR-2026-2043"/>
    <d v="2026-08-15T00:00:00"/>
    <x v="7"/>
    <x v="7"/>
    <s v="Saturday"/>
    <x v="32"/>
    <d v="2026-08-31T00:00:00"/>
    <s v="Summer"/>
    <x v="2"/>
    <x v="8"/>
    <s v="2 Hours"/>
    <n v="1"/>
    <n v="19.2"/>
    <s v="None"/>
    <n v="0"/>
    <n v="0"/>
    <n v="19.2"/>
    <x v="1"/>
    <x v="3"/>
    <s v="Mobile Pay"/>
    <s v="Windy"/>
  </r>
  <r>
    <s v="WSR-2026-2044"/>
    <d v="2026-08-15T00:00:00"/>
    <x v="7"/>
    <x v="7"/>
    <s v="Saturday"/>
    <x v="32"/>
    <d v="2026-08-31T00:00:00"/>
    <s v="Summer"/>
    <x v="1"/>
    <x v="7"/>
    <s v="1 Hour"/>
    <n v="1"/>
    <n v="16.8"/>
    <s v="Dry Bag"/>
    <n v="6"/>
    <n v="2.2799999999999998"/>
    <n v="20.52"/>
    <x v="1"/>
    <x v="2"/>
    <s v="Credit Card"/>
    <s v="Sunny"/>
  </r>
  <r>
    <s v="WSR-2026-2045"/>
    <d v="2026-08-15T00:00:00"/>
    <x v="7"/>
    <x v="7"/>
    <s v="Saturday"/>
    <x v="32"/>
    <d v="2026-08-31T00:00:00"/>
    <s v="Summer"/>
    <x v="2"/>
    <x v="5"/>
    <s v="Full Day"/>
    <n v="1"/>
    <n v="105.6"/>
    <s v="None"/>
    <n v="0"/>
    <n v="0"/>
    <n v="105.6"/>
    <x v="1"/>
    <x v="0"/>
    <s v="Mobile Pay"/>
    <s v="Sunny"/>
  </r>
  <r>
    <s v="WSR-2026-2046"/>
    <d v="2026-08-15T00:00:00"/>
    <x v="7"/>
    <x v="7"/>
    <s v="Saturday"/>
    <x v="32"/>
    <d v="2026-08-31T00:00:00"/>
    <s v="Summer"/>
    <x v="2"/>
    <x v="2"/>
    <s v="1 Hour"/>
    <n v="1"/>
    <n v="40.799999999999997"/>
    <s v="None"/>
    <n v="0"/>
    <n v="0"/>
    <n v="40.799999999999997"/>
    <x v="7"/>
    <x v="3"/>
    <s v="Cash"/>
    <s v="Sunny"/>
  </r>
  <r>
    <s v="WSR-2026-2047"/>
    <d v="2026-08-15T00:00:00"/>
    <x v="7"/>
    <x v="7"/>
    <s v="Saturday"/>
    <x v="32"/>
    <d v="2026-08-31T00:00:00"/>
    <s v="Summer"/>
    <x v="3"/>
    <x v="2"/>
    <s v="2 Hours"/>
    <n v="1"/>
    <n v="62.4"/>
    <s v="GoPro Mount"/>
    <n v="8"/>
    <n v="0"/>
    <n v="70.400000000000006"/>
    <x v="6"/>
    <x v="4"/>
    <s v="Credit Card"/>
    <s v="Sunny"/>
  </r>
  <r>
    <s v="WSR-2026-2048"/>
    <d v="2026-08-15T00:00:00"/>
    <x v="7"/>
    <x v="7"/>
    <s v="Saturday"/>
    <x v="32"/>
    <d v="2026-08-31T00:00:00"/>
    <s v="Summer"/>
    <x v="0"/>
    <x v="1"/>
    <s v="1 Hour"/>
    <n v="1"/>
    <n v="28.8"/>
    <s v="Phone Pouch"/>
    <n v="5"/>
    <n v="0"/>
    <n v="33.799999999999997"/>
    <x v="9"/>
    <x v="3"/>
    <s v="Cash"/>
    <s v="Windy"/>
  </r>
  <r>
    <s v="WSR-2026-2049"/>
    <d v="2026-08-15T00:00:00"/>
    <x v="7"/>
    <x v="7"/>
    <s v="Saturday"/>
    <x v="32"/>
    <d v="2026-08-31T00:00:00"/>
    <s v="Summer"/>
    <x v="0"/>
    <x v="8"/>
    <s v="1 Hour"/>
    <n v="1"/>
    <n v="12"/>
    <s v="None"/>
    <n v="0"/>
    <n v="0.6"/>
    <n v="11.4"/>
    <x v="3"/>
    <x v="3"/>
    <s v="Credit Card"/>
    <s v="Sunny"/>
  </r>
  <r>
    <s v="WSR-2026-2050"/>
    <d v="2026-08-15T00:00:00"/>
    <x v="7"/>
    <x v="7"/>
    <s v="Saturday"/>
    <x v="32"/>
    <d v="2026-08-31T00:00:00"/>
    <s v="Summer"/>
    <x v="2"/>
    <x v="1"/>
    <s v="2 Hours"/>
    <n v="1"/>
    <n v="45.6"/>
    <s v="None"/>
    <n v="0"/>
    <n v="0"/>
    <n v="45.6"/>
    <x v="0"/>
    <x v="4"/>
    <s v="Credit Card"/>
    <s v="Sunny"/>
  </r>
  <r>
    <s v="WSR-2026-2051"/>
    <d v="2026-08-15T00:00:00"/>
    <x v="7"/>
    <x v="7"/>
    <s v="Saturday"/>
    <x v="32"/>
    <d v="2026-08-31T00:00:00"/>
    <s v="Summer"/>
    <x v="1"/>
    <x v="5"/>
    <s v="2 Hours"/>
    <n v="1"/>
    <n v="50.4"/>
    <s v="None"/>
    <n v="0"/>
    <n v="0"/>
    <n v="50.4"/>
    <x v="7"/>
    <x v="2"/>
    <s v="Credit Card"/>
    <s v="Sunny"/>
  </r>
  <r>
    <s v="WSR-2026-2052"/>
    <d v="2026-08-15T00:00:00"/>
    <x v="7"/>
    <x v="7"/>
    <s v="Saturday"/>
    <x v="32"/>
    <d v="2026-08-31T00:00:00"/>
    <s v="Summer"/>
    <x v="3"/>
    <x v="3"/>
    <s v="Half Day"/>
    <n v="1"/>
    <n v="64.8"/>
    <s v="Dry Bag"/>
    <n v="6"/>
    <n v="0"/>
    <n v="70.8"/>
    <x v="0"/>
    <x v="1"/>
    <s v="Debit Card"/>
    <s v="Sunny"/>
  </r>
  <r>
    <s v="WSR-2026-2053"/>
    <d v="2026-08-15T00:00:00"/>
    <x v="7"/>
    <x v="7"/>
    <s v="Saturday"/>
    <x v="32"/>
    <d v="2026-08-31T00:00:00"/>
    <s v="Summer"/>
    <x v="0"/>
    <x v="5"/>
    <s v="2 Hours"/>
    <n v="1"/>
    <n v="50.4"/>
    <s v="Phone Pouch"/>
    <n v="5"/>
    <n v="0"/>
    <n v="55.4"/>
    <x v="6"/>
    <x v="4"/>
    <s v="Credit Card"/>
    <s v="Windy"/>
  </r>
  <r>
    <s v="WSR-2026-2054"/>
    <d v="2026-08-15T00:00:00"/>
    <x v="7"/>
    <x v="7"/>
    <s v="Saturday"/>
    <x v="32"/>
    <d v="2026-08-31T00:00:00"/>
    <s v="Summer"/>
    <x v="2"/>
    <x v="8"/>
    <s v="Half Day"/>
    <n v="1"/>
    <n v="28.8"/>
    <s v="Premium Life Jacket"/>
    <n v="7"/>
    <n v="0"/>
    <n v="35.799999999999997"/>
    <x v="8"/>
    <x v="0"/>
    <s v="Credit Card"/>
    <s v="Sunny"/>
  </r>
  <r>
    <s v="WSR-2026-2055"/>
    <d v="2026-08-15T00:00:00"/>
    <x v="7"/>
    <x v="7"/>
    <s v="Saturday"/>
    <x v="32"/>
    <d v="2026-08-31T00:00:00"/>
    <s v="Summer"/>
    <x v="2"/>
    <x v="1"/>
    <s v="2 Hours"/>
    <n v="1"/>
    <n v="45.6"/>
    <s v="Phone Pouch"/>
    <n v="5"/>
    <n v="2.5299999999999998"/>
    <n v="48.07"/>
    <x v="1"/>
    <x v="4"/>
    <s v="Credit Card"/>
    <s v="Sunny"/>
  </r>
  <r>
    <s v="WSR-2026-2056"/>
    <d v="2026-08-15T00:00:00"/>
    <x v="7"/>
    <x v="7"/>
    <s v="Saturday"/>
    <x v="32"/>
    <d v="2026-08-31T00:00:00"/>
    <s v="Summer"/>
    <x v="3"/>
    <x v="3"/>
    <s v="Full Day"/>
    <n v="1"/>
    <n v="91.2"/>
    <s v="GoPro Mount"/>
    <n v="8"/>
    <n v="0"/>
    <n v="99.2"/>
    <x v="8"/>
    <x v="0"/>
    <s v="Mobile Pay"/>
    <s v="Sunny"/>
  </r>
  <r>
    <s v="WSR-2026-2057"/>
    <d v="2026-08-15T00:00:00"/>
    <x v="7"/>
    <x v="7"/>
    <s v="Saturday"/>
    <x v="32"/>
    <d v="2026-08-31T00:00:00"/>
    <s v="Summer"/>
    <x v="2"/>
    <x v="2"/>
    <s v="Full Day"/>
    <n v="1"/>
    <n v="134.4"/>
    <s v="None"/>
    <n v="0"/>
    <n v="0"/>
    <n v="134.4"/>
    <x v="3"/>
    <x v="1"/>
    <s v="Debit Card"/>
    <s v="Sunny"/>
  </r>
  <r>
    <s v="WSR-2026-2058"/>
    <d v="2026-08-15T00:00:00"/>
    <x v="7"/>
    <x v="7"/>
    <s v="Saturday"/>
    <x v="32"/>
    <d v="2026-08-31T00:00:00"/>
    <s v="Summer"/>
    <x v="3"/>
    <x v="3"/>
    <s v="Half Day"/>
    <n v="1"/>
    <n v="64.8"/>
    <s v="None"/>
    <n v="0"/>
    <n v="0"/>
    <n v="64.8"/>
    <x v="4"/>
    <x v="2"/>
    <s v="Credit Card"/>
    <s v="Rainy"/>
  </r>
  <r>
    <s v="WSR-2026-2059"/>
    <d v="2026-08-15T00:00:00"/>
    <x v="7"/>
    <x v="7"/>
    <s v="Saturday"/>
    <x v="32"/>
    <d v="2026-08-31T00:00:00"/>
    <s v="Summer"/>
    <x v="3"/>
    <x v="5"/>
    <s v="1 Hour"/>
    <n v="1"/>
    <n v="31.2"/>
    <s v="Dry Bag"/>
    <n v="6"/>
    <n v="0"/>
    <n v="37.200000000000003"/>
    <x v="6"/>
    <x v="2"/>
    <s v="Debit Card"/>
    <s v="Cloudy"/>
  </r>
  <r>
    <s v="WSR-2026-2060"/>
    <d v="2026-08-15T00:00:00"/>
    <x v="7"/>
    <x v="7"/>
    <s v="Saturday"/>
    <x v="32"/>
    <d v="2026-08-31T00:00:00"/>
    <s v="Summer"/>
    <x v="0"/>
    <x v="4"/>
    <s v="2 Hours"/>
    <n v="1"/>
    <n v="21.6"/>
    <s v="Dry Bag"/>
    <n v="6"/>
    <n v="0"/>
    <n v="27.6"/>
    <x v="4"/>
    <x v="4"/>
    <s v="Credit Card"/>
    <s v="Sunny"/>
  </r>
  <r>
    <s v="WSR-2026-2061"/>
    <d v="2026-08-15T00:00:00"/>
    <x v="7"/>
    <x v="7"/>
    <s v="Saturday"/>
    <x v="32"/>
    <d v="2026-08-31T00:00:00"/>
    <s v="Summer"/>
    <x v="4"/>
    <x v="1"/>
    <s v="1 Hour"/>
    <n v="1"/>
    <n v="28.8"/>
    <s v="None"/>
    <n v="0"/>
    <n v="4.32"/>
    <n v="24.48"/>
    <x v="3"/>
    <x v="3"/>
    <s v="Credit Card"/>
    <s v="Sunny"/>
  </r>
  <r>
    <s v="WSR-2026-2062"/>
    <d v="2026-08-16T00:00:00"/>
    <x v="7"/>
    <x v="7"/>
    <s v="Sunday"/>
    <x v="33"/>
    <d v="2026-08-31T00:00:00"/>
    <s v="Summer"/>
    <x v="4"/>
    <x v="5"/>
    <s v="2 Hours"/>
    <n v="1"/>
    <n v="50.4"/>
    <s v="None"/>
    <n v="0"/>
    <n v="5.04"/>
    <n v="45.36"/>
    <x v="7"/>
    <x v="0"/>
    <s v="Gift Card"/>
    <s v="Windy"/>
  </r>
  <r>
    <s v="WSR-2026-2063"/>
    <d v="2026-08-16T00:00:00"/>
    <x v="7"/>
    <x v="7"/>
    <s v="Sunday"/>
    <x v="33"/>
    <d v="2026-08-31T00:00:00"/>
    <s v="Summer"/>
    <x v="2"/>
    <x v="6"/>
    <s v="Half Day"/>
    <n v="1"/>
    <n v="103.2"/>
    <s v="None"/>
    <n v="0"/>
    <n v="0"/>
    <n v="103.2"/>
    <x v="1"/>
    <x v="4"/>
    <s v="Debit Card"/>
    <s v="Windy"/>
  </r>
  <r>
    <s v="WSR-2026-2064"/>
    <d v="2026-08-16T00:00:00"/>
    <x v="7"/>
    <x v="7"/>
    <s v="Sunday"/>
    <x v="33"/>
    <d v="2026-08-31T00:00:00"/>
    <s v="Summer"/>
    <x v="4"/>
    <x v="7"/>
    <s v="Half Day"/>
    <n v="1"/>
    <n v="40.799999999999997"/>
    <s v="None"/>
    <n v="0"/>
    <n v="4.08"/>
    <n v="36.72"/>
    <x v="6"/>
    <x v="2"/>
    <s v="Mobile Pay"/>
    <s v="Sunny"/>
  </r>
  <r>
    <s v="WSR-2026-2065"/>
    <d v="2026-08-16T00:00:00"/>
    <x v="7"/>
    <x v="7"/>
    <s v="Sunday"/>
    <x v="33"/>
    <d v="2026-08-31T00:00:00"/>
    <s v="Summer"/>
    <x v="3"/>
    <x v="1"/>
    <s v="2 Hours"/>
    <n v="1"/>
    <n v="45.6"/>
    <s v="None"/>
    <n v="0"/>
    <n v="0"/>
    <n v="45.6"/>
    <x v="5"/>
    <x v="0"/>
    <s v="Debit Card"/>
    <s v="Sunny"/>
  </r>
  <r>
    <s v="WSR-2026-2066"/>
    <d v="2026-08-16T00:00:00"/>
    <x v="7"/>
    <x v="7"/>
    <s v="Sunday"/>
    <x v="33"/>
    <d v="2026-08-31T00:00:00"/>
    <s v="Summer"/>
    <x v="0"/>
    <x v="3"/>
    <s v="1 Hour"/>
    <n v="1"/>
    <n v="26.4"/>
    <s v="None"/>
    <n v="0"/>
    <n v="0"/>
    <n v="26.4"/>
    <x v="2"/>
    <x v="0"/>
    <s v="Cash"/>
    <s v="Sunny"/>
  </r>
  <r>
    <s v="WSR-2026-2067"/>
    <d v="2026-08-16T00:00:00"/>
    <x v="7"/>
    <x v="7"/>
    <s v="Sunday"/>
    <x v="33"/>
    <d v="2026-08-31T00:00:00"/>
    <s v="Summer"/>
    <x v="0"/>
    <x v="7"/>
    <s v="1 Hour"/>
    <n v="1"/>
    <n v="16.8"/>
    <s v="Waterproof Speaker"/>
    <n v="12"/>
    <n v="1.44"/>
    <n v="27.36"/>
    <x v="2"/>
    <x v="4"/>
    <s v="Credit Card"/>
    <s v="Sunny"/>
  </r>
  <r>
    <s v="WSR-2026-2068"/>
    <d v="2026-08-16T00:00:00"/>
    <x v="7"/>
    <x v="7"/>
    <s v="Sunday"/>
    <x v="33"/>
    <d v="2026-08-31T00:00:00"/>
    <s v="Summer"/>
    <x v="0"/>
    <x v="3"/>
    <s v="Full Day"/>
    <n v="1"/>
    <n v="91.2"/>
    <s v="Phone Pouch"/>
    <n v="5"/>
    <n v="0"/>
    <n v="96.2"/>
    <x v="3"/>
    <x v="3"/>
    <s v="Credit Card"/>
    <s v="Sunny"/>
  </r>
  <r>
    <s v="WSR-2026-2069"/>
    <d v="2026-08-16T00:00:00"/>
    <x v="7"/>
    <x v="7"/>
    <s v="Sunday"/>
    <x v="33"/>
    <d v="2026-08-31T00:00:00"/>
    <s v="Summer"/>
    <x v="0"/>
    <x v="4"/>
    <s v="2 Hours"/>
    <n v="1"/>
    <n v="21.6"/>
    <s v="Dry Bag"/>
    <n v="6"/>
    <n v="0"/>
    <n v="27.6"/>
    <x v="7"/>
    <x v="1"/>
    <s v="Debit Card"/>
    <s v="Sunny"/>
  </r>
  <r>
    <s v="WSR-2026-2070"/>
    <d v="2026-08-16T00:00:00"/>
    <x v="7"/>
    <x v="7"/>
    <s v="Sunday"/>
    <x v="33"/>
    <d v="2026-08-31T00:00:00"/>
    <s v="Summer"/>
    <x v="1"/>
    <x v="5"/>
    <s v="1 Hour"/>
    <n v="1"/>
    <n v="31.2"/>
    <s v="Phone Pouch"/>
    <n v="5"/>
    <n v="0"/>
    <n v="36.200000000000003"/>
    <x v="2"/>
    <x v="3"/>
    <s v="Debit Card"/>
    <s v="Sunny"/>
  </r>
  <r>
    <s v="WSR-2026-2071"/>
    <d v="2026-08-16T00:00:00"/>
    <x v="7"/>
    <x v="7"/>
    <s v="Sunday"/>
    <x v="33"/>
    <d v="2026-08-31T00:00:00"/>
    <s v="Summer"/>
    <x v="0"/>
    <x v="2"/>
    <s v="Full Day"/>
    <n v="1"/>
    <n v="134.4"/>
    <s v="Phone Pouch"/>
    <n v="5"/>
    <n v="0"/>
    <n v="139.4"/>
    <x v="5"/>
    <x v="4"/>
    <s v="Credit Card"/>
    <s v="Sunny"/>
  </r>
  <r>
    <s v="WSR-2026-2072"/>
    <d v="2026-08-16T00:00:00"/>
    <x v="7"/>
    <x v="7"/>
    <s v="Sunday"/>
    <x v="33"/>
    <d v="2026-08-31T00:00:00"/>
    <s v="Summer"/>
    <x v="2"/>
    <x v="2"/>
    <s v="Full Day"/>
    <n v="1"/>
    <n v="134.4"/>
    <s v="Phone Pouch"/>
    <n v="5"/>
    <n v="0"/>
    <n v="139.4"/>
    <x v="4"/>
    <x v="2"/>
    <s v="Cash"/>
    <s v="Sunny"/>
  </r>
  <r>
    <s v="WSR-2026-2073"/>
    <d v="2026-08-16T00:00:00"/>
    <x v="7"/>
    <x v="7"/>
    <s v="Sunday"/>
    <x v="33"/>
    <d v="2026-08-31T00:00:00"/>
    <s v="Summer"/>
    <x v="1"/>
    <x v="5"/>
    <s v="1 Hour"/>
    <n v="1"/>
    <n v="31.2"/>
    <s v="Dry Bag"/>
    <n v="6"/>
    <n v="1.86"/>
    <n v="35.340000000000003"/>
    <x v="3"/>
    <x v="1"/>
    <s v="Debit Card"/>
    <s v="Sunny"/>
  </r>
  <r>
    <s v="WSR-2026-2074"/>
    <d v="2026-08-16T00:00:00"/>
    <x v="7"/>
    <x v="7"/>
    <s v="Sunday"/>
    <x v="33"/>
    <d v="2026-08-31T00:00:00"/>
    <s v="Summer"/>
    <x v="2"/>
    <x v="1"/>
    <s v="Half Day"/>
    <n v="1"/>
    <n v="69.599999999999994"/>
    <s v="None"/>
    <n v="0"/>
    <n v="0"/>
    <n v="69.599999999999994"/>
    <x v="1"/>
    <x v="4"/>
    <s v="Gift Card"/>
    <s v="Sunny"/>
  </r>
  <r>
    <s v="WSR-2026-2075"/>
    <d v="2026-08-16T00:00:00"/>
    <x v="7"/>
    <x v="7"/>
    <s v="Sunday"/>
    <x v="33"/>
    <d v="2026-08-31T00:00:00"/>
    <s v="Summer"/>
    <x v="0"/>
    <x v="1"/>
    <s v="Full Day"/>
    <n v="1"/>
    <n v="100.8"/>
    <s v="Dry Bag"/>
    <n v="6"/>
    <n v="0"/>
    <n v="106.8"/>
    <x v="1"/>
    <x v="0"/>
    <s v="Mobile Pay"/>
    <s v="Sunny"/>
  </r>
  <r>
    <s v="WSR-2026-2076"/>
    <d v="2026-08-16T00:00:00"/>
    <x v="7"/>
    <x v="7"/>
    <s v="Sunday"/>
    <x v="33"/>
    <d v="2026-08-31T00:00:00"/>
    <s v="Summer"/>
    <x v="3"/>
    <x v="2"/>
    <s v="Half Day"/>
    <n v="1"/>
    <n v="93.6"/>
    <s v="None"/>
    <n v="0"/>
    <n v="0"/>
    <n v="93.6"/>
    <x v="9"/>
    <x v="0"/>
    <s v="Debit Card"/>
    <s v="Sunny"/>
  </r>
  <r>
    <s v="WSR-2026-2077"/>
    <d v="2026-08-16T00:00:00"/>
    <x v="7"/>
    <x v="7"/>
    <s v="Sunday"/>
    <x v="33"/>
    <d v="2026-08-31T00:00:00"/>
    <s v="Summer"/>
    <x v="3"/>
    <x v="5"/>
    <s v="Half Day"/>
    <n v="1"/>
    <n v="74.400000000000006"/>
    <s v="Phone Pouch"/>
    <n v="5"/>
    <n v="0"/>
    <n v="79.400000000000006"/>
    <x v="8"/>
    <x v="1"/>
    <s v="Credit Card"/>
    <s v="Sunny"/>
  </r>
  <r>
    <s v="WSR-2026-2078"/>
    <d v="2026-08-16T00:00:00"/>
    <x v="7"/>
    <x v="7"/>
    <s v="Sunday"/>
    <x v="33"/>
    <d v="2026-08-31T00:00:00"/>
    <s v="Summer"/>
    <x v="3"/>
    <x v="7"/>
    <s v="Full Day"/>
    <n v="1"/>
    <n v="57.6"/>
    <s v="None"/>
    <n v="0"/>
    <n v="0"/>
    <n v="57.6"/>
    <x v="2"/>
    <x v="1"/>
    <s v="Debit Card"/>
    <s v="Windy"/>
  </r>
  <r>
    <s v="WSR-2026-2079"/>
    <d v="2026-08-16T00:00:00"/>
    <x v="7"/>
    <x v="7"/>
    <s v="Sunday"/>
    <x v="33"/>
    <d v="2026-08-31T00:00:00"/>
    <s v="Summer"/>
    <x v="2"/>
    <x v="5"/>
    <s v="1 Hour"/>
    <n v="1"/>
    <n v="31.2"/>
    <s v="Phone Pouch"/>
    <n v="5"/>
    <n v="0"/>
    <n v="36.200000000000003"/>
    <x v="0"/>
    <x v="2"/>
    <s v="Mobile Pay"/>
    <s v="Cloudy"/>
  </r>
  <r>
    <s v="WSR-2026-2080"/>
    <d v="2026-08-16T00:00:00"/>
    <x v="7"/>
    <x v="7"/>
    <s v="Sunday"/>
    <x v="33"/>
    <d v="2026-08-31T00:00:00"/>
    <s v="Summer"/>
    <x v="3"/>
    <x v="1"/>
    <s v="Half Day"/>
    <n v="1"/>
    <n v="69.599999999999994"/>
    <s v="GoPro Mount"/>
    <n v="8"/>
    <n v="0"/>
    <n v="77.599999999999994"/>
    <x v="1"/>
    <x v="2"/>
    <s v="Debit Card"/>
    <s v="Sunny"/>
  </r>
  <r>
    <s v="WSR-2026-2081"/>
    <d v="2026-08-16T00:00:00"/>
    <x v="7"/>
    <x v="7"/>
    <s v="Sunday"/>
    <x v="33"/>
    <d v="2026-08-31T00:00:00"/>
    <s v="Summer"/>
    <x v="4"/>
    <x v="4"/>
    <s v="Half Day"/>
    <n v="1"/>
    <n v="33.6"/>
    <s v="None"/>
    <n v="0"/>
    <n v="5.04"/>
    <n v="28.56"/>
    <x v="4"/>
    <x v="0"/>
    <s v="Debit Card"/>
    <s v="Sunny"/>
  </r>
  <r>
    <s v="WSR-2026-2082"/>
    <d v="2026-08-16T00:00:00"/>
    <x v="7"/>
    <x v="7"/>
    <s v="Sunday"/>
    <x v="33"/>
    <d v="2026-08-31T00:00:00"/>
    <s v="Summer"/>
    <x v="4"/>
    <x v="0"/>
    <s v="2 Hours"/>
    <n v="1"/>
    <n v="60"/>
    <s v="None"/>
    <n v="0"/>
    <n v="9"/>
    <n v="51"/>
    <x v="5"/>
    <x v="3"/>
    <s v="Credit Card"/>
    <s v="Sunny"/>
  </r>
  <r>
    <s v="WSR-2026-2083"/>
    <d v="2026-08-16T00:00:00"/>
    <x v="7"/>
    <x v="7"/>
    <s v="Sunday"/>
    <x v="33"/>
    <d v="2026-08-31T00:00:00"/>
    <s v="Summer"/>
    <x v="2"/>
    <x v="5"/>
    <s v="2 Hours"/>
    <n v="1"/>
    <n v="50.4"/>
    <s v="None"/>
    <n v="0"/>
    <n v="0"/>
    <n v="50.4"/>
    <x v="9"/>
    <x v="0"/>
    <s v="Mobile Pay"/>
    <s v="Sunny"/>
  </r>
  <r>
    <s v="WSR-2026-2084"/>
    <d v="2026-08-16T00:00:00"/>
    <x v="7"/>
    <x v="7"/>
    <s v="Sunday"/>
    <x v="33"/>
    <d v="2026-08-31T00:00:00"/>
    <s v="Summer"/>
    <x v="3"/>
    <x v="2"/>
    <s v="2 Hours"/>
    <n v="1"/>
    <n v="62.4"/>
    <s v="Cooler Rental"/>
    <n v="10"/>
    <n v="0"/>
    <n v="72.400000000000006"/>
    <x v="4"/>
    <x v="3"/>
    <s v="Mobile Pay"/>
    <s v="Sunny"/>
  </r>
  <r>
    <s v="WSR-2026-2085"/>
    <d v="2026-08-16T00:00:00"/>
    <x v="7"/>
    <x v="7"/>
    <s v="Sunday"/>
    <x v="33"/>
    <d v="2026-08-31T00:00:00"/>
    <s v="Summer"/>
    <x v="3"/>
    <x v="3"/>
    <s v="1 Hour"/>
    <n v="1"/>
    <n v="26.4"/>
    <s v="Dry Bag"/>
    <n v="6"/>
    <n v="0"/>
    <n v="32.4"/>
    <x v="0"/>
    <x v="3"/>
    <s v="Credit Card"/>
    <s v="Sunny"/>
  </r>
  <r>
    <s v="WSR-2026-2086"/>
    <d v="2026-08-16T00:00:00"/>
    <x v="7"/>
    <x v="7"/>
    <s v="Sunday"/>
    <x v="33"/>
    <d v="2026-08-31T00:00:00"/>
    <s v="Summer"/>
    <x v="3"/>
    <x v="1"/>
    <s v="Half Day"/>
    <n v="1"/>
    <n v="69.599999999999994"/>
    <s v="None"/>
    <n v="0"/>
    <n v="0"/>
    <n v="69.599999999999994"/>
    <x v="5"/>
    <x v="0"/>
    <s v="Credit Card"/>
    <s v="Sunny"/>
  </r>
  <r>
    <s v="WSR-2026-2087"/>
    <d v="2026-08-16T00:00:00"/>
    <x v="7"/>
    <x v="7"/>
    <s v="Sunday"/>
    <x v="33"/>
    <d v="2026-08-31T00:00:00"/>
    <s v="Summer"/>
    <x v="2"/>
    <x v="4"/>
    <s v="2 Hours"/>
    <n v="1"/>
    <n v="21.6"/>
    <s v="None"/>
    <n v="0"/>
    <n v="0"/>
    <n v="21.6"/>
    <x v="3"/>
    <x v="1"/>
    <s v="Debit Card"/>
    <s v="Cloudy"/>
  </r>
  <r>
    <s v="WSR-2026-2088"/>
    <d v="2026-08-16T00:00:00"/>
    <x v="7"/>
    <x v="7"/>
    <s v="Sunday"/>
    <x v="33"/>
    <d v="2026-08-31T00:00:00"/>
    <s v="Summer"/>
    <x v="2"/>
    <x v="8"/>
    <s v="1 Hour"/>
    <n v="1"/>
    <n v="12"/>
    <s v="Dry Bag"/>
    <n v="6"/>
    <n v="0.9"/>
    <n v="17.100000000000001"/>
    <x v="0"/>
    <x v="4"/>
    <s v="Credit Card"/>
    <s v="Cloudy"/>
  </r>
  <r>
    <s v="WSR-2026-2089"/>
    <d v="2026-08-16T00:00:00"/>
    <x v="7"/>
    <x v="7"/>
    <s v="Sunday"/>
    <x v="33"/>
    <d v="2026-08-31T00:00:00"/>
    <s v="Summer"/>
    <x v="2"/>
    <x v="5"/>
    <s v="1 Hour"/>
    <n v="1"/>
    <n v="31.2"/>
    <s v="GoPro Mount"/>
    <n v="8"/>
    <n v="0"/>
    <n v="39.200000000000003"/>
    <x v="1"/>
    <x v="2"/>
    <s v="Credit Card"/>
    <s v="Sunny"/>
  </r>
  <r>
    <s v="WSR-2026-2090"/>
    <d v="2026-08-16T00:00:00"/>
    <x v="7"/>
    <x v="7"/>
    <s v="Sunday"/>
    <x v="33"/>
    <d v="2026-08-31T00:00:00"/>
    <s v="Summer"/>
    <x v="0"/>
    <x v="3"/>
    <s v="2 Hours"/>
    <n v="1"/>
    <n v="43.2"/>
    <s v="Waterproof Speaker"/>
    <n v="12"/>
    <n v="0"/>
    <n v="55.2"/>
    <x v="5"/>
    <x v="3"/>
    <s v="Credit Card"/>
    <s v="Sunny"/>
  </r>
  <r>
    <s v="WSR-2026-2091"/>
    <d v="2026-08-16T00:00:00"/>
    <x v="7"/>
    <x v="7"/>
    <s v="Sunday"/>
    <x v="33"/>
    <d v="2026-08-31T00:00:00"/>
    <s v="Summer"/>
    <x v="2"/>
    <x v="7"/>
    <s v="2 Hours"/>
    <n v="1"/>
    <n v="26.4"/>
    <s v="None"/>
    <n v="0"/>
    <n v="0"/>
    <n v="26.4"/>
    <x v="0"/>
    <x v="0"/>
    <s v="Cash"/>
    <s v="Sunny"/>
  </r>
  <r>
    <s v="WSR-2026-2092"/>
    <d v="2026-08-17T00:00:00"/>
    <x v="7"/>
    <x v="7"/>
    <s v="Monday"/>
    <x v="33"/>
    <d v="2026-08-31T00:00:00"/>
    <s v="Summer"/>
    <x v="2"/>
    <x v="5"/>
    <s v="Half Day"/>
    <n v="1"/>
    <n v="69.44"/>
    <s v="Phone Pouch"/>
    <n v="5"/>
    <n v="0"/>
    <n v="74.44"/>
    <x v="2"/>
    <x v="4"/>
    <s v="Credit Card"/>
    <s v="Sunny"/>
  </r>
  <r>
    <s v="WSR-2026-2093"/>
    <d v="2026-08-17T00:00:00"/>
    <x v="7"/>
    <x v="7"/>
    <s v="Monday"/>
    <x v="33"/>
    <d v="2026-08-31T00:00:00"/>
    <s v="Summer"/>
    <x v="0"/>
    <x v="5"/>
    <s v="1 Hour"/>
    <n v="1"/>
    <n v="29.12"/>
    <s v="None"/>
    <n v="0"/>
    <n v="0"/>
    <n v="29.12"/>
    <x v="4"/>
    <x v="3"/>
    <s v="Credit Card"/>
    <s v="Sunny"/>
  </r>
  <r>
    <s v="WSR-2026-2094"/>
    <d v="2026-08-17T00:00:00"/>
    <x v="7"/>
    <x v="7"/>
    <s v="Monday"/>
    <x v="33"/>
    <d v="2026-08-31T00:00:00"/>
    <s v="Summer"/>
    <x v="3"/>
    <x v="2"/>
    <s v="Half Day"/>
    <n v="1"/>
    <n v="87.36"/>
    <s v="None"/>
    <n v="0"/>
    <n v="0"/>
    <n v="87.36"/>
    <x v="5"/>
    <x v="2"/>
    <s v="Credit Card"/>
    <s v="Rainy"/>
  </r>
  <r>
    <s v="WSR-2026-2095"/>
    <d v="2026-08-17T00:00:00"/>
    <x v="7"/>
    <x v="7"/>
    <s v="Monday"/>
    <x v="33"/>
    <d v="2026-08-31T00:00:00"/>
    <s v="Summer"/>
    <x v="3"/>
    <x v="5"/>
    <s v="2 Hours"/>
    <n v="1"/>
    <n v="47.04"/>
    <s v="Premium Life Jacket"/>
    <n v="7"/>
    <n v="0"/>
    <n v="54.04"/>
    <x v="5"/>
    <x v="2"/>
    <s v="Debit Card"/>
    <s v="Sunny"/>
  </r>
  <r>
    <s v="WSR-2026-2096"/>
    <d v="2026-08-17T00:00:00"/>
    <x v="7"/>
    <x v="7"/>
    <s v="Monday"/>
    <x v="33"/>
    <d v="2026-08-31T00:00:00"/>
    <s v="Summer"/>
    <x v="3"/>
    <x v="1"/>
    <s v="2 Hours"/>
    <n v="1"/>
    <n v="42.56"/>
    <s v="None"/>
    <n v="0"/>
    <n v="0"/>
    <n v="42.56"/>
    <x v="2"/>
    <x v="1"/>
    <s v="Credit Card"/>
    <s v="Sunny"/>
  </r>
  <r>
    <s v="WSR-2026-2097"/>
    <d v="2026-08-17T00:00:00"/>
    <x v="7"/>
    <x v="7"/>
    <s v="Monday"/>
    <x v="33"/>
    <d v="2026-08-31T00:00:00"/>
    <s v="Summer"/>
    <x v="2"/>
    <x v="2"/>
    <s v="1 Hour"/>
    <n v="1"/>
    <n v="38.08"/>
    <s v="None"/>
    <n v="0"/>
    <n v="0"/>
    <n v="38.08"/>
    <x v="5"/>
    <x v="4"/>
    <s v="Mobile Pay"/>
    <s v="Sunny"/>
  </r>
  <r>
    <s v="WSR-2026-2098"/>
    <d v="2026-08-17T00:00:00"/>
    <x v="7"/>
    <x v="7"/>
    <s v="Monday"/>
    <x v="33"/>
    <d v="2026-08-31T00:00:00"/>
    <s v="Summer"/>
    <x v="0"/>
    <x v="5"/>
    <s v="1 Hour"/>
    <n v="1"/>
    <n v="29.12"/>
    <s v="Phone Pouch"/>
    <n v="5"/>
    <n v="0"/>
    <n v="34.119999999999997"/>
    <x v="2"/>
    <x v="1"/>
    <s v="Credit Card"/>
    <s v="Sunny"/>
  </r>
  <r>
    <s v="WSR-2026-2099"/>
    <d v="2026-08-17T00:00:00"/>
    <x v="7"/>
    <x v="7"/>
    <s v="Monday"/>
    <x v="33"/>
    <d v="2026-08-31T00:00:00"/>
    <s v="Summer"/>
    <x v="0"/>
    <x v="3"/>
    <s v="Half Day"/>
    <n v="1"/>
    <n v="60.48"/>
    <s v="Waterproof Speaker"/>
    <n v="12"/>
    <n v="0"/>
    <n v="72.48"/>
    <x v="2"/>
    <x v="4"/>
    <s v="Mobile Pay"/>
    <s v="Windy"/>
  </r>
  <r>
    <s v="WSR-2026-2100"/>
    <d v="2026-08-17T00:00:00"/>
    <x v="7"/>
    <x v="7"/>
    <s v="Monday"/>
    <x v="33"/>
    <d v="2026-08-31T00:00:00"/>
    <s v="Summer"/>
    <x v="3"/>
    <x v="6"/>
    <s v="2 Hours"/>
    <n v="1"/>
    <n v="64.959999999999994"/>
    <s v="None"/>
    <n v="0"/>
    <n v="0"/>
    <n v="64.959999999999994"/>
    <x v="1"/>
    <x v="2"/>
    <s v="Mobile Pay"/>
    <s v="Sunny"/>
  </r>
  <r>
    <s v="WSR-2026-2101"/>
    <d v="2026-08-17T00:00:00"/>
    <x v="7"/>
    <x v="7"/>
    <s v="Monday"/>
    <x v="33"/>
    <d v="2026-08-31T00:00:00"/>
    <s v="Summer"/>
    <x v="2"/>
    <x v="5"/>
    <s v="2 Hours"/>
    <n v="1"/>
    <n v="47.04"/>
    <s v="None"/>
    <n v="0"/>
    <n v="0"/>
    <n v="47.04"/>
    <x v="9"/>
    <x v="4"/>
    <s v="Credit Card"/>
    <s v="Sunny"/>
  </r>
  <r>
    <s v="WSR-2026-2102"/>
    <d v="2026-08-17T00:00:00"/>
    <x v="7"/>
    <x v="7"/>
    <s v="Monday"/>
    <x v="33"/>
    <d v="2026-08-31T00:00:00"/>
    <s v="Summer"/>
    <x v="2"/>
    <x v="2"/>
    <s v="Half Day"/>
    <n v="1"/>
    <n v="87.36"/>
    <s v="None"/>
    <n v="0"/>
    <n v="0"/>
    <n v="87.36"/>
    <x v="1"/>
    <x v="2"/>
    <s v="Mobile Pay"/>
    <s v="Cloudy"/>
  </r>
  <r>
    <s v="WSR-2026-2103"/>
    <d v="2026-08-17T00:00:00"/>
    <x v="7"/>
    <x v="7"/>
    <s v="Monday"/>
    <x v="33"/>
    <d v="2026-08-31T00:00:00"/>
    <s v="Summer"/>
    <x v="3"/>
    <x v="1"/>
    <s v="1 Hour"/>
    <n v="1"/>
    <n v="26.88"/>
    <s v="None"/>
    <n v="0"/>
    <n v="0"/>
    <n v="26.88"/>
    <x v="4"/>
    <x v="2"/>
    <s v="Debit Card"/>
    <s v="Sunny"/>
  </r>
  <r>
    <s v="WSR-2026-2104"/>
    <d v="2026-08-17T00:00:00"/>
    <x v="7"/>
    <x v="7"/>
    <s v="Monday"/>
    <x v="33"/>
    <d v="2026-08-31T00:00:00"/>
    <s v="Summer"/>
    <x v="3"/>
    <x v="5"/>
    <s v="Half Day"/>
    <n v="1"/>
    <n v="69.44"/>
    <s v="Dry Bag"/>
    <n v="6"/>
    <n v="0"/>
    <n v="75.44"/>
    <x v="3"/>
    <x v="1"/>
    <s v="Credit Card"/>
    <s v="Sunny"/>
  </r>
  <r>
    <s v="WSR-2026-2105"/>
    <d v="2026-08-17T00:00:00"/>
    <x v="7"/>
    <x v="7"/>
    <s v="Monday"/>
    <x v="33"/>
    <d v="2026-08-31T00:00:00"/>
    <s v="Summer"/>
    <x v="3"/>
    <x v="1"/>
    <s v="1 Hour"/>
    <n v="1"/>
    <n v="26.88"/>
    <s v="None"/>
    <n v="0"/>
    <n v="0"/>
    <n v="26.88"/>
    <x v="6"/>
    <x v="4"/>
    <s v="Debit Card"/>
    <s v="Sunny"/>
  </r>
  <r>
    <s v="WSR-2026-2106"/>
    <d v="2026-08-17T00:00:00"/>
    <x v="7"/>
    <x v="7"/>
    <s v="Monday"/>
    <x v="33"/>
    <d v="2026-08-31T00:00:00"/>
    <s v="Summer"/>
    <x v="2"/>
    <x v="1"/>
    <s v="1 Hour"/>
    <n v="1"/>
    <n v="26.88"/>
    <s v="None"/>
    <n v="0"/>
    <n v="0"/>
    <n v="26.88"/>
    <x v="4"/>
    <x v="3"/>
    <s v="Mobile Pay"/>
    <s v="Sunny"/>
  </r>
  <r>
    <s v="WSR-2026-2107"/>
    <d v="2026-08-17T00:00:00"/>
    <x v="7"/>
    <x v="7"/>
    <s v="Monday"/>
    <x v="33"/>
    <d v="2026-08-31T00:00:00"/>
    <s v="Summer"/>
    <x v="3"/>
    <x v="1"/>
    <s v="1 Hour"/>
    <n v="1"/>
    <n v="26.88"/>
    <s v="Dry Bag"/>
    <n v="6"/>
    <n v="0"/>
    <n v="32.880000000000003"/>
    <x v="6"/>
    <x v="1"/>
    <s v="Credit Card"/>
    <s v="Sunny"/>
  </r>
  <r>
    <s v="WSR-2026-2108"/>
    <d v="2026-08-17T00:00:00"/>
    <x v="7"/>
    <x v="7"/>
    <s v="Monday"/>
    <x v="33"/>
    <d v="2026-08-31T00:00:00"/>
    <s v="Summer"/>
    <x v="3"/>
    <x v="4"/>
    <s v="1 Hour"/>
    <n v="1"/>
    <n v="13.44"/>
    <s v="None"/>
    <n v="0"/>
    <n v="0"/>
    <n v="13.44"/>
    <x v="2"/>
    <x v="1"/>
    <s v="Debit Card"/>
    <s v="Sunny"/>
  </r>
  <r>
    <s v="WSR-2026-2109"/>
    <d v="2026-08-17T00:00:00"/>
    <x v="7"/>
    <x v="7"/>
    <s v="Monday"/>
    <x v="33"/>
    <d v="2026-08-31T00:00:00"/>
    <s v="Summer"/>
    <x v="2"/>
    <x v="0"/>
    <s v="1 Hour"/>
    <n v="1"/>
    <n v="35.840000000000003"/>
    <s v="None"/>
    <n v="0"/>
    <n v="0"/>
    <n v="35.840000000000003"/>
    <x v="5"/>
    <x v="0"/>
    <s v="Debit Card"/>
    <s v="Sunny"/>
  </r>
  <r>
    <s v="WSR-2026-2110"/>
    <d v="2026-08-18T00:00:00"/>
    <x v="7"/>
    <x v="7"/>
    <s v="Tuesday"/>
    <x v="33"/>
    <d v="2026-08-31T00:00:00"/>
    <s v="Summer"/>
    <x v="2"/>
    <x v="5"/>
    <s v="Full Day"/>
    <n v="1"/>
    <n v="98.56"/>
    <s v="None"/>
    <n v="0"/>
    <n v="0"/>
    <n v="98.56"/>
    <x v="1"/>
    <x v="2"/>
    <s v="Debit Card"/>
    <s v="Sunny"/>
  </r>
  <r>
    <s v="WSR-2026-2111"/>
    <d v="2026-08-18T00:00:00"/>
    <x v="7"/>
    <x v="7"/>
    <s v="Tuesday"/>
    <x v="33"/>
    <d v="2026-08-31T00:00:00"/>
    <s v="Summer"/>
    <x v="2"/>
    <x v="1"/>
    <s v="Half Day"/>
    <n v="1"/>
    <n v="64.959999999999994"/>
    <s v="None"/>
    <n v="0"/>
    <n v="0"/>
    <n v="64.959999999999994"/>
    <x v="8"/>
    <x v="2"/>
    <s v="Cash"/>
    <s v="Sunny"/>
  </r>
  <r>
    <s v="WSR-2026-2112"/>
    <d v="2026-08-18T00:00:00"/>
    <x v="7"/>
    <x v="7"/>
    <s v="Tuesday"/>
    <x v="33"/>
    <d v="2026-08-31T00:00:00"/>
    <s v="Summer"/>
    <x v="1"/>
    <x v="3"/>
    <s v="Half Day"/>
    <n v="1"/>
    <n v="60.48"/>
    <s v="Dry Bag"/>
    <n v="6"/>
    <n v="3.32"/>
    <n v="63.16"/>
    <x v="2"/>
    <x v="2"/>
    <s v="Mobile Pay"/>
    <s v="Sunny"/>
  </r>
  <r>
    <s v="WSR-2026-2113"/>
    <d v="2026-08-18T00:00:00"/>
    <x v="7"/>
    <x v="7"/>
    <s v="Tuesday"/>
    <x v="33"/>
    <d v="2026-08-31T00:00:00"/>
    <s v="Summer"/>
    <x v="3"/>
    <x v="4"/>
    <s v="Half Day"/>
    <n v="1"/>
    <n v="31.36"/>
    <s v="None"/>
    <n v="0"/>
    <n v="0"/>
    <n v="31.36"/>
    <x v="8"/>
    <x v="1"/>
    <s v="Mobile Pay"/>
    <s v="Sunny"/>
  </r>
  <r>
    <s v="WSR-2026-2114"/>
    <d v="2026-08-18T00:00:00"/>
    <x v="7"/>
    <x v="7"/>
    <s v="Tuesday"/>
    <x v="33"/>
    <d v="2026-08-31T00:00:00"/>
    <s v="Summer"/>
    <x v="3"/>
    <x v="2"/>
    <s v="2 Hours"/>
    <n v="1"/>
    <n v="58.24"/>
    <s v="GoPro Mount"/>
    <n v="8"/>
    <n v="0"/>
    <n v="66.239999999999995"/>
    <x v="3"/>
    <x v="3"/>
    <s v="Debit Card"/>
    <s v="Sunny"/>
  </r>
  <r>
    <s v="WSR-2026-2115"/>
    <d v="2026-08-18T00:00:00"/>
    <x v="7"/>
    <x v="7"/>
    <s v="Tuesday"/>
    <x v="33"/>
    <d v="2026-08-31T00:00:00"/>
    <s v="Summer"/>
    <x v="0"/>
    <x v="3"/>
    <s v="1 Hour"/>
    <n v="1"/>
    <n v="24.64"/>
    <s v="Phone Pouch"/>
    <n v="5"/>
    <n v="0"/>
    <n v="29.64"/>
    <x v="3"/>
    <x v="1"/>
    <s v="Credit Card"/>
    <s v="Sunny"/>
  </r>
  <r>
    <s v="WSR-2026-2116"/>
    <d v="2026-08-18T00:00:00"/>
    <x v="7"/>
    <x v="7"/>
    <s v="Tuesday"/>
    <x v="33"/>
    <d v="2026-08-31T00:00:00"/>
    <s v="Summer"/>
    <x v="2"/>
    <x v="1"/>
    <s v="2 Hours"/>
    <n v="1"/>
    <n v="42.56"/>
    <s v="GoPro Mount"/>
    <n v="8"/>
    <n v="0"/>
    <n v="50.56"/>
    <x v="4"/>
    <x v="4"/>
    <s v="Credit Card"/>
    <s v="Sunny"/>
  </r>
  <r>
    <s v="WSR-2026-2117"/>
    <d v="2026-08-18T00:00:00"/>
    <x v="7"/>
    <x v="7"/>
    <s v="Tuesday"/>
    <x v="33"/>
    <d v="2026-08-31T00:00:00"/>
    <s v="Summer"/>
    <x v="2"/>
    <x v="0"/>
    <s v="Half Day"/>
    <n v="1"/>
    <n v="85.12"/>
    <s v="None"/>
    <n v="0"/>
    <n v="0"/>
    <n v="85.12"/>
    <x v="3"/>
    <x v="4"/>
    <s v="Credit Card"/>
    <s v="Sunny"/>
  </r>
  <r>
    <s v="WSR-2026-2118"/>
    <d v="2026-08-18T00:00:00"/>
    <x v="7"/>
    <x v="7"/>
    <s v="Tuesday"/>
    <x v="33"/>
    <d v="2026-08-31T00:00:00"/>
    <s v="Summer"/>
    <x v="0"/>
    <x v="8"/>
    <s v="2 Hours"/>
    <n v="1"/>
    <n v="17.920000000000002"/>
    <s v="Premium Life Jacket"/>
    <n v="7"/>
    <n v="0"/>
    <n v="24.92"/>
    <x v="7"/>
    <x v="4"/>
    <s v="Cash"/>
    <s v="Sunny"/>
  </r>
  <r>
    <s v="WSR-2026-2119"/>
    <d v="2026-08-18T00:00:00"/>
    <x v="7"/>
    <x v="7"/>
    <s v="Tuesday"/>
    <x v="33"/>
    <d v="2026-08-31T00:00:00"/>
    <s v="Summer"/>
    <x v="2"/>
    <x v="5"/>
    <s v="1 Hour"/>
    <n v="1"/>
    <n v="29.12"/>
    <s v="Dry Bag"/>
    <n v="6"/>
    <n v="0"/>
    <n v="35.119999999999997"/>
    <x v="6"/>
    <x v="3"/>
    <s v="Debit Card"/>
    <s v="Sunny"/>
  </r>
  <r>
    <s v="WSR-2026-2120"/>
    <d v="2026-08-18T00:00:00"/>
    <x v="7"/>
    <x v="7"/>
    <s v="Tuesday"/>
    <x v="33"/>
    <d v="2026-08-31T00:00:00"/>
    <s v="Summer"/>
    <x v="2"/>
    <x v="5"/>
    <s v="2 Hours"/>
    <n v="1"/>
    <n v="47.04"/>
    <s v="None"/>
    <n v="0"/>
    <n v="0"/>
    <n v="47.04"/>
    <x v="7"/>
    <x v="0"/>
    <s v="Debit Card"/>
    <s v="Sunny"/>
  </r>
  <r>
    <s v="WSR-2026-2121"/>
    <d v="2026-08-18T00:00:00"/>
    <x v="7"/>
    <x v="7"/>
    <s v="Tuesday"/>
    <x v="33"/>
    <d v="2026-08-31T00:00:00"/>
    <s v="Summer"/>
    <x v="2"/>
    <x v="5"/>
    <s v="2 Hours"/>
    <n v="1"/>
    <n v="47.04"/>
    <s v="None"/>
    <n v="0"/>
    <n v="0"/>
    <n v="47.04"/>
    <x v="0"/>
    <x v="3"/>
    <s v="Debit Card"/>
    <s v="Sunny"/>
  </r>
  <r>
    <s v="WSR-2026-2122"/>
    <d v="2026-08-19T00:00:00"/>
    <x v="7"/>
    <x v="7"/>
    <s v="Wednesday"/>
    <x v="33"/>
    <d v="2026-08-31T00:00:00"/>
    <s v="Summer"/>
    <x v="1"/>
    <x v="1"/>
    <s v="2 Hours"/>
    <n v="1"/>
    <n v="42.56"/>
    <s v="None"/>
    <n v="0"/>
    <n v="0"/>
    <n v="42.56"/>
    <x v="4"/>
    <x v="2"/>
    <s v="Gift Card"/>
    <s v="Sunny"/>
  </r>
  <r>
    <s v="WSR-2026-2123"/>
    <d v="2026-08-19T00:00:00"/>
    <x v="7"/>
    <x v="7"/>
    <s v="Wednesday"/>
    <x v="33"/>
    <d v="2026-08-31T00:00:00"/>
    <s v="Summer"/>
    <x v="3"/>
    <x v="5"/>
    <s v="1 Hour"/>
    <n v="1"/>
    <n v="29.12"/>
    <s v="Dry Bag"/>
    <n v="6"/>
    <n v="0"/>
    <n v="35.119999999999997"/>
    <x v="0"/>
    <x v="1"/>
    <s v="Debit Card"/>
    <s v="Windy"/>
  </r>
  <r>
    <s v="WSR-2026-2124"/>
    <d v="2026-08-19T00:00:00"/>
    <x v="7"/>
    <x v="7"/>
    <s v="Wednesday"/>
    <x v="33"/>
    <d v="2026-08-31T00:00:00"/>
    <s v="Summer"/>
    <x v="1"/>
    <x v="5"/>
    <s v="1 Hour"/>
    <n v="1"/>
    <n v="29.12"/>
    <s v="None"/>
    <n v="0"/>
    <n v="0"/>
    <n v="29.12"/>
    <x v="5"/>
    <x v="1"/>
    <s v="Credit Card"/>
    <s v="Sunny"/>
  </r>
  <r>
    <s v="WSR-2026-2125"/>
    <d v="2026-08-19T00:00:00"/>
    <x v="7"/>
    <x v="7"/>
    <s v="Wednesday"/>
    <x v="33"/>
    <d v="2026-08-31T00:00:00"/>
    <s v="Summer"/>
    <x v="1"/>
    <x v="4"/>
    <s v="Full Day"/>
    <n v="1"/>
    <n v="44.8"/>
    <s v="None"/>
    <n v="0"/>
    <n v="0"/>
    <n v="44.8"/>
    <x v="7"/>
    <x v="3"/>
    <s v="Debit Card"/>
    <s v="Sunny"/>
  </r>
  <r>
    <s v="WSR-2026-2126"/>
    <d v="2026-08-19T00:00:00"/>
    <x v="7"/>
    <x v="7"/>
    <s v="Wednesday"/>
    <x v="33"/>
    <d v="2026-08-31T00:00:00"/>
    <s v="Summer"/>
    <x v="1"/>
    <x v="5"/>
    <s v="1 Hour"/>
    <n v="1"/>
    <n v="29.12"/>
    <s v="Phone Pouch"/>
    <n v="5"/>
    <n v="1.71"/>
    <n v="32.409999999999997"/>
    <x v="9"/>
    <x v="4"/>
    <s v="Cash"/>
    <s v="Sunny"/>
  </r>
  <r>
    <s v="WSR-2026-2127"/>
    <d v="2026-08-19T00:00:00"/>
    <x v="7"/>
    <x v="7"/>
    <s v="Wednesday"/>
    <x v="33"/>
    <d v="2026-08-31T00:00:00"/>
    <s v="Summer"/>
    <x v="2"/>
    <x v="1"/>
    <s v="2 Hours"/>
    <n v="1"/>
    <n v="42.56"/>
    <s v="None"/>
    <n v="0"/>
    <n v="0"/>
    <n v="42.56"/>
    <x v="4"/>
    <x v="3"/>
    <s v="Debit Card"/>
    <s v="Sunny"/>
  </r>
  <r>
    <s v="WSR-2026-2128"/>
    <d v="2026-08-19T00:00:00"/>
    <x v="7"/>
    <x v="7"/>
    <s v="Wednesday"/>
    <x v="33"/>
    <d v="2026-08-31T00:00:00"/>
    <s v="Summer"/>
    <x v="4"/>
    <x v="1"/>
    <s v="2 Hours"/>
    <n v="1"/>
    <n v="42.56"/>
    <s v="None"/>
    <n v="0"/>
    <n v="6.38"/>
    <n v="36.18"/>
    <x v="2"/>
    <x v="4"/>
    <s v="Debit Card"/>
    <s v="Rainy"/>
  </r>
  <r>
    <s v="WSR-2026-2129"/>
    <d v="2026-08-19T00:00:00"/>
    <x v="7"/>
    <x v="7"/>
    <s v="Wednesday"/>
    <x v="33"/>
    <d v="2026-08-31T00:00:00"/>
    <s v="Summer"/>
    <x v="2"/>
    <x v="2"/>
    <s v="Half Day"/>
    <n v="1"/>
    <n v="87.36"/>
    <s v="None"/>
    <n v="0"/>
    <n v="0"/>
    <n v="87.36"/>
    <x v="7"/>
    <x v="3"/>
    <s v="Debit Card"/>
    <s v="Windy"/>
  </r>
  <r>
    <s v="WSR-2026-2130"/>
    <d v="2026-08-19T00:00:00"/>
    <x v="7"/>
    <x v="7"/>
    <s v="Wednesday"/>
    <x v="33"/>
    <d v="2026-08-31T00:00:00"/>
    <s v="Summer"/>
    <x v="0"/>
    <x v="8"/>
    <s v="2 Hours"/>
    <n v="1"/>
    <n v="17.920000000000002"/>
    <s v="None"/>
    <n v="0"/>
    <n v="0"/>
    <n v="17.920000000000002"/>
    <x v="2"/>
    <x v="0"/>
    <s v="Debit Card"/>
    <s v="Cloudy"/>
  </r>
  <r>
    <s v="WSR-2026-2131"/>
    <d v="2026-08-19T00:00:00"/>
    <x v="7"/>
    <x v="7"/>
    <s v="Wednesday"/>
    <x v="33"/>
    <d v="2026-08-31T00:00:00"/>
    <s v="Summer"/>
    <x v="3"/>
    <x v="1"/>
    <s v="Half Day"/>
    <n v="1"/>
    <n v="64.959999999999994"/>
    <s v="None"/>
    <n v="0"/>
    <n v="0"/>
    <n v="64.959999999999994"/>
    <x v="6"/>
    <x v="2"/>
    <s v="Credit Card"/>
    <s v="Cloudy"/>
  </r>
  <r>
    <s v="WSR-2026-2132"/>
    <d v="2026-08-19T00:00:00"/>
    <x v="7"/>
    <x v="7"/>
    <s v="Wednesday"/>
    <x v="33"/>
    <d v="2026-08-31T00:00:00"/>
    <s v="Summer"/>
    <x v="2"/>
    <x v="1"/>
    <s v="2 Hours"/>
    <n v="1"/>
    <n v="42.56"/>
    <s v="None"/>
    <n v="0"/>
    <n v="0"/>
    <n v="42.56"/>
    <x v="9"/>
    <x v="1"/>
    <s v="Credit Card"/>
    <s v="Sunny"/>
  </r>
  <r>
    <s v="WSR-2026-2133"/>
    <d v="2026-08-20T00:00:00"/>
    <x v="7"/>
    <x v="7"/>
    <s v="Thursday"/>
    <x v="33"/>
    <d v="2026-08-31T00:00:00"/>
    <s v="Summer"/>
    <x v="0"/>
    <x v="0"/>
    <s v="Half Day"/>
    <n v="1"/>
    <n v="85.12"/>
    <s v="None"/>
    <n v="0"/>
    <n v="0"/>
    <n v="85.12"/>
    <x v="2"/>
    <x v="3"/>
    <s v="Mobile Pay"/>
    <s v="Sunny"/>
  </r>
  <r>
    <s v="WSR-2026-2134"/>
    <d v="2026-08-20T00:00:00"/>
    <x v="7"/>
    <x v="7"/>
    <s v="Thursday"/>
    <x v="33"/>
    <d v="2026-08-31T00:00:00"/>
    <s v="Summer"/>
    <x v="2"/>
    <x v="4"/>
    <s v="2 Hours"/>
    <n v="1"/>
    <n v="20.16"/>
    <s v="None"/>
    <n v="0"/>
    <n v="0"/>
    <n v="20.16"/>
    <x v="3"/>
    <x v="4"/>
    <s v="Credit Card"/>
    <s v="Sunny"/>
  </r>
  <r>
    <s v="WSR-2026-2135"/>
    <d v="2026-08-20T00:00:00"/>
    <x v="7"/>
    <x v="7"/>
    <s v="Thursday"/>
    <x v="33"/>
    <d v="2026-08-31T00:00:00"/>
    <s v="Summer"/>
    <x v="2"/>
    <x v="5"/>
    <s v="2 Hours"/>
    <n v="1"/>
    <n v="47.04"/>
    <s v="GoPro Mount"/>
    <n v="8"/>
    <n v="0"/>
    <n v="55.04"/>
    <x v="0"/>
    <x v="0"/>
    <s v="Debit Card"/>
    <s v="Sunny"/>
  </r>
  <r>
    <s v="WSR-2026-2136"/>
    <d v="2026-08-20T00:00:00"/>
    <x v="7"/>
    <x v="7"/>
    <s v="Thursday"/>
    <x v="33"/>
    <d v="2026-08-31T00:00:00"/>
    <s v="Summer"/>
    <x v="3"/>
    <x v="5"/>
    <s v="2 Hours"/>
    <n v="1"/>
    <n v="47.04"/>
    <s v="None"/>
    <n v="0"/>
    <n v="0"/>
    <n v="47.04"/>
    <x v="0"/>
    <x v="0"/>
    <s v="Credit Card"/>
    <s v="Sunny"/>
  </r>
  <r>
    <s v="WSR-2026-2137"/>
    <d v="2026-08-20T00:00:00"/>
    <x v="7"/>
    <x v="7"/>
    <s v="Thursday"/>
    <x v="33"/>
    <d v="2026-08-31T00:00:00"/>
    <s v="Summer"/>
    <x v="3"/>
    <x v="3"/>
    <s v="Full Day"/>
    <n v="1"/>
    <n v="85.12"/>
    <s v="GoPro Mount"/>
    <n v="8"/>
    <n v="0"/>
    <n v="93.12"/>
    <x v="4"/>
    <x v="4"/>
    <s v="Mobile Pay"/>
    <s v="Rainy"/>
  </r>
  <r>
    <s v="WSR-2026-2138"/>
    <d v="2026-08-20T00:00:00"/>
    <x v="7"/>
    <x v="7"/>
    <s v="Thursday"/>
    <x v="33"/>
    <d v="2026-08-31T00:00:00"/>
    <s v="Summer"/>
    <x v="0"/>
    <x v="1"/>
    <s v="Half Day"/>
    <n v="1"/>
    <n v="64.959999999999994"/>
    <s v="Cooler Rental"/>
    <n v="10"/>
    <n v="0"/>
    <n v="74.959999999999994"/>
    <x v="8"/>
    <x v="4"/>
    <s v="Credit Card"/>
    <s v="Sunny"/>
  </r>
  <r>
    <s v="WSR-2026-2139"/>
    <d v="2026-08-20T00:00:00"/>
    <x v="7"/>
    <x v="7"/>
    <s v="Thursday"/>
    <x v="33"/>
    <d v="2026-08-31T00:00:00"/>
    <s v="Summer"/>
    <x v="3"/>
    <x v="1"/>
    <s v="Half Day"/>
    <n v="1"/>
    <n v="64.959999999999994"/>
    <s v="Waterproof Speaker"/>
    <n v="12"/>
    <n v="0"/>
    <n v="76.959999999999994"/>
    <x v="4"/>
    <x v="4"/>
    <s v="Credit Card"/>
    <s v="Sunny"/>
  </r>
  <r>
    <s v="WSR-2026-2140"/>
    <d v="2026-08-20T00:00:00"/>
    <x v="7"/>
    <x v="7"/>
    <s v="Thursday"/>
    <x v="33"/>
    <d v="2026-08-31T00:00:00"/>
    <s v="Summer"/>
    <x v="2"/>
    <x v="7"/>
    <s v="Half Day"/>
    <n v="1"/>
    <n v="38.08"/>
    <s v="Phone Pouch"/>
    <n v="5"/>
    <n v="0"/>
    <n v="43.08"/>
    <x v="6"/>
    <x v="0"/>
    <s v="Cash"/>
    <s v="Sunny"/>
  </r>
  <r>
    <s v="WSR-2026-2141"/>
    <d v="2026-08-20T00:00:00"/>
    <x v="7"/>
    <x v="7"/>
    <s v="Thursday"/>
    <x v="33"/>
    <d v="2026-08-31T00:00:00"/>
    <s v="Summer"/>
    <x v="0"/>
    <x v="7"/>
    <s v="1 Hour"/>
    <n v="1"/>
    <n v="15.68"/>
    <s v="Phone Pouch"/>
    <n v="5"/>
    <n v="0"/>
    <n v="20.68"/>
    <x v="2"/>
    <x v="4"/>
    <s v="Mobile Pay"/>
    <s v="Windy"/>
  </r>
  <r>
    <s v="WSR-2026-2142"/>
    <d v="2026-08-21T00:00:00"/>
    <x v="7"/>
    <x v="7"/>
    <s v="Friday"/>
    <x v="33"/>
    <d v="2026-08-31T00:00:00"/>
    <s v="Summer"/>
    <x v="3"/>
    <x v="0"/>
    <s v="Half Day"/>
    <n v="1"/>
    <n v="85.12"/>
    <s v="None"/>
    <n v="0"/>
    <n v="0"/>
    <n v="85.12"/>
    <x v="1"/>
    <x v="1"/>
    <s v="Credit Card"/>
    <s v="Sunny"/>
  </r>
  <r>
    <s v="WSR-2026-2143"/>
    <d v="2026-08-21T00:00:00"/>
    <x v="7"/>
    <x v="7"/>
    <s v="Friday"/>
    <x v="33"/>
    <d v="2026-08-31T00:00:00"/>
    <s v="Summer"/>
    <x v="3"/>
    <x v="2"/>
    <s v="1 Hour"/>
    <n v="1"/>
    <n v="38.08"/>
    <s v="None"/>
    <n v="0"/>
    <n v="0"/>
    <n v="38.08"/>
    <x v="7"/>
    <x v="4"/>
    <s v="Cash"/>
    <s v="Sunny"/>
  </r>
  <r>
    <s v="WSR-2026-2144"/>
    <d v="2026-08-21T00:00:00"/>
    <x v="7"/>
    <x v="7"/>
    <s v="Friday"/>
    <x v="33"/>
    <d v="2026-08-31T00:00:00"/>
    <s v="Summer"/>
    <x v="3"/>
    <x v="8"/>
    <s v="Full Day"/>
    <n v="1"/>
    <n v="38.08"/>
    <s v="None"/>
    <n v="0"/>
    <n v="0"/>
    <n v="38.08"/>
    <x v="6"/>
    <x v="3"/>
    <s v="Credit Card"/>
    <s v="Sunny"/>
  </r>
  <r>
    <s v="WSR-2026-2145"/>
    <d v="2026-08-21T00:00:00"/>
    <x v="7"/>
    <x v="7"/>
    <s v="Friday"/>
    <x v="33"/>
    <d v="2026-08-31T00:00:00"/>
    <s v="Summer"/>
    <x v="0"/>
    <x v="5"/>
    <s v="Half Day"/>
    <n v="1"/>
    <n v="69.44"/>
    <s v="None"/>
    <n v="0"/>
    <n v="0"/>
    <n v="69.44"/>
    <x v="2"/>
    <x v="2"/>
    <s v="Cash"/>
    <s v="Sunny"/>
  </r>
  <r>
    <s v="WSR-2026-2146"/>
    <d v="2026-08-21T00:00:00"/>
    <x v="7"/>
    <x v="7"/>
    <s v="Friday"/>
    <x v="33"/>
    <d v="2026-08-31T00:00:00"/>
    <s v="Summer"/>
    <x v="1"/>
    <x v="1"/>
    <s v="Half Day"/>
    <n v="1"/>
    <n v="64.959999999999994"/>
    <s v="GoPro Mount"/>
    <n v="8"/>
    <n v="0"/>
    <n v="72.959999999999994"/>
    <x v="9"/>
    <x v="3"/>
    <s v="Debit Card"/>
    <s v="Cloudy"/>
  </r>
  <r>
    <s v="WSR-2026-2147"/>
    <d v="2026-08-21T00:00:00"/>
    <x v="7"/>
    <x v="7"/>
    <s v="Friday"/>
    <x v="33"/>
    <d v="2026-08-31T00:00:00"/>
    <s v="Summer"/>
    <x v="0"/>
    <x v="5"/>
    <s v="1 Hour"/>
    <n v="1"/>
    <n v="29.12"/>
    <s v="None"/>
    <n v="0"/>
    <n v="0"/>
    <n v="29.12"/>
    <x v="3"/>
    <x v="1"/>
    <s v="Credit Card"/>
    <s v="Sunny"/>
  </r>
  <r>
    <s v="WSR-2026-2148"/>
    <d v="2026-08-21T00:00:00"/>
    <x v="7"/>
    <x v="7"/>
    <s v="Friday"/>
    <x v="33"/>
    <d v="2026-08-31T00:00:00"/>
    <s v="Summer"/>
    <x v="3"/>
    <x v="5"/>
    <s v="2 Hours"/>
    <n v="1"/>
    <n v="47.04"/>
    <s v="None"/>
    <n v="0"/>
    <n v="0"/>
    <n v="47.04"/>
    <x v="9"/>
    <x v="1"/>
    <s v="Debit Card"/>
    <s v="Sunny"/>
  </r>
  <r>
    <s v="WSR-2026-2149"/>
    <d v="2026-08-21T00:00:00"/>
    <x v="7"/>
    <x v="7"/>
    <s v="Friday"/>
    <x v="33"/>
    <d v="2026-08-31T00:00:00"/>
    <s v="Summer"/>
    <x v="4"/>
    <x v="0"/>
    <s v="Half Day"/>
    <n v="1"/>
    <n v="85.12"/>
    <s v="Phone Pouch"/>
    <n v="5"/>
    <n v="9.01"/>
    <n v="81.11"/>
    <x v="4"/>
    <x v="3"/>
    <s v="Debit Card"/>
    <s v="Sunny"/>
  </r>
  <r>
    <s v="WSR-2026-2150"/>
    <d v="2026-08-21T00:00:00"/>
    <x v="7"/>
    <x v="7"/>
    <s v="Friday"/>
    <x v="33"/>
    <d v="2026-08-31T00:00:00"/>
    <s v="Summer"/>
    <x v="2"/>
    <x v="9"/>
    <s v="1 Hour"/>
    <n v="1"/>
    <n v="33.6"/>
    <s v="Cooler Rental"/>
    <n v="10"/>
    <n v="0"/>
    <n v="43.6"/>
    <x v="7"/>
    <x v="0"/>
    <s v="Credit Card"/>
    <s v="Sunny"/>
  </r>
  <r>
    <s v="WSR-2026-2151"/>
    <d v="2026-08-21T00:00:00"/>
    <x v="7"/>
    <x v="7"/>
    <s v="Friday"/>
    <x v="33"/>
    <d v="2026-08-31T00:00:00"/>
    <s v="Summer"/>
    <x v="3"/>
    <x v="2"/>
    <s v="Half Day"/>
    <n v="1"/>
    <n v="87.36"/>
    <s v="Cooler Rental"/>
    <n v="10"/>
    <n v="4.87"/>
    <n v="92.49"/>
    <x v="8"/>
    <x v="3"/>
    <s v="Credit Card"/>
    <s v="Sunny"/>
  </r>
  <r>
    <s v="WSR-2026-2152"/>
    <d v="2026-08-21T00:00:00"/>
    <x v="7"/>
    <x v="7"/>
    <s v="Friday"/>
    <x v="33"/>
    <d v="2026-08-31T00:00:00"/>
    <s v="Summer"/>
    <x v="0"/>
    <x v="2"/>
    <s v="2 Hours"/>
    <n v="1"/>
    <n v="58.24"/>
    <s v="None"/>
    <n v="0"/>
    <n v="0"/>
    <n v="58.24"/>
    <x v="5"/>
    <x v="4"/>
    <s v="Credit Card"/>
    <s v="Sunny"/>
  </r>
  <r>
    <s v="WSR-2026-2153"/>
    <d v="2026-08-21T00:00:00"/>
    <x v="7"/>
    <x v="7"/>
    <s v="Friday"/>
    <x v="33"/>
    <d v="2026-08-31T00:00:00"/>
    <s v="Summer"/>
    <x v="3"/>
    <x v="5"/>
    <s v="Half Day"/>
    <n v="1"/>
    <n v="69.44"/>
    <s v="Premium Life Jacket"/>
    <n v="7"/>
    <n v="0"/>
    <n v="76.44"/>
    <x v="5"/>
    <x v="1"/>
    <s v="Gift Card"/>
    <s v="Sunny"/>
  </r>
  <r>
    <s v="WSR-2026-2154"/>
    <d v="2026-08-21T00:00:00"/>
    <x v="7"/>
    <x v="7"/>
    <s v="Friday"/>
    <x v="33"/>
    <d v="2026-08-31T00:00:00"/>
    <s v="Summer"/>
    <x v="2"/>
    <x v="0"/>
    <s v="Half Day"/>
    <n v="1"/>
    <n v="85.12"/>
    <s v="Dry Bag"/>
    <n v="6"/>
    <n v="0"/>
    <n v="91.12"/>
    <x v="4"/>
    <x v="4"/>
    <s v="Cash"/>
    <s v="Cloudy"/>
  </r>
  <r>
    <s v="WSR-2026-2155"/>
    <d v="2026-08-21T00:00:00"/>
    <x v="7"/>
    <x v="7"/>
    <s v="Friday"/>
    <x v="33"/>
    <d v="2026-08-31T00:00:00"/>
    <s v="Summer"/>
    <x v="2"/>
    <x v="3"/>
    <s v="2 Hours"/>
    <n v="1"/>
    <n v="40.32"/>
    <s v="Cooler Rental"/>
    <n v="10"/>
    <n v="0"/>
    <n v="50.32"/>
    <x v="6"/>
    <x v="2"/>
    <s v="Credit Card"/>
    <s v="Sunny"/>
  </r>
  <r>
    <s v="WSR-2026-2156"/>
    <d v="2026-08-21T00:00:00"/>
    <x v="7"/>
    <x v="7"/>
    <s v="Friday"/>
    <x v="33"/>
    <d v="2026-08-31T00:00:00"/>
    <s v="Summer"/>
    <x v="2"/>
    <x v="2"/>
    <s v="2 Hours"/>
    <n v="1"/>
    <n v="58.24"/>
    <s v="Dry Bag"/>
    <n v="6"/>
    <n v="0"/>
    <n v="64.239999999999995"/>
    <x v="6"/>
    <x v="2"/>
    <s v="Credit Card"/>
    <s v="Sunny"/>
  </r>
  <r>
    <s v="WSR-2026-2157"/>
    <d v="2026-08-21T00:00:00"/>
    <x v="7"/>
    <x v="7"/>
    <s v="Friday"/>
    <x v="33"/>
    <d v="2026-08-31T00:00:00"/>
    <s v="Summer"/>
    <x v="0"/>
    <x v="3"/>
    <s v="1 Hour"/>
    <n v="1"/>
    <n v="24.64"/>
    <s v="GoPro Mount"/>
    <n v="8"/>
    <n v="0"/>
    <n v="32.64"/>
    <x v="0"/>
    <x v="3"/>
    <s v="Debit Card"/>
    <s v="Sunny"/>
  </r>
  <r>
    <s v="WSR-2026-2158"/>
    <d v="2026-08-21T00:00:00"/>
    <x v="7"/>
    <x v="7"/>
    <s v="Friday"/>
    <x v="33"/>
    <d v="2026-08-31T00:00:00"/>
    <s v="Summer"/>
    <x v="0"/>
    <x v="7"/>
    <s v="2 Hours"/>
    <n v="1"/>
    <n v="24.64"/>
    <s v="Premium Life Jacket"/>
    <n v="7"/>
    <n v="0"/>
    <n v="31.64"/>
    <x v="8"/>
    <x v="1"/>
    <s v="Debit Card"/>
    <s v="Sunny"/>
  </r>
  <r>
    <s v="WSR-2026-2159"/>
    <d v="2026-08-21T00:00:00"/>
    <x v="7"/>
    <x v="7"/>
    <s v="Friday"/>
    <x v="33"/>
    <d v="2026-08-31T00:00:00"/>
    <s v="Summer"/>
    <x v="2"/>
    <x v="5"/>
    <s v="1 Hour"/>
    <n v="1"/>
    <n v="29.12"/>
    <s v="None"/>
    <n v="0"/>
    <n v="0"/>
    <n v="29.12"/>
    <x v="0"/>
    <x v="3"/>
    <s v="Debit Card"/>
    <s v="Sunny"/>
  </r>
  <r>
    <s v="WSR-2026-2160"/>
    <d v="2026-08-21T00:00:00"/>
    <x v="7"/>
    <x v="7"/>
    <s v="Friday"/>
    <x v="33"/>
    <d v="2026-08-31T00:00:00"/>
    <s v="Summer"/>
    <x v="2"/>
    <x v="5"/>
    <s v="1 Hour"/>
    <n v="1"/>
    <n v="29.12"/>
    <s v="None"/>
    <n v="0"/>
    <n v="0"/>
    <n v="29.12"/>
    <x v="2"/>
    <x v="1"/>
    <s v="Debit Card"/>
    <s v="Sunny"/>
  </r>
  <r>
    <s v="WSR-2026-2161"/>
    <d v="2026-08-21T00:00:00"/>
    <x v="7"/>
    <x v="7"/>
    <s v="Friday"/>
    <x v="33"/>
    <d v="2026-08-31T00:00:00"/>
    <s v="Summer"/>
    <x v="0"/>
    <x v="5"/>
    <s v="2 Hours"/>
    <n v="1"/>
    <n v="47.04"/>
    <s v="None"/>
    <n v="0"/>
    <n v="0"/>
    <n v="47.04"/>
    <x v="1"/>
    <x v="3"/>
    <s v="Credit Card"/>
    <s v="Sunny"/>
  </r>
  <r>
    <s v="WSR-2026-2162"/>
    <d v="2026-08-21T00:00:00"/>
    <x v="7"/>
    <x v="7"/>
    <s v="Friday"/>
    <x v="33"/>
    <d v="2026-08-31T00:00:00"/>
    <s v="Summer"/>
    <x v="1"/>
    <x v="5"/>
    <s v="2 Hours"/>
    <n v="1"/>
    <n v="47.04"/>
    <s v="Premium Life Jacket"/>
    <n v="7"/>
    <n v="5.4"/>
    <n v="48.64"/>
    <x v="2"/>
    <x v="1"/>
    <s v="Credit Card"/>
    <s v="Sunny"/>
  </r>
  <r>
    <s v="WSR-2026-2163"/>
    <d v="2026-08-21T00:00:00"/>
    <x v="7"/>
    <x v="7"/>
    <s v="Friday"/>
    <x v="33"/>
    <d v="2026-08-31T00:00:00"/>
    <s v="Summer"/>
    <x v="1"/>
    <x v="7"/>
    <s v="1 Hour"/>
    <n v="1"/>
    <n v="15.68"/>
    <s v="GoPro Mount"/>
    <n v="8"/>
    <n v="2.37"/>
    <n v="21.31"/>
    <x v="5"/>
    <x v="0"/>
    <s v="Cash"/>
    <s v="Sunny"/>
  </r>
  <r>
    <s v="WSR-2026-2164"/>
    <d v="2026-08-21T00:00:00"/>
    <x v="7"/>
    <x v="7"/>
    <s v="Friday"/>
    <x v="33"/>
    <d v="2026-08-31T00:00:00"/>
    <s v="Summer"/>
    <x v="1"/>
    <x v="9"/>
    <s v="1 Hour"/>
    <n v="1"/>
    <n v="33.6"/>
    <s v="Phone Pouch"/>
    <n v="5"/>
    <n v="3.86"/>
    <n v="34.74"/>
    <x v="2"/>
    <x v="4"/>
    <s v="Mobile Pay"/>
    <s v="Cloudy"/>
  </r>
  <r>
    <s v="WSR-2026-2165"/>
    <d v="2026-08-21T00:00:00"/>
    <x v="7"/>
    <x v="7"/>
    <s v="Friday"/>
    <x v="33"/>
    <d v="2026-08-31T00:00:00"/>
    <s v="Summer"/>
    <x v="0"/>
    <x v="1"/>
    <s v="Half Day"/>
    <n v="1"/>
    <n v="64.959999999999994"/>
    <s v="None"/>
    <n v="0"/>
    <n v="0"/>
    <n v="64.959999999999994"/>
    <x v="5"/>
    <x v="4"/>
    <s v="Credit Card"/>
    <s v="Cloudy"/>
  </r>
  <r>
    <s v="WSR-2026-2166"/>
    <d v="2026-08-21T00:00:00"/>
    <x v="7"/>
    <x v="7"/>
    <s v="Friday"/>
    <x v="33"/>
    <d v="2026-08-31T00:00:00"/>
    <s v="Summer"/>
    <x v="3"/>
    <x v="8"/>
    <s v="1 Hour"/>
    <n v="1"/>
    <n v="11.2"/>
    <s v="None"/>
    <n v="0"/>
    <n v="0"/>
    <n v="11.2"/>
    <x v="2"/>
    <x v="2"/>
    <s v="Debit Card"/>
    <s v="Sunny"/>
  </r>
  <r>
    <s v="WSR-2026-2167"/>
    <d v="2026-08-21T00:00:00"/>
    <x v="7"/>
    <x v="7"/>
    <s v="Friday"/>
    <x v="33"/>
    <d v="2026-08-31T00:00:00"/>
    <s v="Summer"/>
    <x v="3"/>
    <x v="3"/>
    <s v="Full Day"/>
    <n v="1"/>
    <n v="85.12"/>
    <s v="Waterproof Speaker"/>
    <n v="12"/>
    <n v="0"/>
    <n v="97.12"/>
    <x v="6"/>
    <x v="4"/>
    <s v="Debit Card"/>
    <s v="Sunny"/>
  </r>
  <r>
    <s v="WSR-2026-2168"/>
    <d v="2026-08-21T00:00:00"/>
    <x v="7"/>
    <x v="7"/>
    <s v="Friday"/>
    <x v="33"/>
    <d v="2026-08-31T00:00:00"/>
    <s v="Summer"/>
    <x v="0"/>
    <x v="5"/>
    <s v="1 Hour"/>
    <n v="1"/>
    <n v="29.12"/>
    <s v="None"/>
    <n v="0"/>
    <n v="0"/>
    <n v="29.12"/>
    <x v="2"/>
    <x v="3"/>
    <s v="Credit Card"/>
    <s v="Sunny"/>
  </r>
  <r>
    <s v="WSR-2026-2169"/>
    <d v="2026-08-21T00:00:00"/>
    <x v="7"/>
    <x v="7"/>
    <s v="Friday"/>
    <x v="33"/>
    <d v="2026-08-31T00:00:00"/>
    <s v="Summer"/>
    <x v="4"/>
    <x v="4"/>
    <s v="1 Hour"/>
    <n v="1"/>
    <n v="13.44"/>
    <s v="None"/>
    <n v="0"/>
    <n v="2.02"/>
    <n v="11.42"/>
    <x v="5"/>
    <x v="4"/>
    <s v="Credit Card"/>
    <s v="Sunny"/>
  </r>
  <r>
    <s v="WSR-2026-2170"/>
    <d v="2026-08-22T00:00:00"/>
    <x v="7"/>
    <x v="7"/>
    <s v="Saturday"/>
    <x v="33"/>
    <d v="2026-08-31T00:00:00"/>
    <s v="Summer"/>
    <x v="0"/>
    <x v="4"/>
    <s v="Half Day"/>
    <n v="1"/>
    <n v="33.6"/>
    <s v="Cooler Rental"/>
    <n v="10"/>
    <n v="0"/>
    <n v="43.6"/>
    <x v="3"/>
    <x v="1"/>
    <s v="Debit Card"/>
    <s v="Cloudy"/>
  </r>
  <r>
    <s v="WSR-2026-2171"/>
    <d v="2026-08-22T00:00:00"/>
    <x v="7"/>
    <x v="7"/>
    <s v="Saturday"/>
    <x v="33"/>
    <d v="2026-08-31T00:00:00"/>
    <s v="Summer"/>
    <x v="2"/>
    <x v="5"/>
    <s v="Full Day"/>
    <n v="1"/>
    <n v="105.6"/>
    <s v="Phone Pouch"/>
    <n v="5"/>
    <n v="0"/>
    <n v="110.6"/>
    <x v="1"/>
    <x v="2"/>
    <s v="Debit Card"/>
    <s v="Sunny"/>
  </r>
  <r>
    <s v="WSR-2026-2172"/>
    <d v="2026-08-22T00:00:00"/>
    <x v="7"/>
    <x v="7"/>
    <s v="Saturday"/>
    <x v="33"/>
    <d v="2026-08-31T00:00:00"/>
    <s v="Summer"/>
    <x v="2"/>
    <x v="2"/>
    <s v="1 Hour"/>
    <n v="1"/>
    <n v="40.799999999999997"/>
    <s v="Dry Bag"/>
    <n v="6"/>
    <n v="0"/>
    <n v="46.8"/>
    <x v="6"/>
    <x v="0"/>
    <s v="Credit Card"/>
    <s v="Cloudy"/>
  </r>
  <r>
    <s v="WSR-2026-2173"/>
    <d v="2026-08-22T00:00:00"/>
    <x v="7"/>
    <x v="7"/>
    <s v="Saturday"/>
    <x v="33"/>
    <d v="2026-08-31T00:00:00"/>
    <s v="Summer"/>
    <x v="0"/>
    <x v="8"/>
    <s v="2 Hours"/>
    <n v="1"/>
    <n v="19.2"/>
    <s v="GoPro Mount"/>
    <n v="8"/>
    <n v="0"/>
    <n v="27.2"/>
    <x v="6"/>
    <x v="0"/>
    <s v="Mobile Pay"/>
    <s v="Sunny"/>
  </r>
  <r>
    <s v="WSR-2026-2174"/>
    <d v="2026-08-22T00:00:00"/>
    <x v="7"/>
    <x v="7"/>
    <s v="Saturday"/>
    <x v="33"/>
    <d v="2026-08-31T00:00:00"/>
    <s v="Summer"/>
    <x v="2"/>
    <x v="5"/>
    <s v="2 Hours"/>
    <n v="1"/>
    <n v="50.4"/>
    <s v="GoPro Mount"/>
    <n v="8"/>
    <n v="0"/>
    <n v="58.4"/>
    <x v="7"/>
    <x v="3"/>
    <s v="Credit Card"/>
    <s v="Sunny"/>
  </r>
  <r>
    <s v="WSR-2026-2175"/>
    <d v="2026-08-22T00:00:00"/>
    <x v="7"/>
    <x v="7"/>
    <s v="Saturday"/>
    <x v="33"/>
    <d v="2026-08-31T00:00:00"/>
    <s v="Summer"/>
    <x v="2"/>
    <x v="3"/>
    <s v="Half Day"/>
    <n v="1"/>
    <n v="64.8"/>
    <s v="None"/>
    <n v="0"/>
    <n v="3.24"/>
    <n v="61.56"/>
    <x v="0"/>
    <x v="2"/>
    <s v="Debit Card"/>
    <s v="Sunny"/>
  </r>
  <r>
    <s v="WSR-2026-2176"/>
    <d v="2026-08-22T00:00:00"/>
    <x v="7"/>
    <x v="7"/>
    <s v="Saturday"/>
    <x v="33"/>
    <d v="2026-08-31T00:00:00"/>
    <s v="Summer"/>
    <x v="2"/>
    <x v="4"/>
    <s v="1 Hour"/>
    <n v="1"/>
    <n v="14.4"/>
    <s v="None"/>
    <n v="0"/>
    <n v="0"/>
    <n v="14.4"/>
    <x v="2"/>
    <x v="0"/>
    <s v="Credit Card"/>
    <s v="Cloudy"/>
  </r>
  <r>
    <s v="WSR-2026-2177"/>
    <d v="2026-08-22T00:00:00"/>
    <x v="7"/>
    <x v="7"/>
    <s v="Saturday"/>
    <x v="33"/>
    <d v="2026-08-31T00:00:00"/>
    <s v="Summer"/>
    <x v="0"/>
    <x v="2"/>
    <s v="Half Day"/>
    <n v="1"/>
    <n v="93.6"/>
    <s v="None"/>
    <n v="0"/>
    <n v="0"/>
    <n v="93.6"/>
    <x v="5"/>
    <x v="4"/>
    <s v="Credit Card"/>
    <s v="Sunny"/>
  </r>
  <r>
    <s v="WSR-2026-2178"/>
    <d v="2026-08-22T00:00:00"/>
    <x v="7"/>
    <x v="7"/>
    <s v="Saturday"/>
    <x v="33"/>
    <d v="2026-08-31T00:00:00"/>
    <s v="Summer"/>
    <x v="2"/>
    <x v="2"/>
    <s v="1 Hour"/>
    <n v="1"/>
    <n v="40.799999999999997"/>
    <s v="Phone Pouch"/>
    <n v="5"/>
    <n v="0"/>
    <n v="45.8"/>
    <x v="9"/>
    <x v="4"/>
    <s v="Credit Card"/>
    <s v="Sunny"/>
  </r>
  <r>
    <s v="WSR-2026-2179"/>
    <d v="2026-08-22T00:00:00"/>
    <x v="7"/>
    <x v="7"/>
    <s v="Saturday"/>
    <x v="33"/>
    <d v="2026-08-31T00:00:00"/>
    <s v="Summer"/>
    <x v="0"/>
    <x v="1"/>
    <s v="Full Day"/>
    <n v="1"/>
    <n v="100.8"/>
    <s v="Phone Pouch"/>
    <n v="5"/>
    <n v="0"/>
    <n v="105.8"/>
    <x v="2"/>
    <x v="3"/>
    <s v="Cash"/>
    <s v="Sunny"/>
  </r>
  <r>
    <s v="WSR-2026-2180"/>
    <d v="2026-08-22T00:00:00"/>
    <x v="7"/>
    <x v="7"/>
    <s v="Saturday"/>
    <x v="33"/>
    <d v="2026-08-31T00:00:00"/>
    <s v="Summer"/>
    <x v="3"/>
    <x v="1"/>
    <s v="2 Hours"/>
    <n v="1"/>
    <n v="45.6"/>
    <s v="Dry Bag"/>
    <n v="6"/>
    <n v="0"/>
    <n v="51.6"/>
    <x v="8"/>
    <x v="2"/>
    <s v="Gift Card"/>
    <s v="Sunny"/>
  </r>
  <r>
    <s v="WSR-2026-2181"/>
    <d v="2026-08-22T00:00:00"/>
    <x v="7"/>
    <x v="7"/>
    <s v="Saturday"/>
    <x v="33"/>
    <d v="2026-08-31T00:00:00"/>
    <s v="Summer"/>
    <x v="1"/>
    <x v="1"/>
    <s v="1 Hour"/>
    <n v="1"/>
    <n v="28.8"/>
    <s v="Phone Pouch"/>
    <n v="5"/>
    <n v="0"/>
    <n v="33.799999999999997"/>
    <x v="1"/>
    <x v="0"/>
    <s v="Debit Card"/>
    <s v="Sunny"/>
  </r>
  <r>
    <s v="WSR-2026-2182"/>
    <d v="2026-08-22T00:00:00"/>
    <x v="7"/>
    <x v="7"/>
    <s v="Saturday"/>
    <x v="33"/>
    <d v="2026-08-31T00:00:00"/>
    <s v="Summer"/>
    <x v="2"/>
    <x v="4"/>
    <s v="1 Hour"/>
    <n v="1"/>
    <n v="14.4"/>
    <s v="None"/>
    <n v="0"/>
    <n v="0"/>
    <n v="14.4"/>
    <x v="9"/>
    <x v="4"/>
    <s v="Debit Card"/>
    <s v="Sunny"/>
  </r>
  <r>
    <s v="WSR-2026-2183"/>
    <d v="2026-08-22T00:00:00"/>
    <x v="7"/>
    <x v="7"/>
    <s v="Saturday"/>
    <x v="33"/>
    <d v="2026-08-31T00:00:00"/>
    <s v="Summer"/>
    <x v="2"/>
    <x v="4"/>
    <s v="2 Hours"/>
    <n v="1"/>
    <n v="21.6"/>
    <s v="None"/>
    <n v="0"/>
    <n v="0"/>
    <n v="21.6"/>
    <x v="5"/>
    <x v="4"/>
    <s v="Credit Card"/>
    <s v="Windy"/>
  </r>
  <r>
    <s v="WSR-2026-2184"/>
    <d v="2026-08-22T00:00:00"/>
    <x v="7"/>
    <x v="7"/>
    <s v="Saturday"/>
    <x v="33"/>
    <d v="2026-08-31T00:00:00"/>
    <s v="Summer"/>
    <x v="3"/>
    <x v="0"/>
    <s v="1 Hour"/>
    <n v="1"/>
    <n v="38.4"/>
    <s v="None"/>
    <n v="0"/>
    <n v="1.92"/>
    <n v="36.479999999999997"/>
    <x v="4"/>
    <x v="2"/>
    <s v="Credit Card"/>
    <s v="Sunny"/>
  </r>
  <r>
    <s v="WSR-2026-2185"/>
    <d v="2026-08-22T00:00:00"/>
    <x v="7"/>
    <x v="7"/>
    <s v="Saturday"/>
    <x v="33"/>
    <d v="2026-08-31T00:00:00"/>
    <s v="Summer"/>
    <x v="0"/>
    <x v="5"/>
    <s v="2 Hours"/>
    <n v="1"/>
    <n v="50.4"/>
    <s v="Premium Life Jacket"/>
    <n v="7"/>
    <n v="0"/>
    <n v="57.4"/>
    <x v="5"/>
    <x v="0"/>
    <s v="Mobile Pay"/>
    <s v="Sunny"/>
  </r>
  <r>
    <s v="WSR-2026-2186"/>
    <d v="2026-08-22T00:00:00"/>
    <x v="7"/>
    <x v="7"/>
    <s v="Saturday"/>
    <x v="33"/>
    <d v="2026-08-31T00:00:00"/>
    <s v="Summer"/>
    <x v="0"/>
    <x v="5"/>
    <s v="Half Day"/>
    <n v="1"/>
    <n v="74.400000000000006"/>
    <s v="None"/>
    <n v="0"/>
    <n v="0"/>
    <n v="74.400000000000006"/>
    <x v="8"/>
    <x v="4"/>
    <s v="Credit Card"/>
    <s v="Sunny"/>
  </r>
  <r>
    <s v="WSR-2026-2187"/>
    <d v="2026-08-22T00:00:00"/>
    <x v="7"/>
    <x v="7"/>
    <s v="Saturday"/>
    <x v="33"/>
    <d v="2026-08-31T00:00:00"/>
    <s v="Summer"/>
    <x v="1"/>
    <x v="1"/>
    <s v="Half Day"/>
    <n v="1"/>
    <n v="69.599999999999994"/>
    <s v="Dry Bag"/>
    <n v="6"/>
    <n v="3.78"/>
    <n v="71.819999999999993"/>
    <x v="8"/>
    <x v="2"/>
    <s v="Gift Card"/>
    <s v="Cloudy"/>
  </r>
  <r>
    <s v="WSR-2026-2188"/>
    <d v="2026-08-22T00:00:00"/>
    <x v="7"/>
    <x v="7"/>
    <s v="Saturday"/>
    <x v="33"/>
    <d v="2026-08-31T00:00:00"/>
    <s v="Summer"/>
    <x v="4"/>
    <x v="1"/>
    <s v="1 Hour"/>
    <n v="1"/>
    <n v="28.8"/>
    <s v="Phone Pouch"/>
    <n v="5"/>
    <n v="3.38"/>
    <n v="30.42"/>
    <x v="1"/>
    <x v="3"/>
    <s v="Credit Card"/>
    <s v="Cloudy"/>
  </r>
  <r>
    <s v="WSR-2026-2189"/>
    <d v="2026-08-22T00:00:00"/>
    <x v="7"/>
    <x v="7"/>
    <s v="Saturday"/>
    <x v="33"/>
    <d v="2026-08-31T00:00:00"/>
    <s v="Summer"/>
    <x v="2"/>
    <x v="1"/>
    <s v="Full Day"/>
    <n v="1"/>
    <n v="100.8"/>
    <s v="None"/>
    <n v="0"/>
    <n v="0"/>
    <n v="100.8"/>
    <x v="7"/>
    <x v="4"/>
    <s v="Credit Card"/>
    <s v="Windy"/>
  </r>
  <r>
    <s v="WSR-2026-2190"/>
    <d v="2026-08-22T00:00:00"/>
    <x v="7"/>
    <x v="7"/>
    <s v="Saturday"/>
    <x v="33"/>
    <d v="2026-08-31T00:00:00"/>
    <s v="Summer"/>
    <x v="0"/>
    <x v="1"/>
    <s v="Full Day"/>
    <n v="1"/>
    <n v="100.8"/>
    <s v="Waterproof Speaker"/>
    <n v="12"/>
    <n v="0"/>
    <n v="112.8"/>
    <x v="7"/>
    <x v="1"/>
    <s v="Credit Card"/>
    <s v="Cloudy"/>
  </r>
  <r>
    <s v="WSR-2026-2191"/>
    <d v="2026-08-22T00:00:00"/>
    <x v="7"/>
    <x v="7"/>
    <s v="Saturday"/>
    <x v="33"/>
    <d v="2026-08-31T00:00:00"/>
    <s v="Summer"/>
    <x v="4"/>
    <x v="1"/>
    <s v="Half Day"/>
    <n v="1"/>
    <n v="69.599999999999994"/>
    <s v="None"/>
    <n v="0"/>
    <n v="6.96"/>
    <n v="62.64"/>
    <x v="5"/>
    <x v="2"/>
    <s v="Cash"/>
    <s v="Windy"/>
  </r>
  <r>
    <s v="WSR-2026-2192"/>
    <d v="2026-08-22T00:00:00"/>
    <x v="7"/>
    <x v="7"/>
    <s v="Saturday"/>
    <x v="33"/>
    <d v="2026-08-31T00:00:00"/>
    <s v="Summer"/>
    <x v="2"/>
    <x v="3"/>
    <s v="Full Day"/>
    <n v="1"/>
    <n v="91.2"/>
    <s v="Dry Bag"/>
    <n v="6"/>
    <n v="4.8600000000000003"/>
    <n v="92.34"/>
    <x v="2"/>
    <x v="4"/>
    <s v="Debit Card"/>
    <s v="Sunny"/>
  </r>
  <r>
    <s v="WSR-2026-2193"/>
    <d v="2026-08-22T00:00:00"/>
    <x v="7"/>
    <x v="7"/>
    <s v="Saturday"/>
    <x v="33"/>
    <d v="2026-08-31T00:00:00"/>
    <s v="Summer"/>
    <x v="2"/>
    <x v="3"/>
    <s v="1 Hour"/>
    <n v="1"/>
    <n v="26.4"/>
    <s v="None"/>
    <n v="0"/>
    <n v="1.32"/>
    <n v="25.08"/>
    <x v="4"/>
    <x v="2"/>
    <s v="Cash"/>
    <s v="Sunny"/>
  </r>
  <r>
    <s v="WSR-2026-2194"/>
    <d v="2026-08-22T00:00:00"/>
    <x v="7"/>
    <x v="7"/>
    <s v="Saturday"/>
    <x v="33"/>
    <d v="2026-08-31T00:00:00"/>
    <s v="Summer"/>
    <x v="1"/>
    <x v="5"/>
    <s v="Half Day"/>
    <n v="1"/>
    <n v="74.400000000000006"/>
    <s v="None"/>
    <n v="0"/>
    <n v="3.72"/>
    <n v="70.680000000000007"/>
    <x v="4"/>
    <x v="4"/>
    <s v="Cash"/>
    <s v="Sunny"/>
  </r>
  <r>
    <s v="WSR-2026-2195"/>
    <d v="2026-08-22T00:00:00"/>
    <x v="7"/>
    <x v="7"/>
    <s v="Saturday"/>
    <x v="33"/>
    <d v="2026-08-31T00:00:00"/>
    <s v="Summer"/>
    <x v="3"/>
    <x v="5"/>
    <s v="2 Hours"/>
    <n v="1"/>
    <n v="50.4"/>
    <s v="None"/>
    <n v="0"/>
    <n v="0"/>
    <n v="50.4"/>
    <x v="7"/>
    <x v="0"/>
    <s v="Cash"/>
    <s v="Sunny"/>
  </r>
  <r>
    <s v="WSR-2026-2196"/>
    <d v="2026-08-22T00:00:00"/>
    <x v="7"/>
    <x v="7"/>
    <s v="Saturday"/>
    <x v="33"/>
    <d v="2026-08-31T00:00:00"/>
    <s v="Summer"/>
    <x v="2"/>
    <x v="0"/>
    <s v="2 Hours"/>
    <n v="1"/>
    <n v="60"/>
    <s v="GoPro Mount"/>
    <n v="8"/>
    <n v="0"/>
    <n v="68"/>
    <x v="2"/>
    <x v="4"/>
    <s v="Credit Card"/>
    <s v="Cloudy"/>
  </r>
  <r>
    <s v="WSR-2026-2197"/>
    <d v="2026-08-22T00:00:00"/>
    <x v="7"/>
    <x v="7"/>
    <s v="Saturday"/>
    <x v="33"/>
    <d v="2026-08-31T00:00:00"/>
    <s v="Summer"/>
    <x v="3"/>
    <x v="9"/>
    <s v="1 Hour"/>
    <n v="1"/>
    <n v="36"/>
    <s v="None"/>
    <n v="0"/>
    <n v="0"/>
    <n v="36"/>
    <x v="7"/>
    <x v="3"/>
    <s v="Credit Card"/>
    <s v="Windy"/>
  </r>
  <r>
    <s v="WSR-2026-2198"/>
    <d v="2026-08-23T00:00:00"/>
    <x v="7"/>
    <x v="7"/>
    <s v="Sunday"/>
    <x v="34"/>
    <d v="2026-08-31T00:00:00"/>
    <s v="Summer"/>
    <x v="3"/>
    <x v="4"/>
    <s v="2 Hours"/>
    <n v="1"/>
    <n v="21.6"/>
    <s v="Phone Pouch"/>
    <n v="5"/>
    <n v="0"/>
    <n v="26.6"/>
    <x v="6"/>
    <x v="0"/>
    <s v="Cash"/>
    <s v="Windy"/>
  </r>
  <r>
    <s v="WSR-2026-2199"/>
    <d v="2026-08-23T00:00:00"/>
    <x v="7"/>
    <x v="7"/>
    <s v="Sunday"/>
    <x v="34"/>
    <d v="2026-08-31T00:00:00"/>
    <s v="Summer"/>
    <x v="2"/>
    <x v="2"/>
    <s v="2 Hours"/>
    <n v="1"/>
    <n v="62.4"/>
    <s v="None"/>
    <n v="0"/>
    <n v="0"/>
    <n v="62.4"/>
    <x v="3"/>
    <x v="1"/>
    <s v="Credit Card"/>
    <s v="Sunny"/>
  </r>
  <r>
    <s v="WSR-2026-2200"/>
    <d v="2026-08-23T00:00:00"/>
    <x v="7"/>
    <x v="7"/>
    <s v="Sunday"/>
    <x v="34"/>
    <d v="2026-08-31T00:00:00"/>
    <s v="Summer"/>
    <x v="1"/>
    <x v="8"/>
    <s v="1 Hour"/>
    <n v="1"/>
    <n v="12"/>
    <s v="None"/>
    <n v="0"/>
    <n v="1.2"/>
    <n v="10.8"/>
    <x v="7"/>
    <x v="1"/>
    <s v="Credit Card"/>
    <s v="Sunny"/>
  </r>
  <r>
    <s v="WSR-2026-2201"/>
    <d v="2026-08-23T00:00:00"/>
    <x v="7"/>
    <x v="7"/>
    <s v="Sunday"/>
    <x v="34"/>
    <d v="2026-08-31T00:00:00"/>
    <s v="Summer"/>
    <x v="2"/>
    <x v="3"/>
    <s v="1 Hour"/>
    <n v="1"/>
    <n v="26.4"/>
    <s v="None"/>
    <n v="0"/>
    <n v="0"/>
    <n v="26.4"/>
    <x v="1"/>
    <x v="3"/>
    <s v="Debit Card"/>
    <s v="Sunny"/>
  </r>
  <r>
    <s v="WSR-2026-2202"/>
    <d v="2026-08-23T00:00:00"/>
    <x v="7"/>
    <x v="7"/>
    <s v="Sunday"/>
    <x v="34"/>
    <d v="2026-08-31T00:00:00"/>
    <s v="Summer"/>
    <x v="1"/>
    <x v="2"/>
    <s v="1 Hour"/>
    <n v="1"/>
    <n v="40.799999999999997"/>
    <s v="None"/>
    <n v="0"/>
    <n v="0"/>
    <n v="40.799999999999997"/>
    <x v="1"/>
    <x v="0"/>
    <s v="Credit Card"/>
    <s v="Sunny"/>
  </r>
  <r>
    <s v="WSR-2026-2203"/>
    <d v="2026-08-23T00:00:00"/>
    <x v="7"/>
    <x v="7"/>
    <s v="Sunday"/>
    <x v="34"/>
    <d v="2026-08-31T00:00:00"/>
    <s v="Summer"/>
    <x v="3"/>
    <x v="5"/>
    <s v="1 Hour"/>
    <n v="1"/>
    <n v="31.2"/>
    <s v="Phone Pouch"/>
    <n v="5"/>
    <n v="0"/>
    <n v="36.200000000000003"/>
    <x v="2"/>
    <x v="1"/>
    <s v="Credit Card"/>
    <s v="Sunny"/>
  </r>
  <r>
    <s v="WSR-2026-2204"/>
    <d v="2026-08-23T00:00:00"/>
    <x v="7"/>
    <x v="7"/>
    <s v="Sunday"/>
    <x v="34"/>
    <d v="2026-08-31T00:00:00"/>
    <s v="Summer"/>
    <x v="3"/>
    <x v="5"/>
    <s v="1 Hour"/>
    <n v="1"/>
    <n v="31.2"/>
    <s v="Dry Bag"/>
    <n v="6"/>
    <n v="0"/>
    <n v="37.200000000000003"/>
    <x v="6"/>
    <x v="0"/>
    <s v="Credit Card"/>
    <s v="Sunny"/>
  </r>
  <r>
    <s v="WSR-2026-2205"/>
    <d v="2026-08-23T00:00:00"/>
    <x v="7"/>
    <x v="7"/>
    <s v="Sunday"/>
    <x v="34"/>
    <d v="2026-08-31T00:00:00"/>
    <s v="Summer"/>
    <x v="1"/>
    <x v="5"/>
    <s v="2 Hours"/>
    <n v="1"/>
    <n v="50.4"/>
    <s v="None"/>
    <n v="0"/>
    <n v="5.04"/>
    <n v="45.36"/>
    <x v="5"/>
    <x v="4"/>
    <s v="Credit Card"/>
    <s v="Sunny"/>
  </r>
  <r>
    <s v="WSR-2026-2206"/>
    <d v="2026-08-23T00:00:00"/>
    <x v="7"/>
    <x v="7"/>
    <s v="Sunday"/>
    <x v="34"/>
    <d v="2026-08-31T00:00:00"/>
    <s v="Summer"/>
    <x v="2"/>
    <x v="5"/>
    <s v="2 Hours"/>
    <n v="1"/>
    <n v="50.4"/>
    <s v="None"/>
    <n v="0"/>
    <n v="0"/>
    <n v="50.4"/>
    <x v="0"/>
    <x v="4"/>
    <s v="Debit Card"/>
    <s v="Sunny"/>
  </r>
  <r>
    <s v="WSR-2026-2207"/>
    <d v="2026-08-23T00:00:00"/>
    <x v="7"/>
    <x v="7"/>
    <s v="Sunday"/>
    <x v="34"/>
    <d v="2026-08-31T00:00:00"/>
    <s v="Summer"/>
    <x v="1"/>
    <x v="1"/>
    <s v="Half Day"/>
    <n v="1"/>
    <n v="69.599999999999994"/>
    <s v="Phone Pouch"/>
    <n v="5"/>
    <n v="0"/>
    <n v="74.599999999999994"/>
    <x v="6"/>
    <x v="1"/>
    <s v="Credit Card"/>
    <s v="Sunny"/>
  </r>
  <r>
    <s v="WSR-2026-2208"/>
    <d v="2026-08-23T00:00:00"/>
    <x v="7"/>
    <x v="7"/>
    <s v="Sunday"/>
    <x v="34"/>
    <d v="2026-08-31T00:00:00"/>
    <s v="Summer"/>
    <x v="2"/>
    <x v="7"/>
    <s v="1 Hour"/>
    <n v="1"/>
    <n v="16.8"/>
    <s v="None"/>
    <n v="0"/>
    <n v="0"/>
    <n v="16.8"/>
    <x v="4"/>
    <x v="3"/>
    <s v="Credit Card"/>
    <s v="Sunny"/>
  </r>
  <r>
    <s v="WSR-2026-2209"/>
    <d v="2026-08-23T00:00:00"/>
    <x v="7"/>
    <x v="7"/>
    <s v="Sunday"/>
    <x v="34"/>
    <d v="2026-08-31T00:00:00"/>
    <s v="Summer"/>
    <x v="1"/>
    <x v="3"/>
    <s v="Full Day"/>
    <n v="1"/>
    <n v="91.2"/>
    <s v="None"/>
    <n v="0"/>
    <n v="4.5599999999999996"/>
    <n v="86.64"/>
    <x v="6"/>
    <x v="2"/>
    <s v="Credit Card"/>
    <s v="Sunny"/>
  </r>
  <r>
    <s v="WSR-2026-2210"/>
    <d v="2026-08-23T00:00:00"/>
    <x v="7"/>
    <x v="7"/>
    <s v="Sunday"/>
    <x v="34"/>
    <d v="2026-08-31T00:00:00"/>
    <s v="Summer"/>
    <x v="3"/>
    <x v="1"/>
    <s v="Half Day"/>
    <n v="1"/>
    <n v="69.599999999999994"/>
    <s v="None"/>
    <n v="0"/>
    <n v="3.48"/>
    <n v="66.12"/>
    <x v="3"/>
    <x v="0"/>
    <s v="Credit Card"/>
    <s v="Sunny"/>
  </r>
  <r>
    <s v="WSR-2026-2211"/>
    <d v="2026-08-23T00:00:00"/>
    <x v="7"/>
    <x v="7"/>
    <s v="Sunday"/>
    <x v="34"/>
    <d v="2026-08-31T00:00:00"/>
    <s v="Summer"/>
    <x v="1"/>
    <x v="1"/>
    <s v="1 Hour"/>
    <n v="1"/>
    <n v="28.8"/>
    <s v="None"/>
    <n v="0"/>
    <n v="0"/>
    <n v="28.8"/>
    <x v="4"/>
    <x v="3"/>
    <s v="Credit Card"/>
    <s v="Sunny"/>
  </r>
  <r>
    <s v="WSR-2026-2212"/>
    <d v="2026-08-23T00:00:00"/>
    <x v="7"/>
    <x v="7"/>
    <s v="Sunday"/>
    <x v="34"/>
    <d v="2026-08-31T00:00:00"/>
    <s v="Summer"/>
    <x v="4"/>
    <x v="1"/>
    <s v="1 Hour"/>
    <n v="1"/>
    <n v="28.8"/>
    <s v="None"/>
    <n v="0"/>
    <n v="2.88"/>
    <n v="25.92"/>
    <x v="4"/>
    <x v="2"/>
    <s v="Credit Card"/>
    <s v="Sunny"/>
  </r>
  <r>
    <s v="WSR-2026-2213"/>
    <d v="2026-08-23T00:00:00"/>
    <x v="7"/>
    <x v="7"/>
    <s v="Sunday"/>
    <x v="34"/>
    <d v="2026-08-31T00:00:00"/>
    <s v="Summer"/>
    <x v="0"/>
    <x v="3"/>
    <s v="1 Hour"/>
    <n v="1"/>
    <n v="26.4"/>
    <s v="Dry Bag"/>
    <n v="6"/>
    <n v="1.62"/>
    <n v="30.78"/>
    <x v="5"/>
    <x v="2"/>
    <s v="Credit Card"/>
    <s v="Sunny"/>
  </r>
  <r>
    <s v="WSR-2026-2214"/>
    <d v="2026-08-23T00:00:00"/>
    <x v="7"/>
    <x v="7"/>
    <s v="Sunday"/>
    <x v="34"/>
    <d v="2026-08-31T00:00:00"/>
    <s v="Summer"/>
    <x v="3"/>
    <x v="2"/>
    <s v="1 Hour"/>
    <n v="1"/>
    <n v="40.799999999999997"/>
    <s v="None"/>
    <n v="0"/>
    <n v="0"/>
    <n v="40.799999999999997"/>
    <x v="9"/>
    <x v="1"/>
    <s v="Cash"/>
    <s v="Sunny"/>
  </r>
  <r>
    <s v="WSR-2026-2215"/>
    <d v="2026-08-23T00:00:00"/>
    <x v="7"/>
    <x v="7"/>
    <s v="Sunday"/>
    <x v="34"/>
    <d v="2026-08-31T00:00:00"/>
    <s v="Summer"/>
    <x v="1"/>
    <x v="4"/>
    <s v="1 Hour"/>
    <n v="1"/>
    <n v="14.4"/>
    <s v="None"/>
    <n v="0"/>
    <n v="0.72"/>
    <n v="13.68"/>
    <x v="3"/>
    <x v="2"/>
    <s v="Credit Card"/>
    <s v="Sunny"/>
  </r>
  <r>
    <s v="WSR-2026-2216"/>
    <d v="2026-08-23T00:00:00"/>
    <x v="7"/>
    <x v="7"/>
    <s v="Sunday"/>
    <x v="34"/>
    <d v="2026-08-31T00:00:00"/>
    <s v="Summer"/>
    <x v="2"/>
    <x v="2"/>
    <s v="Half Day"/>
    <n v="1"/>
    <n v="93.6"/>
    <s v="None"/>
    <n v="0"/>
    <n v="4.68"/>
    <n v="88.92"/>
    <x v="3"/>
    <x v="3"/>
    <s v="Credit Card"/>
    <s v="Sunny"/>
  </r>
  <r>
    <s v="WSR-2026-2217"/>
    <d v="2026-08-23T00:00:00"/>
    <x v="7"/>
    <x v="7"/>
    <s v="Sunday"/>
    <x v="34"/>
    <d v="2026-08-31T00:00:00"/>
    <s v="Summer"/>
    <x v="1"/>
    <x v="1"/>
    <s v="1 Hour"/>
    <n v="1"/>
    <n v="28.8"/>
    <s v="Premium Life Jacket"/>
    <n v="7"/>
    <n v="0"/>
    <n v="35.799999999999997"/>
    <x v="2"/>
    <x v="4"/>
    <s v="Debit Card"/>
    <s v="Sunny"/>
  </r>
  <r>
    <s v="WSR-2026-2218"/>
    <d v="2026-08-23T00:00:00"/>
    <x v="7"/>
    <x v="7"/>
    <s v="Sunday"/>
    <x v="34"/>
    <d v="2026-08-31T00:00:00"/>
    <s v="Summer"/>
    <x v="3"/>
    <x v="0"/>
    <s v="Half Day"/>
    <n v="1"/>
    <n v="91.2"/>
    <s v="Dry Bag"/>
    <n v="6"/>
    <n v="0"/>
    <n v="97.2"/>
    <x v="9"/>
    <x v="3"/>
    <s v="Debit Card"/>
    <s v="Sunny"/>
  </r>
  <r>
    <s v="WSR-2026-2219"/>
    <d v="2026-08-23T00:00:00"/>
    <x v="7"/>
    <x v="7"/>
    <s v="Sunday"/>
    <x v="34"/>
    <d v="2026-08-31T00:00:00"/>
    <s v="Summer"/>
    <x v="2"/>
    <x v="5"/>
    <s v="Half Day"/>
    <n v="1"/>
    <n v="74.400000000000006"/>
    <s v="None"/>
    <n v="0"/>
    <n v="0"/>
    <n v="74.400000000000006"/>
    <x v="6"/>
    <x v="0"/>
    <s v="Cash"/>
    <s v="Sunny"/>
  </r>
  <r>
    <s v="WSR-2026-2220"/>
    <d v="2026-08-24T00:00:00"/>
    <x v="7"/>
    <x v="7"/>
    <s v="Monday"/>
    <x v="34"/>
    <d v="2026-08-31T00:00:00"/>
    <s v="Summer"/>
    <x v="1"/>
    <x v="1"/>
    <s v="2 Hours"/>
    <n v="1"/>
    <n v="42.56"/>
    <s v="Premium Life Jacket"/>
    <n v="7"/>
    <n v="2.48"/>
    <n v="47.08"/>
    <x v="7"/>
    <x v="3"/>
    <s v="Credit Card"/>
    <s v="Windy"/>
  </r>
  <r>
    <s v="WSR-2026-2221"/>
    <d v="2026-08-24T00:00:00"/>
    <x v="7"/>
    <x v="7"/>
    <s v="Monday"/>
    <x v="34"/>
    <d v="2026-08-31T00:00:00"/>
    <s v="Summer"/>
    <x v="2"/>
    <x v="5"/>
    <s v="1 Hour"/>
    <n v="1"/>
    <n v="29.12"/>
    <s v="Premium Life Jacket"/>
    <n v="7"/>
    <n v="0"/>
    <n v="36.119999999999997"/>
    <x v="9"/>
    <x v="3"/>
    <s v="Debit Card"/>
    <s v="Sunny"/>
  </r>
  <r>
    <s v="WSR-2026-2222"/>
    <d v="2026-08-24T00:00:00"/>
    <x v="7"/>
    <x v="7"/>
    <s v="Monday"/>
    <x v="34"/>
    <d v="2026-08-31T00:00:00"/>
    <s v="Summer"/>
    <x v="1"/>
    <x v="6"/>
    <s v="Half Day"/>
    <n v="1"/>
    <n v="96.32"/>
    <s v="Waterproof Speaker"/>
    <n v="12"/>
    <n v="5.42"/>
    <n v="102.9"/>
    <x v="2"/>
    <x v="0"/>
    <s v="Debit Card"/>
    <s v="Sunny"/>
  </r>
  <r>
    <s v="WSR-2026-2223"/>
    <d v="2026-08-24T00:00:00"/>
    <x v="7"/>
    <x v="7"/>
    <s v="Monday"/>
    <x v="34"/>
    <d v="2026-08-31T00:00:00"/>
    <s v="Summer"/>
    <x v="0"/>
    <x v="3"/>
    <s v="Half Day"/>
    <n v="1"/>
    <n v="60.48"/>
    <s v="None"/>
    <n v="0"/>
    <n v="0"/>
    <n v="60.48"/>
    <x v="0"/>
    <x v="3"/>
    <s v="Debit Card"/>
    <s v="Sunny"/>
  </r>
  <r>
    <s v="WSR-2026-2224"/>
    <d v="2026-08-24T00:00:00"/>
    <x v="7"/>
    <x v="7"/>
    <s v="Monday"/>
    <x v="34"/>
    <d v="2026-08-31T00:00:00"/>
    <s v="Summer"/>
    <x v="1"/>
    <x v="2"/>
    <s v="1 Hour"/>
    <n v="1"/>
    <n v="38.08"/>
    <s v="Phone Pouch"/>
    <n v="5"/>
    <n v="2.15"/>
    <n v="40.93"/>
    <x v="2"/>
    <x v="3"/>
    <s v="Credit Card"/>
    <s v="Sunny"/>
  </r>
  <r>
    <s v="WSR-2026-2225"/>
    <d v="2026-08-24T00:00:00"/>
    <x v="7"/>
    <x v="7"/>
    <s v="Monday"/>
    <x v="34"/>
    <d v="2026-08-31T00:00:00"/>
    <s v="Summer"/>
    <x v="2"/>
    <x v="5"/>
    <s v="1 Hour"/>
    <n v="1"/>
    <n v="29.12"/>
    <s v="Phone Pouch"/>
    <n v="5"/>
    <n v="0"/>
    <n v="34.119999999999997"/>
    <x v="6"/>
    <x v="3"/>
    <s v="Mobile Pay"/>
    <s v="Sunny"/>
  </r>
  <r>
    <s v="WSR-2026-2226"/>
    <d v="2026-08-24T00:00:00"/>
    <x v="7"/>
    <x v="7"/>
    <s v="Monday"/>
    <x v="34"/>
    <d v="2026-08-31T00:00:00"/>
    <s v="Summer"/>
    <x v="2"/>
    <x v="2"/>
    <s v="2 Hours"/>
    <n v="1"/>
    <n v="58.24"/>
    <s v="None"/>
    <n v="0"/>
    <n v="0"/>
    <n v="58.24"/>
    <x v="3"/>
    <x v="3"/>
    <s v="Credit Card"/>
    <s v="Cloudy"/>
  </r>
  <r>
    <s v="WSR-2026-2227"/>
    <d v="2026-08-24T00:00:00"/>
    <x v="7"/>
    <x v="7"/>
    <s v="Monday"/>
    <x v="34"/>
    <d v="2026-08-31T00:00:00"/>
    <s v="Summer"/>
    <x v="3"/>
    <x v="5"/>
    <s v="2 Hours"/>
    <n v="1"/>
    <n v="47.04"/>
    <s v="None"/>
    <n v="0"/>
    <n v="0"/>
    <n v="47.04"/>
    <x v="1"/>
    <x v="3"/>
    <s v="Cash"/>
    <s v="Sunny"/>
  </r>
  <r>
    <s v="WSR-2026-2228"/>
    <d v="2026-08-24T00:00:00"/>
    <x v="7"/>
    <x v="7"/>
    <s v="Monday"/>
    <x v="34"/>
    <d v="2026-08-31T00:00:00"/>
    <s v="Summer"/>
    <x v="2"/>
    <x v="1"/>
    <s v="Half Day"/>
    <n v="1"/>
    <n v="64.959999999999994"/>
    <s v="Dry Bag"/>
    <n v="6"/>
    <n v="0"/>
    <n v="70.959999999999994"/>
    <x v="6"/>
    <x v="3"/>
    <s v="Debit Card"/>
    <s v="Sunny"/>
  </r>
  <r>
    <s v="WSR-2026-2229"/>
    <d v="2026-08-24T00:00:00"/>
    <x v="7"/>
    <x v="7"/>
    <s v="Monday"/>
    <x v="34"/>
    <d v="2026-08-31T00:00:00"/>
    <s v="Summer"/>
    <x v="2"/>
    <x v="1"/>
    <s v="1 Hour"/>
    <n v="1"/>
    <n v="26.88"/>
    <s v="None"/>
    <n v="0"/>
    <n v="0"/>
    <n v="26.88"/>
    <x v="5"/>
    <x v="2"/>
    <s v="Cash"/>
    <s v="Cloudy"/>
  </r>
  <r>
    <s v="WSR-2026-2230"/>
    <d v="2026-08-24T00:00:00"/>
    <x v="7"/>
    <x v="7"/>
    <s v="Monday"/>
    <x v="34"/>
    <d v="2026-08-31T00:00:00"/>
    <s v="Summer"/>
    <x v="2"/>
    <x v="8"/>
    <s v="1 Hour"/>
    <n v="1"/>
    <n v="11.2"/>
    <s v="GoPro Mount"/>
    <n v="8"/>
    <n v="0"/>
    <n v="19.2"/>
    <x v="6"/>
    <x v="1"/>
    <s v="Debit Card"/>
    <s v="Sunny"/>
  </r>
  <r>
    <s v="WSR-2026-2231"/>
    <d v="2026-08-25T00:00:00"/>
    <x v="7"/>
    <x v="7"/>
    <s v="Tuesday"/>
    <x v="34"/>
    <d v="2026-08-31T00:00:00"/>
    <s v="Summer"/>
    <x v="3"/>
    <x v="4"/>
    <s v="2 Hours"/>
    <n v="1"/>
    <n v="20.16"/>
    <s v="Premium Life Jacket"/>
    <n v="7"/>
    <n v="0"/>
    <n v="27.16"/>
    <x v="9"/>
    <x v="2"/>
    <s v="Debit Card"/>
    <s v="Sunny"/>
  </r>
  <r>
    <s v="WSR-2026-2232"/>
    <d v="2026-08-25T00:00:00"/>
    <x v="7"/>
    <x v="7"/>
    <s v="Tuesday"/>
    <x v="34"/>
    <d v="2026-08-31T00:00:00"/>
    <s v="Summer"/>
    <x v="3"/>
    <x v="4"/>
    <s v="2 Hours"/>
    <n v="1"/>
    <n v="20.16"/>
    <s v="None"/>
    <n v="0"/>
    <n v="0"/>
    <n v="20.16"/>
    <x v="1"/>
    <x v="2"/>
    <s v="Credit Card"/>
    <s v="Sunny"/>
  </r>
  <r>
    <s v="WSR-2026-2233"/>
    <d v="2026-08-25T00:00:00"/>
    <x v="7"/>
    <x v="7"/>
    <s v="Tuesday"/>
    <x v="34"/>
    <d v="2026-08-31T00:00:00"/>
    <s v="Summer"/>
    <x v="1"/>
    <x v="5"/>
    <s v="2 Hours"/>
    <n v="1"/>
    <n v="47.04"/>
    <s v="None"/>
    <n v="0"/>
    <n v="0"/>
    <n v="47.04"/>
    <x v="2"/>
    <x v="3"/>
    <s v="Mobile Pay"/>
    <s v="Sunny"/>
  </r>
  <r>
    <s v="WSR-2026-2234"/>
    <d v="2026-08-25T00:00:00"/>
    <x v="7"/>
    <x v="7"/>
    <s v="Tuesday"/>
    <x v="34"/>
    <d v="2026-08-31T00:00:00"/>
    <s v="Summer"/>
    <x v="2"/>
    <x v="0"/>
    <s v="1 Hour"/>
    <n v="1"/>
    <n v="35.840000000000003"/>
    <s v="Dry Bag"/>
    <n v="6"/>
    <n v="0"/>
    <n v="41.84"/>
    <x v="8"/>
    <x v="1"/>
    <s v="Credit Card"/>
    <s v="Sunny"/>
  </r>
  <r>
    <s v="WSR-2026-2235"/>
    <d v="2026-08-25T00:00:00"/>
    <x v="7"/>
    <x v="7"/>
    <s v="Tuesday"/>
    <x v="34"/>
    <d v="2026-08-31T00:00:00"/>
    <s v="Summer"/>
    <x v="2"/>
    <x v="0"/>
    <s v="Half Day"/>
    <n v="1"/>
    <n v="85.12"/>
    <s v="None"/>
    <n v="0"/>
    <n v="0"/>
    <n v="85.12"/>
    <x v="6"/>
    <x v="1"/>
    <s v="Credit Card"/>
    <s v="Cloudy"/>
  </r>
  <r>
    <s v="WSR-2026-2236"/>
    <d v="2026-08-25T00:00:00"/>
    <x v="7"/>
    <x v="7"/>
    <s v="Tuesday"/>
    <x v="34"/>
    <d v="2026-08-31T00:00:00"/>
    <s v="Summer"/>
    <x v="2"/>
    <x v="2"/>
    <s v="1 Hour"/>
    <n v="1"/>
    <n v="38.08"/>
    <s v="None"/>
    <n v="0"/>
    <n v="0"/>
    <n v="38.08"/>
    <x v="5"/>
    <x v="0"/>
    <s v="Cash"/>
    <s v="Sunny"/>
  </r>
  <r>
    <s v="WSR-2026-2237"/>
    <d v="2026-08-25T00:00:00"/>
    <x v="7"/>
    <x v="7"/>
    <s v="Tuesday"/>
    <x v="34"/>
    <d v="2026-08-31T00:00:00"/>
    <s v="Summer"/>
    <x v="3"/>
    <x v="1"/>
    <s v="Half Day"/>
    <n v="1"/>
    <n v="64.959999999999994"/>
    <s v="Dry Bag"/>
    <n v="6"/>
    <n v="0"/>
    <n v="70.959999999999994"/>
    <x v="5"/>
    <x v="1"/>
    <s v="Credit Card"/>
    <s v="Sunny"/>
  </r>
  <r>
    <s v="WSR-2026-2238"/>
    <d v="2026-08-25T00:00:00"/>
    <x v="7"/>
    <x v="7"/>
    <s v="Tuesday"/>
    <x v="34"/>
    <d v="2026-08-31T00:00:00"/>
    <s v="Summer"/>
    <x v="1"/>
    <x v="8"/>
    <s v="1 Hour"/>
    <n v="1"/>
    <n v="11.2"/>
    <s v="None"/>
    <n v="0"/>
    <n v="0.56000000000000005"/>
    <n v="10.64"/>
    <x v="8"/>
    <x v="2"/>
    <s v="Mobile Pay"/>
    <s v="Sunny"/>
  </r>
  <r>
    <s v="WSR-2026-2239"/>
    <d v="2026-08-25T00:00:00"/>
    <x v="7"/>
    <x v="7"/>
    <s v="Tuesday"/>
    <x v="34"/>
    <d v="2026-08-31T00:00:00"/>
    <s v="Summer"/>
    <x v="0"/>
    <x v="4"/>
    <s v="1 Hour"/>
    <n v="1"/>
    <n v="13.44"/>
    <s v="Dry Bag"/>
    <n v="6"/>
    <n v="0"/>
    <n v="19.440000000000001"/>
    <x v="5"/>
    <x v="1"/>
    <s v="Mobile Pay"/>
    <s v="Cloudy"/>
  </r>
  <r>
    <s v="WSR-2026-2240"/>
    <d v="2026-08-25T00:00:00"/>
    <x v="7"/>
    <x v="7"/>
    <s v="Tuesday"/>
    <x v="34"/>
    <d v="2026-08-31T00:00:00"/>
    <s v="Summer"/>
    <x v="3"/>
    <x v="5"/>
    <s v="1 Hour"/>
    <n v="1"/>
    <n v="29.12"/>
    <s v="None"/>
    <n v="0"/>
    <n v="0"/>
    <n v="29.12"/>
    <x v="5"/>
    <x v="1"/>
    <s v="Gift Card"/>
    <s v="Sunny"/>
  </r>
  <r>
    <s v="WSR-2026-2241"/>
    <d v="2026-08-25T00:00:00"/>
    <x v="7"/>
    <x v="7"/>
    <s v="Tuesday"/>
    <x v="34"/>
    <d v="2026-08-31T00:00:00"/>
    <s v="Summer"/>
    <x v="3"/>
    <x v="7"/>
    <s v="2 Hours"/>
    <n v="1"/>
    <n v="24.64"/>
    <s v="None"/>
    <n v="0"/>
    <n v="0"/>
    <n v="24.64"/>
    <x v="8"/>
    <x v="2"/>
    <s v="Mobile Pay"/>
    <s v="Sunny"/>
  </r>
  <r>
    <s v="WSR-2026-2242"/>
    <d v="2026-08-25T00:00:00"/>
    <x v="7"/>
    <x v="7"/>
    <s v="Tuesday"/>
    <x v="34"/>
    <d v="2026-08-31T00:00:00"/>
    <s v="Summer"/>
    <x v="2"/>
    <x v="5"/>
    <s v="Half Day"/>
    <n v="1"/>
    <n v="69.44"/>
    <s v="None"/>
    <n v="0"/>
    <n v="0"/>
    <n v="69.44"/>
    <x v="6"/>
    <x v="1"/>
    <s v="Cash"/>
    <s v="Sunny"/>
  </r>
  <r>
    <s v="WSR-2026-2243"/>
    <d v="2026-08-25T00:00:00"/>
    <x v="7"/>
    <x v="7"/>
    <s v="Tuesday"/>
    <x v="34"/>
    <d v="2026-08-31T00:00:00"/>
    <s v="Summer"/>
    <x v="3"/>
    <x v="3"/>
    <s v="1 Hour"/>
    <n v="1"/>
    <n v="24.64"/>
    <s v="None"/>
    <n v="0"/>
    <n v="0"/>
    <n v="24.64"/>
    <x v="4"/>
    <x v="3"/>
    <s v="Mobile Pay"/>
    <s v="Windy"/>
  </r>
  <r>
    <s v="WSR-2026-2244"/>
    <d v="2026-08-26T00:00:00"/>
    <x v="7"/>
    <x v="7"/>
    <s v="Wednesday"/>
    <x v="34"/>
    <d v="2026-08-31T00:00:00"/>
    <s v="Summer"/>
    <x v="3"/>
    <x v="2"/>
    <s v="1 Hour"/>
    <n v="1"/>
    <n v="38.08"/>
    <s v="None"/>
    <n v="0"/>
    <n v="0"/>
    <n v="38.08"/>
    <x v="5"/>
    <x v="1"/>
    <s v="Debit Card"/>
    <s v="Sunny"/>
  </r>
  <r>
    <s v="WSR-2026-2245"/>
    <d v="2026-08-26T00:00:00"/>
    <x v="7"/>
    <x v="7"/>
    <s v="Wednesday"/>
    <x v="34"/>
    <d v="2026-08-31T00:00:00"/>
    <s v="Summer"/>
    <x v="1"/>
    <x v="7"/>
    <s v="2 Hours"/>
    <n v="1"/>
    <n v="24.64"/>
    <s v="Dry Bag"/>
    <n v="6"/>
    <n v="0"/>
    <n v="30.64"/>
    <x v="6"/>
    <x v="4"/>
    <s v="Credit Card"/>
    <s v="Sunny"/>
  </r>
  <r>
    <s v="WSR-2026-2246"/>
    <d v="2026-08-26T00:00:00"/>
    <x v="7"/>
    <x v="7"/>
    <s v="Wednesday"/>
    <x v="34"/>
    <d v="2026-08-31T00:00:00"/>
    <s v="Summer"/>
    <x v="1"/>
    <x v="5"/>
    <s v="Half Day"/>
    <n v="1"/>
    <n v="69.44"/>
    <s v="GoPro Mount"/>
    <n v="8"/>
    <n v="0"/>
    <n v="77.44"/>
    <x v="4"/>
    <x v="2"/>
    <s v="Cash"/>
    <s v="Sunny"/>
  </r>
  <r>
    <s v="WSR-2026-2247"/>
    <d v="2026-08-26T00:00:00"/>
    <x v="7"/>
    <x v="7"/>
    <s v="Wednesday"/>
    <x v="34"/>
    <d v="2026-08-31T00:00:00"/>
    <s v="Summer"/>
    <x v="0"/>
    <x v="7"/>
    <s v="Full Day"/>
    <n v="1"/>
    <n v="53.76"/>
    <s v="Premium Life Jacket"/>
    <n v="7"/>
    <n v="0"/>
    <n v="60.76"/>
    <x v="2"/>
    <x v="1"/>
    <s v="Credit Card"/>
    <s v="Windy"/>
  </r>
  <r>
    <s v="WSR-2026-2248"/>
    <d v="2026-08-26T00:00:00"/>
    <x v="7"/>
    <x v="7"/>
    <s v="Wednesday"/>
    <x v="34"/>
    <d v="2026-08-31T00:00:00"/>
    <s v="Summer"/>
    <x v="3"/>
    <x v="3"/>
    <s v="2 Hours"/>
    <n v="1"/>
    <n v="40.32"/>
    <s v="None"/>
    <n v="0"/>
    <n v="0"/>
    <n v="40.32"/>
    <x v="2"/>
    <x v="0"/>
    <s v="Credit Card"/>
    <s v="Cloudy"/>
  </r>
  <r>
    <s v="WSR-2026-2249"/>
    <d v="2026-08-26T00:00:00"/>
    <x v="7"/>
    <x v="7"/>
    <s v="Wednesday"/>
    <x v="34"/>
    <d v="2026-08-31T00:00:00"/>
    <s v="Summer"/>
    <x v="1"/>
    <x v="0"/>
    <s v="1 Hour"/>
    <n v="1"/>
    <n v="35.840000000000003"/>
    <s v="None"/>
    <n v="0"/>
    <n v="1.79"/>
    <n v="34.049999999999997"/>
    <x v="2"/>
    <x v="3"/>
    <s v="Credit Card"/>
    <s v="Sunny"/>
  </r>
  <r>
    <s v="WSR-2026-2250"/>
    <d v="2026-08-26T00:00:00"/>
    <x v="7"/>
    <x v="7"/>
    <s v="Wednesday"/>
    <x v="34"/>
    <d v="2026-08-31T00:00:00"/>
    <s v="Summer"/>
    <x v="3"/>
    <x v="6"/>
    <s v="1 Hour"/>
    <n v="1"/>
    <n v="40.32"/>
    <s v="Dry Bag"/>
    <n v="6"/>
    <n v="0"/>
    <n v="46.32"/>
    <x v="5"/>
    <x v="4"/>
    <s v="Credit Card"/>
    <s v="Windy"/>
  </r>
  <r>
    <s v="WSR-2026-2251"/>
    <d v="2026-08-26T00:00:00"/>
    <x v="7"/>
    <x v="7"/>
    <s v="Wednesday"/>
    <x v="34"/>
    <d v="2026-08-31T00:00:00"/>
    <s v="Summer"/>
    <x v="0"/>
    <x v="7"/>
    <s v="2 Hours"/>
    <n v="1"/>
    <n v="24.64"/>
    <s v="Premium Life Jacket"/>
    <n v="7"/>
    <n v="0"/>
    <n v="31.64"/>
    <x v="8"/>
    <x v="1"/>
    <s v="Credit Card"/>
    <s v="Cloudy"/>
  </r>
  <r>
    <s v="WSR-2026-2252"/>
    <d v="2026-08-26T00:00:00"/>
    <x v="7"/>
    <x v="7"/>
    <s v="Wednesday"/>
    <x v="34"/>
    <d v="2026-08-31T00:00:00"/>
    <s v="Summer"/>
    <x v="1"/>
    <x v="1"/>
    <s v="1 Hour"/>
    <n v="1"/>
    <n v="26.88"/>
    <s v="None"/>
    <n v="0"/>
    <n v="0"/>
    <n v="26.88"/>
    <x v="9"/>
    <x v="4"/>
    <s v="Mobile Pay"/>
    <s v="Sunny"/>
  </r>
  <r>
    <s v="WSR-2026-2253"/>
    <d v="2026-08-26T00:00:00"/>
    <x v="7"/>
    <x v="7"/>
    <s v="Wednesday"/>
    <x v="34"/>
    <d v="2026-08-31T00:00:00"/>
    <s v="Summer"/>
    <x v="0"/>
    <x v="1"/>
    <s v="2 Hours"/>
    <n v="1"/>
    <n v="42.56"/>
    <s v="None"/>
    <n v="0"/>
    <n v="0"/>
    <n v="42.56"/>
    <x v="4"/>
    <x v="4"/>
    <s v="Cash"/>
    <s v="Cloudy"/>
  </r>
  <r>
    <s v="WSR-2026-2254"/>
    <d v="2026-08-26T00:00:00"/>
    <x v="7"/>
    <x v="7"/>
    <s v="Wednesday"/>
    <x v="34"/>
    <d v="2026-08-31T00:00:00"/>
    <s v="Summer"/>
    <x v="3"/>
    <x v="1"/>
    <s v="2 Hours"/>
    <n v="1"/>
    <n v="42.56"/>
    <s v="Phone Pouch"/>
    <n v="5"/>
    <n v="0"/>
    <n v="47.56"/>
    <x v="8"/>
    <x v="3"/>
    <s v="Debit Card"/>
    <s v="Sunny"/>
  </r>
  <r>
    <s v="WSR-2026-2255"/>
    <d v="2026-08-26T00:00:00"/>
    <x v="7"/>
    <x v="7"/>
    <s v="Wednesday"/>
    <x v="34"/>
    <d v="2026-08-31T00:00:00"/>
    <s v="Summer"/>
    <x v="1"/>
    <x v="2"/>
    <s v="2 Hours"/>
    <n v="1"/>
    <n v="58.24"/>
    <s v="None"/>
    <n v="0"/>
    <n v="5.82"/>
    <n v="52.42"/>
    <x v="3"/>
    <x v="3"/>
    <s v="Gift Card"/>
    <s v="Sunny"/>
  </r>
  <r>
    <s v="WSR-2026-2256"/>
    <d v="2026-08-26T00:00:00"/>
    <x v="7"/>
    <x v="7"/>
    <s v="Wednesday"/>
    <x v="34"/>
    <d v="2026-08-31T00:00:00"/>
    <s v="Summer"/>
    <x v="3"/>
    <x v="8"/>
    <s v="1 Hour"/>
    <n v="1"/>
    <n v="11.2"/>
    <s v="Premium Life Jacket"/>
    <n v="7"/>
    <n v="0"/>
    <n v="18.2"/>
    <x v="9"/>
    <x v="4"/>
    <s v="Credit Card"/>
    <s v="Sunny"/>
  </r>
  <r>
    <s v="WSR-2026-2257"/>
    <d v="2026-08-26T00:00:00"/>
    <x v="7"/>
    <x v="7"/>
    <s v="Wednesday"/>
    <x v="34"/>
    <d v="2026-08-31T00:00:00"/>
    <s v="Summer"/>
    <x v="0"/>
    <x v="5"/>
    <s v="2 Hours"/>
    <n v="1"/>
    <n v="47.04"/>
    <s v="None"/>
    <n v="0"/>
    <n v="0"/>
    <n v="47.04"/>
    <x v="6"/>
    <x v="4"/>
    <s v="Debit Card"/>
    <s v="Sunny"/>
  </r>
  <r>
    <s v="WSR-2026-2258"/>
    <d v="2026-08-26T00:00:00"/>
    <x v="7"/>
    <x v="7"/>
    <s v="Wednesday"/>
    <x v="34"/>
    <d v="2026-08-31T00:00:00"/>
    <s v="Summer"/>
    <x v="0"/>
    <x v="1"/>
    <s v="2 Hours"/>
    <n v="1"/>
    <n v="42.56"/>
    <s v="None"/>
    <n v="0"/>
    <n v="0"/>
    <n v="42.56"/>
    <x v="3"/>
    <x v="1"/>
    <s v="Debit Card"/>
    <s v="Sunny"/>
  </r>
  <r>
    <s v="WSR-2026-2259"/>
    <d v="2026-08-26T00:00:00"/>
    <x v="7"/>
    <x v="7"/>
    <s v="Wednesday"/>
    <x v="34"/>
    <d v="2026-08-31T00:00:00"/>
    <s v="Summer"/>
    <x v="2"/>
    <x v="1"/>
    <s v="Half Day"/>
    <n v="1"/>
    <n v="64.959999999999994"/>
    <s v="None"/>
    <n v="0"/>
    <n v="0"/>
    <n v="64.959999999999994"/>
    <x v="5"/>
    <x v="4"/>
    <s v="Debit Card"/>
    <s v="Windy"/>
  </r>
  <r>
    <s v="WSR-2026-2260"/>
    <d v="2026-08-27T00:00:00"/>
    <x v="7"/>
    <x v="7"/>
    <s v="Thursday"/>
    <x v="34"/>
    <d v="2026-08-31T00:00:00"/>
    <s v="Summer"/>
    <x v="3"/>
    <x v="5"/>
    <s v="1 Hour"/>
    <n v="1"/>
    <n v="29.12"/>
    <s v="Phone Pouch"/>
    <n v="5"/>
    <n v="0"/>
    <n v="34.119999999999997"/>
    <x v="7"/>
    <x v="1"/>
    <s v="Credit Card"/>
    <s v="Sunny"/>
  </r>
  <r>
    <s v="WSR-2026-2261"/>
    <d v="2026-08-27T00:00:00"/>
    <x v="7"/>
    <x v="7"/>
    <s v="Thursday"/>
    <x v="34"/>
    <d v="2026-08-31T00:00:00"/>
    <s v="Summer"/>
    <x v="2"/>
    <x v="9"/>
    <s v="2 Hours"/>
    <n v="1"/>
    <n v="53.76"/>
    <s v="Phone Pouch"/>
    <n v="5"/>
    <n v="0"/>
    <n v="58.76"/>
    <x v="7"/>
    <x v="1"/>
    <s v="Debit Card"/>
    <s v="Sunny"/>
  </r>
  <r>
    <s v="WSR-2026-2262"/>
    <d v="2026-08-27T00:00:00"/>
    <x v="7"/>
    <x v="7"/>
    <s v="Thursday"/>
    <x v="34"/>
    <d v="2026-08-31T00:00:00"/>
    <s v="Summer"/>
    <x v="3"/>
    <x v="1"/>
    <s v="2 Hours"/>
    <n v="1"/>
    <n v="42.56"/>
    <s v="Phone Pouch"/>
    <n v="5"/>
    <n v="0"/>
    <n v="47.56"/>
    <x v="0"/>
    <x v="2"/>
    <s v="Credit Card"/>
    <s v="Sunny"/>
  </r>
  <r>
    <s v="WSR-2026-2263"/>
    <d v="2026-08-27T00:00:00"/>
    <x v="7"/>
    <x v="7"/>
    <s v="Thursday"/>
    <x v="34"/>
    <d v="2026-08-31T00:00:00"/>
    <s v="Summer"/>
    <x v="3"/>
    <x v="1"/>
    <s v="1 Hour"/>
    <n v="1"/>
    <n v="26.88"/>
    <s v="None"/>
    <n v="0"/>
    <n v="0"/>
    <n v="26.88"/>
    <x v="3"/>
    <x v="2"/>
    <s v="Debit Card"/>
    <s v="Sunny"/>
  </r>
  <r>
    <s v="WSR-2026-2264"/>
    <d v="2026-08-27T00:00:00"/>
    <x v="7"/>
    <x v="7"/>
    <s v="Thursday"/>
    <x v="34"/>
    <d v="2026-08-31T00:00:00"/>
    <s v="Summer"/>
    <x v="3"/>
    <x v="3"/>
    <s v="2 Hours"/>
    <n v="1"/>
    <n v="40.32"/>
    <s v="None"/>
    <n v="0"/>
    <n v="2.02"/>
    <n v="38.299999999999997"/>
    <x v="7"/>
    <x v="0"/>
    <s v="Credit Card"/>
    <s v="Cloudy"/>
  </r>
  <r>
    <s v="WSR-2026-2265"/>
    <d v="2026-08-27T00:00:00"/>
    <x v="7"/>
    <x v="7"/>
    <s v="Thursday"/>
    <x v="34"/>
    <d v="2026-08-31T00:00:00"/>
    <s v="Summer"/>
    <x v="3"/>
    <x v="2"/>
    <s v="Half Day"/>
    <n v="1"/>
    <n v="87.36"/>
    <s v="None"/>
    <n v="0"/>
    <n v="0"/>
    <n v="87.36"/>
    <x v="8"/>
    <x v="0"/>
    <s v="Credit Card"/>
    <s v="Windy"/>
  </r>
  <r>
    <s v="WSR-2026-2266"/>
    <d v="2026-08-27T00:00:00"/>
    <x v="7"/>
    <x v="7"/>
    <s v="Thursday"/>
    <x v="34"/>
    <d v="2026-08-31T00:00:00"/>
    <s v="Summer"/>
    <x v="3"/>
    <x v="8"/>
    <s v="Full Day"/>
    <n v="1"/>
    <n v="38.08"/>
    <s v="Phone Pouch"/>
    <n v="5"/>
    <n v="0"/>
    <n v="43.08"/>
    <x v="6"/>
    <x v="1"/>
    <s v="Cash"/>
    <s v="Sunny"/>
  </r>
  <r>
    <s v="WSR-2026-2267"/>
    <d v="2026-08-27T00:00:00"/>
    <x v="7"/>
    <x v="7"/>
    <s v="Thursday"/>
    <x v="34"/>
    <d v="2026-08-31T00:00:00"/>
    <s v="Summer"/>
    <x v="2"/>
    <x v="1"/>
    <s v="Half Day"/>
    <n v="1"/>
    <n v="64.959999999999994"/>
    <s v="Premium Life Jacket"/>
    <n v="7"/>
    <n v="0"/>
    <n v="71.959999999999994"/>
    <x v="5"/>
    <x v="4"/>
    <s v="Debit Card"/>
    <s v="Sunny"/>
  </r>
  <r>
    <s v="WSR-2026-2268"/>
    <d v="2026-08-28T00:00:00"/>
    <x v="7"/>
    <x v="7"/>
    <s v="Friday"/>
    <x v="34"/>
    <d v="2026-08-31T00:00:00"/>
    <s v="Summer"/>
    <x v="3"/>
    <x v="0"/>
    <s v="1 Hour"/>
    <n v="1"/>
    <n v="35.840000000000003"/>
    <s v="Cooler Rental"/>
    <n v="10"/>
    <n v="0"/>
    <n v="45.84"/>
    <x v="3"/>
    <x v="0"/>
    <s v="Credit Card"/>
    <s v="Sunny"/>
  </r>
  <r>
    <s v="WSR-2026-2269"/>
    <d v="2026-08-28T00:00:00"/>
    <x v="7"/>
    <x v="7"/>
    <s v="Friday"/>
    <x v="34"/>
    <d v="2026-08-31T00:00:00"/>
    <s v="Summer"/>
    <x v="0"/>
    <x v="5"/>
    <s v="Half Day"/>
    <n v="1"/>
    <n v="69.44"/>
    <s v="Dry Bag"/>
    <n v="6"/>
    <n v="0"/>
    <n v="75.44"/>
    <x v="6"/>
    <x v="0"/>
    <s v="Credit Card"/>
    <s v="Sunny"/>
  </r>
  <r>
    <s v="WSR-2026-2270"/>
    <d v="2026-08-28T00:00:00"/>
    <x v="7"/>
    <x v="7"/>
    <s v="Friday"/>
    <x v="34"/>
    <d v="2026-08-31T00:00:00"/>
    <s v="Summer"/>
    <x v="1"/>
    <x v="4"/>
    <s v="1 Hour"/>
    <n v="1"/>
    <n v="13.44"/>
    <s v="None"/>
    <n v="0"/>
    <n v="0"/>
    <n v="13.44"/>
    <x v="4"/>
    <x v="3"/>
    <s v="Debit Card"/>
    <s v="Windy"/>
  </r>
  <r>
    <s v="WSR-2026-2271"/>
    <d v="2026-08-28T00:00:00"/>
    <x v="7"/>
    <x v="7"/>
    <s v="Friday"/>
    <x v="34"/>
    <d v="2026-08-31T00:00:00"/>
    <s v="Summer"/>
    <x v="0"/>
    <x v="2"/>
    <s v="2 Hours"/>
    <n v="1"/>
    <n v="58.24"/>
    <s v="Dry Bag"/>
    <n v="6"/>
    <n v="0"/>
    <n v="64.239999999999995"/>
    <x v="8"/>
    <x v="1"/>
    <s v="Debit Card"/>
    <s v="Sunny"/>
  </r>
  <r>
    <s v="WSR-2026-2272"/>
    <d v="2026-08-28T00:00:00"/>
    <x v="7"/>
    <x v="7"/>
    <s v="Friday"/>
    <x v="34"/>
    <d v="2026-08-31T00:00:00"/>
    <s v="Summer"/>
    <x v="2"/>
    <x v="3"/>
    <s v="Half Day"/>
    <n v="1"/>
    <n v="60.48"/>
    <s v="None"/>
    <n v="0"/>
    <n v="0"/>
    <n v="60.48"/>
    <x v="1"/>
    <x v="4"/>
    <s v="Credit Card"/>
    <s v="Windy"/>
  </r>
  <r>
    <s v="WSR-2026-2273"/>
    <d v="2026-08-28T00:00:00"/>
    <x v="7"/>
    <x v="7"/>
    <s v="Friday"/>
    <x v="34"/>
    <d v="2026-08-31T00:00:00"/>
    <s v="Summer"/>
    <x v="2"/>
    <x v="2"/>
    <s v="Half Day"/>
    <n v="1"/>
    <n v="87.36"/>
    <s v="None"/>
    <n v="0"/>
    <n v="0"/>
    <n v="87.36"/>
    <x v="1"/>
    <x v="0"/>
    <s v="Mobile Pay"/>
    <s v="Cloudy"/>
  </r>
  <r>
    <s v="WSR-2026-2274"/>
    <d v="2026-08-28T00:00:00"/>
    <x v="7"/>
    <x v="7"/>
    <s v="Friday"/>
    <x v="34"/>
    <d v="2026-08-31T00:00:00"/>
    <s v="Summer"/>
    <x v="0"/>
    <x v="3"/>
    <s v="1 Hour"/>
    <n v="1"/>
    <n v="24.64"/>
    <s v="Dry Bag"/>
    <n v="6"/>
    <n v="0"/>
    <n v="30.64"/>
    <x v="1"/>
    <x v="1"/>
    <s v="Mobile Pay"/>
    <s v="Sunny"/>
  </r>
  <r>
    <s v="WSR-2026-2275"/>
    <d v="2026-08-28T00:00:00"/>
    <x v="7"/>
    <x v="7"/>
    <s v="Friday"/>
    <x v="34"/>
    <d v="2026-08-31T00:00:00"/>
    <s v="Summer"/>
    <x v="0"/>
    <x v="5"/>
    <s v="2 Hours"/>
    <n v="1"/>
    <n v="47.04"/>
    <s v="None"/>
    <n v="0"/>
    <n v="0"/>
    <n v="47.04"/>
    <x v="1"/>
    <x v="3"/>
    <s v="Credit Card"/>
    <s v="Sunny"/>
  </r>
  <r>
    <s v="WSR-2026-2276"/>
    <d v="2026-08-28T00:00:00"/>
    <x v="7"/>
    <x v="7"/>
    <s v="Friday"/>
    <x v="34"/>
    <d v="2026-08-31T00:00:00"/>
    <s v="Summer"/>
    <x v="2"/>
    <x v="4"/>
    <s v="2 Hours"/>
    <n v="1"/>
    <n v="20.16"/>
    <s v="None"/>
    <n v="0"/>
    <n v="0"/>
    <n v="20.16"/>
    <x v="3"/>
    <x v="4"/>
    <s v="Mobile Pay"/>
    <s v="Sunny"/>
  </r>
  <r>
    <s v="WSR-2026-2277"/>
    <d v="2026-08-28T00:00:00"/>
    <x v="7"/>
    <x v="7"/>
    <s v="Friday"/>
    <x v="34"/>
    <d v="2026-08-31T00:00:00"/>
    <s v="Summer"/>
    <x v="3"/>
    <x v="2"/>
    <s v="2 Hours"/>
    <n v="1"/>
    <n v="58.24"/>
    <s v="None"/>
    <n v="0"/>
    <n v="0"/>
    <n v="58.24"/>
    <x v="5"/>
    <x v="3"/>
    <s v="Mobile Pay"/>
    <s v="Sunny"/>
  </r>
  <r>
    <s v="WSR-2026-2278"/>
    <d v="2026-08-28T00:00:00"/>
    <x v="7"/>
    <x v="7"/>
    <s v="Friday"/>
    <x v="34"/>
    <d v="2026-08-31T00:00:00"/>
    <s v="Summer"/>
    <x v="2"/>
    <x v="5"/>
    <s v="2 Hours"/>
    <n v="1"/>
    <n v="47.04"/>
    <s v="None"/>
    <n v="0"/>
    <n v="0"/>
    <n v="47.04"/>
    <x v="1"/>
    <x v="2"/>
    <s v="Debit Card"/>
    <s v="Cloudy"/>
  </r>
  <r>
    <s v="WSR-2026-2279"/>
    <d v="2026-08-28T00:00:00"/>
    <x v="7"/>
    <x v="7"/>
    <s v="Friday"/>
    <x v="34"/>
    <d v="2026-08-31T00:00:00"/>
    <s v="Summer"/>
    <x v="0"/>
    <x v="2"/>
    <s v="1 Hour"/>
    <n v="1"/>
    <n v="38.08"/>
    <s v="Dry Bag"/>
    <n v="6"/>
    <n v="0"/>
    <n v="44.08"/>
    <x v="3"/>
    <x v="1"/>
    <s v="Debit Card"/>
    <s v="Sunny"/>
  </r>
  <r>
    <s v="WSR-2026-2280"/>
    <d v="2026-08-28T00:00:00"/>
    <x v="7"/>
    <x v="7"/>
    <s v="Friday"/>
    <x v="34"/>
    <d v="2026-08-31T00:00:00"/>
    <s v="Summer"/>
    <x v="3"/>
    <x v="2"/>
    <s v="1 Hour"/>
    <n v="1"/>
    <n v="38.08"/>
    <s v="None"/>
    <n v="0"/>
    <n v="0"/>
    <n v="38.08"/>
    <x v="7"/>
    <x v="0"/>
    <s v="Credit Card"/>
    <s v="Sunny"/>
  </r>
  <r>
    <s v="WSR-2026-2281"/>
    <d v="2026-08-28T00:00:00"/>
    <x v="7"/>
    <x v="7"/>
    <s v="Friday"/>
    <x v="34"/>
    <d v="2026-08-31T00:00:00"/>
    <s v="Summer"/>
    <x v="2"/>
    <x v="2"/>
    <s v="Half Day"/>
    <n v="1"/>
    <n v="87.36"/>
    <s v="Premium Life Jacket"/>
    <n v="7"/>
    <n v="0"/>
    <n v="94.36"/>
    <x v="5"/>
    <x v="3"/>
    <s v="Credit Card"/>
    <s v="Sunny"/>
  </r>
  <r>
    <s v="WSR-2026-2282"/>
    <d v="2026-08-28T00:00:00"/>
    <x v="7"/>
    <x v="7"/>
    <s v="Friday"/>
    <x v="34"/>
    <d v="2026-08-31T00:00:00"/>
    <s v="Summer"/>
    <x v="3"/>
    <x v="6"/>
    <s v="2 Hours"/>
    <n v="1"/>
    <n v="64.959999999999994"/>
    <s v="None"/>
    <n v="0"/>
    <n v="0"/>
    <n v="64.959999999999994"/>
    <x v="7"/>
    <x v="1"/>
    <s v="Credit Card"/>
    <s v="Sunny"/>
  </r>
  <r>
    <s v="WSR-2026-2283"/>
    <d v="2026-08-28T00:00:00"/>
    <x v="7"/>
    <x v="7"/>
    <s v="Friday"/>
    <x v="34"/>
    <d v="2026-08-31T00:00:00"/>
    <s v="Summer"/>
    <x v="0"/>
    <x v="5"/>
    <s v="1 Hour"/>
    <n v="1"/>
    <n v="29.12"/>
    <s v="None"/>
    <n v="0"/>
    <n v="0"/>
    <n v="29.12"/>
    <x v="7"/>
    <x v="3"/>
    <s v="Credit Card"/>
    <s v="Sunny"/>
  </r>
  <r>
    <s v="WSR-2026-2284"/>
    <d v="2026-08-28T00:00:00"/>
    <x v="7"/>
    <x v="7"/>
    <s v="Friday"/>
    <x v="34"/>
    <d v="2026-08-31T00:00:00"/>
    <s v="Summer"/>
    <x v="2"/>
    <x v="2"/>
    <s v="1 Hour"/>
    <n v="1"/>
    <n v="38.08"/>
    <s v="Waterproof Speaker"/>
    <n v="12"/>
    <n v="0"/>
    <n v="50.08"/>
    <x v="9"/>
    <x v="1"/>
    <s v="Credit Card"/>
    <s v="Windy"/>
  </r>
  <r>
    <s v="WSR-2026-2285"/>
    <d v="2026-08-28T00:00:00"/>
    <x v="7"/>
    <x v="7"/>
    <s v="Friday"/>
    <x v="34"/>
    <d v="2026-08-31T00:00:00"/>
    <s v="Summer"/>
    <x v="3"/>
    <x v="1"/>
    <s v="2 Hours"/>
    <n v="1"/>
    <n v="42.56"/>
    <s v="Cooler Rental"/>
    <n v="10"/>
    <n v="0"/>
    <n v="52.56"/>
    <x v="5"/>
    <x v="2"/>
    <s v="Credit Card"/>
    <s v="Sunny"/>
  </r>
  <r>
    <s v="WSR-2026-2286"/>
    <d v="2026-08-28T00:00:00"/>
    <x v="7"/>
    <x v="7"/>
    <s v="Friday"/>
    <x v="34"/>
    <d v="2026-08-31T00:00:00"/>
    <s v="Summer"/>
    <x v="3"/>
    <x v="1"/>
    <s v="1 Hour"/>
    <n v="1"/>
    <n v="26.88"/>
    <s v="None"/>
    <n v="0"/>
    <n v="0"/>
    <n v="26.88"/>
    <x v="1"/>
    <x v="2"/>
    <s v="Mobile Pay"/>
    <s v="Sunny"/>
  </r>
  <r>
    <s v="WSR-2026-2287"/>
    <d v="2026-08-28T00:00:00"/>
    <x v="7"/>
    <x v="7"/>
    <s v="Friday"/>
    <x v="34"/>
    <d v="2026-08-31T00:00:00"/>
    <s v="Summer"/>
    <x v="2"/>
    <x v="2"/>
    <s v="1 Hour"/>
    <n v="1"/>
    <n v="38.08"/>
    <s v="Dry Bag"/>
    <n v="6"/>
    <n v="0"/>
    <n v="44.08"/>
    <x v="6"/>
    <x v="1"/>
    <s v="Credit Card"/>
    <s v="Rainy"/>
  </r>
  <r>
    <s v="WSR-2026-2288"/>
    <d v="2026-08-28T00:00:00"/>
    <x v="7"/>
    <x v="7"/>
    <s v="Friday"/>
    <x v="34"/>
    <d v="2026-08-31T00:00:00"/>
    <s v="Summer"/>
    <x v="4"/>
    <x v="9"/>
    <s v="Half Day"/>
    <n v="1"/>
    <n v="80.64"/>
    <s v="None"/>
    <n v="0"/>
    <n v="8.06"/>
    <n v="72.58"/>
    <x v="1"/>
    <x v="3"/>
    <s v="Credit Card"/>
    <s v="Sunny"/>
  </r>
  <r>
    <s v="WSR-2026-2289"/>
    <d v="2026-08-28T00:00:00"/>
    <x v="7"/>
    <x v="7"/>
    <s v="Friday"/>
    <x v="34"/>
    <d v="2026-08-31T00:00:00"/>
    <s v="Summer"/>
    <x v="3"/>
    <x v="0"/>
    <s v="2 Hours"/>
    <n v="1"/>
    <n v="56"/>
    <s v="None"/>
    <n v="0"/>
    <n v="0"/>
    <n v="56"/>
    <x v="1"/>
    <x v="1"/>
    <s v="Debit Card"/>
    <s v="Sunny"/>
  </r>
  <r>
    <s v="WSR-2026-2290"/>
    <d v="2026-08-28T00:00:00"/>
    <x v="7"/>
    <x v="7"/>
    <s v="Friday"/>
    <x v="34"/>
    <d v="2026-08-31T00:00:00"/>
    <s v="Summer"/>
    <x v="2"/>
    <x v="2"/>
    <s v="2 Hours"/>
    <n v="1"/>
    <n v="58.24"/>
    <s v="Dry Bag"/>
    <n v="6"/>
    <n v="0"/>
    <n v="64.239999999999995"/>
    <x v="5"/>
    <x v="1"/>
    <s v="Credit Card"/>
    <s v="Sunny"/>
  </r>
  <r>
    <s v="WSR-2026-2291"/>
    <d v="2026-08-29T00:00:00"/>
    <x v="7"/>
    <x v="7"/>
    <s v="Saturday"/>
    <x v="34"/>
    <d v="2026-08-31T00:00:00"/>
    <s v="Summer"/>
    <x v="3"/>
    <x v="5"/>
    <s v="1 Hour"/>
    <n v="1"/>
    <n v="31.2"/>
    <s v="Cooler Rental"/>
    <n v="10"/>
    <n v="0"/>
    <n v="41.2"/>
    <x v="8"/>
    <x v="0"/>
    <s v="Debit Card"/>
    <s v="Sunny"/>
  </r>
  <r>
    <s v="WSR-2026-2292"/>
    <d v="2026-08-29T00:00:00"/>
    <x v="7"/>
    <x v="7"/>
    <s v="Saturday"/>
    <x v="34"/>
    <d v="2026-08-31T00:00:00"/>
    <s v="Summer"/>
    <x v="2"/>
    <x v="4"/>
    <s v="2 Hours"/>
    <n v="1"/>
    <n v="21.6"/>
    <s v="None"/>
    <n v="0"/>
    <n v="0"/>
    <n v="21.6"/>
    <x v="6"/>
    <x v="2"/>
    <s v="Credit Card"/>
    <s v="Sunny"/>
  </r>
  <r>
    <s v="WSR-2026-2293"/>
    <d v="2026-08-29T00:00:00"/>
    <x v="7"/>
    <x v="7"/>
    <s v="Saturday"/>
    <x v="34"/>
    <d v="2026-08-31T00:00:00"/>
    <s v="Summer"/>
    <x v="4"/>
    <x v="4"/>
    <s v="Half Day"/>
    <n v="1"/>
    <n v="33.6"/>
    <s v="None"/>
    <n v="0"/>
    <n v="3.36"/>
    <n v="30.24"/>
    <x v="5"/>
    <x v="4"/>
    <s v="Debit Card"/>
    <s v="Sunny"/>
  </r>
  <r>
    <s v="WSR-2026-2294"/>
    <d v="2026-08-29T00:00:00"/>
    <x v="7"/>
    <x v="7"/>
    <s v="Saturday"/>
    <x v="34"/>
    <d v="2026-08-31T00:00:00"/>
    <s v="Summer"/>
    <x v="3"/>
    <x v="0"/>
    <s v="2 Hours"/>
    <n v="1"/>
    <n v="60"/>
    <s v="None"/>
    <n v="0"/>
    <n v="0"/>
    <n v="60"/>
    <x v="7"/>
    <x v="2"/>
    <s v="Credit Card"/>
    <s v="Cloudy"/>
  </r>
  <r>
    <s v="WSR-2026-2295"/>
    <d v="2026-08-29T00:00:00"/>
    <x v="7"/>
    <x v="7"/>
    <s v="Saturday"/>
    <x v="34"/>
    <d v="2026-08-31T00:00:00"/>
    <s v="Summer"/>
    <x v="0"/>
    <x v="1"/>
    <s v="1 Hour"/>
    <n v="1"/>
    <n v="28.8"/>
    <s v="None"/>
    <n v="0"/>
    <n v="0"/>
    <n v="28.8"/>
    <x v="6"/>
    <x v="1"/>
    <s v="Debit Card"/>
    <s v="Windy"/>
  </r>
  <r>
    <s v="WSR-2026-2296"/>
    <d v="2026-08-29T00:00:00"/>
    <x v="7"/>
    <x v="7"/>
    <s v="Saturday"/>
    <x v="34"/>
    <d v="2026-08-31T00:00:00"/>
    <s v="Summer"/>
    <x v="2"/>
    <x v="5"/>
    <s v="2 Hours"/>
    <n v="1"/>
    <n v="50.4"/>
    <s v="None"/>
    <n v="0"/>
    <n v="0"/>
    <n v="50.4"/>
    <x v="2"/>
    <x v="4"/>
    <s v="Credit Card"/>
    <s v="Sunny"/>
  </r>
  <r>
    <s v="WSR-2026-2297"/>
    <d v="2026-08-29T00:00:00"/>
    <x v="7"/>
    <x v="7"/>
    <s v="Saturday"/>
    <x v="34"/>
    <d v="2026-08-31T00:00:00"/>
    <s v="Summer"/>
    <x v="1"/>
    <x v="3"/>
    <s v="2 Hours"/>
    <n v="1"/>
    <n v="43.2"/>
    <s v="Phone Pouch"/>
    <n v="5"/>
    <n v="2.41"/>
    <n v="45.79"/>
    <x v="1"/>
    <x v="4"/>
    <s v="Debit Card"/>
    <s v="Cloudy"/>
  </r>
  <r>
    <s v="WSR-2026-2298"/>
    <d v="2026-08-29T00:00:00"/>
    <x v="7"/>
    <x v="7"/>
    <s v="Saturday"/>
    <x v="34"/>
    <d v="2026-08-31T00:00:00"/>
    <s v="Summer"/>
    <x v="3"/>
    <x v="3"/>
    <s v="1 Hour"/>
    <n v="1"/>
    <n v="26.4"/>
    <s v="Phone Pouch"/>
    <n v="5"/>
    <n v="0"/>
    <n v="31.4"/>
    <x v="1"/>
    <x v="4"/>
    <s v="Credit Card"/>
    <s v="Sunny"/>
  </r>
  <r>
    <s v="WSR-2026-2299"/>
    <d v="2026-08-29T00:00:00"/>
    <x v="7"/>
    <x v="7"/>
    <s v="Saturday"/>
    <x v="34"/>
    <d v="2026-08-31T00:00:00"/>
    <s v="Summer"/>
    <x v="2"/>
    <x v="5"/>
    <s v="2 Hours"/>
    <n v="1"/>
    <n v="50.4"/>
    <s v="None"/>
    <n v="0"/>
    <n v="0"/>
    <n v="50.4"/>
    <x v="2"/>
    <x v="3"/>
    <s v="Credit Card"/>
    <s v="Sunny"/>
  </r>
  <r>
    <s v="WSR-2026-2300"/>
    <d v="2026-08-29T00:00:00"/>
    <x v="7"/>
    <x v="7"/>
    <s v="Saturday"/>
    <x v="34"/>
    <d v="2026-08-31T00:00:00"/>
    <s v="Summer"/>
    <x v="2"/>
    <x v="6"/>
    <s v="2 Hours"/>
    <n v="1"/>
    <n v="69.599999999999994"/>
    <s v="Phone Pouch"/>
    <n v="5"/>
    <n v="0"/>
    <n v="74.599999999999994"/>
    <x v="9"/>
    <x v="2"/>
    <s v="Mobile Pay"/>
    <s v="Sunny"/>
  </r>
  <r>
    <s v="WSR-2026-2301"/>
    <d v="2026-08-29T00:00:00"/>
    <x v="7"/>
    <x v="7"/>
    <s v="Saturday"/>
    <x v="34"/>
    <d v="2026-08-31T00:00:00"/>
    <s v="Summer"/>
    <x v="3"/>
    <x v="2"/>
    <s v="1 Hour"/>
    <n v="1"/>
    <n v="40.799999999999997"/>
    <s v="None"/>
    <n v="0"/>
    <n v="2.04"/>
    <n v="38.76"/>
    <x v="7"/>
    <x v="4"/>
    <s v="Mobile Pay"/>
    <s v="Cloudy"/>
  </r>
  <r>
    <s v="WSR-2026-2302"/>
    <d v="2026-08-29T00:00:00"/>
    <x v="7"/>
    <x v="7"/>
    <s v="Saturday"/>
    <x v="34"/>
    <d v="2026-08-31T00:00:00"/>
    <s v="Summer"/>
    <x v="2"/>
    <x v="2"/>
    <s v="Half Day"/>
    <n v="1"/>
    <n v="93.6"/>
    <s v="Phone Pouch"/>
    <n v="5"/>
    <n v="0"/>
    <n v="98.6"/>
    <x v="8"/>
    <x v="1"/>
    <s v="Credit Card"/>
    <s v="Sunny"/>
  </r>
  <r>
    <s v="WSR-2026-2303"/>
    <d v="2026-08-29T00:00:00"/>
    <x v="7"/>
    <x v="7"/>
    <s v="Saturday"/>
    <x v="34"/>
    <d v="2026-08-31T00:00:00"/>
    <s v="Summer"/>
    <x v="2"/>
    <x v="5"/>
    <s v="2 Hours"/>
    <n v="1"/>
    <n v="50.4"/>
    <s v="None"/>
    <n v="0"/>
    <n v="0"/>
    <n v="50.4"/>
    <x v="4"/>
    <x v="4"/>
    <s v="Cash"/>
    <s v="Sunny"/>
  </r>
  <r>
    <s v="WSR-2026-2304"/>
    <d v="2026-08-29T00:00:00"/>
    <x v="7"/>
    <x v="7"/>
    <s v="Saturday"/>
    <x v="34"/>
    <d v="2026-08-31T00:00:00"/>
    <s v="Summer"/>
    <x v="2"/>
    <x v="2"/>
    <s v="2 Hours"/>
    <n v="1"/>
    <n v="62.4"/>
    <s v="GoPro Mount"/>
    <n v="8"/>
    <n v="0"/>
    <n v="70.400000000000006"/>
    <x v="9"/>
    <x v="1"/>
    <s v="Mobile Pay"/>
    <s v="Sunny"/>
  </r>
  <r>
    <s v="WSR-2026-2305"/>
    <d v="2026-08-29T00:00:00"/>
    <x v="7"/>
    <x v="7"/>
    <s v="Saturday"/>
    <x v="34"/>
    <d v="2026-08-31T00:00:00"/>
    <s v="Summer"/>
    <x v="3"/>
    <x v="2"/>
    <s v="2 Hours"/>
    <n v="1"/>
    <n v="62.4"/>
    <s v="None"/>
    <n v="0"/>
    <n v="0"/>
    <n v="62.4"/>
    <x v="0"/>
    <x v="4"/>
    <s v="Cash"/>
    <s v="Sunny"/>
  </r>
  <r>
    <s v="WSR-2026-2306"/>
    <d v="2026-08-29T00:00:00"/>
    <x v="7"/>
    <x v="7"/>
    <s v="Saturday"/>
    <x v="34"/>
    <d v="2026-08-31T00:00:00"/>
    <s v="Summer"/>
    <x v="2"/>
    <x v="5"/>
    <s v="1 Hour"/>
    <n v="1"/>
    <n v="31.2"/>
    <s v="Cooler Rental"/>
    <n v="10"/>
    <n v="0"/>
    <n v="41.2"/>
    <x v="0"/>
    <x v="0"/>
    <s v="Credit Card"/>
    <s v="Sunny"/>
  </r>
  <r>
    <s v="WSR-2026-2307"/>
    <d v="2026-08-29T00:00:00"/>
    <x v="7"/>
    <x v="7"/>
    <s v="Saturday"/>
    <x v="34"/>
    <d v="2026-08-31T00:00:00"/>
    <s v="Summer"/>
    <x v="1"/>
    <x v="1"/>
    <s v="1 Hour"/>
    <n v="1"/>
    <n v="28.8"/>
    <s v="None"/>
    <n v="0"/>
    <n v="0"/>
    <n v="28.8"/>
    <x v="2"/>
    <x v="0"/>
    <s v="Debit Card"/>
    <s v="Sunny"/>
  </r>
  <r>
    <s v="WSR-2026-2308"/>
    <d v="2026-08-29T00:00:00"/>
    <x v="7"/>
    <x v="7"/>
    <s v="Saturday"/>
    <x v="34"/>
    <d v="2026-08-31T00:00:00"/>
    <s v="Summer"/>
    <x v="4"/>
    <x v="4"/>
    <s v="2 Hours"/>
    <n v="1"/>
    <n v="21.6"/>
    <s v="None"/>
    <n v="0"/>
    <n v="3.24"/>
    <n v="18.36"/>
    <x v="2"/>
    <x v="3"/>
    <s v="Credit Card"/>
    <s v="Sunny"/>
  </r>
  <r>
    <s v="WSR-2026-2309"/>
    <d v="2026-08-29T00:00:00"/>
    <x v="7"/>
    <x v="7"/>
    <s v="Saturday"/>
    <x v="34"/>
    <d v="2026-08-31T00:00:00"/>
    <s v="Summer"/>
    <x v="0"/>
    <x v="9"/>
    <s v="2 Hours"/>
    <n v="1"/>
    <n v="57.6"/>
    <s v="Cooler Rental"/>
    <n v="10"/>
    <n v="3.38"/>
    <n v="64.22"/>
    <x v="9"/>
    <x v="2"/>
    <s v="Credit Card"/>
    <s v="Windy"/>
  </r>
  <r>
    <s v="WSR-2026-2310"/>
    <d v="2026-08-29T00:00:00"/>
    <x v="7"/>
    <x v="7"/>
    <s v="Saturday"/>
    <x v="34"/>
    <d v="2026-08-31T00:00:00"/>
    <s v="Summer"/>
    <x v="2"/>
    <x v="3"/>
    <s v="Full Day"/>
    <n v="1"/>
    <n v="91.2"/>
    <s v="None"/>
    <n v="0"/>
    <n v="0"/>
    <n v="91.2"/>
    <x v="0"/>
    <x v="2"/>
    <s v="Cash"/>
    <s v="Sunny"/>
  </r>
  <r>
    <s v="WSR-2026-2311"/>
    <d v="2026-08-29T00:00:00"/>
    <x v="7"/>
    <x v="7"/>
    <s v="Saturday"/>
    <x v="34"/>
    <d v="2026-08-31T00:00:00"/>
    <s v="Summer"/>
    <x v="2"/>
    <x v="5"/>
    <s v="1 Hour"/>
    <n v="1"/>
    <n v="31.2"/>
    <s v="None"/>
    <n v="0"/>
    <n v="0"/>
    <n v="31.2"/>
    <x v="1"/>
    <x v="2"/>
    <s v="Cash"/>
    <s v="Sunny"/>
  </r>
  <r>
    <s v="WSR-2026-2312"/>
    <d v="2026-08-29T00:00:00"/>
    <x v="7"/>
    <x v="7"/>
    <s v="Saturday"/>
    <x v="34"/>
    <d v="2026-08-31T00:00:00"/>
    <s v="Summer"/>
    <x v="3"/>
    <x v="3"/>
    <s v="2 Hours"/>
    <n v="1"/>
    <n v="43.2"/>
    <s v="Phone Pouch"/>
    <n v="5"/>
    <n v="0"/>
    <n v="48.2"/>
    <x v="4"/>
    <x v="2"/>
    <s v="Debit Card"/>
    <s v="Sunny"/>
  </r>
  <r>
    <s v="WSR-2026-2313"/>
    <d v="2026-08-29T00:00:00"/>
    <x v="7"/>
    <x v="7"/>
    <s v="Saturday"/>
    <x v="34"/>
    <d v="2026-08-31T00:00:00"/>
    <s v="Summer"/>
    <x v="1"/>
    <x v="6"/>
    <s v="2 Hours"/>
    <n v="1"/>
    <n v="69.599999999999994"/>
    <s v="None"/>
    <n v="0"/>
    <n v="0"/>
    <n v="69.599999999999994"/>
    <x v="3"/>
    <x v="4"/>
    <s v="Debit Card"/>
    <s v="Rainy"/>
  </r>
  <r>
    <s v="WSR-2026-2314"/>
    <d v="2026-08-29T00:00:00"/>
    <x v="7"/>
    <x v="7"/>
    <s v="Saturday"/>
    <x v="34"/>
    <d v="2026-08-31T00:00:00"/>
    <s v="Summer"/>
    <x v="0"/>
    <x v="7"/>
    <s v="Half Day"/>
    <n v="1"/>
    <n v="40.799999999999997"/>
    <s v="Phone Pouch"/>
    <n v="5"/>
    <n v="0"/>
    <n v="45.8"/>
    <x v="9"/>
    <x v="4"/>
    <s v="Cash"/>
    <s v="Sunny"/>
  </r>
  <r>
    <s v="WSR-2026-2315"/>
    <d v="2026-08-29T00:00:00"/>
    <x v="7"/>
    <x v="7"/>
    <s v="Saturday"/>
    <x v="34"/>
    <d v="2026-08-31T00:00:00"/>
    <s v="Summer"/>
    <x v="1"/>
    <x v="6"/>
    <s v="2 Hours"/>
    <n v="1"/>
    <n v="69.599999999999994"/>
    <s v="None"/>
    <n v="0"/>
    <n v="6.96"/>
    <n v="62.64"/>
    <x v="5"/>
    <x v="1"/>
    <s v="Credit Card"/>
    <s v="Sunny"/>
  </r>
  <r>
    <s v="WSR-2026-2316"/>
    <d v="2026-08-29T00:00:00"/>
    <x v="7"/>
    <x v="7"/>
    <s v="Saturday"/>
    <x v="34"/>
    <d v="2026-08-31T00:00:00"/>
    <s v="Summer"/>
    <x v="2"/>
    <x v="5"/>
    <s v="1 Hour"/>
    <n v="1"/>
    <n v="31.2"/>
    <s v="Phone Pouch"/>
    <n v="5"/>
    <n v="0"/>
    <n v="36.200000000000003"/>
    <x v="6"/>
    <x v="2"/>
    <s v="Cash"/>
    <s v="Sunny"/>
  </r>
  <r>
    <s v="WSR-2026-2317"/>
    <d v="2026-08-29T00:00:00"/>
    <x v="7"/>
    <x v="7"/>
    <s v="Saturday"/>
    <x v="34"/>
    <d v="2026-08-31T00:00:00"/>
    <s v="Summer"/>
    <x v="0"/>
    <x v="3"/>
    <s v="Half Day"/>
    <n v="1"/>
    <n v="64.8"/>
    <s v="Waterproof Speaker"/>
    <n v="12"/>
    <n v="0"/>
    <n v="76.8"/>
    <x v="3"/>
    <x v="1"/>
    <s v="Cash"/>
    <s v="Sunny"/>
  </r>
  <r>
    <s v="WSR-2026-2318"/>
    <d v="2026-08-29T00:00:00"/>
    <x v="7"/>
    <x v="7"/>
    <s v="Saturday"/>
    <x v="34"/>
    <d v="2026-08-31T00:00:00"/>
    <s v="Summer"/>
    <x v="3"/>
    <x v="5"/>
    <s v="Half Day"/>
    <n v="1"/>
    <n v="74.400000000000006"/>
    <s v="None"/>
    <n v="0"/>
    <n v="0"/>
    <n v="74.400000000000006"/>
    <x v="8"/>
    <x v="3"/>
    <s v="Credit Card"/>
    <s v="Sunny"/>
  </r>
  <r>
    <s v="WSR-2026-2319"/>
    <d v="2026-08-29T00:00:00"/>
    <x v="7"/>
    <x v="7"/>
    <s v="Saturday"/>
    <x v="34"/>
    <d v="2026-08-31T00:00:00"/>
    <s v="Summer"/>
    <x v="0"/>
    <x v="1"/>
    <s v="1 Hour"/>
    <n v="1"/>
    <n v="28.8"/>
    <s v="None"/>
    <n v="0"/>
    <n v="0"/>
    <n v="28.8"/>
    <x v="0"/>
    <x v="3"/>
    <s v="Credit Card"/>
    <s v="Windy"/>
  </r>
  <r>
    <s v="WSR-2026-2320"/>
    <d v="2026-08-29T00:00:00"/>
    <x v="7"/>
    <x v="7"/>
    <s v="Saturday"/>
    <x v="34"/>
    <d v="2026-08-31T00:00:00"/>
    <s v="Summer"/>
    <x v="0"/>
    <x v="1"/>
    <s v="Half Day"/>
    <n v="1"/>
    <n v="69.599999999999994"/>
    <s v="Cooler Rental"/>
    <n v="10"/>
    <n v="0"/>
    <n v="79.599999999999994"/>
    <x v="6"/>
    <x v="2"/>
    <s v="Credit Card"/>
    <s v="Sunny"/>
  </r>
  <r>
    <s v="WSR-2026-2321"/>
    <d v="2026-08-29T00:00:00"/>
    <x v="7"/>
    <x v="7"/>
    <s v="Saturday"/>
    <x v="34"/>
    <d v="2026-08-31T00:00:00"/>
    <s v="Summer"/>
    <x v="0"/>
    <x v="3"/>
    <s v="1 Hour"/>
    <n v="1"/>
    <n v="26.4"/>
    <s v="None"/>
    <n v="0"/>
    <n v="0"/>
    <n v="26.4"/>
    <x v="1"/>
    <x v="4"/>
    <s v="Debit Card"/>
    <s v="Sunny"/>
  </r>
  <r>
    <s v="WSR-2026-2322"/>
    <d v="2026-08-29T00:00:00"/>
    <x v="7"/>
    <x v="7"/>
    <s v="Saturday"/>
    <x v="34"/>
    <d v="2026-08-31T00:00:00"/>
    <s v="Summer"/>
    <x v="3"/>
    <x v="1"/>
    <s v="1 Hour"/>
    <n v="1"/>
    <n v="28.8"/>
    <s v="None"/>
    <n v="0"/>
    <n v="0"/>
    <n v="28.8"/>
    <x v="1"/>
    <x v="0"/>
    <s v="Mobile Pay"/>
    <s v="Cloudy"/>
  </r>
  <r>
    <s v="WSR-2026-2323"/>
    <d v="2026-08-29T00:00:00"/>
    <x v="7"/>
    <x v="7"/>
    <s v="Saturday"/>
    <x v="34"/>
    <d v="2026-08-31T00:00:00"/>
    <s v="Summer"/>
    <x v="4"/>
    <x v="3"/>
    <s v="1 Hour"/>
    <n v="1"/>
    <n v="26.4"/>
    <s v="Waterproof Speaker"/>
    <n v="12"/>
    <n v="5.76"/>
    <n v="32.64"/>
    <x v="1"/>
    <x v="1"/>
    <s v="Credit Card"/>
    <s v="Sunny"/>
  </r>
  <r>
    <s v="WSR-2026-2324"/>
    <d v="2026-08-29T00:00:00"/>
    <x v="7"/>
    <x v="7"/>
    <s v="Saturday"/>
    <x v="34"/>
    <d v="2026-08-31T00:00:00"/>
    <s v="Summer"/>
    <x v="1"/>
    <x v="2"/>
    <s v="2 Hours"/>
    <n v="1"/>
    <n v="62.4"/>
    <s v="Waterproof Speaker"/>
    <n v="12"/>
    <n v="0"/>
    <n v="74.400000000000006"/>
    <x v="9"/>
    <x v="1"/>
    <s v="Credit Card"/>
    <s v="Cloudy"/>
  </r>
  <r>
    <s v="WSR-2026-2325"/>
    <d v="2026-08-30T00:00:00"/>
    <x v="7"/>
    <x v="7"/>
    <s v="Sunday"/>
    <x v="35"/>
    <d v="2026-08-31T00:00:00"/>
    <s v="Summer"/>
    <x v="2"/>
    <x v="2"/>
    <s v="1 Hour"/>
    <n v="1"/>
    <n v="40.799999999999997"/>
    <s v="Cooler Rental"/>
    <n v="10"/>
    <n v="0"/>
    <n v="50.8"/>
    <x v="0"/>
    <x v="1"/>
    <s v="Debit Card"/>
    <s v="Sunny"/>
  </r>
  <r>
    <s v="WSR-2026-2326"/>
    <d v="2026-08-30T00:00:00"/>
    <x v="7"/>
    <x v="7"/>
    <s v="Sunday"/>
    <x v="35"/>
    <d v="2026-08-31T00:00:00"/>
    <s v="Summer"/>
    <x v="2"/>
    <x v="8"/>
    <s v="Half Day"/>
    <n v="1"/>
    <n v="28.8"/>
    <s v="GoPro Mount"/>
    <n v="8"/>
    <n v="0"/>
    <n v="36.799999999999997"/>
    <x v="3"/>
    <x v="1"/>
    <s v="Credit Card"/>
    <s v="Sunny"/>
  </r>
  <r>
    <s v="WSR-2026-2327"/>
    <d v="2026-08-30T00:00:00"/>
    <x v="7"/>
    <x v="7"/>
    <s v="Sunday"/>
    <x v="35"/>
    <d v="2026-08-31T00:00:00"/>
    <s v="Summer"/>
    <x v="2"/>
    <x v="2"/>
    <s v="2 Hours"/>
    <n v="1"/>
    <n v="62.4"/>
    <s v="Dry Bag"/>
    <n v="6"/>
    <n v="0"/>
    <n v="68.400000000000006"/>
    <x v="4"/>
    <x v="0"/>
    <s v="Credit Card"/>
    <s v="Sunny"/>
  </r>
  <r>
    <s v="WSR-2026-2328"/>
    <d v="2026-08-30T00:00:00"/>
    <x v="7"/>
    <x v="7"/>
    <s v="Sunday"/>
    <x v="35"/>
    <d v="2026-08-31T00:00:00"/>
    <s v="Summer"/>
    <x v="3"/>
    <x v="1"/>
    <s v="2 Hours"/>
    <n v="1"/>
    <n v="45.6"/>
    <s v="None"/>
    <n v="0"/>
    <n v="0"/>
    <n v="45.6"/>
    <x v="2"/>
    <x v="2"/>
    <s v="Credit Card"/>
    <s v="Sunny"/>
  </r>
  <r>
    <s v="WSR-2026-2329"/>
    <d v="2026-08-30T00:00:00"/>
    <x v="7"/>
    <x v="7"/>
    <s v="Sunday"/>
    <x v="35"/>
    <d v="2026-08-31T00:00:00"/>
    <s v="Summer"/>
    <x v="1"/>
    <x v="1"/>
    <s v="2 Hours"/>
    <n v="1"/>
    <n v="45.6"/>
    <s v="None"/>
    <n v="0"/>
    <n v="2.2799999999999998"/>
    <n v="43.32"/>
    <x v="5"/>
    <x v="4"/>
    <s v="Debit Card"/>
    <s v="Sunny"/>
  </r>
  <r>
    <s v="WSR-2026-2330"/>
    <d v="2026-08-30T00:00:00"/>
    <x v="7"/>
    <x v="7"/>
    <s v="Sunday"/>
    <x v="35"/>
    <d v="2026-08-31T00:00:00"/>
    <s v="Summer"/>
    <x v="3"/>
    <x v="8"/>
    <s v="2 Hours"/>
    <n v="1"/>
    <n v="19.2"/>
    <s v="None"/>
    <n v="0"/>
    <n v="0"/>
    <n v="19.2"/>
    <x v="5"/>
    <x v="3"/>
    <s v="Debit Card"/>
    <s v="Sunny"/>
  </r>
  <r>
    <s v="WSR-2026-2331"/>
    <d v="2026-08-30T00:00:00"/>
    <x v="7"/>
    <x v="7"/>
    <s v="Sunday"/>
    <x v="35"/>
    <d v="2026-08-31T00:00:00"/>
    <s v="Summer"/>
    <x v="3"/>
    <x v="7"/>
    <s v="2 Hours"/>
    <n v="1"/>
    <n v="26.4"/>
    <s v="None"/>
    <n v="0"/>
    <n v="0"/>
    <n v="26.4"/>
    <x v="6"/>
    <x v="4"/>
    <s v="Gift Card"/>
    <s v="Sunny"/>
  </r>
  <r>
    <s v="WSR-2026-2332"/>
    <d v="2026-08-30T00:00:00"/>
    <x v="7"/>
    <x v="7"/>
    <s v="Sunday"/>
    <x v="35"/>
    <d v="2026-08-31T00:00:00"/>
    <s v="Summer"/>
    <x v="2"/>
    <x v="5"/>
    <s v="1 Hour"/>
    <n v="1"/>
    <n v="31.2"/>
    <s v="Cooler Rental"/>
    <n v="10"/>
    <n v="0"/>
    <n v="41.2"/>
    <x v="9"/>
    <x v="3"/>
    <s v="Credit Card"/>
    <s v="Sunny"/>
  </r>
  <r>
    <s v="WSR-2026-2333"/>
    <d v="2026-08-30T00:00:00"/>
    <x v="7"/>
    <x v="7"/>
    <s v="Sunday"/>
    <x v="35"/>
    <d v="2026-08-31T00:00:00"/>
    <s v="Summer"/>
    <x v="3"/>
    <x v="5"/>
    <s v="2 Hours"/>
    <n v="1"/>
    <n v="50.4"/>
    <s v="None"/>
    <n v="0"/>
    <n v="2.52"/>
    <n v="47.88"/>
    <x v="6"/>
    <x v="3"/>
    <s v="Credit Card"/>
    <s v="Sunny"/>
  </r>
  <r>
    <s v="WSR-2026-2334"/>
    <d v="2026-08-30T00:00:00"/>
    <x v="7"/>
    <x v="7"/>
    <s v="Sunday"/>
    <x v="35"/>
    <d v="2026-08-31T00:00:00"/>
    <s v="Summer"/>
    <x v="2"/>
    <x v="5"/>
    <s v="2 Hours"/>
    <n v="1"/>
    <n v="50.4"/>
    <s v="None"/>
    <n v="0"/>
    <n v="0"/>
    <n v="50.4"/>
    <x v="4"/>
    <x v="0"/>
    <s v="Credit Card"/>
    <s v="Windy"/>
  </r>
  <r>
    <s v="WSR-2026-2335"/>
    <d v="2026-08-30T00:00:00"/>
    <x v="7"/>
    <x v="7"/>
    <s v="Sunday"/>
    <x v="35"/>
    <d v="2026-08-31T00:00:00"/>
    <s v="Summer"/>
    <x v="2"/>
    <x v="8"/>
    <s v="2 Hours"/>
    <n v="1"/>
    <n v="19.2"/>
    <s v="GoPro Mount"/>
    <n v="8"/>
    <n v="0"/>
    <n v="27.2"/>
    <x v="4"/>
    <x v="4"/>
    <s v="Debit Card"/>
    <s v="Sunny"/>
  </r>
  <r>
    <s v="WSR-2026-2336"/>
    <d v="2026-08-30T00:00:00"/>
    <x v="7"/>
    <x v="7"/>
    <s v="Sunday"/>
    <x v="35"/>
    <d v="2026-08-31T00:00:00"/>
    <s v="Summer"/>
    <x v="2"/>
    <x v="0"/>
    <s v="Half Day"/>
    <n v="1"/>
    <n v="91.2"/>
    <s v="None"/>
    <n v="0"/>
    <n v="0"/>
    <n v="91.2"/>
    <x v="1"/>
    <x v="0"/>
    <s v="Mobile Pay"/>
    <s v="Sunny"/>
  </r>
  <r>
    <s v="WSR-2026-2337"/>
    <d v="2026-08-30T00:00:00"/>
    <x v="7"/>
    <x v="7"/>
    <s v="Sunday"/>
    <x v="35"/>
    <d v="2026-08-31T00:00:00"/>
    <s v="Summer"/>
    <x v="3"/>
    <x v="5"/>
    <s v="Half Day"/>
    <n v="1"/>
    <n v="74.400000000000006"/>
    <s v="Cooler Rental"/>
    <n v="10"/>
    <n v="0"/>
    <n v="84.4"/>
    <x v="4"/>
    <x v="3"/>
    <s v="Credit Card"/>
    <s v="Sunny"/>
  </r>
  <r>
    <s v="WSR-2026-2338"/>
    <d v="2026-08-30T00:00:00"/>
    <x v="7"/>
    <x v="7"/>
    <s v="Sunday"/>
    <x v="35"/>
    <d v="2026-08-31T00:00:00"/>
    <s v="Summer"/>
    <x v="0"/>
    <x v="9"/>
    <s v="1 Hour"/>
    <n v="1"/>
    <n v="36"/>
    <s v="None"/>
    <n v="0"/>
    <n v="0"/>
    <n v="36"/>
    <x v="8"/>
    <x v="0"/>
    <s v="Credit Card"/>
    <s v="Sunny"/>
  </r>
  <r>
    <s v="WSR-2026-2339"/>
    <d v="2026-08-30T00:00:00"/>
    <x v="7"/>
    <x v="7"/>
    <s v="Sunday"/>
    <x v="35"/>
    <d v="2026-08-31T00:00:00"/>
    <s v="Summer"/>
    <x v="3"/>
    <x v="9"/>
    <s v="Half Day"/>
    <n v="1"/>
    <n v="86.4"/>
    <s v="None"/>
    <n v="0"/>
    <n v="0"/>
    <n v="86.4"/>
    <x v="6"/>
    <x v="4"/>
    <s v="Credit Card"/>
    <s v="Sunny"/>
  </r>
  <r>
    <s v="WSR-2026-2340"/>
    <d v="2026-08-30T00:00:00"/>
    <x v="7"/>
    <x v="7"/>
    <s v="Sunday"/>
    <x v="35"/>
    <d v="2026-08-31T00:00:00"/>
    <s v="Summer"/>
    <x v="3"/>
    <x v="9"/>
    <s v="2 Hours"/>
    <n v="1"/>
    <n v="57.6"/>
    <s v="Waterproof Speaker"/>
    <n v="12"/>
    <n v="0"/>
    <n v="69.599999999999994"/>
    <x v="1"/>
    <x v="4"/>
    <s v="Credit Card"/>
    <s v="Sunny"/>
  </r>
  <r>
    <s v="WSR-2026-2341"/>
    <d v="2026-08-30T00:00:00"/>
    <x v="7"/>
    <x v="7"/>
    <s v="Sunday"/>
    <x v="35"/>
    <d v="2026-08-31T00:00:00"/>
    <s v="Summer"/>
    <x v="1"/>
    <x v="1"/>
    <s v="2 Hours"/>
    <n v="1"/>
    <n v="45.6"/>
    <s v="Dry Bag"/>
    <n v="6"/>
    <n v="5.16"/>
    <n v="46.44"/>
    <x v="0"/>
    <x v="4"/>
    <s v="Cash"/>
    <s v="Sunny"/>
  </r>
  <r>
    <s v="WSR-2026-2342"/>
    <d v="2026-08-30T00:00:00"/>
    <x v="7"/>
    <x v="7"/>
    <s v="Sunday"/>
    <x v="35"/>
    <d v="2026-08-31T00:00:00"/>
    <s v="Summer"/>
    <x v="3"/>
    <x v="0"/>
    <s v="Full Day"/>
    <n v="1"/>
    <n v="132"/>
    <s v="Cooler Rental"/>
    <n v="10"/>
    <n v="0"/>
    <n v="142"/>
    <x v="4"/>
    <x v="2"/>
    <s v="Debit Card"/>
    <s v="Sunny"/>
  </r>
  <r>
    <s v="WSR-2026-2343"/>
    <d v="2026-08-30T00:00:00"/>
    <x v="7"/>
    <x v="7"/>
    <s v="Sunday"/>
    <x v="35"/>
    <d v="2026-08-31T00:00:00"/>
    <s v="Summer"/>
    <x v="3"/>
    <x v="5"/>
    <s v="2 Hours"/>
    <n v="1"/>
    <n v="50.4"/>
    <s v="Dry Bag"/>
    <n v="6"/>
    <n v="2.82"/>
    <n v="53.58"/>
    <x v="6"/>
    <x v="2"/>
    <s v="Credit Card"/>
    <s v="Cloudy"/>
  </r>
  <r>
    <s v="WSR-2026-2344"/>
    <d v="2026-08-30T00:00:00"/>
    <x v="7"/>
    <x v="7"/>
    <s v="Sunday"/>
    <x v="35"/>
    <d v="2026-08-31T00:00:00"/>
    <s v="Summer"/>
    <x v="3"/>
    <x v="7"/>
    <s v="1 Hour"/>
    <n v="1"/>
    <n v="16.8"/>
    <s v="Phone Pouch"/>
    <n v="5"/>
    <n v="0"/>
    <n v="21.8"/>
    <x v="0"/>
    <x v="1"/>
    <s v="Credit Card"/>
    <s v="Sunny"/>
  </r>
  <r>
    <s v="WSR-2026-2345"/>
    <d v="2026-08-30T00:00:00"/>
    <x v="7"/>
    <x v="7"/>
    <s v="Sunday"/>
    <x v="35"/>
    <d v="2026-08-31T00:00:00"/>
    <s v="Summer"/>
    <x v="2"/>
    <x v="6"/>
    <s v="Half Day"/>
    <n v="1"/>
    <n v="103.2"/>
    <s v="None"/>
    <n v="0"/>
    <n v="0"/>
    <n v="103.2"/>
    <x v="0"/>
    <x v="4"/>
    <s v="Mobile Pay"/>
    <s v="Sunny"/>
  </r>
  <r>
    <s v="WSR-2026-2346"/>
    <d v="2026-08-30T00:00:00"/>
    <x v="7"/>
    <x v="7"/>
    <s v="Sunday"/>
    <x v="35"/>
    <d v="2026-08-31T00:00:00"/>
    <s v="Summer"/>
    <x v="2"/>
    <x v="3"/>
    <s v="2 Hours"/>
    <n v="1"/>
    <n v="43.2"/>
    <s v="Phone Pouch"/>
    <n v="5"/>
    <n v="0"/>
    <n v="48.2"/>
    <x v="7"/>
    <x v="4"/>
    <s v="Cash"/>
    <s v="Sunny"/>
  </r>
  <r>
    <s v="WSR-2026-2347"/>
    <d v="2026-08-30T00:00:00"/>
    <x v="7"/>
    <x v="7"/>
    <s v="Sunday"/>
    <x v="35"/>
    <d v="2026-08-31T00:00:00"/>
    <s v="Summer"/>
    <x v="0"/>
    <x v="1"/>
    <s v="2 Hours"/>
    <n v="1"/>
    <n v="45.6"/>
    <s v="Dry Bag"/>
    <n v="6"/>
    <n v="0"/>
    <n v="51.6"/>
    <x v="3"/>
    <x v="0"/>
    <s v="Credit Card"/>
    <s v="Sunny"/>
  </r>
  <r>
    <s v="WSR-2026-2348"/>
    <d v="2026-08-30T00:00:00"/>
    <x v="7"/>
    <x v="7"/>
    <s v="Sunday"/>
    <x v="35"/>
    <d v="2026-08-31T00:00:00"/>
    <s v="Summer"/>
    <x v="1"/>
    <x v="5"/>
    <s v="1 Hour"/>
    <n v="1"/>
    <n v="31.2"/>
    <s v="None"/>
    <n v="0"/>
    <n v="0"/>
    <n v="31.2"/>
    <x v="6"/>
    <x v="4"/>
    <s v="Debit Card"/>
    <s v="Sunny"/>
  </r>
  <r>
    <s v="WSR-2026-2349"/>
    <d v="2026-08-30T00:00:00"/>
    <x v="7"/>
    <x v="7"/>
    <s v="Sunday"/>
    <x v="35"/>
    <d v="2026-08-31T00:00:00"/>
    <s v="Summer"/>
    <x v="4"/>
    <x v="4"/>
    <s v="2 Hours"/>
    <n v="1"/>
    <n v="21.6"/>
    <s v="None"/>
    <n v="0"/>
    <n v="2.16"/>
    <n v="19.440000000000001"/>
    <x v="1"/>
    <x v="0"/>
    <s v="Credit Card"/>
    <s v="Sunny"/>
  </r>
  <r>
    <s v="WSR-2026-2350"/>
    <d v="2026-08-30T00:00:00"/>
    <x v="7"/>
    <x v="7"/>
    <s v="Sunday"/>
    <x v="35"/>
    <d v="2026-08-31T00:00:00"/>
    <s v="Summer"/>
    <x v="0"/>
    <x v="1"/>
    <s v="1 Hour"/>
    <n v="1"/>
    <n v="28.8"/>
    <s v="None"/>
    <n v="0"/>
    <n v="0"/>
    <n v="28.8"/>
    <x v="5"/>
    <x v="1"/>
    <s v="Credit Card"/>
    <s v="Cloudy"/>
  </r>
  <r>
    <s v="WSR-2026-2351"/>
    <d v="2026-08-31T00:00:00"/>
    <x v="7"/>
    <x v="7"/>
    <s v="Monday"/>
    <x v="35"/>
    <d v="2026-08-31T00:00:00"/>
    <s v="Summer"/>
    <x v="1"/>
    <x v="3"/>
    <s v="1 Hour"/>
    <n v="1"/>
    <n v="24.64"/>
    <s v="None"/>
    <n v="0"/>
    <n v="2.46"/>
    <n v="22.18"/>
    <x v="5"/>
    <x v="1"/>
    <s v="Credit Card"/>
    <s v="Cloudy"/>
  </r>
  <r>
    <s v="WSR-2026-2352"/>
    <d v="2026-08-31T00:00:00"/>
    <x v="7"/>
    <x v="7"/>
    <s v="Monday"/>
    <x v="35"/>
    <d v="2026-08-31T00:00:00"/>
    <s v="Summer"/>
    <x v="2"/>
    <x v="1"/>
    <s v="1 Hour"/>
    <n v="1"/>
    <n v="26.88"/>
    <s v="None"/>
    <n v="0"/>
    <n v="0"/>
    <n v="26.88"/>
    <x v="1"/>
    <x v="2"/>
    <s v="Debit Card"/>
    <s v="Cloudy"/>
  </r>
  <r>
    <s v="WSR-2026-2353"/>
    <d v="2026-08-31T00:00:00"/>
    <x v="7"/>
    <x v="7"/>
    <s v="Monday"/>
    <x v="35"/>
    <d v="2026-08-31T00:00:00"/>
    <s v="Summer"/>
    <x v="1"/>
    <x v="0"/>
    <s v="2 Hours"/>
    <n v="1"/>
    <n v="56"/>
    <s v="Waterproof Speaker"/>
    <n v="12"/>
    <n v="0"/>
    <n v="68"/>
    <x v="3"/>
    <x v="0"/>
    <s v="Debit Card"/>
    <s v="Sunny"/>
  </r>
  <r>
    <s v="WSR-2026-2354"/>
    <d v="2026-08-31T00:00:00"/>
    <x v="7"/>
    <x v="7"/>
    <s v="Monday"/>
    <x v="35"/>
    <d v="2026-08-31T00:00:00"/>
    <s v="Summer"/>
    <x v="2"/>
    <x v="5"/>
    <s v="Full Day"/>
    <n v="1"/>
    <n v="98.56"/>
    <s v="None"/>
    <n v="0"/>
    <n v="0"/>
    <n v="98.56"/>
    <x v="2"/>
    <x v="1"/>
    <s v="Cash"/>
    <s v="Sunny"/>
  </r>
  <r>
    <s v="WSR-2026-2355"/>
    <d v="2026-08-31T00:00:00"/>
    <x v="7"/>
    <x v="7"/>
    <s v="Monday"/>
    <x v="35"/>
    <d v="2026-08-31T00:00:00"/>
    <s v="Summer"/>
    <x v="1"/>
    <x v="8"/>
    <s v="Half Day"/>
    <n v="1"/>
    <n v="26.88"/>
    <s v="Premium Life Jacket"/>
    <n v="7"/>
    <n v="1.69"/>
    <n v="32.19"/>
    <x v="0"/>
    <x v="2"/>
    <s v="Cash"/>
    <s v="Sunny"/>
  </r>
  <r>
    <s v="WSR-2026-2356"/>
    <d v="2026-08-31T00:00:00"/>
    <x v="7"/>
    <x v="7"/>
    <s v="Monday"/>
    <x v="35"/>
    <d v="2026-08-31T00:00:00"/>
    <s v="Summer"/>
    <x v="1"/>
    <x v="2"/>
    <s v="Full Day"/>
    <n v="1"/>
    <n v="125.44"/>
    <s v="Phone Pouch"/>
    <n v="5"/>
    <n v="13.04"/>
    <n v="117.4"/>
    <x v="9"/>
    <x v="0"/>
    <s v="Credit Card"/>
    <s v="Sunny"/>
  </r>
  <r>
    <s v="WSR-2026-2357"/>
    <d v="2026-08-31T00:00:00"/>
    <x v="7"/>
    <x v="7"/>
    <s v="Monday"/>
    <x v="35"/>
    <d v="2026-08-31T00:00:00"/>
    <s v="Summer"/>
    <x v="3"/>
    <x v="2"/>
    <s v="2 Hours"/>
    <n v="1"/>
    <n v="58.24"/>
    <s v="Cooler Rental"/>
    <n v="10"/>
    <n v="0"/>
    <n v="68.239999999999995"/>
    <x v="6"/>
    <x v="4"/>
    <s v="Debit Card"/>
    <s v="Sunny"/>
  </r>
  <r>
    <s v="WSR-2026-2358"/>
    <d v="2026-08-31T00:00:00"/>
    <x v="7"/>
    <x v="7"/>
    <s v="Monday"/>
    <x v="35"/>
    <d v="2026-08-31T00:00:00"/>
    <s v="Summer"/>
    <x v="1"/>
    <x v="1"/>
    <s v="1 Hour"/>
    <n v="1"/>
    <n v="26.88"/>
    <s v="Phone Pouch"/>
    <n v="5"/>
    <n v="0"/>
    <n v="31.88"/>
    <x v="5"/>
    <x v="4"/>
    <s v="Debit Card"/>
    <s v="Sunny"/>
  </r>
  <r>
    <s v="WSR-2026-2359"/>
    <d v="2026-08-31T00:00:00"/>
    <x v="7"/>
    <x v="7"/>
    <s v="Monday"/>
    <x v="35"/>
    <d v="2026-08-31T00:00:00"/>
    <s v="Summer"/>
    <x v="3"/>
    <x v="7"/>
    <s v="2 Hours"/>
    <n v="1"/>
    <n v="24.64"/>
    <s v="None"/>
    <n v="0"/>
    <n v="1.23"/>
    <n v="23.41"/>
    <x v="7"/>
    <x v="0"/>
    <s v="Credit Card"/>
    <s v="Sunny"/>
  </r>
  <r>
    <s v="WSR-2026-2360"/>
    <d v="2026-09-01T00:00:00"/>
    <x v="8"/>
    <x v="8"/>
    <s v="Tuesday"/>
    <x v="35"/>
    <d v="2026-09-30T00:00:00"/>
    <s v="Fall"/>
    <x v="2"/>
    <x v="0"/>
    <s v="2 Hours"/>
    <n v="1"/>
    <n v="50"/>
    <s v="Phone Pouch"/>
    <n v="5"/>
    <n v="0"/>
    <n v="55"/>
    <x v="8"/>
    <x v="2"/>
    <s v="Gift Card"/>
    <s v="Sunny"/>
  </r>
  <r>
    <s v="WSR-2026-2361"/>
    <d v="2026-09-01T00:00:00"/>
    <x v="8"/>
    <x v="8"/>
    <s v="Tuesday"/>
    <x v="35"/>
    <d v="2026-09-30T00:00:00"/>
    <s v="Fall"/>
    <x v="3"/>
    <x v="5"/>
    <s v="2 Hours"/>
    <n v="1"/>
    <n v="42"/>
    <s v="Dry Bag"/>
    <n v="6"/>
    <n v="0"/>
    <n v="48"/>
    <x v="6"/>
    <x v="1"/>
    <s v="Credit Card"/>
    <s v="Sunny"/>
  </r>
  <r>
    <s v="WSR-2026-2362"/>
    <d v="2026-09-01T00:00:00"/>
    <x v="8"/>
    <x v="8"/>
    <s v="Tuesday"/>
    <x v="35"/>
    <d v="2026-09-30T00:00:00"/>
    <s v="Fall"/>
    <x v="2"/>
    <x v="4"/>
    <s v="2 Hours"/>
    <n v="1"/>
    <n v="18"/>
    <s v="Dry Bag"/>
    <n v="6"/>
    <n v="0"/>
    <n v="24"/>
    <x v="1"/>
    <x v="3"/>
    <s v="Credit Card"/>
    <s v="Sunny"/>
  </r>
  <r>
    <s v="WSR-2026-2363"/>
    <d v="2026-09-01T00:00:00"/>
    <x v="8"/>
    <x v="8"/>
    <s v="Tuesday"/>
    <x v="35"/>
    <d v="2026-09-30T00:00:00"/>
    <s v="Fall"/>
    <x v="2"/>
    <x v="8"/>
    <s v="Half Day"/>
    <n v="1"/>
    <n v="24"/>
    <s v="None"/>
    <n v="0"/>
    <n v="0"/>
    <n v="24"/>
    <x v="6"/>
    <x v="2"/>
    <s v="Credit Card"/>
    <s v="Rainy"/>
  </r>
  <r>
    <s v="WSR-2026-2364"/>
    <d v="2026-09-01T00:00:00"/>
    <x v="8"/>
    <x v="8"/>
    <s v="Tuesday"/>
    <x v="35"/>
    <d v="2026-09-30T00:00:00"/>
    <s v="Fall"/>
    <x v="4"/>
    <x v="1"/>
    <s v="2 Hours"/>
    <n v="1"/>
    <n v="38"/>
    <s v="GoPro Mount"/>
    <n v="8"/>
    <n v="4.5999999999999996"/>
    <n v="41.4"/>
    <x v="1"/>
    <x v="2"/>
    <s v="Credit Card"/>
    <s v="Sunny"/>
  </r>
  <r>
    <s v="WSR-2026-2365"/>
    <d v="2026-09-01T00:00:00"/>
    <x v="8"/>
    <x v="8"/>
    <s v="Tuesday"/>
    <x v="35"/>
    <d v="2026-09-30T00:00:00"/>
    <s v="Fall"/>
    <x v="2"/>
    <x v="2"/>
    <s v="2 Hours"/>
    <n v="1"/>
    <n v="52"/>
    <s v="None"/>
    <n v="0"/>
    <n v="0"/>
    <n v="52"/>
    <x v="4"/>
    <x v="1"/>
    <s v="Debit Card"/>
    <s v="Cloudy"/>
  </r>
  <r>
    <s v="WSR-2026-2366"/>
    <d v="2026-09-01T00:00:00"/>
    <x v="8"/>
    <x v="8"/>
    <s v="Tuesday"/>
    <x v="35"/>
    <d v="2026-09-30T00:00:00"/>
    <s v="Fall"/>
    <x v="2"/>
    <x v="1"/>
    <s v="1 Hour"/>
    <n v="1"/>
    <n v="24"/>
    <s v="Dry Bag"/>
    <n v="6"/>
    <n v="0"/>
    <n v="30"/>
    <x v="6"/>
    <x v="3"/>
    <s v="Credit Card"/>
    <s v="Sunny"/>
  </r>
  <r>
    <s v="WSR-2026-2367"/>
    <d v="2026-09-02T00:00:00"/>
    <x v="8"/>
    <x v="8"/>
    <s v="Wednesday"/>
    <x v="35"/>
    <d v="2026-09-30T00:00:00"/>
    <s v="Fall"/>
    <x v="2"/>
    <x v="4"/>
    <s v="1 Hour"/>
    <n v="1"/>
    <n v="12"/>
    <s v="None"/>
    <n v="0"/>
    <n v="0"/>
    <n v="12"/>
    <x v="8"/>
    <x v="1"/>
    <s v="Gift Card"/>
    <s v="Windy"/>
  </r>
  <r>
    <s v="WSR-2026-2368"/>
    <d v="2026-09-02T00:00:00"/>
    <x v="8"/>
    <x v="8"/>
    <s v="Wednesday"/>
    <x v="35"/>
    <d v="2026-09-30T00:00:00"/>
    <s v="Fall"/>
    <x v="0"/>
    <x v="1"/>
    <s v="Full Day"/>
    <n v="1"/>
    <n v="84"/>
    <s v="Premium Life Jacket"/>
    <n v="7"/>
    <n v="0"/>
    <n v="91"/>
    <x v="7"/>
    <x v="1"/>
    <s v="Mobile Pay"/>
    <s v="Sunny"/>
  </r>
  <r>
    <s v="WSR-2026-2369"/>
    <d v="2026-09-02T00:00:00"/>
    <x v="8"/>
    <x v="8"/>
    <s v="Wednesday"/>
    <x v="35"/>
    <d v="2026-09-30T00:00:00"/>
    <s v="Fall"/>
    <x v="2"/>
    <x v="8"/>
    <s v="2 Hours"/>
    <n v="1"/>
    <n v="16"/>
    <s v="None"/>
    <n v="0"/>
    <n v="0"/>
    <n v="16"/>
    <x v="1"/>
    <x v="1"/>
    <s v="Cash"/>
    <s v="Sunny"/>
  </r>
  <r>
    <s v="WSR-2026-2370"/>
    <d v="2026-09-02T00:00:00"/>
    <x v="8"/>
    <x v="8"/>
    <s v="Wednesday"/>
    <x v="35"/>
    <d v="2026-09-30T00:00:00"/>
    <s v="Fall"/>
    <x v="4"/>
    <x v="5"/>
    <s v="1 Hour"/>
    <n v="1"/>
    <n v="26"/>
    <s v="Phone Pouch"/>
    <n v="5"/>
    <n v="4.6500000000000004"/>
    <n v="26.35"/>
    <x v="8"/>
    <x v="1"/>
    <s v="Credit Card"/>
    <s v="Sunny"/>
  </r>
  <r>
    <s v="WSR-2026-2371"/>
    <d v="2026-09-02T00:00:00"/>
    <x v="8"/>
    <x v="8"/>
    <s v="Wednesday"/>
    <x v="35"/>
    <d v="2026-09-30T00:00:00"/>
    <s v="Fall"/>
    <x v="2"/>
    <x v="5"/>
    <s v="Half Day"/>
    <n v="1"/>
    <n v="62"/>
    <s v="None"/>
    <n v="0"/>
    <n v="0"/>
    <n v="62"/>
    <x v="4"/>
    <x v="3"/>
    <s v="Debit Card"/>
    <s v="Rainy"/>
  </r>
  <r>
    <s v="WSR-2026-2372"/>
    <d v="2026-09-02T00:00:00"/>
    <x v="8"/>
    <x v="8"/>
    <s v="Wednesday"/>
    <x v="35"/>
    <d v="2026-09-30T00:00:00"/>
    <s v="Fall"/>
    <x v="2"/>
    <x v="5"/>
    <s v="1 Hour"/>
    <n v="1"/>
    <n v="26"/>
    <s v="Waterproof Speaker"/>
    <n v="12"/>
    <n v="0"/>
    <n v="38"/>
    <x v="5"/>
    <x v="4"/>
    <s v="Mobile Pay"/>
    <s v="Cloudy"/>
  </r>
  <r>
    <s v="WSR-2026-2373"/>
    <d v="2026-09-02T00:00:00"/>
    <x v="8"/>
    <x v="8"/>
    <s v="Wednesday"/>
    <x v="35"/>
    <d v="2026-09-30T00:00:00"/>
    <s v="Fall"/>
    <x v="3"/>
    <x v="1"/>
    <s v="Full Day"/>
    <n v="1"/>
    <n v="84"/>
    <s v="None"/>
    <n v="0"/>
    <n v="0"/>
    <n v="84"/>
    <x v="2"/>
    <x v="3"/>
    <s v="Mobile Pay"/>
    <s v="Sunny"/>
  </r>
  <r>
    <s v="WSR-2026-2374"/>
    <d v="2026-09-02T00:00:00"/>
    <x v="8"/>
    <x v="8"/>
    <s v="Wednesday"/>
    <x v="35"/>
    <d v="2026-09-30T00:00:00"/>
    <s v="Fall"/>
    <x v="2"/>
    <x v="3"/>
    <s v="Half Day"/>
    <n v="1"/>
    <n v="54"/>
    <s v="None"/>
    <n v="0"/>
    <n v="0"/>
    <n v="54"/>
    <x v="6"/>
    <x v="0"/>
    <s v="Credit Card"/>
    <s v="Sunny"/>
  </r>
  <r>
    <s v="WSR-2026-2375"/>
    <d v="2026-09-02T00:00:00"/>
    <x v="8"/>
    <x v="8"/>
    <s v="Wednesday"/>
    <x v="35"/>
    <d v="2026-09-30T00:00:00"/>
    <s v="Fall"/>
    <x v="0"/>
    <x v="7"/>
    <s v="Half Day"/>
    <n v="1"/>
    <n v="34"/>
    <s v="Premium Life Jacket"/>
    <n v="7"/>
    <n v="2.0499999999999998"/>
    <n v="38.950000000000003"/>
    <x v="3"/>
    <x v="3"/>
    <s v="Credit Card"/>
    <s v="Sunny"/>
  </r>
  <r>
    <s v="WSR-2026-2376"/>
    <d v="2026-09-02T00:00:00"/>
    <x v="8"/>
    <x v="8"/>
    <s v="Wednesday"/>
    <x v="35"/>
    <d v="2026-09-30T00:00:00"/>
    <s v="Fall"/>
    <x v="3"/>
    <x v="3"/>
    <s v="1 Hour"/>
    <n v="1"/>
    <n v="22"/>
    <s v="None"/>
    <n v="0"/>
    <n v="0"/>
    <n v="22"/>
    <x v="2"/>
    <x v="3"/>
    <s v="Mobile Pay"/>
    <s v="Sunny"/>
  </r>
  <r>
    <s v="WSR-2026-2377"/>
    <d v="2026-09-02T00:00:00"/>
    <x v="8"/>
    <x v="8"/>
    <s v="Wednesday"/>
    <x v="35"/>
    <d v="2026-09-30T00:00:00"/>
    <s v="Fall"/>
    <x v="1"/>
    <x v="1"/>
    <s v="Half Day"/>
    <n v="1"/>
    <n v="58"/>
    <s v="None"/>
    <n v="0"/>
    <n v="5.8"/>
    <n v="52.2"/>
    <x v="2"/>
    <x v="0"/>
    <s v="Credit Card"/>
    <s v="Sunny"/>
  </r>
  <r>
    <s v="WSR-2026-2378"/>
    <d v="2026-09-03T00:00:00"/>
    <x v="8"/>
    <x v="8"/>
    <s v="Thursday"/>
    <x v="35"/>
    <d v="2026-09-30T00:00:00"/>
    <s v="Fall"/>
    <x v="3"/>
    <x v="4"/>
    <s v="Full Day"/>
    <n v="1"/>
    <n v="40"/>
    <s v="None"/>
    <n v="0"/>
    <n v="0"/>
    <n v="40"/>
    <x v="7"/>
    <x v="0"/>
    <s v="Debit Card"/>
    <s v="Cloudy"/>
  </r>
  <r>
    <s v="WSR-2026-2379"/>
    <d v="2026-09-03T00:00:00"/>
    <x v="8"/>
    <x v="8"/>
    <s v="Thursday"/>
    <x v="35"/>
    <d v="2026-09-30T00:00:00"/>
    <s v="Fall"/>
    <x v="3"/>
    <x v="3"/>
    <s v="Full Day"/>
    <n v="1"/>
    <n v="76"/>
    <s v="Premium Life Jacket"/>
    <n v="7"/>
    <n v="0"/>
    <n v="83"/>
    <x v="0"/>
    <x v="0"/>
    <s v="Cash"/>
    <s v="Sunny"/>
  </r>
  <r>
    <s v="WSR-2026-2380"/>
    <d v="2026-09-03T00:00:00"/>
    <x v="8"/>
    <x v="8"/>
    <s v="Thursday"/>
    <x v="35"/>
    <d v="2026-09-30T00:00:00"/>
    <s v="Fall"/>
    <x v="1"/>
    <x v="5"/>
    <s v="2 Hours"/>
    <n v="1"/>
    <n v="42"/>
    <s v="None"/>
    <n v="0"/>
    <n v="2.1"/>
    <n v="39.9"/>
    <x v="5"/>
    <x v="0"/>
    <s v="Cash"/>
    <s v="Sunny"/>
  </r>
  <r>
    <s v="WSR-2026-2381"/>
    <d v="2026-09-03T00:00:00"/>
    <x v="8"/>
    <x v="8"/>
    <s v="Thursday"/>
    <x v="35"/>
    <d v="2026-09-30T00:00:00"/>
    <s v="Fall"/>
    <x v="2"/>
    <x v="7"/>
    <s v="1 Hour"/>
    <n v="1"/>
    <n v="14"/>
    <s v="Phone Pouch"/>
    <n v="5"/>
    <n v="0"/>
    <n v="19"/>
    <x v="2"/>
    <x v="4"/>
    <s v="Credit Card"/>
    <s v="Sunny"/>
  </r>
  <r>
    <s v="WSR-2026-2382"/>
    <d v="2026-09-03T00:00:00"/>
    <x v="8"/>
    <x v="8"/>
    <s v="Thursday"/>
    <x v="35"/>
    <d v="2026-09-30T00:00:00"/>
    <s v="Fall"/>
    <x v="3"/>
    <x v="1"/>
    <s v="1 Hour"/>
    <n v="1"/>
    <n v="24"/>
    <s v="None"/>
    <n v="0"/>
    <n v="0"/>
    <n v="24"/>
    <x v="4"/>
    <x v="2"/>
    <s v="Credit Card"/>
    <s v="Sunny"/>
  </r>
  <r>
    <s v="WSR-2026-2383"/>
    <d v="2026-09-03T00:00:00"/>
    <x v="8"/>
    <x v="8"/>
    <s v="Thursday"/>
    <x v="35"/>
    <d v="2026-09-30T00:00:00"/>
    <s v="Fall"/>
    <x v="2"/>
    <x v="7"/>
    <s v="2 Hours"/>
    <n v="1"/>
    <n v="22"/>
    <s v="Dry Bag"/>
    <n v="6"/>
    <n v="0"/>
    <n v="28"/>
    <x v="7"/>
    <x v="1"/>
    <s v="Credit Card"/>
    <s v="Cloudy"/>
  </r>
  <r>
    <s v="WSR-2026-2384"/>
    <d v="2026-09-03T00:00:00"/>
    <x v="8"/>
    <x v="8"/>
    <s v="Thursday"/>
    <x v="35"/>
    <d v="2026-09-30T00:00:00"/>
    <s v="Fall"/>
    <x v="3"/>
    <x v="5"/>
    <s v="Full Day"/>
    <n v="1"/>
    <n v="88"/>
    <s v="Cooler Rental"/>
    <n v="10"/>
    <n v="0"/>
    <n v="98"/>
    <x v="4"/>
    <x v="1"/>
    <s v="Debit Card"/>
    <s v="Sunny"/>
  </r>
  <r>
    <s v="WSR-2026-2385"/>
    <d v="2026-09-03T00:00:00"/>
    <x v="8"/>
    <x v="8"/>
    <s v="Thursday"/>
    <x v="35"/>
    <d v="2026-09-30T00:00:00"/>
    <s v="Fall"/>
    <x v="0"/>
    <x v="1"/>
    <s v="1 Hour"/>
    <n v="1"/>
    <n v="24"/>
    <s v="Dry Bag"/>
    <n v="6"/>
    <n v="0"/>
    <n v="30"/>
    <x v="6"/>
    <x v="0"/>
    <s v="Cash"/>
    <s v="Windy"/>
  </r>
  <r>
    <s v="WSR-2026-2386"/>
    <d v="2026-09-04T00:00:00"/>
    <x v="8"/>
    <x v="8"/>
    <s v="Friday"/>
    <x v="35"/>
    <d v="2026-09-30T00:00:00"/>
    <s v="Fall"/>
    <x v="3"/>
    <x v="7"/>
    <s v="2 Hours"/>
    <n v="1"/>
    <n v="22"/>
    <s v="GoPro Mount"/>
    <n v="8"/>
    <n v="0"/>
    <n v="30"/>
    <x v="3"/>
    <x v="0"/>
    <s v="Gift Card"/>
    <s v="Cloudy"/>
  </r>
  <r>
    <s v="WSR-2026-2387"/>
    <d v="2026-09-04T00:00:00"/>
    <x v="8"/>
    <x v="8"/>
    <s v="Friday"/>
    <x v="35"/>
    <d v="2026-09-30T00:00:00"/>
    <s v="Fall"/>
    <x v="0"/>
    <x v="5"/>
    <s v="Half Day"/>
    <n v="1"/>
    <n v="62"/>
    <s v="GoPro Mount"/>
    <n v="8"/>
    <n v="0"/>
    <n v="70"/>
    <x v="3"/>
    <x v="3"/>
    <s v="Credit Card"/>
    <s v="Sunny"/>
  </r>
  <r>
    <s v="WSR-2026-2388"/>
    <d v="2026-09-04T00:00:00"/>
    <x v="8"/>
    <x v="8"/>
    <s v="Friday"/>
    <x v="35"/>
    <d v="2026-09-30T00:00:00"/>
    <s v="Fall"/>
    <x v="3"/>
    <x v="9"/>
    <s v="2 Hours"/>
    <n v="1"/>
    <n v="48"/>
    <s v="None"/>
    <n v="0"/>
    <n v="0"/>
    <n v="48"/>
    <x v="7"/>
    <x v="0"/>
    <s v="Debit Card"/>
    <s v="Sunny"/>
  </r>
  <r>
    <s v="WSR-2026-2389"/>
    <d v="2026-09-04T00:00:00"/>
    <x v="8"/>
    <x v="8"/>
    <s v="Friday"/>
    <x v="35"/>
    <d v="2026-09-30T00:00:00"/>
    <s v="Fall"/>
    <x v="0"/>
    <x v="5"/>
    <s v="1 Hour"/>
    <n v="1"/>
    <n v="26"/>
    <s v="None"/>
    <n v="0"/>
    <n v="0"/>
    <n v="26"/>
    <x v="6"/>
    <x v="3"/>
    <s v="Debit Card"/>
    <s v="Sunny"/>
  </r>
  <r>
    <s v="WSR-2026-2390"/>
    <d v="2026-09-04T00:00:00"/>
    <x v="8"/>
    <x v="8"/>
    <s v="Friday"/>
    <x v="35"/>
    <d v="2026-09-30T00:00:00"/>
    <s v="Fall"/>
    <x v="2"/>
    <x v="0"/>
    <s v="2 Hours"/>
    <n v="1"/>
    <n v="50"/>
    <s v="Cooler Rental"/>
    <n v="10"/>
    <n v="0"/>
    <n v="60"/>
    <x v="7"/>
    <x v="3"/>
    <s v="Cash"/>
    <s v="Sunny"/>
  </r>
  <r>
    <s v="WSR-2026-2391"/>
    <d v="2026-09-04T00:00:00"/>
    <x v="8"/>
    <x v="8"/>
    <s v="Friday"/>
    <x v="35"/>
    <d v="2026-09-30T00:00:00"/>
    <s v="Fall"/>
    <x v="2"/>
    <x v="8"/>
    <s v="2 Hours"/>
    <n v="1"/>
    <n v="16"/>
    <s v="None"/>
    <n v="0"/>
    <n v="0"/>
    <n v="16"/>
    <x v="9"/>
    <x v="4"/>
    <s v="Credit Card"/>
    <s v="Rainy"/>
  </r>
  <r>
    <s v="WSR-2026-2392"/>
    <d v="2026-09-04T00:00:00"/>
    <x v="8"/>
    <x v="8"/>
    <s v="Friday"/>
    <x v="35"/>
    <d v="2026-09-30T00:00:00"/>
    <s v="Fall"/>
    <x v="3"/>
    <x v="6"/>
    <s v="2 Hours"/>
    <n v="1"/>
    <n v="58"/>
    <s v="None"/>
    <n v="0"/>
    <n v="0"/>
    <n v="58"/>
    <x v="2"/>
    <x v="0"/>
    <s v="Debit Card"/>
    <s v="Sunny"/>
  </r>
  <r>
    <s v="WSR-2026-2393"/>
    <d v="2026-09-04T00:00:00"/>
    <x v="8"/>
    <x v="8"/>
    <s v="Friday"/>
    <x v="35"/>
    <d v="2026-09-30T00:00:00"/>
    <s v="Fall"/>
    <x v="3"/>
    <x v="3"/>
    <s v="2 Hours"/>
    <n v="1"/>
    <n v="36"/>
    <s v="GoPro Mount"/>
    <n v="8"/>
    <n v="0"/>
    <n v="44"/>
    <x v="7"/>
    <x v="3"/>
    <s v="Debit Card"/>
    <s v="Cloudy"/>
  </r>
  <r>
    <s v="WSR-2026-2394"/>
    <d v="2026-09-05T00:00:00"/>
    <x v="8"/>
    <x v="8"/>
    <s v="Saturday"/>
    <x v="35"/>
    <d v="2026-09-30T00:00:00"/>
    <s v="Fall"/>
    <x v="1"/>
    <x v="7"/>
    <s v="1 Hour"/>
    <n v="1"/>
    <n v="15.12"/>
    <s v="Phone Pouch"/>
    <n v="5"/>
    <n v="2.0099999999999998"/>
    <n v="18.11"/>
    <x v="8"/>
    <x v="3"/>
    <s v="Credit Card"/>
    <s v="Sunny"/>
  </r>
  <r>
    <s v="WSR-2026-2395"/>
    <d v="2026-09-05T00:00:00"/>
    <x v="8"/>
    <x v="8"/>
    <s v="Saturday"/>
    <x v="35"/>
    <d v="2026-09-30T00:00:00"/>
    <s v="Fall"/>
    <x v="0"/>
    <x v="4"/>
    <s v="1 Hour"/>
    <n v="1"/>
    <n v="12.96"/>
    <s v="None"/>
    <n v="0"/>
    <n v="0"/>
    <n v="12.96"/>
    <x v="1"/>
    <x v="3"/>
    <s v="Credit Card"/>
    <s v="Sunny"/>
  </r>
  <r>
    <s v="WSR-2026-2396"/>
    <d v="2026-09-05T00:00:00"/>
    <x v="8"/>
    <x v="8"/>
    <s v="Saturday"/>
    <x v="35"/>
    <d v="2026-09-30T00:00:00"/>
    <s v="Fall"/>
    <x v="2"/>
    <x v="4"/>
    <s v="1 Hour"/>
    <n v="1"/>
    <n v="12.96"/>
    <s v="None"/>
    <n v="0"/>
    <n v="0"/>
    <n v="12.96"/>
    <x v="7"/>
    <x v="2"/>
    <s v="Debit Card"/>
    <s v="Cloudy"/>
  </r>
  <r>
    <s v="WSR-2026-2397"/>
    <d v="2026-09-05T00:00:00"/>
    <x v="8"/>
    <x v="8"/>
    <s v="Saturday"/>
    <x v="35"/>
    <d v="2026-09-30T00:00:00"/>
    <s v="Fall"/>
    <x v="2"/>
    <x v="5"/>
    <s v="Full Day"/>
    <n v="1"/>
    <n v="95.04"/>
    <s v="None"/>
    <n v="0"/>
    <n v="0"/>
    <n v="95.04"/>
    <x v="3"/>
    <x v="0"/>
    <s v="Debit Card"/>
    <s v="Rainy"/>
  </r>
  <r>
    <s v="WSR-2026-2398"/>
    <d v="2026-09-05T00:00:00"/>
    <x v="8"/>
    <x v="8"/>
    <s v="Saturday"/>
    <x v="35"/>
    <d v="2026-09-30T00:00:00"/>
    <s v="Fall"/>
    <x v="3"/>
    <x v="1"/>
    <s v="2 Hours"/>
    <n v="1"/>
    <n v="41.04"/>
    <s v="None"/>
    <n v="0"/>
    <n v="0"/>
    <n v="41.04"/>
    <x v="6"/>
    <x v="1"/>
    <s v="Credit Card"/>
    <s v="Cloudy"/>
  </r>
  <r>
    <s v="WSR-2026-2399"/>
    <d v="2026-09-05T00:00:00"/>
    <x v="8"/>
    <x v="8"/>
    <s v="Saturday"/>
    <x v="35"/>
    <d v="2026-09-30T00:00:00"/>
    <s v="Fall"/>
    <x v="3"/>
    <x v="4"/>
    <s v="2 Hours"/>
    <n v="1"/>
    <n v="19.440000000000001"/>
    <s v="None"/>
    <n v="0"/>
    <n v="0"/>
    <n v="19.440000000000001"/>
    <x v="6"/>
    <x v="1"/>
    <s v="Credit Card"/>
    <s v="Sunny"/>
  </r>
  <r>
    <s v="WSR-2026-2400"/>
    <d v="2026-09-05T00:00:00"/>
    <x v="8"/>
    <x v="8"/>
    <s v="Saturday"/>
    <x v="35"/>
    <d v="2026-09-30T00:00:00"/>
    <s v="Fall"/>
    <x v="2"/>
    <x v="0"/>
    <s v="1 Hour"/>
    <n v="1"/>
    <n v="34.56"/>
    <s v="None"/>
    <n v="0"/>
    <n v="0"/>
    <n v="34.56"/>
    <x v="8"/>
    <x v="2"/>
    <s v="Cash"/>
    <s v="Cloudy"/>
  </r>
  <r>
    <s v="WSR-2026-2401"/>
    <d v="2026-09-05T00:00:00"/>
    <x v="8"/>
    <x v="8"/>
    <s v="Saturday"/>
    <x v="35"/>
    <d v="2026-09-30T00:00:00"/>
    <s v="Fall"/>
    <x v="3"/>
    <x v="7"/>
    <s v="Half Day"/>
    <n v="1"/>
    <n v="36.72"/>
    <s v="None"/>
    <n v="0"/>
    <n v="0"/>
    <n v="36.72"/>
    <x v="6"/>
    <x v="1"/>
    <s v="Credit Card"/>
    <s v="Cloudy"/>
  </r>
  <r>
    <s v="WSR-2026-2402"/>
    <d v="2026-09-05T00:00:00"/>
    <x v="8"/>
    <x v="8"/>
    <s v="Saturday"/>
    <x v="35"/>
    <d v="2026-09-30T00:00:00"/>
    <s v="Fall"/>
    <x v="1"/>
    <x v="3"/>
    <s v="1 Hour"/>
    <n v="1"/>
    <n v="23.76"/>
    <s v="None"/>
    <n v="0"/>
    <n v="0"/>
    <n v="23.76"/>
    <x v="0"/>
    <x v="0"/>
    <s v="Credit Card"/>
    <s v="Sunny"/>
  </r>
  <r>
    <s v="WSR-2026-2403"/>
    <d v="2026-09-05T00:00:00"/>
    <x v="8"/>
    <x v="8"/>
    <s v="Saturday"/>
    <x v="35"/>
    <d v="2026-09-30T00:00:00"/>
    <s v="Fall"/>
    <x v="1"/>
    <x v="7"/>
    <s v="Full Day"/>
    <n v="1"/>
    <n v="51.84"/>
    <s v="None"/>
    <n v="0"/>
    <n v="5.18"/>
    <n v="46.66"/>
    <x v="5"/>
    <x v="0"/>
    <s v="Debit Card"/>
    <s v="Sunny"/>
  </r>
  <r>
    <s v="WSR-2026-2404"/>
    <d v="2026-09-05T00:00:00"/>
    <x v="8"/>
    <x v="8"/>
    <s v="Saturday"/>
    <x v="35"/>
    <d v="2026-09-30T00:00:00"/>
    <s v="Fall"/>
    <x v="3"/>
    <x v="3"/>
    <s v="Half Day"/>
    <n v="1"/>
    <n v="58.32"/>
    <s v="None"/>
    <n v="0"/>
    <n v="0"/>
    <n v="58.32"/>
    <x v="8"/>
    <x v="4"/>
    <s v="Gift Card"/>
    <s v="Cloudy"/>
  </r>
  <r>
    <s v="WSR-2026-2405"/>
    <d v="2026-09-05T00:00:00"/>
    <x v="8"/>
    <x v="8"/>
    <s v="Saturday"/>
    <x v="35"/>
    <d v="2026-09-30T00:00:00"/>
    <s v="Fall"/>
    <x v="2"/>
    <x v="6"/>
    <s v="2 Hours"/>
    <n v="1"/>
    <n v="62.64"/>
    <s v="None"/>
    <n v="0"/>
    <n v="0"/>
    <n v="62.64"/>
    <x v="8"/>
    <x v="0"/>
    <s v="Credit Card"/>
    <s v="Sunny"/>
  </r>
  <r>
    <s v="WSR-2026-2406"/>
    <d v="2026-09-06T00:00:00"/>
    <x v="8"/>
    <x v="8"/>
    <s v="Sunday"/>
    <x v="36"/>
    <d v="2026-09-30T00:00:00"/>
    <s v="Fall"/>
    <x v="2"/>
    <x v="4"/>
    <s v="1 Hour"/>
    <n v="1"/>
    <n v="12.96"/>
    <s v="None"/>
    <n v="0"/>
    <n v="0"/>
    <n v="12.96"/>
    <x v="4"/>
    <x v="2"/>
    <s v="Debit Card"/>
    <s v="Sunny"/>
  </r>
  <r>
    <s v="WSR-2026-2407"/>
    <d v="2026-09-06T00:00:00"/>
    <x v="8"/>
    <x v="8"/>
    <s v="Sunday"/>
    <x v="36"/>
    <d v="2026-09-30T00:00:00"/>
    <s v="Fall"/>
    <x v="3"/>
    <x v="5"/>
    <s v="1 Hour"/>
    <n v="1"/>
    <n v="28.08"/>
    <s v="None"/>
    <n v="0"/>
    <n v="0"/>
    <n v="28.08"/>
    <x v="0"/>
    <x v="0"/>
    <s v="Mobile Pay"/>
    <s v="Sunny"/>
  </r>
  <r>
    <s v="WSR-2026-2408"/>
    <d v="2026-09-06T00:00:00"/>
    <x v="8"/>
    <x v="8"/>
    <s v="Sunday"/>
    <x v="36"/>
    <d v="2026-09-30T00:00:00"/>
    <s v="Fall"/>
    <x v="1"/>
    <x v="5"/>
    <s v="Half Day"/>
    <n v="1"/>
    <n v="66.959999999999994"/>
    <s v="None"/>
    <n v="0"/>
    <n v="3.35"/>
    <n v="63.61"/>
    <x v="3"/>
    <x v="1"/>
    <s v="Credit Card"/>
    <s v="Sunny"/>
  </r>
  <r>
    <s v="WSR-2026-2409"/>
    <d v="2026-09-06T00:00:00"/>
    <x v="8"/>
    <x v="8"/>
    <s v="Sunday"/>
    <x v="36"/>
    <d v="2026-09-30T00:00:00"/>
    <s v="Fall"/>
    <x v="2"/>
    <x v="3"/>
    <s v="2 Hours"/>
    <n v="1"/>
    <n v="38.880000000000003"/>
    <s v="GoPro Mount"/>
    <n v="8"/>
    <n v="0"/>
    <n v="46.88"/>
    <x v="4"/>
    <x v="3"/>
    <s v="Debit Card"/>
    <s v="Sunny"/>
  </r>
  <r>
    <s v="WSR-2026-2410"/>
    <d v="2026-09-06T00:00:00"/>
    <x v="8"/>
    <x v="8"/>
    <s v="Sunday"/>
    <x v="36"/>
    <d v="2026-09-30T00:00:00"/>
    <s v="Fall"/>
    <x v="1"/>
    <x v="3"/>
    <s v="1 Hour"/>
    <n v="1"/>
    <n v="23.76"/>
    <s v="None"/>
    <n v="0"/>
    <n v="0"/>
    <n v="23.76"/>
    <x v="6"/>
    <x v="3"/>
    <s v="Credit Card"/>
    <s v="Sunny"/>
  </r>
  <r>
    <s v="WSR-2026-2411"/>
    <d v="2026-09-06T00:00:00"/>
    <x v="8"/>
    <x v="8"/>
    <s v="Sunday"/>
    <x v="36"/>
    <d v="2026-09-30T00:00:00"/>
    <s v="Fall"/>
    <x v="3"/>
    <x v="4"/>
    <s v="Full Day"/>
    <n v="1"/>
    <n v="43.2"/>
    <s v="None"/>
    <n v="0"/>
    <n v="0"/>
    <n v="43.2"/>
    <x v="1"/>
    <x v="3"/>
    <s v="Debit Card"/>
    <s v="Windy"/>
  </r>
  <r>
    <s v="WSR-2026-2412"/>
    <d v="2026-09-06T00:00:00"/>
    <x v="8"/>
    <x v="8"/>
    <s v="Sunday"/>
    <x v="36"/>
    <d v="2026-09-30T00:00:00"/>
    <s v="Fall"/>
    <x v="0"/>
    <x v="1"/>
    <s v="Half Day"/>
    <n v="1"/>
    <n v="62.64"/>
    <s v="None"/>
    <n v="0"/>
    <n v="0"/>
    <n v="62.64"/>
    <x v="5"/>
    <x v="2"/>
    <s v="Mobile Pay"/>
    <s v="Sunny"/>
  </r>
  <r>
    <s v="WSR-2026-2413"/>
    <d v="2026-09-06T00:00:00"/>
    <x v="8"/>
    <x v="8"/>
    <s v="Sunday"/>
    <x v="36"/>
    <d v="2026-09-30T00:00:00"/>
    <s v="Fall"/>
    <x v="2"/>
    <x v="9"/>
    <s v="Half Day"/>
    <n v="1"/>
    <n v="77.760000000000005"/>
    <s v="Dry Bag"/>
    <n v="6"/>
    <n v="0"/>
    <n v="83.76"/>
    <x v="3"/>
    <x v="0"/>
    <s v="Mobile Pay"/>
    <s v="Sunny"/>
  </r>
  <r>
    <s v="WSR-2026-2414"/>
    <d v="2026-09-06T00:00:00"/>
    <x v="8"/>
    <x v="8"/>
    <s v="Sunday"/>
    <x v="36"/>
    <d v="2026-09-30T00:00:00"/>
    <s v="Fall"/>
    <x v="3"/>
    <x v="2"/>
    <s v="1 Hour"/>
    <n v="1"/>
    <n v="36.72"/>
    <s v="Dry Bag"/>
    <n v="6"/>
    <n v="0"/>
    <n v="42.72"/>
    <x v="3"/>
    <x v="1"/>
    <s v="Mobile Pay"/>
    <s v="Sunny"/>
  </r>
  <r>
    <s v="WSR-2026-2415"/>
    <d v="2026-09-06T00:00:00"/>
    <x v="8"/>
    <x v="8"/>
    <s v="Sunday"/>
    <x v="36"/>
    <d v="2026-09-30T00:00:00"/>
    <s v="Fall"/>
    <x v="3"/>
    <x v="2"/>
    <s v="Half Day"/>
    <n v="1"/>
    <n v="84.24"/>
    <s v="None"/>
    <n v="0"/>
    <n v="0"/>
    <n v="84.24"/>
    <x v="7"/>
    <x v="4"/>
    <s v="Credit Card"/>
    <s v="Sunny"/>
  </r>
  <r>
    <s v="WSR-2026-2416"/>
    <d v="2026-09-06T00:00:00"/>
    <x v="8"/>
    <x v="8"/>
    <s v="Sunday"/>
    <x v="36"/>
    <d v="2026-09-30T00:00:00"/>
    <s v="Fall"/>
    <x v="3"/>
    <x v="7"/>
    <s v="1 Hour"/>
    <n v="1"/>
    <n v="15.12"/>
    <s v="Dry Bag"/>
    <n v="6"/>
    <n v="0"/>
    <n v="21.12"/>
    <x v="8"/>
    <x v="2"/>
    <s v="Mobile Pay"/>
    <s v="Sunny"/>
  </r>
  <r>
    <s v="WSR-2026-2417"/>
    <d v="2026-09-06T00:00:00"/>
    <x v="8"/>
    <x v="8"/>
    <s v="Sunday"/>
    <x v="36"/>
    <d v="2026-09-30T00:00:00"/>
    <s v="Fall"/>
    <x v="3"/>
    <x v="4"/>
    <s v="2 Hours"/>
    <n v="1"/>
    <n v="19.440000000000001"/>
    <s v="Cooler Rental"/>
    <n v="10"/>
    <n v="0"/>
    <n v="29.44"/>
    <x v="6"/>
    <x v="1"/>
    <s v="Mobile Pay"/>
    <s v="Cloudy"/>
  </r>
  <r>
    <s v="WSR-2026-2418"/>
    <d v="2026-09-06T00:00:00"/>
    <x v="8"/>
    <x v="8"/>
    <s v="Sunday"/>
    <x v="36"/>
    <d v="2026-09-30T00:00:00"/>
    <s v="Fall"/>
    <x v="2"/>
    <x v="6"/>
    <s v="2 Hours"/>
    <n v="1"/>
    <n v="62.64"/>
    <s v="Dry Bag"/>
    <n v="6"/>
    <n v="0"/>
    <n v="68.64"/>
    <x v="5"/>
    <x v="1"/>
    <s v="Credit Card"/>
    <s v="Cloudy"/>
  </r>
  <r>
    <s v="WSR-2026-2419"/>
    <d v="2026-09-06T00:00:00"/>
    <x v="8"/>
    <x v="8"/>
    <s v="Sunday"/>
    <x v="36"/>
    <d v="2026-09-30T00:00:00"/>
    <s v="Fall"/>
    <x v="2"/>
    <x v="1"/>
    <s v="Half Day"/>
    <n v="1"/>
    <n v="62.64"/>
    <s v="None"/>
    <n v="0"/>
    <n v="0"/>
    <n v="62.64"/>
    <x v="6"/>
    <x v="1"/>
    <s v="Mobile Pay"/>
    <s v="Sunny"/>
  </r>
  <r>
    <s v="WSR-2026-2420"/>
    <d v="2026-09-06T00:00:00"/>
    <x v="8"/>
    <x v="8"/>
    <s v="Sunday"/>
    <x v="36"/>
    <d v="2026-09-30T00:00:00"/>
    <s v="Fall"/>
    <x v="2"/>
    <x v="1"/>
    <s v="1 Hour"/>
    <n v="1"/>
    <n v="25.92"/>
    <s v="Phone Pouch"/>
    <n v="5"/>
    <n v="0"/>
    <n v="30.92"/>
    <x v="5"/>
    <x v="3"/>
    <s v="Debit Card"/>
    <s v="Windy"/>
  </r>
  <r>
    <s v="WSR-2026-2421"/>
    <d v="2026-09-06T00:00:00"/>
    <x v="8"/>
    <x v="8"/>
    <s v="Sunday"/>
    <x v="36"/>
    <d v="2026-09-30T00:00:00"/>
    <s v="Fall"/>
    <x v="2"/>
    <x v="1"/>
    <s v="1 Hour"/>
    <n v="1"/>
    <n v="25.92"/>
    <s v="None"/>
    <n v="0"/>
    <n v="0"/>
    <n v="25.92"/>
    <x v="7"/>
    <x v="4"/>
    <s v="Credit Card"/>
    <s v="Sunny"/>
  </r>
  <r>
    <s v="WSR-2026-2422"/>
    <d v="2026-09-06T00:00:00"/>
    <x v="8"/>
    <x v="8"/>
    <s v="Sunday"/>
    <x v="36"/>
    <d v="2026-09-30T00:00:00"/>
    <s v="Fall"/>
    <x v="3"/>
    <x v="9"/>
    <s v="1 Hour"/>
    <n v="1"/>
    <n v="32.4"/>
    <s v="None"/>
    <n v="0"/>
    <n v="0"/>
    <n v="32.4"/>
    <x v="2"/>
    <x v="1"/>
    <s v="Credit Card"/>
    <s v="Sunny"/>
  </r>
  <r>
    <s v="WSR-2026-2423"/>
    <d v="2026-09-06T00:00:00"/>
    <x v="8"/>
    <x v="8"/>
    <s v="Sunday"/>
    <x v="36"/>
    <d v="2026-09-30T00:00:00"/>
    <s v="Fall"/>
    <x v="1"/>
    <x v="6"/>
    <s v="Half Day"/>
    <n v="1"/>
    <n v="92.88"/>
    <s v="None"/>
    <n v="0"/>
    <n v="0"/>
    <n v="92.88"/>
    <x v="5"/>
    <x v="0"/>
    <s v="Credit Card"/>
    <s v="Sunny"/>
  </r>
  <r>
    <s v="WSR-2026-2424"/>
    <d v="2026-09-06T00:00:00"/>
    <x v="8"/>
    <x v="8"/>
    <s v="Sunday"/>
    <x v="36"/>
    <d v="2026-09-30T00:00:00"/>
    <s v="Fall"/>
    <x v="0"/>
    <x v="8"/>
    <s v="1 Hour"/>
    <n v="1"/>
    <n v="10.8"/>
    <s v="None"/>
    <n v="0"/>
    <n v="0"/>
    <n v="10.8"/>
    <x v="3"/>
    <x v="4"/>
    <s v="Debit Card"/>
    <s v="Sunny"/>
  </r>
  <r>
    <s v="WSR-2026-2425"/>
    <d v="2026-09-06T00:00:00"/>
    <x v="8"/>
    <x v="8"/>
    <s v="Sunday"/>
    <x v="36"/>
    <d v="2026-09-30T00:00:00"/>
    <s v="Fall"/>
    <x v="2"/>
    <x v="2"/>
    <s v="Full Day"/>
    <n v="1"/>
    <n v="120.96"/>
    <s v="Cooler Rental"/>
    <n v="10"/>
    <n v="0"/>
    <n v="130.96"/>
    <x v="3"/>
    <x v="4"/>
    <s v="Credit Card"/>
    <s v="Sunny"/>
  </r>
  <r>
    <s v="WSR-2026-2426"/>
    <d v="2026-09-06T00:00:00"/>
    <x v="8"/>
    <x v="8"/>
    <s v="Sunday"/>
    <x v="36"/>
    <d v="2026-09-30T00:00:00"/>
    <s v="Fall"/>
    <x v="3"/>
    <x v="2"/>
    <s v="Half Day"/>
    <n v="1"/>
    <n v="84.24"/>
    <s v="Dry Bag"/>
    <n v="6"/>
    <n v="0"/>
    <n v="90.24"/>
    <x v="4"/>
    <x v="4"/>
    <s v="Debit Card"/>
    <s v="Sunny"/>
  </r>
  <r>
    <s v="WSR-2026-2427"/>
    <d v="2026-09-07T00:00:00"/>
    <x v="8"/>
    <x v="8"/>
    <s v="Monday"/>
    <x v="36"/>
    <d v="2026-09-30T00:00:00"/>
    <s v="Fall"/>
    <x v="2"/>
    <x v="5"/>
    <s v="2 Hours"/>
    <n v="1"/>
    <n v="48.3"/>
    <s v="Phone Pouch"/>
    <n v="5"/>
    <n v="0"/>
    <n v="53.3"/>
    <x v="9"/>
    <x v="3"/>
    <s v="Credit Card"/>
    <s v="Sunny"/>
  </r>
  <r>
    <s v="WSR-2026-2428"/>
    <d v="2026-09-07T00:00:00"/>
    <x v="8"/>
    <x v="8"/>
    <s v="Monday"/>
    <x v="36"/>
    <d v="2026-09-30T00:00:00"/>
    <s v="Fall"/>
    <x v="3"/>
    <x v="2"/>
    <s v="2 Hours"/>
    <n v="1"/>
    <n v="59.8"/>
    <s v="None"/>
    <n v="0"/>
    <n v="2.99"/>
    <n v="56.81"/>
    <x v="7"/>
    <x v="1"/>
    <s v="Credit Card"/>
    <s v="Sunny"/>
  </r>
  <r>
    <s v="WSR-2026-2429"/>
    <d v="2026-09-07T00:00:00"/>
    <x v="8"/>
    <x v="8"/>
    <s v="Monday"/>
    <x v="36"/>
    <d v="2026-09-30T00:00:00"/>
    <s v="Fall"/>
    <x v="3"/>
    <x v="1"/>
    <s v="2 Hours"/>
    <n v="1"/>
    <n v="43.7"/>
    <s v="None"/>
    <n v="0"/>
    <n v="0"/>
    <n v="43.7"/>
    <x v="8"/>
    <x v="2"/>
    <s v="Credit Card"/>
    <s v="Sunny"/>
  </r>
  <r>
    <s v="WSR-2026-2430"/>
    <d v="2026-09-07T00:00:00"/>
    <x v="8"/>
    <x v="8"/>
    <s v="Monday"/>
    <x v="36"/>
    <d v="2026-09-30T00:00:00"/>
    <s v="Fall"/>
    <x v="3"/>
    <x v="1"/>
    <s v="2 Hours"/>
    <n v="1"/>
    <n v="43.7"/>
    <s v="Phone Pouch"/>
    <n v="5"/>
    <n v="0"/>
    <n v="48.7"/>
    <x v="8"/>
    <x v="3"/>
    <s v="Credit Card"/>
    <s v="Cloudy"/>
  </r>
  <r>
    <s v="WSR-2026-2431"/>
    <d v="2026-09-07T00:00:00"/>
    <x v="8"/>
    <x v="8"/>
    <s v="Monday"/>
    <x v="36"/>
    <d v="2026-09-30T00:00:00"/>
    <s v="Fall"/>
    <x v="3"/>
    <x v="5"/>
    <s v="2 Hours"/>
    <n v="1"/>
    <n v="48.3"/>
    <s v="Dry Bag"/>
    <n v="6"/>
    <n v="0"/>
    <n v="54.3"/>
    <x v="8"/>
    <x v="4"/>
    <s v="Gift Card"/>
    <s v="Cloudy"/>
  </r>
  <r>
    <s v="WSR-2026-2432"/>
    <d v="2026-09-07T00:00:00"/>
    <x v="8"/>
    <x v="8"/>
    <s v="Monday"/>
    <x v="36"/>
    <d v="2026-09-30T00:00:00"/>
    <s v="Fall"/>
    <x v="2"/>
    <x v="7"/>
    <s v="2 Hours"/>
    <n v="1"/>
    <n v="25.3"/>
    <s v="Phone Pouch"/>
    <n v="5"/>
    <n v="0"/>
    <n v="30.3"/>
    <x v="9"/>
    <x v="2"/>
    <s v="Credit Card"/>
    <s v="Sunny"/>
  </r>
  <r>
    <s v="WSR-2026-2433"/>
    <d v="2026-09-07T00:00:00"/>
    <x v="8"/>
    <x v="8"/>
    <s v="Monday"/>
    <x v="36"/>
    <d v="2026-09-30T00:00:00"/>
    <s v="Fall"/>
    <x v="0"/>
    <x v="1"/>
    <s v="1 Hour"/>
    <n v="1"/>
    <n v="27.6"/>
    <s v="GoPro Mount"/>
    <n v="8"/>
    <n v="0"/>
    <n v="35.6"/>
    <x v="6"/>
    <x v="4"/>
    <s v="Credit Card"/>
    <s v="Sunny"/>
  </r>
  <r>
    <s v="WSR-2026-2434"/>
    <d v="2026-09-07T00:00:00"/>
    <x v="8"/>
    <x v="8"/>
    <s v="Monday"/>
    <x v="36"/>
    <d v="2026-09-30T00:00:00"/>
    <s v="Fall"/>
    <x v="3"/>
    <x v="3"/>
    <s v="Half Day"/>
    <n v="1"/>
    <n v="62.1"/>
    <s v="Phone Pouch"/>
    <n v="5"/>
    <n v="0"/>
    <n v="67.099999999999994"/>
    <x v="1"/>
    <x v="1"/>
    <s v="Credit Card"/>
    <s v="Sunny"/>
  </r>
  <r>
    <s v="WSR-2026-2435"/>
    <d v="2026-09-07T00:00:00"/>
    <x v="8"/>
    <x v="8"/>
    <s v="Monday"/>
    <x v="36"/>
    <d v="2026-09-30T00:00:00"/>
    <s v="Fall"/>
    <x v="3"/>
    <x v="3"/>
    <s v="1 Hour"/>
    <n v="1"/>
    <n v="25.3"/>
    <s v="GoPro Mount"/>
    <n v="8"/>
    <n v="0"/>
    <n v="33.299999999999997"/>
    <x v="1"/>
    <x v="0"/>
    <s v="Credit Card"/>
    <s v="Windy"/>
  </r>
  <r>
    <s v="WSR-2026-2436"/>
    <d v="2026-09-07T00:00:00"/>
    <x v="8"/>
    <x v="8"/>
    <s v="Monday"/>
    <x v="36"/>
    <d v="2026-09-30T00:00:00"/>
    <s v="Fall"/>
    <x v="2"/>
    <x v="5"/>
    <s v="2 Hours"/>
    <n v="1"/>
    <n v="48.3"/>
    <s v="None"/>
    <n v="0"/>
    <n v="0"/>
    <n v="48.3"/>
    <x v="5"/>
    <x v="2"/>
    <s v="Credit Card"/>
    <s v="Sunny"/>
  </r>
  <r>
    <s v="WSR-2026-2437"/>
    <d v="2026-09-07T00:00:00"/>
    <x v="8"/>
    <x v="8"/>
    <s v="Monday"/>
    <x v="36"/>
    <d v="2026-09-30T00:00:00"/>
    <s v="Fall"/>
    <x v="0"/>
    <x v="2"/>
    <s v="2 Hours"/>
    <n v="1"/>
    <n v="59.8"/>
    <s v="None"/>
    <n v="0"/>
    <n v="0"/>
    <n v="59.8"/>
    <x v="2"/>
    <x v="4"/>
    <s v="Cash"/>
    <s v="Windy"/>
  </r>
  <r>
    <s v="WSR-2026-2438"/>
    <d v="2026-09-07T00:00:00"/>
    <x v="8"/>
    <x v="8"/>
    <s v="Monday"/>
    <x v="36"/>
    <d v="2026-09-30T00:00:00"/>
    <s v="Fall"/>
    <x v="3"/>
    <x v="2"/>
    <s v="2 Hours"/>
    <n v="1"/>
    <n v="59.8"/>
    <s v="GoPro Mount"/>
    <n v="8"/>
    <n v="0"/>
    <n v="67.8"/>
    <x v="9"/>
    <x v="4"/>
    <s v="Debit Card"/>
    <s v="Windy"/>
  </r>
  <r>
    <s v="WSR-2026-2439"/>
    <d v="2026-09-07T00:00:00"/>
    <x v="8"/>
    <x v="8"/>
    <s v="Monday"/>
    <x v="36"/>
    <d v="2026-09-30T00:00:00"/>
    <s v="Fall"/>
    <x v="2"/>
    <x v="5"/>
    <s v="2 Hours"/>
    <n v="1"/>
    <n v="48.3"/>
    <s v="None"/>
    <n v="0"/>
    <n v="0"/>
    <n v="48.3"/>
    <x v="2"/>
    <x v="0"/>
    <s v="Cash"/>
    <s v="Sunny"/>
  </r>
  <r>
    <s v="WSR-2026-2440"/>
    <d v="2026-09-07T00:00:00"/>
    <x v="8"/>
    <x v="8"/>
    <s v="Monday"/>
    <x v="36"/>
    <d v="2026-09-30T00:00:00"/>
    <s v="Fall"/>
    <x v="2"/>
    <x v="4"/>
    <s v="1 Hour"/>
    <n v="1"/>
    <n v="13.8"/>
    <s v="Phone Pouch"/>
    <n v="5"/>
    <n v="0"/>
    <n v="18.8"/>
    <x v="8"/>
    <x v="1"/>
    <s v="Credit Card"/>
    <s v="Cloudy"/>
  </r>
  <r>
    <s v="WSR-2026-2441"/>
    <d v="2026-09-07T00:00:00"/>
    <x v="8"/>
    <x v="8"/>
    <s v="Monday"/>
    <x v="36"/>
    <d v="2026-09-30T00:00:00"/>
    <s v="Fall"/>
    <x v="2"/>
    <x v="0"/>
    <s v="1 Hour"/>
    <n v="1"/>
    <n v="36.799999999999997"/>
    <s v="Phone Pouch"/>
    <n v="5"/>
    <n v="2.09"/>
    <n v="39.71"/>
    <x v="6"/>
    <x v="1"/>
    <s v="Credit Card"/>
    <s v="Sunny"/>
  </r>
  <r>
    <s v="WSR-2026-2442"/>
    <d v="2026-09-08T00:00:00"/>
    <x v="8"/>
    <x v="8"/>
    <s v="Tuesday"/>
    <x v="36"/>
    <d v="2026-09-30T00:00:00"/>
    <s v="Fall"/>
    <x v="3"/>
    <x v="9"/>
    <s v="Half Day"/>
    <n v="1"/>
    <n v="72"/>
    <s v="Phone Pouch"/>
    <n v="5"/>
    <n v="0"/>
    <n v="77"/>
    <x v="3"/>
    <x v="2"/>
    <s v="Credit Card"/>
    <s v="Sunny"/>
  </r>
  <r>
    <s v="WSR-2026-2443"/>
    <d v="2026-09-08T00:00:00"/>
    <x v="8"/>
    <x v="8"/>
    <s v="Tuesday"/>
    <x v="36"/>
    <d v="2026-09-30T00:00:00"/>
    <s v="Fall"/>
    <x v="1"/>
    <x v="3"/>
    <s v="2 Hours"/>
    <n v="1"/>
    <n v="36"/>
    <s v="None"/>
    <n v="0"/>
    <n v="1.8"/>
    <n v="34.200000000000003"/>
    <x v="5"/>
    <x v="0"/>
    <s v="Credit Card"/>
    <s v="Sunny"/>
  </r>
  <r>
    <s v="WSR-2026-2444"/>
    <d v="2026-09-08T00:00:00"/>
    <x v="8"/>
    <x v="8"/>
    <s v="Tuesday"/>
    <x v="36"/>
    <d v="2026-09-30T00:00:00"/>
    <s v="Fall"/>
    <x v="2"/>
    <x v="8"/>
    <s v="2 Hours"/>
    <n v="1"/>
    <n v="16"/>
    <s v="Dry Bag"/>
    <n v="6"/>
    <n v="1.1000000000000001"/>
    <n v="20.9"/>
    <x v="9"/>
    <x v="3"/>
    <s v="Cash"/>
    <s v="Sunny"/>
  </r>
  <r>
    <s v="WSR-2026-2445"/>
    <d v="2026-09-08T00:00:00"/>
    <x v="8"/>
    <x v="8"/>
    <s v="Tuesday"/>
    <x v="36"/>
    <d v="2026-09-30T00:00:00"/>
    <s v="Fall"/>
    <x v="2"/>
    <x v="1"/>
    <s v="2 Hours"/>
    <n v="1"/>
    <n v="38"/>
    <s v="Dry Bag"/>
    <n v="6"/>
    <n v="0"/>
    <n v="44"/>
    <x v="9"/>
    <x v="2"/>
    <s v="Debit Card"/>
    <s v="Sunny"/>
  </r>
  <r>
    <s v="WSR-2026-2446"/>
    <d v="2026-09-08T00:00:00"/>
    <x v="8"/>
    <x v="8"/>
    <s v="Tuesday"/>
    <x v="36"/>
    <d v="2026-09-30T00:00:00"/>
    <s v="Fall"/>
    <x v="0"/>
    <x v="5"/>
    <s v="Full Day"/>
    <n v="1"/>
    <n v="88"/>
    <s v="None"/>
    <n v="0"/>
    <n v="0"/>
    <n v="88"/>
    <x v="6"/>
    <x v="3"/>
    <s v="Credit Card"/>
    <s v="Cloudy"/>
  </r>
  <r>
    <s v="WSR-2026-2447"/>
    <d v="2026-09-08T00:00:00"/>
    <x v="8"/>
    <x v="8"/>
    <s v="Tuesday"/>
    <x v="36"/>
    <d v="2026-09-30T00:00:00"/>
    <s v="Fall"/>
    <x v="3"/>
    <x v="5"/>
    <s v="1 Hour"/>
    <n v="1"/>
    <n v="26"/>
    <s v="None"/>
    <n v="0"/>
    <n v="0"/>
    <n v="26"/>
    <x v="6"/>
    <x v="1"/>
    <s v="Credit Card"/>
    <s v="Windy"/>
  </r>
  <r>
    <s v="WSR-2026-2448"/>
    <d v="2026-09-08T00:00:00"/>
    <x v="8"/>
    <x v="8"/>
    <s v="Tuesday"/>
    <x v="36"/>
    <d v="2026-09-30T00:00:00"/>
    <s v="Fall"/>
    <x v="2"/>
    <x v="1"/>
    <s v="1 Hour"/>
    <n v="1"/>
    <n v="24"/>
    <s v="None"/>
    <n v="0"/>
    <n v="0"/>
    <n v="24"/>
    <x v="3"/>
    <x v="1"/>
    <s v="Debit Card"/>
    <s v="Sunny"/>
  </r>
  <r>
    <s v="WSR-2026-2449"/>
    <d v="2026-09-09T00:00:00"/>
    <x v="8"/>
    <x v="8"/>
    <s v="Wednesday"/>
    <x v="36"/>
    <d v="2026-09-30T00:00:00"/>
    <s v="Fall"/>
    <x v="2"/>
    <x v="3"/>
    <s v="2 Hours"/>
    <n v="1"/>
    <n v="36"/>
    <s v="Premium Life Jacket"/>
    <n v="7"/>
    <n v="0"/>
    <n v="43"/>
    <x v="5"/>
    <x v="4"/>
    <s v="Credit Card"/>
    <s v="Sunny"/>
  </r>
  <r>
    <s v="WSR-2026-2450"/>
    <d v="2026-09-09T00:00:00"/>
    <x v="8"/>
    <x v="8"/>
    <s v="Wednesday"/>
    <x v="36"/>
    <d v="2026-09-30T00:00:00"/>
    <s v="Fall"/>
    <x v="0"/>
    <x v="7"/>
    <s v="Half Day"/>
    <n v="1"/>
    <n v="34"/>
    <s v="Phone Pouch"/>
    <n v="5"/>
    <n v="0"/>
    <n v="39"/>
    <x v="2"/>
    <x v="0"/>
    <s v="Debit Card"/>
    <s v="Sunny"/>
  </r>
  <r>
    <s v="WSR-2026-2451"/>
    <d v="2026-09-09T00:00:00"/>
    <x v="8"/>
    <x v="8"/>
    <s v="Wednesday"/>
    <x v="36"/>
    <d v="2026-09-30T00:00:00"/>
    <s v="Fall"/>
    <x v="1"/>
    <x v="7"/>
    <s v="1 Hour"/>
    <n v="1"/>
    <n v="14"/>
    <s v="None"/>
    <n v="0"/>
    <n v="0.7"/>
    <n v="13.3"/>
    <x v="4"/>
    <x v="0"/>
    <s v="Debit Card"/>
    <s v="Sunny"/>
  </r>
  <r>
    <s v="WSR-2026-2452"/>
    <d v="2026-09-09T00:00:00"/>
    <x v="8"/>
    <x v="8"/>
    <s v="Wednesday"/>
    <x v="36"/>
    <d v="2026-09-30T00:00:00"/>
    <s v="Fall"/>
    <x v="2"/>
    <x v="5"/>
    <s v="2 Hours"/>
    <n v="1"/>
    <n v="42"/>
    <s v="None"/>
    <n v="0"/>
    <n v="0"/>
    <n v="42"/>
    <x v="8"/>
    <x v="1"/>
    <s v="Credit Card"/>
    <s v="Sunny"/>
  </r>
  <r>
    <s v="WSR-2026-2453"/>
    <d v="2026-09-09T00:00:00"/>
    <x v="8"/>
    <x v="8"/>
    <s v="Wednesday"/>
    <x v="36"/>
    <d v="2026-09-30T00:00:00"/>
    <s v="Fall"/>
    <x v="4"/>
    <x v="7"/>
    <s v="Half Day"/>
    <n v="1"/>
    <n v="34"/>
    <s v="Phone Pouch"/>
    <n v="5"/>
    <n v="5.85"/>
    <n v="33.15"/>
    <x v="0"/>
    <x v="1"/>
    <s v="Gift Card"/>
    <s v="Sunny"/>
  </r>
  <r>
    <s v="WSR-2026-2454"/>
    <d v="2026-09-09T00:00:00"/>
    <x v="8"/>
    <x v="8"/>
    <s v="Wednesday"/>
    <x v="36"/>
    <d v="2026-09-30T00:00:00"/>
    <s v="Fall"/>
    <x v="4"/>
    <x v="1"/>
    <s v="2 Hours"/>
    <n v="1"/>
    <n v="38"/>
    <s v="None"/>
    <n v="0"/>
    <n v="5.7"/>
    <n v="32.299999999999997"/>
    <x v="2"/>
    <x v="2"/>
    <s v="Cash"/>
    <s v="Cloudy"/>
  </r>
  <r>
    <s v="WSR-2026-2455"/>
    <d v="2026-09-09T00:00:00"/>
    <x v="8"/>
    <x v="8"/>
    <s v="Wednesday"/>
    <x v="36"/>
    <d v="2026-09-30T00:00:00"/>
    <s v="Fall"/>
    <x v="2"/>
    <x v="1"/>
    <s v="2 Hours"/>
    <n v="1"/>
    <n v="38"/>
    <s v="None"/>
    <n v="0"/>
    <n v="0"/>
    <n v="38"/>
    <x v="2"/>
    <x v="1"/>
    <s v="Debit Card"/>
    <s v="Windy"/>
  </r>
  <r>
    <s v="WSR-2026-2456"/>
    <d v="2026-09-09T00:00:00"/>
    <x v="8"/>
    <x v="8"/>
    <s v="Wednesday"/>
    <x v="36"/>
    <d v="2026-09-30T00:00:00"/>
    <s v="Fall"/>
    <x v="2"/>
    <x v="3"/>
    <s v="Half Day"/>
    <n v="1"/>
    <n v="54"/>
    <s v="Dry Bag"/>
    <n v="6"/>
    <n v="0"/>
    <n v="60"/>
    <x v="9"/>
    <x v="2"/>
    <s v="Debit Card"/>
    <s v="Sunny"/>
  </r>
  <r>
    <s v="WSR-2026-2457"/>
    <d v="2026-09-09T00:00:00"/>
    <x v="8"/>
    <x v="8"/>
    <s v="Wednesday"/>
    <x v="36"/>
    <d v="2026-09-30T00:00:00"/>
    <s v="Fall"/>
    <x v="2"/>
    <x v="2"/>
    <s v="Half Day"/>
    <n v="1"/>
    <n v="78"/>
    <s v="None"/>
    <n v="0"/>
    <n v="0"/>
    <n v="78"/>
    <x v="4"/>
    <x v="2"/>
    <s v="Credit Card"/>
    <s v="Sunny"/>
  </r>
  <r>
    <s v="WSR-2026-2458"/>
    <d v="2026-09-09T00:00:00"/>
    <x v="8"/>
    <x v="8"/>
    <s v="Wednesday"/>
    <x v="36"/>
    <d v="2026-09-30T00:00:00"/>
    <s v="Fall"/>
    <x v="1"/>
    <x v="8"/>
    <s v="1 Hour"/>
    <n v="1"/>
    <n v="10"/>
    <s v="GoPro Mount"/>
    <n v="8"/>
    <n v="0"/>
    <n v="18"/>
    <x v="5"/>
    <x v="3"/>
    <s v="Mobile Pay"/>
    <s v="Sunny"/>
  </r>
  <r>
    <s v="WSR-2026-2459"/>
    <d v="2026-09-09T00:00:00"/>
    <x v="8"/>
    <x v="8"/>
    <s v="Wednesday"/>
    <x v="36"/>
    <d v="2026-09-30T00:00:00"/>
    <s v="Fall"/>
    <x v="3"/>
    <x v="3"/>
    <s v="Half Day"/>
    <n v="1"/>
    <n v="54"/>
    <s v="Phone Pouch"/>
    <n v="5"/>
    <n v="0"/>
    <n v="59"/>
    <x v="3"/>
    <x v="2"/>
    <s v="Debit Card"/>
    <s v="Cloudy"/>
  </r>
  <r>
    <s v="WSR-2026-2460"/>
    <d v="2026-09-10T00:00:00"/>
    <x v="8"/>
    <x v="8"/>
    <s v="Thursday"/>
    <x v="36"/>
    <d v="2026-09-30T00:00:00"/>
    <s v="Fall"/>
    <x v="2"/>
    <x v="5"/>
    <s v="Half Day"/>
    <n v="1"/>
    <n v="62"/>
    <s v="None"/>
    <n v="0"/>
    <n v="0"/>
    <n v="62"/>
    <x v="6"/>
    <x v="2"/>
    <s v="Debit Card"/>
    <s v="Windy"/>
  </r>
  <r>
    <s v="WSR-2026-2461"/>
    <d v="2026-09-10T00:00:00"/>
    <x v="8"/>
    <x v="8"/>
    <s v="Thursday"/>
    <x v="36"/>
    <d v="2026-09-30T00:00:00"/>
    <s v="Fall"/>
    <x v="3"/>
    <x v="3"/>
    <s v="Half Day"/>
    <n v="1"/>
    <n v="54"/>
    <s v="Cooler Rental"/>
    <n v="10"/>
    <n v="0"/>
    <n v="64"/>
    <x v="4"/>
    <x v="2"/>
    <s v="Credit Card"/>
    <s v="Sunny"/>
  </r>
  <r>
    <s v="WSR-2026-2462"/>
    <d v="2026-09-10T00:00:00"/>
    <x v="8"/>
    <x v="8"/>
    <s v="Thursday"/>
    <x v="36"/>
    <d v="2026-09-30T00:00:00"/>
    <s v="Fall"/>
    <x v="2"/>
    <x v="8"/>
    <s v="2 Hours"/>
    <n v="1"/>
    <n v="16"/>
    <s v="None"/>
    <n v="0"/>
    <n v="0"/>
    <n v="16"/>
    <x v="8"/>
    <x v="2"/>
    <s v="Credit Card"/>
    <s v="Windy"/>
  </r>
  <r>
    <s v="WSR-2026-2463"/>
    <d v="2026-09-10T00:00:00"/>
    <x v="8"/>
    <x v="8"/>
    <s v="Thursday"/>
    <x v="36"/>
    <d v="2026-09-30T00:00:00"/>
    <s v="Fall"/>
    <x v="4"/>
    <x v="1"/>
    <s v="Half Day"/>
    <n v="1"/>
    <n v="58"/>
    <s v="Premium Life Jacket"/>
    <n v="7"/>
    <n v="9.75"/>
    <n v="55.25"/>
    <x v="0"/>
    <x v="4"/>
    <s v="Mobile Pay"/>
    <s v="Windy"/>
  </r>
  <r>
    <s v="WSR-2026-2464"/>
    <d v="2026-09-10T00:00:00"/>
    <x v="8"/>
    <x v="8"/>
    <s v="Thursday"/>
    <x v="36"/>
    <d v="2026-09-30T00:00:00"/>
    <s v="Fall"/>
    <x v="3"/>
    <x v="1"/>
    <s v="Half Day"/>
    <n v="1"/>
    <n v="58"/>
    <s v="None"/>
    <n v="0"/>
    <n v="0"/>
    <n v="58"/>
    <x v="4"/>
    <x v="3"/>
    <s v="Credit Card"/>
    <s v="Sunny"/>
  </r>
  <r>
    <s v="WSR-2026-2465"/>
    <d v="2026-09-10T00:00:00"/>
    <x v="8"/>
    <x v="8"/>
    <s v="Thursday"/>
    <x v="36"/>
    <d v="2026-09-30T00:00:00"/>
    <s v="Fall"/>
    <x v="0"/>
    <x v="2"/>
    <s v="1 Hour"/>
    <n v="1"/>
    <n v="34"/>
    <s v="Phone Pouch"/>
    <n v="5"/>
    <n v="0"/>
    <n v="39"/>
    <x v="3"/>
    <x v="1"/>
    <s v="Credit Card"/>
    <s v="Sunny"/>
  </r>
  <r>
    <s v="WSR-2026-2466"/>
    <d v="2026-09-11T00:00:00"/>
    <x v="8"/>
    <x v="8"/>
    <s v="Friday"/>
    <x v="36"/>
    <d v="2026-09-30T00:00:00"/>
    <s v="Fall"/>
    <x v="1"/>
    <x v="1"/>
    <s v="1 Hour"/>
    <n v="1"/>
    <n v="24"/>
    <s v="GoPro Mount"/>
    <n v="8"/>
    <n v="3.2"/>
    <n v="28.8"/>
    <x v="9"/>
    <x v="0"/>
    <s v="Cash"/>
    <s v="Cloudy"/>
  </r>
  <r>
    <s v="WSR-2026-2467"/>
    <d v="2026-09-11T00:00:00"/>
    <x v="8"/>
    <x v="8"/>
    <s v="Friday"/>
    <x v="36"/>
    <d v="2026-09-30T00:00:00"/>
    <s v="Fall"/>
    <x v="2"/>
    <x v="7"/>
    <s v="2 Hours"/>
    <n v="1"/>
    <n v="22"/>
    <s v="None"/>
    <n v="0"/>
    <n v="0"/>
    <n v="22"/>
    <x v="2"/>
    <x v="2"/>
    <s v="Debit Card"/>
    <s v="Windy"/>
  </r>
  <r>
    <s v="WSR-2026-2468"/>
    <d v="2026-09-11T00:00:00"/>
    <x v="8"/>
    <x v="8"/>
    <s v="Friday"/>
    <x v="36"/>
    <d v="2026-09-30T00:00:00"/>
    <s v="Fall"/>
    <x v="2"/>
    <x v="1"/>
    <s v="Full Day"/>
    <n v="1"/>
    <n v="84"/>
    <s v="Cooler Rental"/>
    <n v="10"/>
    <n v="0"/>
    <n v="94"/>
    <x v="2"/>
    <x v="2"/>
    <s v="Credit Card"/>
    <s v="Rainy"/>
  </r>
  <r>
    <s v="WSR-2026-2469"/>
    <d v="2026-09-11T00:00:00"/>
    <x v="8"/>
    <x v="8"/>
    <s v="Friday"/>
    <x v="36"/>
    <d v="2026-09-30T00:00:00"/>
    <s v="Fall"/>
    <x v="2"/>
    <x v="0"/>
    <s v="2 Hours"/>
    <n v="1"/>
    <n v="50"/>
    <s v="None"/>
    <n v="0"/>
    <n v="0"/>
    <n v="50"/>
    <x v="6"/>
    <x v="4"/>
    <s v="Credit Card"/>
    <s v="Sunny"/>
  </r>
  <r>
    <s v="WSR-2026-2470"/>
    <d v="2026-09-11T00:00:00"/>
    <x v="8"/>
    <x v="8"/>
    <s v="Friday"/>
    <x v="36"/>
    <d v="2026-09-30T00:00:00"/>
    <s v="Fall"/>
    <x v="3"/>
    <x v="1"/>
    <s v="Half Day"/>
    <n v="1"/>
    <n v="58"/>
    <s v="Phone Pouch"/>
    <n v="5"/>
    <n v="0"/>
    <n v="63"/>
    <x v="6"/>
    <x v="2"/>
    <s v="Credit Card"/>
    <s v="Cloudy"/>
  </r>
  <r>
    <s v="WSR-2026-2471"/>
    <d v="2026-09-11T00:00:00"/>
    <x v="8"/>
    <x v="8"/>
    <s v="Friday"/>
    <x v="36"/>
    <d v="2026-09-30T00:00:00"/>
    <s v="Fall"/>
    <x v="4"/>
    <x v="7"/>
    <s v="Half Day"/>
    <n v="1"/>
    <n v="34"/>
    <s v="None"/>
    <n v="0"/>
    <n v="3.4"/>
    <n v="30.6"/>
    <x v="7"/>
    <x v="1"/>
    <s v="Credit Card"/>
    <s v="Windy"/>
  </r>
  <r>
    <s v="WSR-2026-2472"/>
    <d v="2026-09-11T00:00:00"/>
    <x v="8"/>
    <x v="8"/>
    <s v="Friday"/>
    <x v="36"/>
    <d v="2026-09-30T00:00:00"/>
    <s v="Fall"/>
    <x v="3"/>
    <x v="2"/>
    <s v="1 Hour"/>
    <n v="1"/>
    <n v="34"/>
    <s v="Waterproof Speaker"/>
    <n v="12"/>
    <n v="0"/>
    <n v="46"/>
    <x v="1"/>
    <x v="0"/>
    <s v="Credit Card"/>
    <s v="Sunny"/>
  </r>
  <r>
    <s v="WSR-2026-2473"/>
    <d v="2026-09-11T00:00:00"/>
    <x v="8"/>
    <x v="8"/>
    <s v="Friday"/>
    <x v="36"/>
    <d v="2026-09-30T00:00:00"/>
    <s v="Fall"/>
    <x v="1"/>
    <x v="4"/>
    <s v="2 Hours"/>
    <n v="1"/>
    <n v="18"/>
    <s v="None"/>
    <n v="0"/>
    <n v="1.8"/>
    <n v="16.2"/>
    <x v="5"/>
    <x v="0"/>
    <s v="Credit Card"/>
    <s v="Windy"/>
  </r>
  <r>
    <s v="WSR-2026-2474"/>
    <d v="2026-09-11T00:00:00"/>
    <x v="8"/>
    <x v="8"/>
    <s v="Friday"/>
    <x v="36"/>
    <d v="2026-09-30T00:00:00"/>
    <s v="Fall"/>
    <x v="3"/>
    <x v="5"/>
    <s v="Half Day"/>
    <n v="1"/>
    <n v="62"/>
    <s v="None"/>
    <n v="0"/>
    <n v="0"/>
    <n v="62"/>
    <x v="6"/>
    <x v="1"/>
    <s v="Debit Card"/>
    <s v="Sunny"/>
  </r>
  <r>
    <s v="WSR-2026-2475"/>
    <d v="2026-09-11T00:00:00"/>
    <x v="8"/>
    <x v="8"/>
    <s v="Friday"/>
    <x v="36"/>
    <d v="2026-09-30T00:00:00"/>
    <s v="Fall"/>
    <x v="2"/>
    <x v="7"/>
    <s v="Full Day"/>
    <n v="1"/>
    <n v="48"/>
    <s v="None"/>
    <n v="0"/>
    <n v="0"/>
    <n v="48"/>
    <x v="1"/>
    <x v="1"/>
    <s v="Credit Card"/>
    <s v="Sunny"/>
  </r>
  <r>
    <s v="WSR-2026-2476"/>
    <d v="2026-09-11T00:00:00"/>
    <x v="8"/>
    <x v="8"/>
    <s v="Friday"/>
    <x v="36"/>
    <d v="2026-09-30T00:00:00"/>
    <s v="Fall"/>
    <x v="3"/>
    <x v="7"/>
    <s v="2 Hours"/>
    <n v="1"/>
    <n v="22"/>
    <s v="None"/>
    <n v="0"/>
    <n v="1.1000000000000001"/>
    <n v="20.9"/>
    <x v="3"/>
    <x v="2"/>
    <s v="Credit Card"/>
    <s v="Sunny"/>
  </r>
  <r>
    <s v="WSR-2026-2477"/>
    <d v="2026-09-11T00:00:00"/>
    <x v="8"/>
    <x v="8"/>
    <s v="Friday"/>
    <x v="36"/>
    <d v="2026-09-30T00:00:00"/>
    <s v="Fall"/>
    <x v="3"/>
    <x v="1"/>
    <s v="2 Hours"/>
    <n v="1"/>
    <n v="38"/>
    <s v="Waterproof Speaker"/>
    <n v="12"/>
    <n v="0"/>
    <n v="50"/>
    <x v="0"/>
    <x v="1"/>
    <s v="Credit Card"/>
    <s v="Sunny"/>
  </r>
  <r>
    <s v="WSR-2026-2478"/>
    <d v="2026-09-11T00:00:00"/>
    <x v="8"/>
    <x v="8"/>
    <s v="Friday"/>
    <x v="36"/>
    <d v="2026-09-30T00:00:00"/>
    <s v="Fall"/>
    <x v="3"/>
    <x v="5"/>
    <s v="2 Hours"/>
    <n v="1"/>
    <n v="42"/>
    <s v="Dry Bag"/>
    <n v="6"/>
    <n v="0"/>
    <n v="48"/>
    <x v="5"/>
    <x v="2"/>
    <s v="Credit Card"/>
    <s v="Sunny"/>
  </r>
  <r>
    <s v="WSR-2026-2479"/>
    <d v="2026-09-12T00:00:00"/>
    <x v="8"/>
    <x v="8"/>
    <s v="Saturday"/>
    <x v="36"/>
    <d v="2026-09-30T00:00:00"/>
    <s v="Fall"/>
    <x v="1"/>
    <x v="5"/>
    <s v="2 Hours"/>
    <n v="1"/>
    <n v="45.36"/>
    <s v="None"/>
    <n v="0"/>
    <n v="0"/>
    <n v="45.36"/>
    <x v="7"/>
    <x v="3"/>
    <s v="Credit Card"/>
    <s v="Sunny"/>
  </r>
  <r>
    <s v="WSR-2026-2480"/>
    <d v="2026-09-12T00:00:00"/>
    <x v="8"/>
    <x v="8"/>
    <s v="Saturday"/>
    <x v="36"/>
    <d v="2026-09-30T00:00:00"/>
    <s v="Fall"/>
    <x v="3"/>
    <x v="5"/>
    <s v="2 Hours"/>
    <n v="1"/>
    <n v="45.36"/>
    <s v="None"/>
    <n v="0"/>
    <n v="0"/>
    <n v="45.36"/>
    <x v="7"/>
    <x v="2"/>
    <s v="Debit Card"/>
    <s v="Sunny"/>
  </r>
  <r>
    <s v="WSR-2026-2481"/>
    <d v="2026-09-12T00:00:00"/>
    <x v="8"/>
    <x v="8"/>
    <s v="Saturday"/>
    <x v="36"/>
    <d v="2026-09-30T00:00:00"/>
    <s v="Fall"/>
    <x v="0"/>
    <x v="7"/>
    <s v="1 Hour"/>
    <n v="1"/>
    <n v="15.12"/>
    <s v="None"/>
    <n v="0"/>
    <n v="0"/>
    <n v="15.12"/>
    <x v="0"/>
    <x v="0"/>
    <s v="Credit Card"/>
    <s v="Sunny"/>
  </r>
  <r>
    <s v="WSR-2026-2482"/>
    <d v="2026-09-12T00:00:00"/>
    <x v="8"/>
    <x v="8"/>
    <s v="Saturday"/>
    <x v="36"/>
    <d v="2026-09-30T00:00:00"/>
    <s v="Fall"/>
    <x v="3"/>
    <x v="2"/>
    <s v="Half Day"/>
    <n v="1"/>
    <n v="84.24"/>
    <s v="None"/>
    <n v="0"/>
    <n v="0"/>
    <n v="84.24"/>
    <x v="8"/>
    <x v="3"/>
    <s v="Debit Card"/>
    <s v="Rainy"/>
  </r>
  <r>
    <s v="WSR-2026-2483"/>
    <d v="2026-09-12T00:00:00"/>
    <x v="8"/>
    <x v="8"/>
    <s v="Saturday"/>
    <x v="36"/>
    <d v="2026-09-30T00:00:00"/>
    <s v="Fall"/>
    <x v="3"/>
    <x v="2"/>
    <s v="2 Hours"/>
    <n v="1"/>
    <n v="56.16"/>
    <s v="Premium Life Jacket"/>
    <n v="7"/>
    <n v="0"/>
    <n v="63.16"/>
    <x v="2"/>
    <x v="3"/>
    <s v="Credit Card"/>
    <s v="Sunny"/>
  </r>
  <r>
    <s v="WSR-2026-2484"/>
    <d v="2026-09-12T00:00:00"/>
    <x v="8"/>
    <x v="8"/>
    <s v="Saturday"/>
    <x v="36"/>
    <d v="2026-09-30T00:00:00"/>
    <s v="Fall"/>
    <x v="1"/>
    <x v="5"/>
    <s v="Half Day"/>
    <n v="1"/>
    <n v="66.959999999999994"/>
    <s v="None"/>
    <n v="0"/>
    <n v="0"/>
    <n v="66.959999999999994"/>
    <x v="8"/>
    <x v="2"/>
    <s v="Credit Card"/>
    <s v="Cloudy"/>
  </r>
  <r>
    <s v="WSR-2026-2485"/>
    <d v="2026-09-12T00:00:00"/>
    <x v="8"/>
    <x v="8"/>
    <s v="Saturday"/>
    <x v="36"/>
    <d v="2026-09-30T00:00:00"/>
    <s v="Fall"/>
    <x v="3"/>
    <x v="1"/>
    <s v="1 Hour"/>
    <n v="1"/>
    <n v="25.92"/>
    <s v="None"/>
    <n v="0"/>
    <n v="0"/>
    <n v="25.92"/>
    <x v="0"/>
    <x v="3"/>
    <s v="Mobile Pay"/>
    <s v="Sunny"/>
  </r>
  <r>
    <s v="WSR-2026-2486"/>
    <d v="2026-09-12T00:00:00"/>
    <x v="8"/>
    <x v="8"/>
    <s v="Saturday"/>
    <x v="36"/>
    <d v="2026-09-30T00:00:00"/>
    <s v="Fall"/>
    <x v="1"/>
    <x v="4"/>
    <s v="2 Hours"/>
    <n v="1"/>
    <n v="19.440000000000001"/>
    <s v="Dry Bag"/>
    <n v="6"/>
    <n v="2.54"/>
    <n v="22.9"/>
    <x v="6"/>
    <x v="3"/>
    <s v="Credit Card"/>
    <s v="Rainy"/>
  </r>
  <r>
    <s v="WSR-2026-2487"/>
    <d v="2026-09-12T00:00:00"/>
    <x v="8"/>
    <x v="8"/>
    <s v="Saturday"/>
    <x v="36"/>
    <d v="2026-09-30T00:00:00"/>
    <s v="Fall"/>
    <x v="3"/>
    <x v="5"/>
    <s v="2 Hours"/>
    <n v="1"/>
    <n v="45.36"/>
    <s v="Dry Bag"/>
    <n v="6"/>
    <n v="0"/>
    <n v="51.36"/>
    <x v="1"/>
    <x v="4"/>
    <s v="Credit Card"/>
    <s v="Sunny"/>
  </r>
  <r>
    <s v="WSR-2026-2488"/>
    <d v="2026-09-12T00:00:00"/>
    <x v="8"/>
    <x v="8"/>
    <s v="Saturday"/>
    <x v="36"/>
    <d v="2026-09-30T00:00:00"/>
    <s v="Fall"/>
    <x v="2"/>
    <x v="3"/>
    <s v="Half Day"/>
    <n v="1"/>
    <n v="58.32"/>
    <s v="None"/>
    <n v="0"/>
    <n v="0"/>
    <n v="58.32"/>
    <x v="4"/>
    <x v="3"/>
    <s v="Debit Card"/>
    <s v="Sunny"/>
  </r>
  <r>
    <s v="WSR-2026-2489"/>
    <d v="2026-09-12T00:00:00"/>
    <x v="8"/>
    <x v="8"/>
    <s v="Saturday"/>
    <x v="36"/>
    <d v="2026-09-30T00:00:00"/>
    <s v="Fall"/>
    <x v="3"/>
    <x v="4"/>
    <s v="Half Day"/>
    <n v="1"/>
    <n v="30.24"/>
    <s v="None"/>
    <n v="0"/>
    <n v="0"/>
    <n v="30.24"/>
    <x v="2"/>
    <x v="0"/>
    <s v="Gift Card"/>
    <s v="Cloudy"/>
  </r>
  <r>
    <s v="WSR-2026-2490"/>
    <d v="2026-09-12T00:00:00"/>
    <x v="8"/>
    <x v="8"/>
    <s v="Saturday"/>
    <x v="36"/>
    <d v="2026-09-30T00:00:00"/>
    <s v="Fall"/>
    <x v="2"/>
    <x v="7"/>
    <s v="2 Hours"/>
    <n v="1"/>
    <n v="23.76"/>
    <s v="Premium Life Jacket"/>
    <n v="7"/>
    <n v="0"/>
    <n v="30.76"/>
    <x v="1"/>
    <x v="3"/>
    <s v="Debit Card"/>
    <s v="Sunny"/>
  </r>
  <r>
    <s v="WSR-2026-2491"/>
    <d v="2026-09-12T00:00:00"/>
    <x v="8"/>
    <x v="8"/>
    <s v="Saturday"/>
    <x v="36"/>
    <d v="2026-09-30T00:00:00"/>
    <s v="Fall"/>
    <x v="0"/>
    <x v="5"/>
    <s v="1 Hour"/>
    <n v="1"/>
    <n v="28.08"/>
    <s v="Cooler Rental"/>
    <n v="10"/>
    <n v="1.9"/>
    <n v="36.18"/>
    <x v="0"/>
    <x v="4"/>
    <s v="Debit Card"/>
    <s v="Sunny"/>
  </r>
  <r>
    <s v="WSR-2026-2492"/>
    <d v="2026-09-13T00:00:00"/>
    <x v="8"/>
    <x v="8"/>
    <s v="Sunday"/>
    <x v="37"/>
    <d v="2026-09-30T00:00:00"/>
    <s v="Fall"/>
    <x v="3"/>
    <x v="2"/>
    <s v="2 Hours"/>
    <n v="1"/>
    <n v="56.16"/>
    <s v="None"/>
    <n v="0"/>
    <n v="0"/>
    <n v="56.16"/>
    <x v="7"/>
    <x v="0"/>
    <s v="Cash"/>
    <s v="Rainy"/>
  </r>
  <r>
    <s v="WSR-2026-2493"/>
    <d v="2026-09-13T00:00:00"/>
    <x v="8"/>
    <x v="8"/>
    <s v="Sunday"/>
    <x v="37"/>
    <d v="2026-09-30T00:00:00"/>
    <s v="Fall"/>
    <x v="3"/>
    <x v="8"/>
    <s v="2 Hours"/>
    <n v="1"/>
    <n v="17.28"/>
    <s v="Dry Bag"/>
    <n v="6"/>
    <n v="0"/>
    <n v="23.28"/>
    <x v="2"/>
    <x v="0"/>
    <s v="Credit Card"/>
    <s v="Sunny"/>
  </r>
  <r>
    <s v="WSR-2026-2494"/>
    <d v="2026-09-13T00:00:00"/>
    <x v="8"/>
    <x v="8"/>
    <s v="Sunday"/>
    <x v="37"/>
    <d v="2026-09-30T00:00:00"/>
    <s v="Fall"/>
    <x v="4"/>
    <x v="3"/>
    <s v="2 Hours"/>
    <n v="1"/>
    <n v="38.880000000000003"/>
    <s v="Phone Pouch"/>
    <n v="5"/>
    <n v="6.58"/>
    <n v="37.299999999999997"/>
    <x v="2"/>
    <x v="0"/>
    <s v="Credit Card"/>
    <s v="Windy"/>
  </r>
  <r>
    <s v="WSR-2026-2495"/>
    <d v="2026-09-13T00:00:00"/>
    <x v="8"/>
    <x v="8"/>
    <s v="Sunday"/>
    <x v="37"/>
    <d v="2026-09-30T00:00:00"/>
    <s v="Fall"/>
    <x v="0"/>
    <x v="4"/>
    <s v="1 Hour"/>
    <n v="1"/>
    <n v="12.96"/>
    <s v="Premium Life Jacket"/>
    <n v="7"/>
    <n v="0"/>
    <n v="19.96"/>
    <x v="0"/>
    <x v="4"/>
    <s v="Debit Card"/>
    <s v="Sunny"/>
  </r>
  <r>
    <s v="WSR-2026-2496"/>
    <d v="2026-09-13T00:00:00"/>
    <x v="8"/>
    <x v="8"/>
    <s v="Sunday"/>
    <x v="37"/>
    <d v="2026-09-30T00:00:00"/>
    <s v="Fall"/>
    <x v="3"/>
    <x v="0"/>
    <s v="Full Day"/>
    <n v="1"/>
    <n v="118.8"/>
    <s v="GoPro Mount"/>
    <n v="8"/>
    <n v="6.34"/>
    <n v="120.46"/>
    <x v="9"/>
    <x v="4"/>
    <s v="Credit Card"/>
    <s v="Cloudy"/>
  </r>
  <r>
    <s v="WSR-2026-2497"/>
    <d v="2026-09-13T00:00:00"/>
    <x v="8"/>
    <x v="8"/>
    <s v="Sunday"/>
    <x v="37"/>
    <d v="2026-09-30T00:00:00"/>
    <s v="Fall"/>
    <x v="3"/>
    <x v="9"/>
    <s v="1 Hour"/>
    <n v="1"/>
    <n v="32.4"/>
    <s v="None"/>
    <n v="0"/>
    <n v="0"/>
    <n v="32.4"/>
    <x v="7"/>
    <x v="0"/>
    <s v="Mobile Pay"/>
    <s v="Cloudy"/>
  </r>
  <r>
    <s v="WSR-2026-2498"/>
    <d v="2026-09-13T00:00:00"/>
    <x v="8"/>
    <x v="8"/>
    <s v="Sunday"/>
    <x v="37"/>
    <d v="2026-09-30T00:00:00"/>
    <s v="Fall"/>
    <x v="0"/>
    <x v="5"/>
    <s v="2 Hours"/>
    <n v="1"/>
    <n v="45.36"/>
    <s v="Dry Bag"/>
    <n v="6"/>
    <n v="0"/>
    <n v="51.36"/>
    <x v="7"/>
    <x v="1"/>
    <s v="Credit Card"/>
    <s v="Sunny"/>
  </r>
  <r>
    <s v="WSR-2026-2499"/>
    <d v="2026-09-13T00:00:00"/>
    <x v="8"/>
    <x v="8"/>
    <s v="Sunday"/>
    <x v="37"/>
    <d v="2026-09-30T00:00:00"/>
    <s v="Fall"/>
    <x v="1"/>
    <x v="1"/>
    <s v="1 Hour"/>
    <n v="1"/>
    <n v="25.92"/>
    <s v="Cooler Rental"/>
    <n v="10"/>
    <n v="3.59"/>
    <n v="32.33"/>
    <x v="3"/>
    <x v="4"/>
    <s v="Credit Card"/>
    <s v="Sunny"/>
  </r>
  <r>
    <s v="WSR-2026-2500"/>
    <d v="2026-09-13T00:00:00"/>
    <x v="8"/>
    <x v="8"/>
    <s v="Sunday"/>
    <x v="37"/>
    <d v="2026-09-30T00:00:00"/>
    <s v="Fall"/>
    <x v="2"/>
    <x v="5"/>
    <s v="Half Day"/>
    <n v="1"/>
    <n v="66.959999999999994"/>
    <s v="GoPro Mount"/>
    <n v="8"/>
    <n v="0"/>
    <n v="74.959999999999994"/>
    <x v="7"/>
    <x v="2"/>
    <s v="Debit Card"/>
    <s v="Sunny"/>
  </r>
  <r>
    <s v="WSR-2026-2501"/>
    <d v="2026-09-13T00:00:00"/>
    <x v="8"/>
    <x v="8"/>
    <s v="Sunday"/>
    <x v="37"/>
    <d v="2026-09-30T00:00:00"/>
    <s v="Fall"/>
    <x v="1"/>
    <x v="2"/>
    <s v="Half Day"/>
    <n v="1"/>
    <n v="84.24"/>
    <s v="Cooler Rental"/>
    <n v="10"/>
    <n v="9.42"/>
    <n v="84.82"/>
    <x v="9"/>
    <x v="0"/>
    <s v="Debit Card"/>
    <s v="Sunny"/>
  </r>
  <r>
    <s v="WSR-2026-2502"/>
    <d v="2026-09-13T00:00:00"/>
    <x v="8"/>
    <x v="8"/>
    <s v="Sunday"/>
    <x v="37"/>
    <d v="2026-09-30T00:00:00"/>
    <s v="Fall"/>
    <x v="0"/>
    <x v="4"/>
    <s v="1 Hour"/>
    <n v="1"/>
    <n v="12.96"/>
    <s v="Cooler Rental"/>
    <n v="10"/>
    <n v="0"/>
    <n v="22.96"/>
    <x v="1"/>
    <x v="4"/>
    <s v="Debit Card"/>
    <s v="Sunny"/>
  </r>
  <r>
    <s v="WSR-2026-2503"/>
    <d v="2026-09-13T00:00:00"/>
    <x v="8"/>
    <x v="8"/>
    <s v="Sunday"/>
    <x v="37"/>
    <d v="2026-09-30T00:00:00"/>
    <s v="Fall"/>
    <x v="3"/>
    <x v="9"/>
    <s v="2 Hours"/>
    <n v="1"/>
    <n v="51.84"/>
    <s v="None"/>
    <n v="0"/>
    <n v="0"/>
    <n v="51.84"/>
    <x v="0"/>
    <x v="2"/>
    <s v="Mobile Pay"/>
    <s v="Windy"/>
  </r>
  <r>
    <s v="WSR-2026-2504"/>
    <d v="2026-09-13T00:00:00"/>
    <x v="8"/>
    <x v="8"/>
    <s v="Sunday"/>
    <x v="37"/>
    <d v="2026-09-30T00:00:00"/>
    <s v="Fall"/>
    <x v="2"/>
    <x v="5"/>
    <s v="2 Hours"/>
    <n v="1"/>
    <n v="45.36"/>
    <s v="None"/>
    <n v="0"/>
    <n v="0"/>
    <n v="45.36"/>
    <x v="9"/>
    <x v="4"/>
    <s v="Credit Card"/>
    <s v="Rainy"/>
  </r>
  <r>
    <s v="WSR-2026-2505"/>
    <d v="2026-09-13T00:00:00"/>
    <x v="8"/>
    <x v="8"/>
    <s v="Sunday"/>
    <x v="37"/>
    <d v="2026-09-30T00:00:00"/>
    <s v="Fall"/>
    <x v="3"/>
    <x v="4"/>
    <s v="1 Hour"/>
    <n v="1"/>
    <n v="12.96"/>
    <s v="None"/>
    <n v="0"/>
    <n v="0"/>
    <n v="12.96"/>
    <x v="3"/>
    <x v="3"/>
    <s v="Cash"/>
    <s v="Sunny"/>
  </r>
  <r>
    <s v="WSR-2026-2506"/>
    <d v="2026-09-13T00:00:00"/>
    <x v="8"/>
    <x v="8"/>
    <s v="Sunday"/>
    <x v="37"/>
    <d v="2026-09-30T00:00:00"/>
    <s v="Fall"/>
    <x v="3"/>
    <x v="4"/>
    <s v="1 Hour"/>
    <n v="1"/>
    <n v="12.96"/>
    <s v="None"/>
    <n v="0"/>
    <n v="0"/>
    <n v="12.96"/>
    <x v="4"/>
    <x v="0"/>
    <s v="Credit Card"/>
    <s v="Sunny"/>
  </r>
  <r>
    <s v="WSR-2026-2507"/>
    <d v="2026-09-13T00:00:00"/>
    <x v="8"/>
    <x v="8"/>
    <s v="Sunday"/>
    <x v="37"/>
    <d v="2026-09-30T00:00:00"/>
    <s v="Fall"/>
    <x v="1"/>
    <x v="5"/>
    <s v="Half Day"/>
    <n v="1"/>
    <n v="66.959999999999994"/>
    <s v="None"/>
    <n v="0"/>
    <n v="0"/>
    <n v="66.959999999999994"/>
    <x v="0"/>
    <x v="4"/>
    <s v="Credit Card"/>
    <s v="Windy"/>
  </r>
  <r>
    <s v="WSR-2026-2508"/>
    <d v="2026-09-13T00:00:00"/>
    <x v="8"/>
    <x v="8"/>
    <s v="Sunday"/>
    <x v="37"/>
    <d v="2026-09-30T00:00:00"/>
    <s v="Fall"/>
    <x v="3"/>
    <x v="5"/>
    <s v="Half Day"/>
    <n v="1"/>
    <n v="66.959999999999994"/>
    <s v="None"/>
    <n v="0"/>
    <n v="0"/>
    <n v="66.959999999999994"/>
    <x v="3"/>
    <x v="4"/>
    <s v="Credit Card"/>
    <s v="Sunny"/>
  </r>
  <r>
    <s v="WSR-2026-2509"/>
    <d v="2026-09-13T00:00:00"/>
    <x v="8"/>
    <x v="8"/>
    <s v="Sunday"/>
    <x v="37"/>
    <d v="2026-09-30T00:00:00"/>
    <s v="Fall"/>
    <x v="1"/>
    <x v="1"/>
    <s v="2 Hours"/>
    <n v="1"/>
    <n v="41.04"/>
    <s v="Waterproof Speaker"/>
    <n v="12"/>
    <n v="5.3"/>
    <n v="47.74"/>
    <x v="2"/>
    <x v="4"/>
    <s v="Credit Card"/>
    <s v="Sunny"/>
  </r>
  <r>
    <s v="WSR-2026-2510"/>
    <d v="2026-09-13T00:00:00"/>
    <x v="8"/>
    <x v="8"/>
    <s v="Sunday"/>
    <x v="37"/>
    <d v="2026-09-30T00:00:00"/>
    <s v="Fall"/>
    <x v="3"/>
    <x v="9"/>
    <s v="2 Hours"/>
    <n v="1"/>
    <n v="51.84"/>
    <s v="None"/>
    <n v="0"/>
    <n v="0"/>
    <n v="51.84"/>
    <x v="3"/>
    <x v="3"/>
    <s v="Cash"/>
    <s v="Sunny"/>
  </r>
  <r>
    <s v="WSR-2026-2511"/>
    <d v="2026-09-14T00:00:00"/>
    <x v="8"/>
    <x v="8"/>
    <s v="Monday"/>
    <x v="37"/>
    <d v="2026-09-30T00:00:00"/>
    <s v="Fall"/>
    <x v="0"/>
    <x v="5"/>
    <s v="1 Hour"/>
    <n v="1"/>
    <n v="26"/>
    <s v="GoPro Mount"/>
    <n v="8"/>
    <n v="0"/>
    <n v="34"/>
    <x v="0"/>
    <x v="2"/>
    <s v="Debit Card"/>
    <s v="Sunny"/>
  </r>
  <r>
    <s v="WSR-2026-2512"/>
    <d v="2026-09-14T00:00:00"/>
    <x v="8"/>
    <x v="8"/>
    <s v="Monday"/>
    <x v="37"/>
    <d v="2026-09-30T00:00:00"/>
    <s v="Fall"/>
    <x v="3"/>
    <x v="3"/>
    <s v="1 Hour"/>
    <n v="1"/>
    <n v="22"/>
    <s v="None"/>
    <n v="0"/>
    <n v="0"/>
    <n v="22"/>
    <x v="2"/>
    <x v="4"/>
    <s v="Credit Card"/>
    <s v="Sunny"/>
  </r>
  <r>
    <s v="WSR-2026-2513"/>
    <d v="2026-09-14T00:00:00"/>
    <x v="8"/>
    <x v="8"/>
    <s v="Monday"/>
    <x v="37"/>
    <d v="2026-09-30T00:00:00"/>
    <s v="Fall"/>
    <x v="3"/>
    <x v="5"/>
    <s v="1 Hour"/>
    <n v="1"/>
    <n v="26"/>
    <s v="None"/>
    <n v="0"/>
    <n v="0"/>
    <n v="26"/>
    <x v="4"/>
    <x v="2"/>
    <s v="Credit Card"/>
    <s v="Cloudy"/>
  </r>
  <r>
    <s v="WSR-2026-2514"/>
    <d v="2026-09-14T00:00:00"/>
    <x v="8"/>
    <x v="8"/>
    <s v="Monday"/>
    <x v="37"/>
    <d v="2026-09-30T00:00:00"/>
    <s v="Fall"/>
    <x v="3"/>
    <x v="9"/>
    <s v="2 Hours"/>
    <n v="1"/>
    <n v="48"/>
    <s v="Cooler Rental"/>
    <n v="10"/>
    <n v="0"/>
    <n v="58"/>
    <x v="7"/>
    <x v="0"/>
    <s v="Credit Card"/>
    <s v="Cloudy"/>
  </r>
  <r>
    <s v="WSR-2026-2515"/>
    <d v="2026-09-14T00:00:00"/>
    <x v="8"/>
    <x v="8"/>
    <s v="Monday"/>
    <x v="37"/>
    <d v="2026-09-30T00:00:00"/>
    <s v="Fall"/>
    <x v="0"/>
    <x v="1"/>
    <s v="Half Day"/>
    <n v="1"/>
    <n v="58"/>
    <s v="None"/>
    <n v="0"/>
    <n v="0"/>
    <n v="58"/>
    <x v="6"/>
    <x v="0"/>
    <s v="Debit Card"/>
    <s v="Sunny"/>
  </r>
  <r>
    <s v="WSR-2026-2516"/>
    <d v="2026-09-14T00:00:00"/>
    <x v="8"/>
    <x v="8"/>
    <s v="Monday"/>
    <x v="37"/>
    <d v="2026-09-30T00:00:00"/>
    <s v="Fall"/>
    <x v="1"/>
    <x v="2"/>
    <s v="Full Day"/>
    <n v="1"/>
    <n v="112"/>
    <s v="Cooler Rental"/>
    <n v="10"/>
    <n v="0"/>
    <n v="122"/>
    <x v="6"/>
    <x v="4"/>
    <s v="Gift Card"/>
    <s v="Cloudy"/>
  </r>
  <r>
    <s v="WSR-2026-2517"/>
    <d v="2026-09-15T00:00:00"/>
    <x v="8"/>
    <x v="8"/>
    <s v="Tuesday"/>
    <x v="37"/>
    <d v="2026-09-30T00:00:00"/>
    <s v="Fall"/>
    <x v="3"/>
    <x v="0"/>
    <s v="Half Day"/>
    <n v="1"/>
    <n v="76"/>
    <s v="Premium Life Jacket"/>
    <n v="7"/>
    <n v="0"/>
    <n v="83"/>
    <x v="5"/>
    <x v="3"/>
    <s v="Cash"/>
    <s v="Sunny"/>
  </r>
  <r>
    <s v="WSR-2026-2518"/>
    <d v="2026-09-15T00:00:00"/>
    <x v="8"/>
    <x v="8"/>
    <s v="Tuesday"/>
    <x v="37"/>
    <d v="2026-09-30T00:00:00"/>
    <s v="Fall"/>
    <x v="2"/>
    <x v="4"/>
    <s v="Half Day"/>
    <n v="1"/>
    <n v="28"/>
    <s v="GoPro Mount"/>
    <n v="8"/>
    <n v="0"/>
    <n v="36"/>
    <x v="9"/>
    <x v="1"/>
    <s v="Debit Card"/>
    <s v="Cloudy"/>
  </r>
  <r>
    <s v="WSR-2026-2519"/>
    <d v="2026-09-15T00:00:00"/>
    <x v="8"/>
    <x v="8"/>
    <s v="Tuesday"/>
    <x v="37"/>
    <d v="2026-09-30T00:00:00"/>
    <s v="Fall"/>
    <x v="2"/>
    <x v="3"/>
    <s v="2 Hours"/>
    <n v="1"/>
    <n v="36"/>
    <s v="None"/>
    <n v="0"/>
    <n v="0"/>
    <n v="36"/>
    <x v="1"/>
    <x v="0"/>
    <s v="Debit Card"/>
    <s v="Cloudy"/>
  </r>
  <r>
    <s v="WSR-2026-2520"/>
    <d v="2026-09-15T00:00:00"/>
    <x v="8"/>
    <x v="8"/>
    <s v="Tuesday"/>
    <x v="37"/>
    <d v="2026-09-30T00:00:00"/>
    <s v="Fall"/>
    <x v="2"/>
    <x v="5"/>
    <s v="Full Day"/>
    <n v="1"/>
    <n v="88"/>
    <s v="None"/>
    <n v="0"/>
    <n v="0"/>
    <n v="88"/>
    <x v="2"/>
    <x v="4"/>
    <s v="Mobile Pay"/>
    <s v="Sunny"/>
  </r>
  <r>
    <s v="WSR-2026-2521"/>
    <d v="2026-09-15T00:00:00"/>
    <x v="8"/>
    <x v="8"/>
    <s v="Tuesday"/>
    <x v="37"/>
    <d v="2026-09-30T00:00:00"/>
    <s v="Fall"/>
    <x v="2"/>
    <x v="4"/>
    <s v="2 Hours"/>
    <n v="1"/>
    <n v="18"/>
    <s v="None"/>
    <n v="0"/>
    <n v="0"/>
    <n v="18"/>
    <x v="7"/>
    <x v="4"/>
    <s v="Credit Card"/>
    <s v="Cloudy"/>
  </r>
  <r>
    <s v="WSR-2026-2522"/>
    <d v="2026-09-16T00:00:00"/>
    <x v="8"/>
    <x v="8"/>
    <s v="Wednesday"/>
    <x v="37"/>
    <d v="2026-09-30T00:00:00"/>
    <s v="Fall"/>
    <x v="1"/>
    <x v="9"/>
    <s v="2 Hours"/>
    <n v="1"/>
    <n v="48"/>
    <s v="Phone Pouch"/>
    <n v="5"/>
    <n v="0"/>
    <n v="53"/>
    <x v="7"/>
    <x v="2"/>
    <s v="Credit Card"/>
    <s v="Sunny"/>
  </r>
  <r>
    <s v="WSR-2026-2523"/>
    <d v="2026-09-16T00:00:00"/>
    <x v="8"/>
    <x v="8"/>
    <s v="Wednesday"/>
    <x v="37"/>
    <d v="2026-09-30T00:00:00"/>
    <s v="Fall"/>
    <x v="2"/>
    <x v="7"/>
    <s v="2 Hours"/>
    <n v="1"/>
    <n v="22"/>
    <s v="Dry Bag"/>
    <n v="6"/>
    <n v="0"/>
    <n v="28"/>
    <x v="4"/>
    <x v="2"/>
    <s v="Debit Card"/>
    <s v="Sunny"/>
  </r>
  <r>
    <s v="WSR-2026-2524"/>
    <d v="2026-09-16T00:00:00"/>
    <x v="8"/>
    <x v="8"/>
    <s v="Wednesday"/>
    <x v="37"/>
    <d v="2026-09-30T00:00:00"/>
    <s v="Fall"/>
    <x v="2"/>
    <x v="2"/>
    <s v="Half Day"/>
    <n v="1"/>
    <n v="78"/>
    <s v="Waterproof Speaker"/>
    <n v="12"/>
    <n v="0"/>
    <n v="90"/>
    <x v="3"/>
    <x v="4"/>
    <s v="Debit Card"/>
    <s v="Cloudy"/>
  </r>
  <r>
    <s v="WSR-2026-2525"/>
    <d v="2026-09-17T00:00:00"/>
    <x v="8"/>
    <x v="8"/>
    <s v="Thursday"/>
    <x v="37"/>
    <d v="2026-09-30T00:00:00"/>
    <s v="Fall"/>
    <x v="3"/>
    <x v="5"/>
    <s v="Full Day"/>
    <n v="1"/>
    <n v="88"/>
    <s v="None"/>
    <n v="0"/>
    <n v="0"/>
    <n v="88"/>
    <x v="0"/>
    <x v="3"/>
    <s v="Credit Card"/>
    <s v="Sunny"/>
  </r>
  <r>
    <s v="WSR-2026-2526"/>
    <d v="2026-09-17T00:00:00"/>
    <x v="8"/>
    <x v="8"/>
    <s v="Thursday"/>
    <x v="37"/>
    <d v="2026-09-30T00:00:00"/>
    <s v="Fall"/>
    <x v="3"/>
    <x v="5"/>
    <s v="2 Hours"/>
    <n v="1"/>
    <n v="42"/>
    <s v="Dry Bag"/>
    <n v="6"/>
    <n v="0"/>
    <n v="48"/>
    <x v="3"/>
    <x v="3"/>
    <s v="Credit Card"/>
    <s v="Sunny"/>
  </r>
  <r>
    <s v="WSR-2026-2527"/>
    <d v="2026-09-17T00:00:00"/>
    <x v="8"/>
    <x v="8"/>
    <s v="Thursday"/>
    <x v="37"/>
    <d v="2026-09-30T00:00:00"/>
    <s v="Fall"/>
    <x v="3"/>
    <x v="2"/>
    <s v="1 Hour"/>
    <n v="1"/>
    <n v="34"/>
    <s v="None"/>
    <n v="0"/>
    <n v="0"/>
    <n v="34"/>
    <x v="3"/>
    <x v="1"/>
    <s v="Mobile Pay"/>
    <s v="Cloudy"/>
  </r>
  <r>
    <s v="WSR-2026-2528"/>
    <d v="2026-09-17T00:00:00"/>
    <x v="8"/>
    <x v="8"/>
    <s v="Thursday"/>
    <x v="37"/>
    <d v="2026-09-30T00:00:00"/>
    <s v="Fall"/>
    <x v="3"/>
    <x v="7"/>
    <s v="Full Day"/>
    <n v="1"/>
    <n v="48"/>
    <s v="Dry Bag"/>
    <n v="6"/>
    <n v="0"/>
    <n v="54"/>
    <x v="0"/>
    <x v="1"/>
    <s v="Debit Card"/>
    <s v="Cloudy"/>
  </r>
  <r>
    <s v="WSR-2026-2529"/>
    <d v="2026-09-17T00:00:00"/>
    <x v="8"/>
    <x v="8"/>
    <s v="Thursday"/>
    <x v="37"/>
    <d v="2026-09-30T00:00:00"/>
    <s v="Fall"/>
    <x v="2"/>
    <x v="4"/>
    <s v="Half Day"/>
    <n v="1"/>
    <n v="28"/>
    <s v="Waterproof Speaker"/>
    <n v="12"/>
    <n v="0"/>
    <n v="40"/>
    <x v="2"/>
    <x v="1"/>
    <s v="Credit Card"/>
    <s v="Rainy"/>
  </r>
  <r>
    <s v="WSR-2026-2530"/>
    <d v="2026-09-17T00:00:00"/>
    <x v="8"/>
    <x v="8"/>
    <s v="Thursday"/>
    <x v="37"/>
    <d v="2026-09-30T00:00:00"/>
    <s v="Fall"/>
    <x v="2"/>
    <x v="0"/>
    <s v="1 Hour"/>
    <n v="1"/>
    <n v="32"/>
    <s v="None"/>
    <n v="0"/>
    <n v="0"/>
    <n v="32"/>
    <x v="9"/>
    <x v="0"/>
    <s v="Mobile Pay"/>
    <s v="Rainy"/>
  </r>
  <r>
    <s v="WSR-2026-2531"/>
    <d v="2026-09-17T00:00:00"/>
    <x v="8"/>
    <x v="8"/>
    <s v="Thursday"/>
    <x v="37"/>
    <d v="2026-09-30T00:00:00"/>
    <s v="Fall"/>
    <x v="3"/>
    <x v="9"/>
    <s v="2 Hours"/>
    <n v="1"/>
    <n v="48"/>
    <s v="None"/>
    <n v="0"/>
    <n v="0"/>
    <n v="48"/>
    <x v="2"/>
    <x v="3"/>
    <s v="Credit Card"/>
    <s v="Sunny"/>
  </r>
  <r>
    <s v="WSR-2026-2532"/>
    <d v="2026-09-18T00:00:00"/>
    <x v="8"/>
    <x v="8"/>
    <s v="Friday"/>
    <x v="37"/>
    <d v="2026-09-30T00:00:00"/>
    <s v="Fall"/>
    <x v="3"/>
    <x v="1"/>
    <s v="2 Hours"/>
    <n v="1"/>
    <n v="38"/>
    <s v="Cooler Rental"/>
    <n v="10"/>
    <n v="0"/>
    <n v="48"/>
    <x v="5"/>
    <x v="3"/>
    <s v="Debit Card"/>
    <s v="Cloudy"/>
  </r>
  <r>
    <s v="WSR-2026-2533"/>
    <d v="2026-09-18T00:00:00"/>
    <x v="8"/>
    <x v="8"/>
    <s v="Friday"/>
    <x v="37"/>
    <d v="2026-09-30T00:00:00"/>
    <s v="Fall"/>
    <x v="1"/>
    <x v="7"/>
    <s v="Full Day"/>
    <n v="1"/>
    <n v="48"/>
    <s v="Premium Life Jacket"/>
    <n v="7"/>
    <n v="5.5"/>
    <n v="49.5"/>
    <x v="6"/>
    <x v="0"/>
    <s v="Credit Card"/>
    <s v="Sunny"/>
  </r>
  <r>
    <s v="WSR-2026-2534"/>
    <d v="2026-09-18T00:00:00"/>
    <x v="8"/>
    <x v="8"/>
    <s v="Friday"/>
    <x v="37"/>
    <d v="2026-09-30T00:00:00"/>
    <s v="Fall"/>
    <x v="3"/>
    <x v="0"/>
    <s v="Half Day"/>
    <n v="1"/>
    <n v="76"/>
    <s v="None"/>
    <n v="0"/>
    <n v="0"/>
    <n v="76"/>
    <x v="4"/>
    <x v="2"/>
    <s v="Mobile Pay"/>
    <s v="Sunny"/>
  </r>
  <r>
    <s v="WSR-2026-2535"/>
    <d v="2026-09-18T00:00:00"/>
    <x v="8"/>
    <x v="8"/>
    <s v="Friday"/>
    <x v="37"/>
    <d v="2026-09-30T00:00:00"/>
    <s v="Fall"/>
    <x v="4"/>
    <x v="2"/>
    <s v="2 Hours"/>
    <n v="1"/>
    <n v="52"/>
    <s v="None"/>
    <n v="0"/>
    <n v="5.2"/>
    <n v="46.8"/>
    <x v="8"/>
    <x v="2"/>
    <s v="Mobile Pay"/>
    <s v="Sunny"/>
  </r>
  <r>
    <s v="WSR-2026-2536"/>
    <d v="2026-09-18T00:00:00"/>
    <x v="8"/>
    <x v="8"/>
    <s v="Friday"/>
    <x v="37"/>
    <d v="2026-09-30T00:00:00"/>
    <s v="Fall"/>
    <x v="3"/>
    <x v="2"/>
    <s v="2 Hours"/>
    <n v="1"/>
    <n v="52"/>
    <s v="Phone Pouch"/>
    <n v="5"/>
    <n v="0"/>
    <n v="57"/>
    <x v="4"/>
    <x v="2"/>
    <s v="Credit Card"/>
    <s v="Cloudy"/>
  </r>
  <r>
    <s v="WSR-2026-2537"/>
    <d v="2026-09-18T00:00:00"/>
    <x v="8"/>
    <x v="8"/>
    <s v="Friday"/>
    <x v="37"/>
    <d v="2026-09-30T00:00:00"/>
    <s v="Fall"/>
    <x v="1"/>
    <x v="5"/>
    <s v="2 Hours"/>
    <n v="1"/>
    <n v="42"/>
    <s v="Premium Life Jacket"/>
    <n v="7"/>
    <n v="0"/>
    <n v="49"/>
    <x v="0"/>
    <x v="1"/>
    <s v="Credit Card"/>
    <s v="Sunny"/>
  </r>
  <r>
    <s v="WSR-2026-2538"/>
    <d v="2026-09-18T00:00:00"/>
    <x v="8"/>
    <x v="8"/>
    <s v="Friday"/>
    <x v="37"/>
    <d v="2026-09-30T00:00:00"/>
    <s v="Fall"/>
    <x v="3"/>
    <x v="1"/>
    <s v="Full Day"/>
    <n v="1"/>
    <n v="84"/>
    <s v="Premium Life Jacket"/>
    <n v="7"/>
    <n v="0"/>
    <n v="91"/>
    <x v="9"/>
    <x v="2"/>
    <s v="Credit Card"/>
    <s v="Sunny"/>
  </r>
  <r>
    <s v="WSR-2026-2539"/>
    <d v="2026-09-18T00:00:00"/>
    <x v="8"/>
    <x v="8"/>
    <s v="Friday"/>
    <x v="37"/>
    <d v="2026-09-30T00:00:00"/>
    <s v="Fall"/>
    <x v="1"/>
    <x v="7"/>
    <s v="2 Hours"/>
    <n v="1"/>
    <n v="22"/>
    <s v="Premium Life Jacket"/>
    <n v="7"/>
    <n v="1.45"/>
    <n v="27.55"/>
    <x v="3"/>
    <x v="2"/>
    <s v="Credit Card"/>
    <s v="Sunny"/>
  </r>
  <r>
    <s v="WSR-2026-2540"/>
    <d v="2026-09-18T00:00:00"/>
    <x v="8"/>
    <x v="8"/>
    <s v="Friday"/>
    <x v="37"/>
    <d v="2026-09-30T00:00:00"/>
    <s v="Fall"/>
    <x v="3"/>
    <x v="1"/>
    <s v="2 Hours"/>
    <n v="1"/>
    <n v="38"/>
    <s v="Phone Pouch"/>
    <n v="5"/>
    <n v="0"/>
    <n v="43"/>
    <x v="1"/>
    <x v="4"/>
    <s v="Credit Card"/>
    <s v="Sunny"/>
  </r>
  <r>
    <s v="WSR-2026-2541"/>
    <d v="2026-09-18T00:00:00"/>
    <x v="8"/>
    <x v="8"/>
    <s v="Friday"/>
    <x v="37"/>
    <d v="2026-09-30T00:00:00"/>
    <s v="Fall"/>
    <x v="2"/>
    <x v="7"/>
    <s v="1 Hour"/>
    <n v="1"/>
    <n v="14"/>
    <s v="GoPro Mount"/>
    <n v="8"/>
    <n v="0"/>
    <n v="22"/>
    <x v="3"/>
    <x v="0"/>
    <s v="Credit Card"/>
    <s v="Windy"/>
  </r>
  <r>
    <s v="WSR-2026-2542"/>
    <d v="2026-09-18T00:00:00"/>
    <x v="8"/>
    <x v="8"/>
    <s v="Friday"/>
    <x v="37"/>
    <d v="2026-09-30T00:00:00"/>
    <s v="Fall"/>
    <x v="4"/>
    <x v="1"/>
    <s v="2 Hours"/>
    <n v="1"/>
    <n v="38"/>
    <s v="Dry Bag"/>
    <n v="6"/>
    <n v="4.4000000000000004"/>
    <n v="39.6"/>
    <x v="4"/>
    <x v="3"/>
    <s v="Mobile Pay"/>
    <s v="Cloudy"/>
  </r>
  <r>
    <s v="WSR-2026-2543"/>
    <d v="2026-09-18T00:00:00"/>
    <x v="8"/>
    <x v="8"/>
    <s v="Friday"/>
    <x v="37"/>
    <d v="2026-09-30T00:00:00"/>
    <s v="Fall"/>
    <x v="3"/>
    <x v="5"/>
    <s v="1 Hour"/>
    <n v="1"/>
    <n v="26"/>
    <s v="None"/>
    <n v="0"/>
    <n v="0"/>
    <n v="26"/>
    <x v="7"/>
    <x v="1"/>
    <s v="Credit Card"/>
    <s v="Rainy"/>
  </r>
  <r>
    <s v="WSR-2026-2544"/>
    <d v="2026-09-18T00:00:00"/>
    <x v="8"/>
    <x v="8"/>
    <s v="Friday"/>
    <x v="37"/>
    <d v="2026-09-30T00:00:00"/>
    <s v="Fall"/>
    <x v="4"/>
    <x v="0"/>
    <s v="Half Day"/>
    <n v="1"/>
    <n v="76"/>
    <s v="None"/>
    <n v="0"/>
    <n v="7.6"/>
    <n v="68.400000000000006"/>
    <x v="5"/>
    <x v="3"/>
    <s v="Debit Card"/>
    <s v="Sunny"/>
  </r>
  <r>
    <s v="WSR-2026-2545"/>
    <d v="2026-09-18T00:00:00"/>
    <x v="8"/>
    <x v="8"/>
    <s v="Friday"/>
    <x v="37"/>
    <d v="2026-09-30T00:00:00"/>
    <s v="Fall"/>
    <x v="3"/>
    <x v="2"/>
    <s v="Half Day"/>
    <n v="1"/>
    <n v="78"/>
    <s v="Dry Bag"/>
    <n v="6"/>
    <n v="0"/>
    <n v="84"/>
    <x v="2"/>
    <x v="2"/>
    <s v="Credit Card"/>
    <s v="Sunny"/>
  </r>
  <r>
    <s v="WSR-2026-2546"/>
    <d v="2026-09-18T00:00:00"/>
    <x v="8"/>
    <x v="8"/>
    <s v="Friday"/>
    <x v="37"/>
    <d v="2026-09-30T00:00:00"/>
    <s v="Fall"/>
    <x v="2"/>
    <x v="9"/>
    <s v="2 Hours"/>
    <n v="1"/>
    <n v="48"/>
    <s v="None"/>
    <n v="0"/>
    <n v="0"/>
    <n v="48"/>
    <x v="0"/>
    <x v="3"/>
    <s v="Cash"/>
    <s v="Rainy"/>
  </r>
  <r>
    <s v="WSR-2026-2547"/>
    <d v="2026-09-18T00:00:00"/>
    <x v="8"/>
    <x v="8"/>
    <s v="Friday"/>
    <x v="37"/>
    <d v="2026-09-30T00:00:00"/>
    <s v="Fall"/>
    <x v="3"/>
    <x v="1"/>
    <s v="1 Hour"/>
    <n v="1"/>
    <n v="24"/>
    <s v="Dry Bag"/>
    <n v="6"/>
    <n v="0"/>
    <n v="30"/>
    <x v="5"/>
    <x v="1"/>
    <s v="Credit Card"/>
    <s v="Sunny"/>
  </r>
  <r>
    <s v="WSR-2026-2548"/>
    <d v="2026-09-18T00:00:00"/>
    <x v="8"/>
    <x v="8"/>
    <s v="Friday"/>
    <x v="37"/>
    <d v="2026-09-30T00:00:00"/>
    <s v="Fall"/>
    <x v="2"/>
    <x v="1"/>
    <s v="Half Day"/>
    <n v="1"/>
    <n v="58"/>
    <s v="Waterproof Speaker"/>
    <n v="12"/>
    <n v="0"/>
    <n v="70"/>
    <x v="2"/>
    <x v="2"/>
    <s v="Debit Card"/>
    <s v="Sunny"/>
  </r>
  <r>
    <s v="WSR-2026-2549"/>
    <d v="2026-09-18T00:00:00"/>
    <x v="8"/>
    <x v="8"/>
    <s v="Friday"/>
    <x v="37"/>
    <d v="2026-09-30T00:00:00"/>
    <s v="Fall"/>
    <x v="3"/>
    <x v="4"/>
    <s v="1 Hour"/>
    <n v="1"/>
    <n v="12"/>
    <s v="Premium Life Jacket"/>
    <n v="7"/>
    <n v="0"/>
    <n v="19"/>
    <x v="6"/>
    <x v="0"/>
    <s v="Debit Card"/>
    <s v="Cloudy"/>
  </r>
  <r>
    <s v="WSR-2026-2550"/>
    <d v="2026-09-18T00:00:00"/>
    <x v="8"/>
    <x v="8"/>
    <s v="Friday"/>
    <x v="37"/>
    <d v="2026-09-30T00:00:00"/>
    <s v="Fall"/>
    <x v="3"/>
    <x v="4"/>
    <s v="1 Hour"/>
    <n v="1"/>
    <n v="12"/>
    <s v="None"/>
    <n v="0"/>
    <n v="0"/>
    <n v="12"/>
    <x v="1"/>
    <x v="1"/>
    <s v="Credit Card"/>
    <s v="Sunny"/>
  </r>
  <r>
    <s v="WSR-2026-2551"/>
    <d v="2026-09-18T00:00:00"/>
    <x v="8"/>
    <x v="8"/>
    <s v="Friday"/>
    <x v="37"/>
    <d v="2026-09-30T00:00:00"/>
    <s v="Fall"/>
    <x v="2"/>
    <x v="4"/>
    <s v="1 Hour"/>
    <n v="1"/>
    <n v="12"/>
    <s v="Dry Bag"/>
    <n v="6"/>
    <n v="0"/>
    <n v="18"/>
    <x v="8"/>
    <x v="2"/>
    <s v="Mobile Pay"/>
    <s v="Rainy"/>
  </r>
  <r>
    <s v="WSR-2026-2552"/>
    <d v="2026-09-18T00:00:00"/>
    <x v="8"/>
    <x v="8"/>
    <s v="Friday"/>
    <x v="37"/>
    <d v="2026-09-30T00:00:00"/>
    <s v="Fall"/>
    <x v="3"/>
    <x v="5"/>
    <s v="Half Day"/>
    <n v="1"/>
    <n v="62"/>
    <s v="Dry Bag"/>
    <n v="6"/>
    <n v="0"/>
    <n v="68"/>
    <x v="6"/>
    <x v="2"/>
    <s v="Credit Card"/>
    <s v="Sunny"/>
  </r>
  <r>
    <s v="WSR-2026-2553"/>
    <d v="2026-09-19T00:00:00"/>
    <x v="8"/>
    <x v="8"/>
    <s v="Saturday"/>
    <x v="37"/>
    <d v="2026-09-30T00:00:00"/>
    <s v="Fall"/>
    <x v="2"/>
    <x v="5"/>
    <s v="1 Hour"/>
    <n v="1"/>
    <n v="28.08"/>
    <s v="None"/>
    <n v="0"/>
    <n v="0"/>
    <n v="28.08"/>
    <x v="8"/>
    <x v="3"/>
    <s v="Mobile Pay"/>
    <s v="Sunny"/>
  </r>
  <r>
    <s v="WSR-2026-2554"/>
    <d v="2026-09-19T00:00:00"/>
    <x v="8"/>
    <x v="8"/>
    <s v="Saturday"/>
    <x v="37"/>
    <d v="2026-09-30T00:00:00"/>
    <s v="Fall"/>
    <x v="3"/>
    <x v="3"/>
    <s v="1 Hour"/>
    <n v="1"/>
    <n v="23.76"/>
    <s v="Dry Bag"/>
    <n v="6"/>
    <n v="0"/>
    <n v="29.76"/>
    <x v="2"/>
    <x v="4"/>
    <s v="Credit Card"/>
    <s v="Cloudy"/>
  </r>
  <r>
    <s v="WSR-2026-2555"/>
    <d v="2026-09-19T00:00:00"/>
    <x v="8"/>
    <x v="8"/>
    <s v="Saturday"/>
    <x v="37"/>
    <d v="2026-09-30T00:00:00"/>
    <s v="Fall"/>
    <x v="2"/>
    <x v="2"/>
    <s v="1 Hour"/>
    <n v="1"/>
    <n v="36.72"/>
    <s v="Phone Pouch"/>
    <n v="5"/>
    <n v="0"/>
    <n v="41.72"/>
    <x v="7"/>
    <x v="2"/>
    <s v="Debit Card"/>
    <s v="Sunny"/>
  </r>
  <r>
    <s v="WSR-2026-2556"/>
    <d v="2026-09-19T00:00:00"/>
    <x v="8"/>
    <x v="8"/>
    <s v="Saturday"/>
    <x v="37"/>
    <d v="2026-09-30T00:00:00"/>
    <s v="Fall"/>
    <x v="0"/>
    <x v="3"/>
    <s v="2 Hours"/>
    <n v="1"/>
    <n v="38.880000000000003"/>
    <s v="None"/>
    <n v="0"/>
    <n v="0"/>
    <n v="38.880000000000003"/>
    <x v="6"/>
    <x v="3"/>
    <s v="Debit Card"/>
    <s v="Sunny"/>
  </r>
  <r>
    <s v="WSR-2026-2557"/>
    <d v="2026-09-19T00:00:00"/>
    <x v="8"/>
    <x v="8"/>
    <s v="Saturday"/>
    <x v="37"/>
    <d v="2026-09-30T00:00:00"/>
    <s v="Fall"/>
    <x v="3"/>
    <x v="2"/>
    <s v="2 Hours"/>
    <n v="1"/>
    <n v="56.16"/>
    <s v="Phone Pouch"/>
    <n v="5"/>
    <n v="0"/>
    <n v="61.16"/>
    <x v="4"/>
    <x v="3"/>
    <s v="Credit Card"/>
    <s v="Sunny"/>
  </r>
  <r>
    <s v="WSR-2026-2558"/>
    <d v="2026-09-19T00:00:00"/>
    <x v="8"/>
    <x v="8"/>
    <s v="Saturday"/>
    <x v="37"/>
    <d v="2026-09-30T00:00:00"/>
    <s v="Fall"/>
    <x v="3"/>
    <x v="1"/>
    <s v="Half Day"/>
    <n v="1"/>
    <n v="62.64"/>
    <s v="None"/>
    <n v="0"/>
    <n v="0"/>
    <n v="62.64"/>
    <x v="2"/>
    <x v="3"/>
    <s v="Credit Card"/>
    <s v="Cloudy"/>
  </r>
  <r>
    <s v="WSR-2026-2559"/>
    <d v="2026-09-19T00:00:00"/>
    <x v="8"/>
    <x v="8"/>
    <s v="Saturday"/>
    <x v="37"/>
    <d v="2026-09-30T00:00:00"/>
    <s v="Fall"/>
    <x v="2"/>
    <x v="0"/>
    <s v="1 Hour"/>
    <n v="1"/>
    <n v="34.56"/>
    <s v="None"/>
    <n v="0"/>
    <n v="0"/>
    <n v="34.56"/>
    <x v="4"/>
    <x v="1"/>
    <s v="Cash"/>
    <s v="Cloudy"/>
  </r>
  <r>
    <s v="WSR-2026-2560"/>
    <d v="2026-09-19T00:00:00"/>
    <x v="8"/>
    <x v="8"/>
    <s v="Saturday"/>
    <x v="37"/>
    <d v="2026-09-30T00:00:00"/>
    <s v="Fall"/>
    <x v="0"/>
    <x v="6"/>
    <s v="2 Hours"/>
    <n v="1"/>
    <n v="62.64"/>
    <s v="GoPro Mount"/>
    <n v="8"/>
    <n v="0"/>
    <n v="70.64"/>
    <x v="1"/>
    <x v="3"/>
    <s v="Credit Card"/>
    <s v="Sunny"/>
  </r>
  <r>
    <s v="WSR-2026-2561"/>
    <d v="2026-09-19T00:00:00"/>
    <x v="8"/>
    <x v="8"/>
    <s v="Saturday"/>
    <x v="37"/>
    <d v="2026-09-30T00:00:00"/>
    <s v="Fall"/>
    <x v="2"/>
    <x v="4"/>
    <s v="1 Hour"/>
    <n v="1"/>
    <n v="12.96"/>
    <s v="Dry Bag"/>
    <n v="6"/>
    <n v="0.95"/>
    <n v="18.010000000000002"/>
    <x v="9"/>
    <x v="0"/>
    <s v="Credit Card"/>
    <s v="Sunny"/>
  </r>
  <r>
    <s v="WSR-2026-2562"/>
    <d v="2026-09-19T00:00:00"/>
    <x v="8"/>
    <x v="8"/>
    <s v="Saturday"/>
    <x v="37"/>
    <d v="2026-09-30T00:00:00"/>
    <s v="Fall"/>
    <x v="4"/>
    <x v="3"/>
    <s v="Half Day"/>
    <n v="1"/>
    <n v="58.32"/>
    <s v="None"/>
    <n v="0"/>
    <n v="5.83"/>
    <n v="52.49"/>
    <x v="8"/>
    <x v="3"/>
    <s v="Credit Card"/>
    <s v="Sunny"/>
  </r>
  <r>
    <s v="WSR-2026-2563"/>
    <d v="2026-09-19T00:00:00"/>
    <x v="8"/>
    <x v="8"/>
    <s v="Saturday"/>
    <x v="37"/>
    <d v="2026-09-30T00:00:00"/>
    <s v="Fall"/>
    <x v="3"/>
    <x v="7"/>
    <s v="2 Hours"/>
    <n v="1"/>
    <n v="23.76"/>
    <s v="Dry Bag"/>
    <n v="6"/>
    <n v="0"/>
    <n v="29.76"/>
    <x v="7"/>
    <x v="4"/>
    <s v="Cash"/>
    <s v="Sunny"/>
  </r>
  <r>
    <s v="WSR-2026-2564"/>
    <d v="2026-09-19T00:00:00"/>
    <x v="8"/>
    <x v="8"/>
    <s v="Saturday"/>
    <x v="37"/>
    <d v="2026-09-30T00:00:00"/>
    <s v="Fall"/>
    <x v="3"/>
    <x v="4"/>
    <s v="Half Day"/>
    <n v="1"/>
    <n v="30.24"/>
    <s v="Phone Pouch"/>
    <n v="5"/>
    <n v="0"/>
    <n v="35.24"/>
    <x v="0"/>
    <x v="0"/>
    <s v="Cash"/>
    <s v="Windy"/>
  </r>
  <r>
    <s v="WSR-2026-2565"/>
    <d v="2026-09-19T00:00:00"/>
    <x v="8"/>
    <x v="8"/>
    <s v="Saturday"/>
    <x v="37"/>
    <d v="2026-09-30T00:00:00"/>
    <s v="Fall"/>
    <x v="1"/>
    <x v="3"/>
    <s v="1 Hour"/>
    <n v="1"/>
    <n v="23.76"/>
    <s v="Dry Bag"/>
    <n v="6"/>
    <n v="0"/>
    <n v="29.76"/>
    <x v="8"/>
    <x v="1"/>
    <s v="Cash"/>
    <s v="Sunny"/>
  </r>
  <r>
    <s v="WSR-2026-2566"/>
    <d v="2026-09-19T00:00:00"/>
    <x v="8"/>
    <x v="8"/>
    <s v="Saturday"/>
    <x v="37"/>
    <d v="2026-09-30T00:00:00"/>
    <s v="Fall"/>
    <x v="3"/>
    <x v="2"/>
    <s v="1 Hour"/>
    <n v="1"/>
    <n v="36.72"/>
    <s v="None"/>
    <n v="0"/>
    <n v="0"/>
    <n v="36.72"/>
    <x v="9"/>
    <x v="3"/>
    <s v="Cash"/>
    <s v="Cloudy"/>
  </r>
  <r>
    <s v="WSR-2026-2567"/>
    <d v="2026-09-19T00:00:00"/>
    <x v="8"/>
    <x v="8"/>
    <s v="Saturday"/>
    <x v="37"/>
    <d v="2026-09-30T00:00:00"/>
    <s v="Fall"/>
    <x v="2"/>
    <x v="6"/>
    <s v="2 Hours"/>
    <n v="1"/>
    <n v="62.64"/>
    <s v="Dry Bag"/>
    <n v="6"/>
    <n v="3.43"/>
    <n v="65.209999999999994"/>
    <x v="6"/>
    <x v="0"/>
    <s v="Credit Card"/>
    <s v="Sunny"/>
  </r>
  <r>
    <s v="WSR-2026-2568"/>
    <d v="2026-09-19T00:00:00"/>
    <x v="8"/>
    <x v="8"/>
    <s v="Saturday"/>
    <x v="37"/>
    <d v="2026-09-30T00:00:00"/>
    <s v="Fall"/>
    <x v="3"/>
    <x v="5"/>
    <s v="1 Hour"/>
    <n v="1"/>
    <n v="28.08"/>
    <s v="None"/>
    <n v="0"/>
    <n v="0"/>
    <n v="28.08"/>
    <x v="3"/>
    <x v="1"/>
    <s v="Credit Card"/>
    <s v="Cloudy"/>
  </r>
  <r>
    <s v="WSR-2026-2569"/>
    <d v="2026-09-19T00:00:00"/>
    <x v="8"/>
    <x v="8"/>
    <s v="Saturday"/>
    <x v="37"/>
    <d v="2026-09-30T00:00:00"/>
    <s v="Fall"/>
    <x v="1"/>
    <x v="1"/>
    <s v="2 Hours"/>
    <n v="1"/>
    <n v="41.04"/>
    <s v="Phone Pouch"/>
    <n v="5"/>
    <n v="4.5999999999999996"/>
    <n v="41.44"/>
    <x v="3"/>
    <x v="2"/>
    <s v="Mobile Pay"/>
    <s v="Cloudy"/>
  </r>
  <r>
    <s v="WSR-2026-2570"/>
    <d v="2026-09-19T00:00:00"/>
    <x v="8"/>
    <x v="8"/>
    <s v="Saturday"/>
    <x v="37"/>
    <d v="2026-09-30T00:00:00"/>
    <s v="Fall"/>
    <x v="2"/>
    <x v="5"/>
    <s v="2 Hours"/>
    <n v="1"/>
    <n v="45.36"/>
    <s v="None"/>
    <n v="0"/>
    <n v="0"/>
    <n v="45.36"/>
    <x v="5"/>
    <x v="0"/>
    <s v="Gift Card"/>
    <s v="Sunny"/>
  </r>
  <r>
    <s v="WSR-2026-2571"/>
    <d v="2026-09-20T00:00:00"/>
    <x v="8"/>
    <x v="8"/>
    <s v="Sunday"/>
    <x v="38"/>
    <d v="2026-09-30T00:00:00"/>
    <s v="Fall"/>
    <x v="2"/>
    <x v="0"/>
    <s v="Full Day"/>
    <n v="1"/>
    <n v="118.8"/>
    <s v="None"/>
    <n v="0"/>
    <n v="0"/>
    <n v="118.8"/>
    <x v="7"/>
    <x v="1"/>
    <s v="Cash"/>
    <s v="Cloudy"/>
  </r>
  <r>
    <s v="WSR-2026-2572"/>
    <d v="2026-09-20T00:00:00"/>
    <x v="8"/>
    <x v="8"/>
    <s v="Sunday"/>
    <x v="38"/>
    <d v="2026-09-30T00:00:00"/>
    <s v="Fall"/>
    <x v="3"/>
    <x v="5"/>
    <s v="2 Hours"/>
    <n v="1"/>
    <n v="45.36"/>
    <s v="None"/>
    <n v="0"/>
    <n v="0"/>
    <n v="45.36"/>
    <x v="5"/>
    <x v="0"/>
    <s v="Cash"/>
    <s v="Sunny"/>
  </r>
  <r>
    <s v="WSR-2026-2573"/>
    <d v="2026-09-20T00:00:00"/>
    <x v="8"/>
    <x v="8"/>
    <s v="Sunday"/>
    <x v="38"/>
    <d v="2026-09-30T00:00:00"/>
    <s v="Fall"/>
    <x v="2"/>
    <x v="0"/>
    <s v="2 Hours"/>
    <n v="1"/>
    <n v="54"/>
    <s v="Dry Bag"/>
    <n v="6"/>
    <n v="0"/>
    <n v="60"/>
    <x v="8"/>
    <x v="1"/>
    <s v="Debit Card"/>
    <s v="Sunny"/>
  </r>
  <r>
    <s v="WSR-2026-2574"/>
    <d v="2026-09-20T00:00:00"/>
    <x v="8"/>
    <x v="8"/>
    <s v="Sunday"/>
    <x v="38"/>
    <d v="2026-09-30T00:00:00"/>
    <s v="Fall"/>
    <x v="3"/>
    <x v="4"/>
    <s v="Half Day"/>
    <n v="1"/>
    <n v="30.24"/>
    <s v="None"/>
    <n v="0"/>
    <n v="0"/>
    <n v="30.24"/>
    <x v="0"/>
    <x v="1"/>
    <s v="Cash"/>
    <s v="Sunny"/>
  </r>
  <r>
    <s v="WSR-2026-2575"/>
    <d v="2026-09-20T00:00:00"/>
    <x v="8"/>
    <x v="8"/>
    <s v="Sunday"/>
    <x v="38"/>
    <d v="2026-09-30T00:00:00"/>
    <s v="Fall"/>
    <x v="3"/>
    <x v="5"/>
    <s v="2 Hours"/>
    <n v="1"/>
    <n v="45.36"/>
    <s v="None"/>
    <n v="0"/>
    <n v="0"/>
    <n v="45.36"/>
    <x v="3"/>
    <x v="3"/>
    <s v="Cash"/>
    <s v="Sunny"/>
  </r>
  <r>
    <s v="WSR-2026-2576"/>
    <d v="2026-09-20T00:00:00"/>
    <x v="8"/>
    <x v="8"/>
    <s v="Sunday"/>
    <x v="38"/>
    <d v="2026-09-30T00:00:00"/>
    <s v="Fall"/>
    <x v="2"/>
    <x v="9"/>
    <s v="2 Hours"/>
    <n v="1"/>
    <n v="51.84"/>
    <s v="None"/>
    <n v="0"/>
    <n v="2.59"/>
    <n v="49.25"/>
    <x v="8"/>
    <x v="0"/>
    <s v="Credit Card"/>
    <s v="Cloudy"/>
  </r>
  <r>
    <s v="WSR-2026-2577"/>
    <d v="2026-09-20T00:00:00"/>
    <x v="8"/>
    <x v="8"/>
    <s v="Sunday"/>
    <x v="38"/>
    <d v="2026-09-30T00:00:00"/>
    <s v="Fall"/>
    <x v="1"/>
    <x v="8"/>
    <s v="Half Day"/>
    <n v="1"/>
    <n v="25.92"/>
    <s v="Premium Life Jacket"/>
    <n v="7"/>
    <n v="1.65"/>
    <n v="31.27"/>
    <x v="5"/>
    <x v="2"/>
    <s v="Credit Card"/>
    <s v="Sunny"/>
  </r>
  <r>
    <s v="WSR-2026-2578"/>
    <d v="2026-09-20T00:00:00"/>
    <x v="8"/>
    <x v="8"/>
    <s v="Sunday"/>
    <x v="38"/>
    <d v="2026-09-30T00:00:00"/>
    <s v="Fall"/>
    <x v="3"/>
    <x v="1"/>
    <s v="Half Day"/>
    <n v="1"/>
    <n v="62.64"/>
    <s v="None"/>
    <n v="0"/>
    <n v="0"/>
    <n v="62.64"/>
    <x v="9"/>
    <x v="3"/>
    <s v="Credit Card"/>
    <s v="Rainy"/>
  </r>
  <r>
    <s v="WSR-2026-2579"/>
    <d v="2026-09-20T00:00:00"/>
    <x v="8"/>
    <x v="8"/>
    <s v="Sunday"/>
    <x v="38"/>
    <d v="2026-09-30T00:00:00"/>
    <s v="Fall"/>
    <x v="3"/>
    <x v="5"/>
    <s v="Full Day"/>
    <n v="1"/>
    <n v="95.04"/>
    <s v="None"/>
    <n v="0"/>
    <n v="0"/>
    <n v="95.04"/>
    <x v="9"/>
    <x v="3"/>
    <s v="Credit Card"/>
    <s v="Sunny"/>
  </r>
  <r>
    <s v="WSR-2026-2580"/>
    <d v="2026-09-20T00:00:00"/>
    <x v="8"/>
    <x v="8"/>
    <s v="Sunday"/>
    <x v="38"/>
    <d v="2026-09-30T00:00:00"/>
    <s v="Fall"/>
    <x v="1"/>
    <x v="7"/>
    <s v="2 Hours"/>
    <n v="1"/>
    <n v="23.76"/>
    <s v="Waterproof Speaker"/>
    <n v="12"/>
    <n v="1.79"/>
    <n v="33.97"/>
    <x v="8"/>
    <x v="2"/>
    <s v="Debit Card"/>
    <s v="Sunny"/>
  </r>
  <r>
    <s v="WSR-2026-2581"/>
    <d v="2026-09-21T00:00:00"/>
    <x v="8"/>
    <x v="8"/>
    <s v="Monday"/>
    <x v="38"/>
    <d v="2026-09-30T00:00:00"/>
    <s v="Fall"/>
    <x v="1"/>
    <x v="5"/>
    <s v="1 Hour"/>
    <n v="1"/>
    <n v="26"/>
    <s v="Cooler Rental"/>
    <n v="10"/>
    <n v="1.8"/>
    <n v="34.200000000000003"/>
    <x v="1"/>
    <x v="1"/>
    <s v="Credit Card"/>
    <s v="Cloudy"/>
  </r>
  <r>
    <s v="WSR-2026-2582"/>
    <d v="2026-09-21T00:00:00"/>
    <x v="8"/>
    <x v="8"/>
    <s v="Monday"/>
    <x v="38"/>
    <d v="2026-09-30T00:00:00"/>
    <s v="Fall"/>
    <x v="3"/>
    <x v="4"/>
    <s v="Half Day"/>
    <n v="1"/>
    <n v="28"/>
    <s v="None"/>
    <n v="0"/>
    <n v="0"/>
    <n v="28"/>
    <x v="8"/>
    <x v="3"/>
    <s v="Credit Card"/>
    <s v="Sunny"/>
  </r>
  <r>
    <s v="WSR-2026-2583"/>
    <d v="2026-09-21T00:00:00"/>
    <x v="8"/>
    <x v="8"/>
    <s v="Monday"/>
    <x v="38"/>
    <d v="2026-09-30T00:00:00"/>
    <s v="Fall"/>
    <x v="4"/>
    <x v="8"/>
    <s v="Half Day"/>
    <n v="1"/>
    <n v="24"/>
    <s v="Premium Life Jacket"/>
    <n v="7"/>
    <n v="3.1"/>
    <n v="27.9"/>
    <x v="1"/>
    <x v="1"/>
    <s v="Debit Card"/>
    <s v="Sunny"/>
  </r>
  <r>
    <s v="WSR-2026-2584"/>
    <d v="2026-09-21T00:00:00"/>
    <x v="8"/>
    <x v="8"/>
    <s v="Monday"/>
    <x v="38"/>
    <d v="2026-09-30T00:00:00"/>
    <s v="Fall"/>
    <x v="3"/>
    <x v="0"/>
    <s v="2 Hours"/>
    <n v="1"/>
    <n v="50"/>
    <s v="None"/>
    <n v="0"/>
    <n v="0"/>
    <n v="50"/>
    <x v="3"/>
    <x v="3"/>
    <s v="Credit Card"/>
    <s v="Sunny"/>
  </r>
  <r>
    <s v="WSR-2026-2585"/>
    <d v="2026-09-21T00:00:00"/>
    <x v="8"/>
    <x v="8"/>
    <s v="Monday"/>
    <x v="38"/>
    <d v="2026-09-30T00:00:00"/>
    <s v="Fall"/>
    <x v="2"/>
    <x v="3"/>
    <s v="1 Hour"/>
    <n v="1"/>
    <n v="22"/>
    <s v="None"/>
    <n v="0"/>
    <n v="0"/>
    <n v="22"/>
    <x v="0"/>
    <x v="4"/>
    <s v="Mobile Pay"/>
    <s v="Sunny"/>
  </r>
  <r>
    <s v="WSR-2026-2586"/>
    <d v="2026-09-21T00:00:00"/>
    <x v="8"/>
    <x v="8"/>
    <s v="Monday"/>
    <x v="38"/>
    <d v="2026-09-30T00:00:00"/>
    <s v="Fall"/>
    <x v="2"/>
    <x v="9"/>
    <s v="2 Hours"/>
    <n v="1"/>
    <n v="48"/>
    <s v="None"/>
    <n v="0"/>
    <n v="0"/>
    <n v="48"/>
    <x v="2"/>
    <x v="0"/>
    <s v="Credit Card"/>
    <s v="Sunny"/>
  </r>
  <r>
    <s v="WSR-2026-2587"/>
    <d v="2026-09-21T00:00:00"/>
    <x v="8"/>
    <x v="8"/>
    <s v="Monday"/>
    <x v="38"/>
    <d v="2026-09-30T00:00:00"/>
    <s v="Fall"/>
    <x v="3"/>
    <x v="7"/>
    <s v="1 Hour"/>
    <n v="1"/>
    <n v="14"/>
    <s v="None"/>
    <n v="0"/>
    <n v="0"/>
    <n v="14"/>
    <x v="9"/>
    <x v="1"/>
    <s v="Credit Card"/>
    <s v="Sunny"/>
  </r>
  <r>
    <s v="WSR-2026-2588"/>
    <d v="2026-09-21T00:00:00"/>
    <x v="8"/>
    <x v="8"/>
    <s v="Monday"/>
    <x v="38"/>
    <d v="2026-09-30T00:00:00"/>
    <s v="Fall"/>
    <x v="2"/>
    <x v="3"/>
    <s v="2 Hours"/>
    <n v="1"/>
    <n v="36"/>
    <s v="None"/>
    <n v="0"/>
    <n v="0"/>
    <n v="36"/>
    <x v="9"/>
    <x v="3"/>
    <s v="Debit Card"/>
    <s v="Sunny"/>
  </r>
  <r>
    <s v="WSR-2026-2589"/>
    <d v="2026-09-21T00:00:00"/>
    <x v="8"/>
    <x v="8"/>
    <s v="Monday"/>
    <x v="38"/>
    <d v="2026-09-30T00:00:00"/>
    <s v="Fall"/>
    <x v="3"/>
    <x v="5"/>
    <s v="2 Hours"/>
    <n v="1"/>
    <n v="42"/>
    <s v="Cooler Rental"/>
    <n v="10"/>
    <n v="0"/>
    <n v="52"/>
    <x v="9"/>
    <x v="0"/>
    <s v="Cash"/>
    <s v="Sunny"/>
  </r>
  <r>
    <s v="WSR-2026-2590"/>
    <d v="2026-09-21T00:00:00"/>
    <x v="8"/>
    <x v="8"/>
    <s v="Monday"/>
    <x v="38"/>
    <d v="2026-09-30T00:00:00"/>
    <s v="Fall"/>
    <x v="0"/>
    <x v="9"/>
    <s v="1 Hour"/>
    <n v="1"/>
    <n v="30"/>
    <s v="None"/>
    <n v="0"/>
    <n v="0"/>
    <n v="30"/>
    <x v="2"/>
    <x v="4"/>
    <s v="Credit Card"/>
    <s v="Windy"/>
  </r>
  <r>
    <s v="WSR-2026-2591"/>
    <d v="2026-09-21T00:00:00"/>
    <x v="8"/>
    <x v="8"/>
    <s v="Monday"/>
    <x v="38"/>
    <d v="2026-09-30T00:00:00"/>
    <s v="Fall"/>
    <x v="3"/>
    <x v="9"/>
    <s v="1 Hour"/>
    <n v="1"/>
    <n v="30"/>
    <s v="None"/>
    <n v="0"/>
    <n v="0"/>
    <n v="30"/>
    <x v="7"/>
    <x v="1"/>
    <s v="Debit Card"/>
    <s v="Rainy"/>
  </r>
  <r>
    <s v="WSR-2026-2592"/>
    <d v="2026-09-21T00:00:00"/>
    <x v="8"/>
    <x v="8"/>
    <s v="Monday"/>
    <x v="38"/>
    <d v="2026-09-30T00:00:00"/>
    <s v="Fall"/>
    <x v="3"/>
    <x v="4"/>
    <s v="1 Hour"/>
    <n v="1"/>
    <n v="12"/>
    <s v="None"/>
    <n v="0"/>
    <n v="0"/>
    <n v="12"/>
    <x v="2"/>
    <x v="1"/>
    <s v="Debit Card"/>
    <s v="Sunny"/>
  </r>
  <r>
    <s v="WSR-2026-2593"/>
    <d v="2026-09-21T00:00:00"/>
    <x v="8"/>
    <x v="8"/>
    <s v="Monday"/>
    <x v="38"/>
    <d v="2026-09-30T00:00:00"/>
    <s v="Fall"/>
    <x v="2"/>
    <x v="8"/>
    <s v="2 Hours"/>
    <n v="1"/>
    <n v="16"/>
    <s v="Cooler Rental"/>
    <n v="10"/>
    <n v="0"/>
    <n v="26"/>
    <x v="1"/>
    <x v="0"/>
    <s v="Credit Card"/>
    <s v="Sunny"/>
  </r>
  <r>
    <s v="WSR-2026-2594"/>
    <d v="2026-09-22T00:00:00"/>
    <x v="8"/>
    <x v="8"/>
    <s v="Tuesday"/>
    <x v="38"/>
    <d v="2026-09-30T00:00:00"/>
    <s v="Fall"/>
    <x v="2"/>
    <x v="0"/>
    <s v="1 Hour"/>
    <n v="1"/>
    <n v="32"/>
    <s v="None"/>
    <n v="0"/>
    <n v="0"/>
    <n v="32"/>
    <x v="9"/>
    <x v="3"/>
    <s v="Credit Card"/>
    <s v="Sunny"/>
  </r>
  <r>
    <s v="WSR-2026-2595"/>
    <d v="2026-09-22T00:00:00"/>
    <x v="8"/>
    <x v="8"/>
    <s v="Tuesday"/>
    <x v="38"/>
    <d v="2026-09-30T00:00:00"/>
    <s v="Fall"/>
    <x v="4"/>
    <x v="2"/>
    <s v="1 Hour"/>
    <n v="1"/>
    <n v="34"/>
    <s v="Phone Pouch"/>
    <n v="5"/>
    <n v="5.85"/>
    <n v="33.15"/>
    <x v="5"/>
    <x v="3"/>
    <s v="Credit Card"/>
    <s v="Cloudy"/>
  </r>
  <r>
    <s v="WSR-2026-2596"/>
    <d v="2026-09-22T00:00:00"/>
    <x v="8"/>
    <x v="8"/>
    <s v="Tuesday"/>
    <x v="38"/>
    <d v="2026-09-30T00:00:00"/>
    <s v="Fall"/>
    <x v="3"/>
    <x v="5"/>
    <s v="2 Hours"/>
    <n v="1"/>
    <n v="42"/>
    <s v="None"/>
    <n v="0"/>
    <n v="0"/>
    <n v="42"/>
    <x v="9"/>
    <x v="0"/>
    <s v="Credit Card"/>
    <s v="Sunny"/>
  </r>
  <r>
    <s v="WSR-2026-2597"/>
    <d v="2026-09-22T00:00:00"/>
    <x v="8"/>
    <x v="8"/>
    <s v="Tuesday"/>
    <x v="38"/>
    <d v="2026-09-30T00:00:00"/>
    <s v="Fall"/>
    <x v="0"/>
    <x v="9"/>
    <s v="Half Day"/>
    <n v="1"/>
    <n v="72"/>
    <s v="Cooler Rental"/>
    <n v="10"/>
    <n v="0"/>
    <n v="82"/>
    <x v="1"/>
    <x v="4"/>
    <s v="Credit Card"/>
    <s v="Sunny"/>
  </r>
  <r>
    <s v="WSR-2026-2598"/>
    <d v="2026-09-22T00:00:00"/>
    <x v="8"/>
    <x v="8"/>
    <s v="Tuesday"/>
    <x v="38"/>
    <d v="2026-09-30T00:00:00"/>
    <s v="Fall"/>
    <x v="3"/>
    <x v="7"/>
    <s v="2 Hours"/>
    <n v="1"/>
    <n v="22"/>
    <s v="Cooler Rental"/>
    <n v="10"/>
    <n v="0"/>
    <n v="32"/>
    <x v="6"/>
    <x v="1"/>
    <s v="Cash"/>
    <s v="Sunny"/>
  </r>
  <r>
    <s v="WSR-2026-2599"/>
    <d v="2026-09-22T00:00:00"/>
    <x v="8"/>
    <x v="8"/>
    <s v="Tuesday"/>
    <x v="38"/>
    <d v="2026-09-30T00:00:00"/>
    <s v="Fall"/>
    <x v="2"/>
    <x v="2"/>
    <s v="Half Day"/>
    <n v="1"/>
    <n v="78"/>
    <s v="Premium Life Jacket"/>
    <n v="7"/>
    <n v="0"/>
    <n v="85"/>
    <x v="5"/>
    <x v="1"/>
    <s v="Debit Card"/>
    <s v="Sunny"/>
  </r>
  <r>
    <s v="WSR-2026-2600"/>
    <d v="2026-09-22T00:00:00"/>
    <x v="8"/>
    <x v="8"/>
    <s v="Tuesday"/>
    <x v="38"/>
    <d v="2026-09-30T00:00:00"/>
    <s v="Fall"/>
    <x v="2"/>
    <x v="9"/>
    <s v="Full Day"/>
    <n v="1"/>
    <n v="104"/>
    <s v="Phone Pouch"/>
    <n v="5"/>
    <n v="0"/>
    <n v="109"/>
    <x v="6"/>
    <x v="3"/>
    <s v="Debit Card"/>
    <s v="Cloudy"/>
  </r>
  <r>
    <s v="WSR-2026-2601"/>
    <d v="2026-09-23T00:00:00"/>
    <x v="8"/>
    <x v="8"/>
    <s v="Wednesday"/>
    <x v="38"/>
    <d v="2026-09-30T00:00:00"/>
    <s v="Fall"/>
    <x v="3"/>
    <x v="9"/>
    <s v="1 Hour"/>
    <n v="1"/>
    <n v="30"/>
    <s v="Dry Bag"/>
    <n v="6"/>
    <n v="0"/>
    <n v="36"/>
    <x v="1"/>
    <x v="1"/>
    <s v="Debit Card"/>
    <s v="Sunny"/>
  </r>
  <r>
    <s v="WSR-2026-2602"/>
    <d v="2026-09-23T00:00:00"/>
    <x v="8"/>
    <x v="8"/>
    <s v="Wednesday"/>
    <x v="38"/>
    <d v="2026-09-30T00:00:00"/>
    <s v="Fall"/>
    <x v="0"/>
    <x v="8"/>
    <s v="2 Hours"/>
    <n v="1"/>
    <n v="16"/>
    <s v="None"/>
    <n v="0"/>
    <n v="0"/>
    <n v="16"/>
    <x v="4"/>
    <x v="4"/>
    <s v="Credit Card"/>
    <s v="Sunny"/>
  </r>
  <r>
    <s v="WSR-2026-2603"/>
    <d v="2026-09-23T00:00:00"/>
    <x v="8"/>
    <x v="8"/>
    <s v="Wednesday"/>
    <x v="38"/>
    <d v="2026-09-30T00:00:00"/>
    <s v="Fall"/>
    <x v="2"/>
    <x v="5"/>
    <s v="Half Day"/>
    <n v="1"/>
    <n v="62"/>
    <s v="None"/>
    <n v="0"/>
    <n v="0"/>
    <n v="62"/>
    <x v="7"/>
    <x v="4"/>
    <s v="Debit Card"/>
    <s v="Cloudy"/>
  </r>
  <r>
    <s v="WSR-2026-2604"/>
    <d v="2026-09-23T00:00:00"/>
    <x v="8"/>
    <x v="8"/>
    <s v="Wednesday"/>
    <x v="38"/>
    <d v="2026-09-30T00:00:00"/>
    <s v="Fall"/>
    <x v="2"/>
    <x v="2"/>
    <s v="1 Hour"/>
    <n v="1"/>
    <n v="34"/>
    <s v="Phone Pouch"/>
    <n v="5"/>
    <n v="0"/>
    <n v="39"/>
    <x v="2"/>
    <x v="0"/>
    <s v="Debit Card"/>
    <s v="Sunny"/>
  </r>
  <r>
    <s v="WSR-2026-2605"/>
    <d v="2026-09-23T00:00:00"/>
    <x v="8"/>
    <x v="8"/>
    <s v="Wednesday"/>
    <x v="38"/>
    <d v="2026-09-30T00:00:00"/>
    <s v="Fall"/>
    <x v="0"/>
    <x v="4"/>
    <s v="1 Hour"/>
    <n v="1"/>
    <n v="12"/>
    <s v="Dry Bag"/>
    <n v="6"/>
    <n v="0"/>
    <n v="18"/>
    <x v="8"/>
    <x v="3"/>
    <s v="Credit Card"/>
    <s v="Sunny"/>
  </r>
  <r>
    <s v="WSR-2026-2606"/>
    <d v="2026-09-23T00:00:00"/>
    <x v="8"/>
    <x v="8"/>
    <s v="Wednesday"/>
    <x v="38"/>
    <d v="2026-09-30T00:00:00"/>
    <s v="Fall"/>
    <x v="0"/>
    <x v="2"/>
    <s v="Full Day"/>
    <n v="1"/>
    <n v="112"/>
    <s v="Dry Bag"/>
    <n v="6"/>
    <n v="0"/>
    <n v="118"/>
    <x v="0"/>
    <x v="0"/>
    <s v="Debit Card"/>
    <s v="Cloudy"/>
  </r>
  <r>
    <s v="WSR-2026-2607"/>
    <d v="2026-09-23T00:00:00"/>
    <x v="8"/>
    <x v="8"/>
    <s v="Wednesday"/>
    <x v="38"/>
    <d v="2026-09-30T00:00:00"/>
    <s v="Fall"/>
    <x v="3"/>
    <x v="1"/>
    <s v="1 Hour"/>
    <n v="1"/>
    <n v="24"/>
    <s v="Dry Bag"/>
    <n v="6"/>
    <n v="0"/>
    <n v="30"/>
    <x v="7"/>
    <x v="2"/>
    <s v="Credit Card"/>
    <s v="Sunny"/>
  </r>
  <r>
    <s v="WSR-2026-2608"/>
    <d v="2026-09-23T00:00:00"/>
    <x v="8"/>
    <x v="8"/>
    <s v="Wednesday"/>
    <x v="38"/>
    <d v="2026-09-30T00:00:00"/>
    <s v="Fall"/>
    <x v="3"/>
    <x v="1"/>
    <s v="1 Hour"/>
    <n v="1"/>
    <n v="24"/>
    <s v="None"/>
    <n v="0"/>
    <n v="1.2"/>
    <n v="22.8"/>
    <x v="2"/>
    <x v="0"/>
    <s v="Credit Card"/>
    <s v="Cloudy"/>
  </r>
  <r>
    <s v="WSR-2026-2609"/>
    <d v="2026-09-23T00:00:00"/>
    <x v="8"/>
    <x v="8"/>
    <s v="Wednesday"/>
    <x v="38"/>
    <d v="2026-09-30T00:00:00"/>
    <s v="Fall"/>
    <x v="2"/>
    <x v="8"/>
    <s v="1 Hour"/>
    <n v="1"/>
    <n v="10"/>
    <s v="Phone Pouch"/>
    <n v="5"/>
    <n v="0"/>
    <n v="15"/>
    <x v="2"/>
    <x v="3"/>
    <s v="Credit Card"/>
    <s v="Cloudy"/>
  </r>
  <r>
    <s v="WSR-2026-2610"/>
    <d v="2026-09-24T00:00:00"/>
    <x v="8"/>
    <x v="8"/>
    <s v="Thursday"/>
    <x v="38"/>
    <d v="2026-09-30T00:00:00"/>
    <s v="Fall"/>
    <x v="3"/>
    <x v="0"/>
    <s v="Full Day"/>
    <n v="1"/>
    <n v="110"/>
    <s v="Premium Life Jacket"/>
    <n v="7"/>
    <n v="0"/>
    <n v="117"/>
    <x v="7"/>
    <x v="1"/>
    <s v="Debit Card"/>
    <s v="Windy"/>
  </r>
  <r>
    <s v="WSR-2026-2611"/>
    <d v="2026-09-24T00:00:00"/>
    <x v="8"/>
    <x v="8"/>
    <s v="Thursday"/>
    <x v="38"/>
    <d v="2026-09-30T00:00:00"/>
    <s v="Fall"/>
    <x v="3"/>
    <x v="7"/>
    <s v="1 Hour"/>
    <n v="1"/>
    <n v="14"/>
    <s v="Phone Pouch"/>
    <n v="5"/>
    <n v="0"/>
    <n v="19"/>
    <x v="1"/>
    <x v="2"/>
    <s v="Credit Card"/>
    <s v="Sunny"/>
  </r>
  <r>
    <s v="WSR-2026-2612"/>
    <d v="2026-09-24T00:00:00"/>
    <x v="8"/>
    <x v="8"/>
    <s v="Thursday"/>
    <x v="38"/>
    <d v="2026-09-30T00:00:00"/>
    <s v="Fall"/>
    <x v="3"/>
    <x v="1"/>
    <s v="Half Day"/>
    <n v="1"/>
    <n v="58"/>
    <s v="Premium Life Jacket"/>
    <n v="7"/>
    <n v="0"/>
    <n v="65"/>
    <x v="6"/>
    <x v="4"/>
    <s v="Cash"/>
    <s v="Rainy"/>
  </r>
  <r>
    <s v="WSR-2026-2613"/>
    <d v="2026-09-24T00:00:00"/>
    <x v="8"/>
    <x v="8"/>
    <s v="Thursday"/>
    <x v="38"/>
    <d v="2026-09-30T00:00:00"/>
    <s v="Fall"/>
    <x v="3"/>
    <x v="4"/>
    <s v="Half Day"/>
    <n v="1"/>
    <n v="28"/>
    <s v="Dry Bag"/>
    <n v="6"/>
    <n v="0"/>
    <n v="34"/>
    <x v="9"/>
    <x v="3"/>
    <s v="Credit Card"/>
    <s v="Cloudy"/>
  </r>
  <r>
    <s v="WSR-2026-2614"/>
    <d v="2026-09-24T00:00:00"/>
    <x v="8"/>
    <x v="8"/>
    <s v="Thursday"/>
    <x v="38"/>
    <d v="2026-09-30T00:00:00"/>
    <s v="Fall"/>
    <x v="0"/>
    <x v="7"/>
    <s v="Full Day"/>
    <n v="1"/>
    <n v="48"/>
    <s v="None"/>
    <n v="0"/>
    <n v="0"/>
    <n v="48"/>
    <x v="8"/>
    <x v="0"/>
    <s v="Mobile Pay"/>
    <s v="Cloudy"/>
  </r>
  <r>
    <s v="WSR-2026-2615"/>
    <d v="2026-09-24T00:00:00"/>
    <x v="8"/>
    <x v="8"/>
    <s v="Thursday"/>
    <x v="38"/>
    <d v="2026-09-30T00:00:00"/>
    <s v="Fall"/>
    <x v="2"/>
    <x v="1"/>
    <s v="1 Hour"/>
    <n v="1"/>
    <n v="24"/>
    <s v="Phone Pouch"/>
    <n v="5"/>
    <n v="0"/>
    <n v="29"/>
    <x v="6"/>
    <x v="0"/>
    <s v="Cash"/>
    <s v="Windy"/>
  </r>
  <r>
    <s v="WSR-2026-2616"/>
    <d v="2026-09-25T00:00:00"/>
    <x v="8"/>
    <x v="8"/>
    <s v="Friday"/>
    <x v="38"/>
    <d v="2026-09-30T00:00:00"/>
    <s v="Fall"/>
    <x v="3"/>
    <x v="5"/>
    <s v="Half Day"/>
    <n v="1"/>
    <n v="62"/>
    <s v="Premium Life Jacket"/>
    <n v="7"/>
    <n v="0"/>
    <n v="69"/>
    <x v="3"/>
    <x v="0"/>
    <s v="Debit Card"/>
    <s v="Sunny"/>
  </r>
  <r>
    <s v="WSR-2026-2617"/>
    <d v="2026-09-25T00:00:00"/>
    <x v="8"/>
    <x v="8"/>
    <s v="Friday"/>
    <x v="38"/>
    <d v="2026-09-30T00:00:00"/>
    <s v="Fall"/>
    <x v="3"/>
    <x v="4"/>
    <s v="1 Hour"/>
    <n v="1"/>
    <n v="12"/>
    <s v="None"/>
    <n v="0"/>
    <n v="0"/>
    <n v="12"/>
    <x v="7"/>
    <x v="3"/>
    <s v="Debit Card"/>
    <s v="Cloudy"/>
  </r>
  <r>
    <s v="WSR-2026-2618"/>
    <d v="2026-09-25T00:00:00"/>
    <x v="8"/>
    <x v="8"/>
    <s v="Friday"/>
    <x v="38"/>
    <d v="2026-09-30T00:00:00"/>
    <s v="Fall"/>
    <x v="2"/>
    <x v="4"/>
    <s v="1 Hour"/>
    <n v="1"/>
    <n v="12"/>
    <s v="None"/>
    <n v="0"/>
    <n v="0"/>
    <n v="12"/>
    <x v="5"/>
    <x v="0"/>
    <s v="Credit Card"/>
    <s v="Sunny"/>
  </r>
  <r>
    <s v="WSR-2026-2619"/>
    <d v="2026-09-25T00:00:00"/>
    <x v="8"/>
    <x v="8"/>
    <s v="Friday"/>
    <x v="38"/>
    <d v="2026-09-30T00:00:00"/>
    <s v="Fall"/>
    <x v="3"/>
    <x v="6"/>
    <s v="2 Hours"/>
    <n v="1"/>
    <n v="58"/>
    <s v="Dry Bag"/>
    <n v="6"/>
    <n v="0"/>
    <n v="64"/>
    <x v="6"/>
    <x v="4"/>
    <s v="Debit Card"/>
    <s v="Cloudy"/>
  </r>
  <r>
    <s v="WSR-2026-2620"/>
    <d v="2026-09-25T00:00:00"/>
    <x v="8"/>
    <x v="8"/>
    <s v="Friday"/>
    <x v="38"/>
    <d v="2026-09-30T00:00:00"/>
    <s v="Fall"/>
    <x v="1"/>
    <x v="3"/>
    <s v="Full Day"/>
    <n v="1"/>
    <n v="76"/>
    <s v="Waterproof Speaker"/>
    <n v="12"/>
    <n v="4.4000000000000004"/>
    <n v="83.6"/>
    <x v="9"/>
    <x v="2"/>
    <s v="Credit Card"/>
    <s v="Rainy"/>
  </r>
  <r>
    <s v="WSR-2026-2621"/>
    <d v="2026-09-25T00:00:00"/>
    <x v="8"/>
    <x v="8"/>
    <s v="Friday"/>
    <x v="38"/>
    <d v="2026-09-30T00:00:00"/>
    <s v="Fall"/>
    <x v="3"/>
    <x v="2"/>
    <s v="2 Hours"/>
    <n v="1"/>
    <n v="52"/>
    <s v="None"/>
    <n v="0"/>
    <n v="0"/>
    <n v="52"/>
    <x v="6"/>
    <x v="1"/>
    <s v="Credit Card"/>
    <s v="Sunny"/>
  </r>
  <r>
    <s v="WSR-2026-2622"/>
    <d v="2026-09-25T00:00:00"/>
    <x v="8"/>
    <x v="8"/>
    <s v="Friday"/>
    <x v="38"/>
    <d v="2026-09-30T00:00:00"/>
    <s v="Fall"/>
    <x v="3"/>
    <x v="2"/>
    <s v="2 Hours"/>
    <n v="1"/>
    <n v="52"/>
    <s v="Dry Bag"/>
    <n v="6"/>
    <n v="0"/>
    <n v="58"/>
    <x v="9"/>
    <x v="0"/>
    <s v="Debit Card"/>
    <s v="Sunny"/>
  </r>
  <r>
    <s v="WSR-2026-2623"/>
    <d v="2026-09-25T00:00:00"/>
    <x v="8"/>
    <x v="8"/>
    <s v="Friday"/>
    <x v="38"/>
    <d v="2026-09-30T00:00:00"/>
    <s v="Fall"/>
    <x v="2"/>
    <x v="4"/>
    <s v="1 Hour"/>
    <n v="1"/>
    <n v="12"/>
    <s v="Phone Pouch"/>
    <n v="5"/>
    <n v="0"/>
    <n v="17"/>
    <x v="6"/>
    <x v="2"/>
    <s v="Cash"/>
    <s v="Sunny"/>
  </r>
  <r>
    <s v="WSR-2026-2624"/>
    <d v="2026-09-25T00:00:00"/>
    <x v="8"/>
    <x v="8"/>
    <s v="Friday"/>
    <x v="38"/>
    <d v="2026-09-30T00:00:00"/>
    <s v="Fall"/>
    <x v="2"/>
    <x v="4"/>
    <s v="2 Hours"/>
    <n v="1"/>
    <n v="18"/>
    <s v="Phone Pouch"/>
    <n v="5"/>
    <n v="0"/>
    <n v="23"/>
    <x v="5"/>
    <x v="4"/>
    <s v="Credit Card"/>
    <s v="Sunny"/>
  </r>
  <r>
    <s v="WSR-2026-2625"/>
    <d v="2026-09-26T00:00:00"/>
    <x v="8"/>
    <x v="8"/>
    <s v="Saturday"/>
    <x v="38"/>
    <d v="2026-09-30T00:00:00"/>
    <s v="Fall"/>
    <x v="2"/>
    <x v="1"/>
    <s v="1 Hour"/>
    <n v="1"/>
    <n v="25.92"/>
    <s v="Dry Bag"/>
    <n v="6"/>
    <n v="0"/>
    <n v="31.92"/>
    <x v="8"/>
    <x v="1"/>
    <s v="Debit Card"/>
    <s v="Cloudy"/>
  </r>
  <r>
    <s v="WSR-2026-2626"/>
    <d v="2026-09-26T00:00:00"/>
    <x v="8"/>
    <x v="8"/>
    <s v="Saturday"/>
    <x v="38"/>
    <d v="2026-09-30T00:00:00"/>
    <s v="Fall"/>
    <x v="1"/>
    <x v="2"/>
    <s v="1 Hour"/>
    <n v="1"/>
    <n v="36.72"/>
    <s v="None"/>
    <n v="0"/>
    <n v="1.84"/>
    <n v="34.880000000000003"/>
    <x v="8"/>
    <x v="4"/>
    <s v="Credit Card"/>
    <s v="Sunny"/>
  </r>
  <r>
    <s v="WSR-2026-2627"/>
    <d v="2026-09-26T00:00:00"/>
    <x v="8"/>
    <x v="8"/>
    <s v="Saturday"/>
    <x v="38"/>
    <d v="2026-09-30T00:00:00"/>
    <s v="Fall"/>
    <x v="3"/>
    <x v="2"/>
    <s v="2 Hours"/>
    <n v="1"/>
    <n v="56.16"/>
    <s v="None"/>
    <n v="0"/>
    <n v="0"/>
    <n v="56.16"/>
    <x v="8"/>
    <x v="2"/>
    <s v="Debit Card"/>
    <s v="Sunny"/>
  </r>
  <r>
    <s v="WSR-2026-2628"/>
    <d v="2026-09-26T00:00:00"/>
    <x v="8"/>
    <x v="8"/>
    <s v="Saturday"/>
    <x v="38"/>
    <d v="2026-09-30T00:00:00"/>
    <s v="Fall"/>
    <x v="0"/>
    <x v="9"/>
    <s v="1 Hour"/>
    <n v="1"/>
    <n v="32.4"/>
    <s v="None"/>
    <n v="0"/>
    <n v="0"/>
    <n v="32.4"/>
    <x v="8"/>
    <x v="4"/>
    <s v="Debit Card"/>
    <s v="Sunny"/>
  </r>
  <r>
    <s v="WSR-2026-2629"/>
    <d v="2026-09-26T00:00:00"/>
    <x v="8"/>
    <x v="8"/>
    <s v="Saturday"/>
    <x v="38"/>
    <d v="2026-09-30T00:00:00"/>
    <s v="Fall"/>
    <x v="4"/>
    <x v="1"/>
    <s v="Half Day"/>
    <n v="1"/>
    <n v="62.64"/>
    <s v="Phone Pouch"/>
    <n v="5"/>
    <n v="10.15"/>
    <n v="57.49"/>
    <x v="8"/>
    <x v="1"/>
    <s v="Debit Card"/>
    <s v="Cloudy"/>
  </r>
  <r>
    <s v="WSR-2026-2630"/>
    <d v="2026-09-26T00:00:00"/>
    <x v="8"/>
    <x v="8"/>
    <s v="Saturday"/>
    <x v="38"/>
    <d v="2026-09-30T00:00:00"/>
    <s v="Fall"/>
    <x v="3"/>
    <x v="5"/>
    <s v="2 Hours"/>
    <n v="1"/>
    <n v="45.36"/>
    <s v="Premium Life Jacket"/>
    <n v="7"/>
    <n v="0"/>
    <n v="52.36"/>
    <x v="9"/>
    <x v="1"/>
    <s v="Debit Card"/>
    <s v="Sunny"/>
  </r>
  <r>
    <s v="WSR-2026-2631"/>
    <d v="2026-09-26T00:00:00"/>
    <x v="8"/>
    <x v="8"/>
    <s v="Saturday"/>
    <x v="38"/>
    <d v="2026-09-30T00:00:00"/>
    <s v="Fall"/>
    <x v="3"/>
    <x v="8"/>
    <s v="Full Day"/>
    <n v="1"/>
    <n v="36.72"/>
    <s v="None"/>
    <n v="0"/>
    <n v="0"/>
    <n v="36.72"/>
    <x v="8"/>
    <x v="0"/>
    <s v="Mobile Pay"/>
    <s v="Sunny"/>
  </r>
  <r>
    <s v="WSR-2026-2632"/>
    <d v="2026-09-26T00:00:00"/>
    <x v="8"/>
    <x v="8"/>
    <s v="Saturday"/>
    <x v="38"/>
    <d v="2026-09-30T00:00:00"/>
    <s v="Fall"/>
    <x v="2"/>
    <x v="1"/>
    <s v="1 Hour"/>
    <n v="1"/>
    <n v="25.92"/>
    <s v="Phone Pouch"/>
    <n v="5"/>
    <n v="0"/>
    <n v="30.92"/>
    <x v="1"/>
    <x v="3"/>
    <s v="Credit Card"/>
    <s v="Cloudy"/>
  </r>
  <r>
    <s v="WSR-2026-2633"/>
    <d v="2026-09-26T00:00:00"/>
    <x v="8"/>
    <x v="8"/>
    <s v="Saturday"/>
    <x v="38"/>
    <d v="2026-09-30T00:00:00"/>
    <s v="Fall"/>
    <x v="1"/>
    <x v="3"/>
    <s v="1 Hour"/>
    <n v="1"/>
    <n v="23.76"/>
    <s v="Dry Bag"/>
    <n v="6"/>
    <n v="0"/>
    <n v="29.76"/>
    <x v="7"/>
    <x v="0"/>
    <s v="Debit Card"/>
    <s v="Cloudy"/>
  </r>
  <r>
    <s v="WSR-2026-2634"/>
    <d v="2026-09-26T00:00:00"/>
    <x v="8"/>
    <x v="8"/>
    <s v="Saturday"/>
    <x v="38"/>
    <d v="2026-09-30T00:00:00"/>
    <s v="Fall"/>
    <x v="1"/>
    <x v="6"/>
    <s v="1 Hour"/>
    <n v="1"/>
    <n v="38.880000000000003"/>
    <s v="Phone Pouch"/>
    <n v="5"/>
    <n v="0"/>
    <n v="43.88"/>
    <x v="9"/>
    <x v="4"/>
    <s v="Credit Card"/>
    <s v="Cloudy"/>
  </r>
  <r>
    <s v="WSR-2026-2635"/>
    <d v="2026-09-26T00:00:00"/>
    <x v="8"/>
    <x v="8"/>
    <s v="Saturday"/>
    <x v="38"/>
    <d v="2026-09-30T00:00:00"/>
    <s v="Fall"/>
    <x v="3"/>
    <x v="6"/>
    <s v="2 Hours"/>
    <n v="1"/>
    <n v="62.64"/>
    <s v="None"/>
    <n v="0"/>
    <n v="0"/>
    <n v="62.64"/>
    <x v="7"/>
    <x v="0"/>
    <s v="Credit Card"/>
    <s v="Windy"/>
  </r>
  <r>
    <s v="WSR-2026-2636"/>
    <d v="2026-09-26T00:00:00"/>
    <x v="8"/>
    <x v="8"/>
    <s v="Saturday"/>
    <x v="38"/>
    <d v="2026-09-30T00:00:00"/>
    <s v="Fall"/>
    <x v="1"/>
    <x v="4"/>
    <s v="1 Hour"/>
    <n v="1"/>
    <n v="12.96"/>
    <s v="GoPro Mount"/>
    <n v="8"/>
    <n v="0"/>
    <n v="20.96"/>
    <x v="6"/>
    <x v="2"/>
    <s v="Credit Card"/>
    <s v="Sunny"/>
  </r>
  <r>
    <s v="WSR-2026-2637"/>
    <d v="2026-09-26T00:00:00"/>
    <x v="8"/>
    <x v="8"/>
    <s v="Saturday"/>
    <x v="38"/>
    <d v="2026-09-30T00:00:00"/>
    <s v="Fall"/>
    <x v="2"/>
    <x v="5"/>
    <s v="Full Day"/>
    <n v="1"/>
    <n v="95.04"/>
    <s v="Dry Bag"/>
    <n v="6"/>
    <n v="0"/>
    <n v="101.04"/>
    <x v="6"/>
    <x v="0"/>
    <s v="Cash"/>
    <s v="Windy"/>
  </r>
  <r>
    <s v="WSR-2026-2638"/>
    <d v="2026-09-26T00:00:00"/>
    <x v="8"/>
    <x v="8"/>
    <s v="Saturday"/>
    <x v="38"/>
    <d v="2026-09-30T00:00:00"/>
    <s v="Fall"/>
    <x v="2"/>
    <x v="5"/>
    <s v="2 Hours"/>
    <n v="1"/>
    <n v="45.36"/>
    <s v="Cooler Rental"/>
    <n v="10"/>
    <n v="0"/>
    <n v="55.36"/>
    <x v="4"/>
    <x v="0"/>
    <s v="Credit Card"/>
    <s v="Sunny"/>
  </r>
  <r>
    <s v="WSR-2026-2639"/>
    <d v="2026-09-26T00:00:00"/>
    <x v="8"/>
    <x v="8"/>
    <s v="Saturday"/>
    <x v="38"/>
    <d v="2026-09-30T00:00:00"/>
    <s v="Fall"/>
    <x v="3"/>
    <x v="1"/>
    <s v="2 Hours"/>
    <n v="1"/>
    <n v="41.04"/>
    <s v="None"/>
    <n v="0"/>
    <n v="0"/>
    <n v="41.04"/>
    <x v="9"/>
    <x v="0"/>
    <s v="Credit Card"/>
    <s v="Sunny"/>
  </r>
  <r>
    <s v="WSR-2026-2640"/>
    <d v="2026-09-27T00:00:00"/>
    <x v="8"/>
    <x v="8"/>
    <s v="Sunday"/>
    <x v="39"/>
    <d v="2026-09-30T00:00:00"/>
    <s v="Fall"/>
    <x v="2"/>
    <x v="3"/>
    <s v="1 Hour"/>
    <n v="1"/>
    <n v="23.76"/>
    <s v="Dry Bag"/>
    <n v="6"/>
    <n v="0"/>
    <n v="29.76"/>
    <x v="3"/>
    <x v="4"/>
    <s v="Debit Card"/>
    <s v="Sunny"/>
  </r>
  <r>
    <s v="WSR-2026-2641"/>
    <d v="2026-09-27T00:00:00"/>
    <x v="8"/>
    <x v="8"/>
    <s v="Sunday"/>
    <x v="39"/>
    <d v="2026-09-30T00:00:00"/>
    <s v="Fall"/>
    <x v="2"/>
    <x v="3"/>
    <s v="Half Day"/>
    <n v="1"/>
    <n v="58.32"/>
    <s v="None"/>
    <n v="0"/>
    <n v="0"/>
    <n v="58.32"/>
    <x v="0"/>
    <x v="1"/>
    <s v="Credit Card"/>
    <s v="Sunny"/>
  </r>
  <r>
    <s v="WSR-2026-2642"/>
    <d v="2026-09-27T00:00:00"/>
    <x v="8"/>
    <x v="8"/>
    <s v="Sunday"/>
    <x v="39"/>
    <d v="2026-09-30T00:00:00"/>
    <s v="Fall"/>
    <x v="1"/>
    <x v="5"/>
    <s v="Full Day"/>
    <n v="1"/>
    <n v="95.04"/>
    <s v="Waterproof Speaker"/>
    <n v="12"/>
    <n v="10.7"/>
    <n v="96.34"/>
    <x v="2"/>
    <x v="2"/>
    <s v="Mobile Pay"/>
    <s v="Cloudy"/>
  </r>
  <r>
    <s v="WSR-2026-2643"/>
    <d v="2026-09-27T00:00:00"/>
    <x v="8"/>
    <x v="8"/>
    <s v="Sunday"/>
    <x v="39"/>
    <d v="2026-09-30T00:00:00"/>
    <s v="Fall"/>
    <x v="3"/>
    <x v="5"/>
    <s v="1 Hour"/>
    <n v="1"/>
    <n v="28.08"/>
    <s v="None"/>
    <n v="0"/>
    <n v="0"/>
    <n v="28.08"/>
    <x v="9"/>
    <x v="4"/>
    <s v="Credit Card"/>
    <s v="Cloudy"/>
  </r>
  <r>
    <s v="WSR-2026-2644"/>
    <d v="2026-09-27T00:00:00"/>
    <x v="8"/>
    <x v="8"/>
    <s v="Sunday"/>
    <x v="39"/>
    <d v="2026-09-30T00:00:00"/>
    <s v="Fall"/>
    <x v="4"/>
    <x v="5"/>
    <s v="Full Day"/>
    <n v="1"/>
    <n v="95.04"/>
    <s v="None"/>
    <n v="0"/>
    <n v="9.5"/>
    <n v="85.54"/>
    <x v="3"/>
    <x v="0"/>
    <s v="Mobile Pay"/>
    <s v="Windy"/>
  </r>
  <r>
    <s v="WSR-2026-2645"/>
    <d v="2026-09-27T00:00:00"/>
    <x v="8"/>
    <x v="8"/>
    <s v="Sunday"/>
    <x v="39"/>
    <d v="2026-09-30T00:00:00"/>
    <s v="Fall"/>
    <x v="4"/>
    <x v="3"/>
    <s v="Half Day"/>
    <n v="1"/>
    <n v="58.32"/>
    <s v="Phone Pouch"/>
    <n v="5"/>
    <n v="6.33"/>
    <n v="56.99"/>
    <x v="0"/>
    <x v="3"/>
    <s v="Credit Card"/>
    <s v="Sunny"/>
  </r>
  <r>
    <s v="WSR-2026-2646"/>
    <d v="2026-09-27T00:00:00"/>
    <x v="8"/>
    <x v="8"/>
    <s v="Sunday"/>
    <x v="39"/>
    <d v="2026-09-30T00:00:00"/>
    <s v="Fall"/>
    <x v="3"/>
    <x v="1"/>
    <s v="2 Hours"/>
    <n v="1"/>
    <n v="41.04"/>
    <s v="Dry Bag"/>
    <n v="6"/>
    <n v="0"/>
    <n v="47.04"/>
    <x v="7"/>
    <x v="3"/>
    <s v="Mobile Pay"/>
    <s v="Sunny"/>
  </r>
  <r>
    <s v="WSR-2026-2647"/>
    <d v="2026-09-27T00:00:00"/>
    <x v="8"/>
    <x v="8"/>
    <s v="Sunday"/>
    <x v="39"/>
    <d v="2026-09-30T00:00:00"/>
    <s v="Fall"/>
    <x v="1"/>
    <x v="3"/>
    <s v="Half Day"/>
    <n v="1"/>
    <n v="58.32"/>
    <s v="None"/>
    <n v="0"/>
    <n v="0"/>
    <n v="58.32"/>
    <x v="5"/>
    <x v="1"/>
    <s v="Debit Card"/>
    <s v="Rainy"/>
  </r>
  <r>
    <s v="WSR-2026-2648"/>
    <d v="2026-09-27T00:00:00"/>
    <x v="8"/>
    <x v="8"/>
    <s v="Sunday"/>
    <x v="39"/>
    <d v="2026-09-30T00:00:00"/>
    <s v="Fall"/>
    <x v="2"/>
    <x v="5"/>
    <s v="1 Hour"/>
    <n v="1"/>
    <n v="28.08"/>
    <s v="None"/>
    <n v="0"/>
    <n v="0"/>
    <n v="28.08"/>
    <x v="9"/>
    <x v="4"/>
    <s v="Credit Card"/>
    <s v="Sunny"/>
  </r>
  <r>
    <s v="WSR-2026-2649"/>
    <d v="2026-09-27T00:00:00"/>
    <x v="8"/>
    <x v="8"/>
    <s v="Sunday"/>
    <x v="39"/>
    <d v="2026-09-30T00:00:00"/>
    <s v="Fall"/>
    <x v="0"/>
    <x v="5"/>
    <s v="1 Hour"/>
    <n v="1"/>
    <n v="28.08"/>
    <s v="None"/>
    <n v="0"/>
    <n v="0"/>
    <n v="28.08"/>
    <x v="3"/>
    <x v="1"/>
    <s v="Cash"/>
    <s v="Sunny"/>
  </r>
  <r>
    <s v="WSR-2026-2650"/>
    <d v="2026-09-27T00:00:00"/>
    <x v="8"/>
    <x v="8"/>
    <s v="Sunday"/>
    <x v="39"/>
    <d v="2026-09-30T00:00:00"/>
    <s v="Fall"/>
    <x v="0"/>
    <x v="7"/>
    <s v="1 Hour"/>
    <n v="1"/>
    <n v="15.12"/>
    <s v="Dry Bag"/>
    <n v="6"/>
    <n v="0"/>
    <n v="21.12"/>
    <x v="9"/>
    <x v="4"/>
    <s v="Credit Card"/>
    <s v="Cloudy"/>
  </r>
  <r>
    <s v="WSR-2026-2651"/>
    <d v="2026-09-27T00:00:00"/>
    <x v="8"/>
    <x v="8"/>
    <s v="Sunday"/>
    <x v="39"/>
    <d v="2026-09-30T00:00:00"/>
    <s v="Fall"/>
    <x v="4"/>
    <x v="3"/>
    <s v="Full Day"/>
    <n v="1"/>
    <n v="82.08"/>
    <s v="Phone Pouch"/>
    <n v="5"/>
    <n v="13.06"/>
    <n v="74.02"/>
    <x v="5"/>
    <x v="3"/>
    <s v="Credit Card"/>
    <s v="Sunny"/>
  </r>
  <r>
    <s v="WSR-2026-2652"/>
    <d v="2026-09-27T00:00:00"/>
    <x v="8"/>
    <x v="8"/>
    <s v="Sunday"/>
    <x v="39"/>
    <d v="2026-09-30T00:00:00"/>
    <s v="Fall"/>
    <x v="0"/>
    <x v="3"/>
    <s v="1 Hour"/>
    <n v="1"/>
    <n v="23.76"/>
    <s v="None"/>
    <n v="0"/>
    <n v="0"/>
    <n v="23.76"/>
    <x v="2"/>
    <x v="3"/>
    <s v="Credit Card"/>
    <s v="Sunny"/>
  </r>
  <r>
    <s v="WSR-2026-2653"/>
    <d v="2026-09-27T00:00:00"/>
    <x v="8"/>
    <x v="8"/>
    <s v="Sunday"/>
    <x v="39"/>
    <d v="2026-09-30T00:00:00"/>
    <s v="Fall"/>
    <x v="1"/>
    <x v="7"/>
    <s v="2 Hours"/>
    <n v="1"/>
    <n v="23.76"/>
    <s v="None"/>
    <n v="0"/>
    <n v="1.19"/>
    <n v="22.57"/>
    <x v="3"/>
    <x v="4"/>
    <s v="Debit Card"/>
    <s v="Windy"/>
  </r>
  <r>
    <s v="WSR-2026-2654"/>
    <d v="2026-09-28T00:00:00"/>
    <x v="8"/>
    <x v="8"/>
    <s v="Monday"/>
    <x v="39"/>
    <d v="2026-09-30T00:00:00"/>
    <s v="Fall"/>
    <x v="3"/>
    <x v="9"/>
    <s v="Full Day"/>
    <n v="1"/>
    <n v="104"/>
    <s v="GoPro Mount"/>
    <n v="8"/>
    <n v="5.6"/>
    <n v="106.4"/>
    <x v="2"/>
    <x v="2"/>
    <s v="Gift Card"/>
    <s v="Sunny"/>
  </r>
  <r>
    <s v="WSR-2026-2655"/>
    <d v="2026-09-28T00:00:00"/>
    <x v="8"/>
    <x v="8"/>
    <s v="Monday"/>
    <x v="39"/>
    <d v="2026-09-30T00:00:00"/>
    <s v="Fall"/>
    <x v="3"/>
    <x v="3"/>
    <s v="2 Hours"/>
    <n v="1"/>
    <n v="36"/>
    <s v="GoPro Mount"/>
    <n v="8"/>
    <n v="0"/>
    <n v="44"/>
    <x v="6"/>
    <x v="2"/>
    <s v="Credit Card"/>
    <s v="Sunny"/>
  </r>
  <r>
    <s v="WSR-2026-2656"/>
    <d v="2026-09-28T00:00:00"/>
    <x v="8"/>
    <x v="8"/>
    <s v="Monday"/>
    <x v="39"/>
    <d v="2026-09-30T00:00:00"/>
    <s v="Fall"/>
    <x v="3"/>
    <x v="2"/>
    <s v="Full Day"/>
    <n v="1"/>
    <n v="112"/>
    <s v="GoPro Mount"/>
    <n v="8"/>
    <n v="0"/>
    <n v="120"/>
    <x v="1"/>
    <x v="2"/>
    <s v="Credit Card"/>
    <s v="Sunny"/>
  </r>
  <r>
    <s v="WSR-2026-2657"/>
    <d v="2026-09-28T00:00:00"/>
    <x v="8"/>
    <x v="8"/>
    <s v="Monday"/>
    <x v="39"/>
    <d v="2026-09-30T00:00:00"/>
    <s v="Fall"/>
    <x v="1"/>
    <x v="9"/>
    <s v="Half Day"/>
    <n v="1"/>
    <n v="72"/>
    <s v="Cooler Rental"/>
    <n v="10"/>
    <n v="4.0999999999999996"/>
    <n v="77.900000000000006"/>
    <x v="1"/>
    <x v="0"/>
    <s v="Debit Card"/>
    <s v="Cloudy"/>
  </r>
  <r>
    <s v="WSR-2026-2658"/>
    <d v="2026-09-28T00:00:00"/>
    <x v="8"/>
    <x v="8"/>
    <s v="Monday"/>
    <x v="39"/>
    <d v="2026-09-30T00:00:00"/>
    <s v="Fall"/>
    <x v="2"/>
    <x v="1"/>
    <s v="2 Hours"/>
    <n v="1"/>
    <n v="38"/>
    <s v="None"/>
    <n v="0"/>
    <n v="0"/>
    <n v="38"/>
    <x v="0"/>
    <x v="0"/>
    <s v="Cash"/>
    <s v="Cloudy"/>
  </r>
  <r>
    <s v="WSR-2026-2659"/>
    <d v="2026-09-28T00:00:00"/>
    <x v="8"/>
    <x v="8"/>
    <s v="Monday"/>
    <x v="39"/>
    <d v="2026-09-30T00:00:00"/>
    <s v="Fall"/>
    <x v="3"/>
    <x v="1"/>
    <s v="2 Hours"/>
    <n v="1"/>
    <n v="38"/>
    <s v="Phone Pouch"/>
    <n v="5"/>
    <n v="2.15"/>
    <n v="40.85"/>
    <x v="7"/>
    <x v="0"/>
    <s v="Credit Card"/>
    <s v="Windy"/>
  </r>
  <r>
    <s v="WSR-2026-2660"/>
    <d v="2026-09-28T00:00:00"/>
    <x v="8"/>
    <x v="8"/>
    <s v="Monday"/>
    <x v="39"/>
    <d v="2026-09-30T00:00:00"/>
    <s v="Fall"/>
    <x v="2"/>
    <x v="3"/>
    <s v="1 Hour"/>
    <n v="1"/>
    <n v="22"/>
    <s v="Premium Life Jacket"/>
    <n v="7"/>
    <n v="0"/>
    <n v="29"/>
    <x v="5"/>
    <x v="3"/>
    <s v="Debit Card"/>
    <s v="Cloudy"/>
  </r>
  <r>
    <s v="WSR-2026-2661"/>
    <d v="2026-09-28T00:00:00"/>
    <x v="8"/>
    <x v="8"/>
    <s v="Monday"/>
    <x v="39"/>
    <d v="2026-09-30T00:00:00"/>
    <s v="Fall"/>
    <x v="3"/>
    <x v="3"/>
    <s v="1 Hour"/>
    <n v="1"/>
    <n v="22"/>
    <s v="None"/>
    <n v="0"/>
    <n v="0"/>
    <n v="22"/>
    <x v="4"/>
    <x v="1"/>
    <s v="Credit Card"/>
    <s v="Rainy"/>
  </r>
  <r>
    <s v="WSR-2026-2662"/>
    <d v="2026-09-28T00:00:00"/>
    <x v="8"/>
    <x v="8"/>
    <s v="Monday"/>
    <x v="39"/>
    <d v="2026-09-30T00:00:00"/>
    <s v="Fall"/>
    <x v="4"/>
    <x v="5"/>
    <s v="Full Day"/>
    <n v="1"/>
    <n v="88"/>
    <s v="None"/>
    <n v="0"/>
    <n v="8.8000000000000007"/>
    <n v="79.2"/>
    <x v="2"/>
    <x v="4"/>
    <s v="Debit Card"/>
    <s v="Cloudy"/>
  </r>
  <r>
    <s v="WSR-2026-2663"/>
    <d v="2026-09-29T00:00:00"/>
    <x v="8"/>
    <x v="8"/>
    <s v="Tuesday"/>
    <x v="39"/>
    <d v="2026-09-30T00:00:00"/>
    <s v="Fall"/>
    <x v="2"/>
    <x v="5"/>
    <s v="2 Hours"/>
    <n v="1"/>
    <n v="42"/>
    <s v="None"/>
    <n v="0"/>
    <n v="0"/>
    <n v="42"/>
    <x v="6"/>
    <x v="2"/>
    <s v="Credit Card"/>
    <s v="Windy"/>
  </r>
  <r>
    <s v="WSR-2026-2664"/>
    <d v="2026-09-29T00:00:00"/>
    <x v="8"/>
    <x v="8"/>
    <s v="Tuesday"/>
    <x v="39"/>
    <d v="2026-09-30T00:00:00"/>
    <s v="Fall"/>
    <x v="1"/>
    <x v="0"/>
    <s v="1 Hour"/>
    <n v="1"/>
    <n v="32"/>
    <s v="Phone Pouch"/>
    <n v="5"/>
    <n v="3.7"/>
    <n v="33.299999999999997"/>
    <x v="6"/>
    <x v="3"/>
    <s v="Credit Card"/>
    <s v="Sunny"/>
  </r>
  <r>
    <s v="WSR-2026-2665"/>
    <d v="2026-09-29T00:00:00"/>
    <x v="8"/>
    <x v="8"/>
    <s v="Tuesday"/>
    <x v="39"/>
    <d v="2026-09-30T00:00:00"/>
    <s v="Fall"/>
    <x v="2"/>
    <x v="2"/>
    <s v="2 Hours"/>
    <n v="1"/>
    <n v="52"/>
    <s v="None"/>
    <n v="0"/>
    <n v="0"/>
    <n v="52"/>
    <x v="1"/>
    <x v="4"/>
    <s v="Credit Card"/>
    <s v="Windy"/>
  </r>
  <r>
    <s v="WSR-2026-2666"/>
    <d v="2026-09-29T00:00:00"/>
    <x v="8"/>
    <x v="8"/>
    <s v="Tuesday"/>
    <x v="39"/>
    <d v="2026-09-30T00:00:00"/>
    <s v="Fall"/>
    <x v="0"/>
    <x v="3"/>
    <s v="Half Day"/>
    <n v="1"/>
    <n v="54"/>
    <s v="None"/>
    <n v="0"/>
    <n v="0"/>
    <n v="54"/>
    <x v="3"/>
    <x v="0"/>
    <s v="Cash"/>
    <s v="Sunny"/>
  </r>
  <r>
    <s v="WSR-2026-2667"/>
    <d v="2026-09-29T00:00:00"/>
    <x v="8"/>
    <x v="8"/>
    <s v="Tuesday"/>
    <x v="39"/>
    <d v="2026-09-30T00:00:00"/>
    <s v="Fall"/>
    <x v="2"/>
    <x v="9"/>
    <s v="2 Hours"/>
    <n v="1"/>
    <n v="48"/>
    <s v="None"/>
    <n v="0"/>
    <n v="0"/>
    <n v="48"/>
    <x v="9"/>
    <x v="2"/>
    <s v="Credit Card"/>
    <s v="Sunny"/>
  </r>
  <r>
    <s v="WSR-2026-2668"/>
    <d v="2026-09-30T00:00:00"/>
    <x v="8"/>
    <x v="8"/>
    <s v="Wednesday"/>
    <x v="39"/>
    <d v="2026-09-30T00:00:00"/>
    <s v="Fall"/>
    <x v="3"/>
    <x v="3"/>
    <s v="1 Hour"/>
    <n v="1"/>
    <n v="22"/>
    <s v="None"/>
    <n v="0"/>
    <n v="0"/>
    <n v="22"/>
    <x v="4"/>
    <x v="4"/>
    <s v="Credit Card"/>
    <s v="Cloudy"/>
  </r>
  <r>
    <s v="WSR-2026-2669"/>
    <d v="2026-09-30T00:00:00"/>
    <x v="8"/>
    <x v="8"/>
    <s v="Wednesday"/>
    <x v="39"/>
    <d v="2026-09-30T00:00:00"/>
    <s v="Fall"/>
    <x v="0"/>
    <x v="1"/>
    <s v="1 Hour"/>
    <n v="1"/>
    <n v="24"/>
    <s v="Phone Pouch"/>
    <n v="5"/>
    <n v="0"/>
    <n v="29"/>
    <x v="5"/>
    <x v="4"/>
    <s v="Credit Card"/>
    <s v="Sunny"/>
  </r>
  <r>
    <s v="WSR-2026-2670"/>
    <d v="2026-10-01T00:00:00"/>
    <x v="9"/>
    <x v="9"/>
    <s v="Thursday"/>
    <x v="39"/>
    <d v="2026-10-31T00:00:00"/>
    <s v="Fall"/>
    <x v="2"/>
    <x v="2"/>
    <s v="2 Hours"/>
    <n v="1"/>
    <n v="52"/>
    <s v="Dry Bag"/>
    <n v="6"/>
    <n v="0"/>
    <n v="58"/>
    <x v="8"/>
    <x v="1"/>
    <s v="Mobile Pay"/>
    <s v="Sunny"/>
  </r>
  <r>
    <s v="WSR-2026-2671"/>
    <d v="2026-10-01T00:00:00"/>
    <x v="9"/>
    <x v="9"/>
    <s v="Thursday"/>
    <x v="39"/>
    <d v="2026-10-31T00:00:00"/>
    <s v="Fall"/>
    <x v="3"/>
    <x v="5"/>
    <s v="Half Day"/>
    <n v="1"/>
    <n v="62"/>
    <s v="Phone Pouch"/>
    <n v="5"/>
    <n v="0"/>
    <n v="67"/>
    <x v="9"/>
    <x v="4"/>
    <s v="Debit Card"/>
    <s v="Sunny"/>
  </r>
  <r>
    <s v="WSR-2026-2672"/>
    <d v="2026-10-02T00:00:00"/>
    <x v="9"/>
    <x v="9"/>
    <s v="Friday"/>
    <x v="39"/>
    <d v="2026-10-31T00:00:00"/>
    <s v="Fall"/>
    <x v="3"/>
    <x v="2"/>
    <s v="1 Hour"/>
    <n v="1"/>
    <n v="34"/>
    <s v="Cooler Rental"/>
    <n v="10"/>
    <n v="0"/>
    <n v="44"/>
    <x v="2"/>
    <x v="0"/>
    <s v="Credit Card"/>
    <s v="Sunny"/>
  </r>
  <r>
    <s v="WSR-2026-2673"/>
    <d v="2026-10-02T00:00:00"/>
    <x v="9"/>
    <x v="9"/>
    <s v="Friday"/>
    <x v="39"/>
    <d v="2026-10-31T00:00:00"/>
    <s v="Fall"/>
    <x v="3"/>
    <x v="8"/>
    <s v="1 Hour"/>
    <n v="1"/>
    <n v="10"/>
    <s v="Premium Life Jacket"/>
    <n v="7"/>
    <n v="0"/>
    <n v="17"/>
    <x v="2"/>
    <x v="2"/>
    <s v="Debit Card"/>
    <s v="Sunny"/>
  </r>
  <r>
    <s v="WSR-2026-2674"/>
    <d v="2026-10-02T00:00:00"/>
    <x v="9"/>
    <x v="9"/>
    <s v="Friday"/>
    <x v="39"/>
    <d v="2026-10-31T00:00:00"/>
    <s v="Fall"/>
    <x v="2"/>
    <x v="3"/>
    <s v="2 Hours"/>
    <n v="1"/>
    <n v="36"/>
    <s v="GoPro Mount"/>
    <n v="8"/>
    <n v="0"/>
    <n v="44"/>
    <x v="9"/>
    <x v="3"/>
    <s v="Credit Card"/>
    <s v="Sunny"/>
  </r>
  <r>
    <s v="WSR-2026-2675"/>
    <d v="2026-10-03T00:00:00"/>
    <x v="9"/>
    <x v="9"/>
    <s v="Saturday"/>
    <x v="39"/>
    <d v="2026-10-31T00:00:00"/>
    <s v="Fall"/>
    <x v="0"/>
    <x v="5"/>
    <s v="1 Hour"/>
    <n v="1"/>
    <n v="28.08"/>
    <s v="None"/>
    <n v="0"/>
    <n v="0"/>
    <n v="28.08"/>
    <x v="1"/>
    <x v="4"/>
    <s v="Credit Card"/>
    <s v="Sunny"/>
  </r>
  <r>
    <s v="WSR-2026-2676"/>
    <d v="2026-10-03T00:00:00"/>
    <x v="9"/>
    <x v="9"/>
    <s v="Saturday"/>
    <x v="39"/>
    <d v="2026-10-31T00:00:00"/>
    <s v="Fall"/>
    <x v="2"/>
    <x v="4"/>
    <s v="2 Hours"/>
    <n v="1"/>
    <n v="19.440000000000001"/>
    <s v="Premium Life Jacket"/>
    <n v="7"/>
    <n v="0"/>
    <n v="26.44"/>
    <x v="8"/>
    <x v="1"/>
    <s v="Debit Card"/>
    <s v="Sunny"/>
  </r>
  <r>
    <s v="WSR-2026-2677"/>
    <d v="2026-10-03T00:00:00"/>
    <x v="9"/>
    <x v="9"/>
    <s v="Saturday"/>
    <x v="39"/>
    <d v="2026-10-31T00:00:00"/>
    <s v="Fall"/>
    <x v="1"/>
    <x v="3"/>
    <s v="1 Hour"/>
    <n v="1"/>
    <n v="23.76"/>
    <s v="None"/>
    <n v="0"/>
    <n v="2.38"/>
    <n v="21.38"/>
    <x v="8"/>
    <x v="2"/>
    <s v="Credit Card"/>
    <s v="Cloudy"/>
  </r>
  <r>
    <s v="WSR-2026-2678"/>
    <d v="2026-10-03T00:00:00"/>
    <x v="9"/>
    <x v="9"/>
    <s v="Saturday"/>
    <x v="39"/>
    <d v="2026-10-31T00:00:00"/>
    <s v="Fall"/>
    <x v="3"/>
    <x v="8"/>
    <s v="2 Hours"/>
    <n v="1"/>
    <n v="17.28"/>
    <s v="None"/>
    <n v="0"/>
    <n v="0"/>
    <n v="17.28"/>
    <x v="4"/>
    <x v="4"/>
    <s v="Debit Card"/>
    <s v="Sunny"/>
  </r>
  <r>
    <s v="WSR-2026-2679"/>
    <d v="2026-10-03T00:00:00"/>
    <x v="9"/>
    <x v="9"/>
    <s v="Saturday"/>
    <x v="39"/>
    <d v="2026-10-31T00:00:00"/>
    <s v="Fall"/>
    <x v="2"/>
    <x v="3"/>
    <s v="1 Hour"/>
    <n v="1"/>
    <n v="23.76"/>
    <s v="Waterproof Speaker"/>
    <n v="12"/>
    <n v="0"/>
    <n v="35.76"/>
    <x v="6"/>
    <x v="1"/>
    <s v="Credit Card"/>
    <s v="Windy"/>
  </r>
  <r>
    <s v="WSR-2026-2680"/>
    <d v="2026-10-03T00:00:00"/>
    <x v="9"/>
    <x v="9"/>
    <s v="Saturday"/>
    <x v="39"/>
    <d v="2026-10-31T00:00:00"/>
    <s v="Fall"/>
    <x v="3"/>
    <x v="9"/>
    <s v="2 Hours"/>
    <n v="1"/>
    <n v="51.84"/>
    <s v="Dry Bag"/>
    <n v="6"/>
    <n v="0"/>
    <n v="57.84"/>
    <x v="6"/>
    <x v="4"/>
    <s v="Credit Card"/>
    <s v="Windy"/>
  </r>
  <r>
    <s v="WSR-2026-2681"/>
    <d v="2026-10-04T00:00:00"/>
    <x v="9"/>
    <x v="9"/>
    <s v="Sunday"/>
    <x v="40"/>
    <d v="2026-10-31T00:00:00"/>
    <s v="Fall"/>
    <x v="4"/>
    <x v="2"/>
    <s v="Half Day"/>
    <n v="1"/>
    <n v="84.24"/>
    <s v="Premium Life Jacket"/>
    <n v="7"/>
    <n v="9.1199999999999992"/>
    <n v="82.12"/>
    <x v="3"/>
    <x v="4"/>
    <s v="Cash"/>
    <s v="Cloudy"/>
  </r>
  <r>
    <s v="WSR-2026-2682"/>
    <d v="2026-10-04T00:00:00"/>
    <x v="9"/>
    <x v="9"/>
    <s v="Sunday"/>
    <x v="40"/>
    <d v="2026-10-31T00:00:00"/>
    <s v="Fall"/>
    <x v="2"/>
    <x v="1"/>
    <s v="1 Hour"/>
    <n v="1"/>
    <n v="25.92"/>
    <s v="Dry Bag"/>
    <n v="6"/>
    <n v="0"/>
    <n v="31.92"/>
    <x v="8"/>
    <x v="2"/>
    <s v="Credit Card"/>
    <s v="Sunny"/>
  </r>
  <r>
    <s v="WSR-2026-2683"/>
    <d v="2026-10-04T00:00:00"/>
    <x v="9"/>
    <x v="9"/>
    <s v="Sunday"/>
    <x v="40"/>
    <d v="2026-10-31T00:00:00"/>
    <s v="Fall"/>
    <x v="2"/>
    <x v="8"/>
    <s v="Half Day"/>
    <n v="1"/>
    <n v="25.92"/>
    <s v="None"/>
    <n v="0"/>
    <n v="0"/>
    <n v="25.92"/>
    <x v="8"/>
    <x v="4"/>
    <s v="Debit Card"/>
    <s v="Windy"/>
  </r>
  <r>
    <s v="WSR-2026-2684"/>
    <d v="2026-10-04T00:00:00"/>
    <x v="9"/>
    <x v="9"/>
    <s v="Sunday"/>
    <x v="40"/>
    <d v="2026-10-31T00:00:00"/>
    <s v="Fall"/>
    <x v="3"/>
    <x v="2"/>
    <s v="1 Hour"/>
    <n v="1"/>
    <n v="36.72"/>
    <s v="Phone Pouch"/>
    <n v="5"/>
    <n v="0"/>
    <n v="41.72"/>
    <x v="3"/>
    <x v="4"/>
    <s v="Debit Card"/>
    <s v="Sunny"/>
  </r>
  <r>
    <s v="WSR-2026-2685"/>
    <d v="2026-10-04T00:00:00"/>
    <x v="9"/>
    <x v="9"/>
    <s v="Sunday"/>
    <x v="40"/>
    <d v="2026-10-31T00:00:00"/>
    <s v="Fall"/>
    <x v="2"/>
    <x v="8"/>
    <s v="2 Hours"/>
    <n v="1"/>
    <n v="17.28"/>
    <s v="None"/>
    <n v="0"/>
    <n v="0"/>
    <n v="17.28"/>
    <x v="8"/>
    <x v="0"/>
    <s v="Credit Card"/>
    <s v="Sunny"/>
  </r>
  <r>
    <s v="WSR-2026-2686"/>
    <d v="2026-10-04T00:00:00"/>
    <x v="9"/>
    <x v="9"/>
    <s v="Sunday"/>
    <x v="40"/>
    <d v="2026-10-31T00:00:00"/>
    <s v="Fall"/>
    <x v="3"/>
    <x v="7"/>
    <s v="1 Hour"/>
    <n v="1"/>
    <n v="15.12"/>
    <s v="Waterproof Speaker"/>
    <n v="12"/>
    <n v="1.36"/>
    <n v="25.76"/>
    <x v="7"/>
    <x v="0"/>
    <s v="Mobile Pay"/>
    <s v="Cloudy"/>
  </r>
  <r>
    <s v="WSR-2026-2687"/>
    <d v="2026-10-05T00:00:00"/>
    <x v="9"/>
    <x v="9"/>
    <s v="Monday"/>
    <x v="40"/>
    <d v="2026-10-31T00:00:00"/>
    <s v="Fall"/>
    <x v="2"/>
    <x v="7"/>
    <s v="1 Hour"/>
    <n v="1"/>
    <n v="14"/>
    <s v="Cooler Rental"/>
    <n v="10"/>
    <n v="0"/>
    <n v="24"/>
    <x v="1"/>
    <x v="1"/>
    <s v="Debit Card"/>
    <s v="Sunny"/>
  </r>
  <r>
    <s v="WSR-2026-2688"/>
    <d v="2026-10-05T00:00:00"/>
    <x v="9"/>
    <x v="9"/>
    <s v="Monday"/>
    <x v="40"/>
    <d v="2026-10-31T00:00:00"/>
    <s v="Fall"/>
    <x v="2"/>
    <x v="1"/>
    <s v="Half Day"/>
    <n v="1"/>
    <n v="58"/>
    <s v="None"/>
    <n v="0"/>
    <n v="0"/>
    <n v="58"/>
    <x v="0"/>
    <x v="4"/>
    <s v="Credit Card"/>
    <s v="Cloudy"/>
  </r>
  <r>
    <s v="WSR-2026-2689"/>
    <d v="2026-10-05T00:00:00"/>
    <x v="9"/>
    <x v="9"/>
    <s v="Monday"/>
    <x v="40"/>
    <d v="2026-10-31T00:00:00"/>
    <s v="Fall"/>
    <x v="3"/>
    <x v="4"/>
    <s v="1 Hour"/>
    <n v="1"/>
    <n v="12"/>
    <s v="Dry Bag"/>
    <n v="6"/>
    <n v="0"/>
    <n v="18"/>
    <x v="3"/>
    <x v="3"/>
    <s v="Credit Card"/>
    <s v="Cloudy"/>
  </r>
  <r>
    <s v="WSR-2026-2690"/>
    <d v="2026-10-05T00:00:00"/>
    <x v="9"/>
    <x v="9"/>
    <s v="Monday"/>
    <x v="40"/>
    <d v="2026-10-31T00:00:00"/>
    <s v="Fall"/>
    <x v="1"/>
    <x v="1"/>
    <s v="Full Day"/>
    <n v="1"/>
    <n v="84"/>
    <s v="Phone Pouch"/>
    <n v="5"/>
    <n v="0"/>
    <n v="89"/>
    <x v="6"/>
    <x v="0"/>
    <s v="Credit Card"/>
    <s v="Sunny"/>
  </r>
  <r>
    <s v="WSR-2026-2691"/>
    <d v="2026-10-05T00:00:00"/>
    <x v="9"/>
    <x v="9"/>
    <s v="Monday"/>
    <x v="40"/>
    <d v="2026-10-31T00:00:00"/>
    <s v="Fall"/>
    <x v="2"/>
    <x v="8"/>
    <s v="1 Hour"/>
    <n v="1"/>
    <n v="10"/>
    <s v="GoPro Mount"/>
    <n v="8"/>
    <n v="0"/>
    <n v="18"/>
    <x v="6"/>
    <x v="0"/>
    <s v="Debit Card"/>
    <s v="Windy"/>
  </r>
  <r>
    <s v="WSR-2026-2692"/>
    <d v="2026-10-06T00:00:00"/>
    <x v="9"/>
    <x v="9"/>
    <s v="Tuesday"/>
    <x v="40"/>
    <d v="2026-10-31T00:00:00"/>
    <s v="Fall"/>
    <x v="3"/>
    <x v="5"/>
    <s v="Full Day"/>
    <n v="1"/>
    <n v="88"/>
    <s v="None"/>
    <n v="0"/>
    <n v="0"/>
    <n v="88"/>
    <x v="3"/>
    <x v="3"/>
    <s v="Cash"/>
    <s v="Sunny"/>
  </r>
  <r>
    <s v="WSR-2026-2693"/>
    <d v="2026-10-06T00:00:00"/>
    <x v="9"/>
    <x v="9"/>
    <s v="Tuesday"/>
    <x v="40"/>
    <d v="2026-10-31T00:00:00"/>
    <s v="Fall"/>
    <x v="0"/>
    <x v="5"/>
    <s v="2 Hours"/>
    <n v="1"/>
    <n v="42"/>
    <s v="None"/>
    <n v="0"/>
    <n v="0"/>
    <n v="42"/>
    <x v="4"/>
    <x v="3"/>
    <s v="Debit Card"/>
    <s v="Windy"/>
  </r>
  <r>
    <s v="WSR-2026-2694"/>
    <d v="2026-10-06T00:00:00"/>
    <x v="9"/>
    <x v="9"/>
    <s v="Tuesday"/>
    <x v="40"/>
    <d v="2026-10-31T00:00:00"/>
    <s v="Fall"/>
    <x v="3"/>
    <x v="8"/>
    <s v="2 Hours"/>
    <n v="1"/>
    <n v="16"/>
    <s v="None"/>
    <n v="0"/>
    <n v="0"/>
    <n v="16"/>
    <x v="8"/>
    <x v="4"/>
    <s v="Cash"/>
    <s v="Sunny"/>
  </r>
  <r>
    <s v="WSR-2026-2695"/>
    <d v="2026-10-06T00:00:00"/>
    <x v="9"/>
    <x v="9"/>
    <s v="Tuesday"/>
    <x v="40"/>
    <d v="2026-10-31T00:00:00"/>
    <s v="Fall"/>
    <x v="3"/>
    <x v="5"/>
    <s v="Half Day"/>
    <n v="1"/>
    <n v="62"/>
    <s v="None"/>
    <n v="0"/>
    <n v="0"/>
    <n v="62"/>
    <x v="6"/>
    <x v="0"/>
    <s v="Debit Card"/>
    <s v="Cloudy"/>
  </r>
  <r>
    <s v="WSR-2026-2696"/>
    <d v="2026-10-06T00:00:00"/>
    <x v="9"/>
    <x v="9"/>
    <s v="Tuesday"/>
    <x v="40"/>
    <d v="2026-10-31T00:00:00"/>
    <s v="Fall"/>
    <x v="0"/>
    <x v="5"/>
    <s v="1 Hour"/>
    <n v="1"/>
    <n v="26"/>
    <s v="None"/>
    <n v="0"/>
    <n v="0"/>
    <n v="26"/>
    <x v="1"/>
    <x v="1"/>
    <s v="Credit Card"/>
    <s v="Windy"/>
  </r>
  <r>
    <s v="WSR-2026-2697"/>
    <d v="2026-10-07T00:00:00"/>
    <x v="9"/>
    <x v="9"/>
    <s v="Wednesday"/>
    <x v="40"/>
    <d v="2026-10-31T00:00:00"/>
    <s v="Fall"/>
    <x v="2"/>
    <x v="5"/>
    <s v="Half Day"/>
    <n v="1"/>
    <n v="62"/>
    <s v="None"/>
    <n v="0"/>
    <n v="0"/>
    <n v="62"/>
    <x v="2"/>
    <x v="0"/>
    <s v="Credit Card"/>
    <s v="Cloudy"/>
  </r>
  <r>
    <s v="WSR-2026-2698"/>
    <d v="2026-10-07T00:00:00"/>
    <x v="9"/>
    <x v="9"/>
    <s v="Wednesday"/>
    <x v="40"/>
    <d v="2026-10-31T00:00:00"/>
    <s v="Fall"/>
    <x v="3"/>
    <x v="1"/>
    <s v="Full Day"/>
    <n v="1"/>
    <n v="84"/>
    <s v="None"/>
    <n v="0"/>
    <n v="0"/>
    <n v="84"/>
    <x v="2"/>
    <x v="2"/>
    <s v="Cash"/>
    <s v="Cloudy"/>
  </r>
  <r>
    <s v="WSR-2026-2699"/>
    <d v="2026-10-08T00:00:00"/>
    <x v="9"/>
    <x v="9"/>
    <s v="Thursday"/>
    <x v="40"/>
    <d v="2026-10-31T00:00:00"/>
    <s v="Fall"/>
    <x v="3"/>
    <x v="4"/>
    <s v="2 Hours"/>
    <n v="1"/>
    <n v="18"/>
    <s v="Cooler Rental"/>
    <n v="10"/>
    <n v="0"/>
    <n v="28"/>
    <x v="3"/>
    <x v="2"/>
    <s v="Credit Card"/>
    <s v="Sunny"/>
  </r>
  <r>
    <s v="WSR-2026-2700"/>
    <d v="2026-10-08T00:00:00"/>
    <x v="9"/>
    <x v="9"/>
    <s v="Thursday"/>
    <x v="40"/>
    <d v="2026-10-31T00:00:00"/>
    <s v="Fall"/>
    <x v="3"/>
    <x v="3"/>
    <s v="2 Hours"/>
    <n v="1"/>
    <n v="36"/>
    <s v="Cooler Rental"/>
    <n v="10"/>
    <n v="0"/>
    <n v="46"/>
    <x v="8"/>
    <x v="2"/>
    <s v="Cash"/>
    <s v="Cloudy"/>
  </r>
  <r>
    <s v="WSR-2026-2701"/>
    <d v="2026-10-08T00:00:00"/>
    <x v="9"/>
    <x v="9"/>
    <s v="Thursday"/>
    <x v="40"/>
    <d v="2026-10-31T00:00:00"/>
    <s v="Fall"/>
    <x v="0"/>
    <x v="1"/>
    <s v="2 Hours"/>
    <n v="1"/>
    <n v="38"/>
    <s v="None"/>
    <n v="0"/>
    <n v="0"/>
    <n v="38"/>
    <x v="0"/>
    <x v="3"/>
    <s v="Credit Card"/>
    <s v="Sunny"/>
  </r>
  <r>
    <s v="WSR-2026-2702"/>
    <d v="2026-10-08T00:00:00"/>
    <x v="9"/>
    <x v="9"/>
    <s v="Thursday"/>
    <x v="40"/>
    <d v="2026-10-31T00:00:00"/>
    <s v="Fall"/>
    <x v="3"/>
    <x v="1"/>
    <s v="2 Hours"/>
    <n v="1"/>
    <n v="38"/>
    <s v="None"/>
    <n v="0"/>
    <n v="0"/>
    <n v="38"/>
    <x v="8"/>
    <x v="1"/>
    <s v="Credit Card"/>
    <s v="Sunny"/>
  </r>
  <r>
    <s v="WSR-2026-2703"/>
    <d v="2026-10-08T00:00:00"/>
    <x v="9"/>
    <x v="9"/>
    <s v="Thursday"/>
    <x v="40"/>
    <d v="2026-10-31T00:00:00"/>
    <s v="Fall"/>
    <x v="3"/>
    <x v="5"/>
    <s v="Half Day"/>
    <n v="1"/>
    <n v="62"/>
    <s v="GoPro Mount"/>
    <n v="8"/>
    <n v="0"/>
    <n v="70"/>
    <x v="5"/>
    <x v="3"/>
    <s v="Debit Card"/>
    <s v="Sunny"/>
  </r>
  <r>
    <s v="WSR-2026-2704"/>
    <d v="2026-10-08T00:00:00"/>
    <x v="9"/>
    <x v="9"/>
    <s v="Thursday"/>
    <x v="40"/>
    <d v="2026-10-31T00:00:00"/>
    <s v="Fall"/>
    <x v="3"/>
    <x v="9"/>
    <s v="1 Hour"/>
    <n v="1"/>
    <n v="30"/>
    <s v="None"/>
    <n v="0"/>
    <n v="0"/>
    <n v="30"/>
    <x v="5"/>
    <x v="1"/>
    <s v="Credit Card"/>
    <s v="Windy"/>
  </r>
  <r>
    <s v="WSR-2026-2705"/>
    <d v="2026-10-09T00:00:00"/>
    <x v="9"/>
    <x v="9"/>
    <s v="Friday"/>
    <x v="40"/>
    <d v="2026-10-31T00:00:00"/>
    <s v="Fall"/>
    <x v="2"/>
    <x v="5"/>
    <s v="Half Day"/>
    <n v="1"/>
    <n v="62"/>
    <s v="None"/>
    <n v="0"/>
    <n v="0"/>
    <n v="62"/>
    <x v="3"/>
    <x v="4"/>
    <s v="Credit Card"/>
    <s v="Cloudy"/>
  </r>
  <r>
    <s v="WSR-2026-2706"/>
    <d v="2026-10-09T00:00:00"/>
    <x v="9"/>
    <x v="9"/>
    <s v="Friday"/>
    <x v="40"/>
    <d v="2026-10-31T00:00:00"/>
    <s v="Fall"/>
    <x v="0"/>
    <x v="8"/>
    <s v="2 Hours"/>
    <n v="1"/>
    <n v="16"/>
    <s v="None"/>
    <n v="0"/>
    <n v="0"/>
    <n v="16"/>
    <x v="8"/>
    <x v="0"/>
    <s v="Mobile Pay"/>
    <s v="Sunny"/>
  </r>
  <r>
    <s v="WSR-2026-2707"/>
    <d v="2026-10-09T00:00:00"/>
    <x v="9"/>
    <x v="9"/>
    <s v="Friday"/>
    <x v="40"/>
    <d v="2026-10-31T00:00:00"/>
    <s v="Fall"/>
    <x v="3"/>
    <x v="1"/>
    <s v="2 Hours"/>
    <n v="1"/>
    <n v="38"/>
    <s v="GoPro Mount"/>
    <n v="8"/>
    <n v="0"/>
    <n v="46"/>
    <x v="4"/>
    <x v="2"/>
    <s v="Debit Card"/>
    <s v="Cloudy"/>
  </r>
  <r>
    <s v="WSR-2026-2708"/>
    <d v="2026-10-09T00:00:00"/>
    <x v="9"/>
    <x v="9"/>
    <s v="Friday"/>
    <x v="40"/>
    <d v="2026-10-31T00:00:00"/>
    <s v="Fall"/>
    <x v="3"/>
    <x v="8"/>
    <s v="Half Day"/>
    <n v="1"/>
    <n v="24"/>
    <s v="None"/>
    <n v="0"/>
    <n v="0"/>
    <n v="24"/>
    <x v="6"/>
    <x v="0"/>
    <s v="Mobile Pay"/>
    <s v="Sunny"/>
  </r>
  <r>
    <s v="WSR-2026-2709"/>
    <d v="2026-10-09T00:00:00"/>
    <x v="9"/>
    <x v="9"/>
    <s v="Friday"/>
    <x v="40"/>
    <d v="2026-10-31T00:00:00"/>
    <s v="Fall"/>
    <x v="3"/>
    <x v="4"/>
    <s v="Half Day"/>
    <n v="1"/>
    <n v="28"/>
    <s v="Premium Life Jacket"/>
    <n v="7"/>
    <n v="0"/>
    <n v="35"/>
    <x v="6"/>
    <x v="3"/>
    <s v="Cash"/>
    <s v="Sunny"/>
  </r>
  <r>
    <s v="WSR-2026-2710"/>
    <d v="2026-10-09T00:00:00"/>
    <x v="9"/>
    <x v="9"/>
    <s v="Friday"/>
    <x v="40"/>
    <d v="2026-10-31T00:00:00"/>
    <s v="Fall"/>
    <x v="0"/>
    <x v="5"/>
    <s v="2 Hours"/>
    <n v="1"/>
    <n v="42"/>
    <s v="None"/>
    <n v="0"/>
    <n v="0"/>
    <n v="42"/>
    <x v="0"/>
    <x v="4"/>
    <s v="Credit Card"/>
    <s v="Sunny"/>
  </r>
  <r>
    <s v="WSR-2026-2711"/>
    <d v="2026-10-09T00:00:00"/>
    <x v="9"/>
    <x v="9"/>
    <s v="Friday"/>
    <x v="40"/>
    <d v="2026-10-31T00:00:00"/>
    <s v="Fall"/>
    <x v="3"/>
    <x v="8"/>
    <s v="2 Hours"/>
    <n v="1"/>
    <n v="16"/>
    <s v="None"/>
    <n v="0"/>
    <n v="0"/>
    <n v="16"/>
    <x v="0"/>
    <x v="4"/>
    <s v="Credit Card"/>
    <s v="Sunny"/>
  </r>
  <r>
    <s v="WSR-2026-2712"/>
    <d v="2026-10-09T00:00:00"/>
    <x v="9"/>
    <x v="9"/>
    <s v="Friday"/>
    <x v="40"/>
    <d v="2026-10-31T00:00:00"/>
    <s v="Fall"/>
    <x v="2"/>
    <x v="6"/>
    <s v="1 Hour"/>
    <n v="1"/>
    <n v="36"/>
    <s v="Dry Bag"/>
    <n v="6"/>
    <n v="0"/>
    <n v="42"/>
    <x v="6"/>
    <x v="4"/>
    <s v="Credit Card"/>
    <s v="Sunny"/>
  </r>
  <r>
    <s v="WSR-2026-2713"/>
    <d v="2026-10-10T00:00:00"/>
    <x v="9"/>
    <x v="9"/>
    <s v="Saturday"/>
    <x v="40"/>
    <d v="2026-10-31T00:00:00"/>
    <s v="Fall"/>
    <x v="2"/>
    <x v="0"/>
    <s v="1 Hour"/>
    <n v="1"/>
    <n v="34.56"/>
    <s v="None"/>
    <n v="0"/>
    <n v="1.73"/>
    <n v="32.83"/>
    <x v="4"/>
    <x v="0"/>
    <s v="Debit Card"/>
    <s v="Cloudy"/>
  </r>
  <r>
    <s v="WSR-2026-2714"/>
    <d v="2026-10-10T00:00:00"/>
    <x v="9"/>
    <x v="9"/>
    <s v="Saturday"/>
    <x v="40"/>
    <d v="2026-10-31T00:00:00"/>
    <s v="Fall"/>
    <x v="0"/>
    <x v="3"/>
    <s v="2 Hours"/>
    <n v="1"/>
    <n v="38.880000000000003"/>
    <s v="Dry Bag"/>
    <n v="6"/>
    <n v="0"/>
    <n v="44.88"/>
    <x v="5"/>
    <x v="2"/>
    <s v="Debit Card"/>
    <s v="Cloudy"/>
  </r>
  <r>
    <s v="WSR-2026-2715"/>
    <d v="2026-10-10T00:00:00"/>
    <x v="9"/>
    <x v="9"/>
    <s v="Saturday"/>
    <x v="40"/>
    <d v="2026-10-31T00:00:00"/>
    <s v="Fall"/>
    <x v="2"/>
    <x v="5"/>
    <s v="Full Day"/>
    <n v="1"/>
    <n v="95.04"/>
    <s v="GoPro Mount"/>
    <n v="8"/>
    <n v="0"/>
    <n v="103.04"/>
    <x v="5"/>
    <x v="1"/>
    <s v="Mobile Pay"/>
    <s v="Cloudy"/>
  </r>
  <r>
    <s v="WSR-2026-2716"/>
    <d v="2026-10-10T00:00:00"/>
    <x v="9"/>
    <x v="9"/>
    <s v="Saturday"/>
    <x v="40"/>
    <d v="2026-10-31T00:00:00"/>
    <s v="Fall"/>
    <x v="3"/>
    <x v="5"/>
    <s v="1 Hour"/>
    <n v="1"/>
    <n v="28.08"/>
    <s v="None"/>
    <n v="0"/>
    <n v="0"/>
    <n v="28.08"/>
    <x v="0"/>
    <x v="3"/>
    <s v="Debit Card"/>
    <s v="Sunny"/>
  </r>
  <r>
    <s v="WSR-2026-2717"/>
    <d v="2026-10-11T00:00:00"/>
    <x v="9"/>
    <x v="9"/>
    <s v="Sunday"/>
    <x v="41"/>
    <d v="2026-10-31T00:00:00"/>
    <s v="Fall"/>
    <x v="0"/>
    <x v="3"/>
    <s v="1 Hour"/>
    <n v="1"/>
    <n v="23.76"/>
    <s v="Cooler Rental"/>
    <n v="10"/>
    <n v="0"/>
    <n v="33.76"/>
    <x v="9"/>
    <x v="2"/>
    <s v="Debit Card"/>
    <s v="Sunny"/>
  </r>
  <r>
    <s v="WSR-2026-2718"/>
    <d v="2026-10-11T00:00:00"/>
    <x v="9"/>
    <x v="9"/>
    <s v="Sunday"/>
    <x v="41"/>
    <d v="2026-10-31T00:00:00"/>
    <s v="Fall"/>
    <x v="2"/>
    <x v="8"/>
    <s v="2 Hours"/>
    <n v="1"/>
    <n v="17.28"/>
    <s v="None"/>
    <n v="0"/>
    <n v="0"/>
    <n v="17.28"/>
    <x v="8"/>
    <x v="4"/>
    <s v="Mobile Pay"/>
    <s v="Sunny"/>
  </r>
  <r>
    <s v="WSR-2026-2719"/>
    <d v="2026-10-11T00:00:00"/>
    <x v="9"/>
    <x v="9"/>
    <s v="Sunday"/>
    <x v="41"/>
    <d v="2026-10-31T00:00:00"/>
    <s v="Fall"/>
    <x v="2"/>
    <x v="5"/>
    <s v="1 Hour"/>
    <n v="1"/>
    <n v="28.08"/>
    <s v="None"/>
    <n v="0"/>
    <n v="0"/>
    <n v="28.08"/>
    <x v="1"/>
    <x v="2"/>
    <s v="Credit Card"/>
    <s v="Sunny"/>
  </r>
  <r>
    <s v="WSR-2026-2720"/>
    <d v="2026-10-11T00:00:00"/>
    <x v="9"/>
    <x v="9"/>
    <s v="Sunday"/>
    <x v="41"/>
    <d v="2026-10-31T00:00:00"/>
    <s v="Fall"/>
    <x v="3"/>
    <x v="1"/>
    <s v="2 Hours"/>
    <n v="1"/>
    <n v="41.04"/>
    <s v="Dry Bag"/>
    <n v="6"/>
    <n v="0"/>
    <n v="47.04"/>
    <x v="8"/>
    <x v="3"/>
    <s v="Credit Card"/>
    <s v="Cloudy"/>
  </r>
  <r>
    <s v="WSR-2026-2721"/>
    <d v="2026-10-11T00:00:00"/>
    <x v="9"/>
    <x v="9"/>
    <s v="Sunday"/>
    <x v="41"/>
    <d v="2026-10-31T00:00:00"/>
    <s v="Fall"/>
    <x v="2"/>
    <x v="6"/>
    <s v="2 Hours"/>
    <n v="1"/>
    <n v="62.64"/>
    <s v="None"/>
    <n v="0"/>
    <n v="0"/>
    <n v="62.64"/>
    <x v="3"/>
    <x v="4"/>
    <s v="Debit Card"/>
    <s v="Cloudy"/>
  </r>
  <r>
    <s v="WSR-2026-2722"/>
    <d v="2026-10-12T00:00:00"/>
    <x v="9"/>
    <x v="9"/>
    <s v="Monday"/>
    <x v="41"/>
    <d v="2026-10-31T00:00:00"/>
    <s v="Fall"/>
    <x v="2"/>
    <x v="4"/>
    <s v="1 Hour"/>
    <n v="1"/>
    <n v="12"/>
    <s v="None"/>
    <n v="0"/>
    <n v="0"/>
    <n v="12"/>
    <x v="2"/>
    <x v="3"/>
    <s v="Cash"/>
    <s v="Cloudy"/>
  </r>
  <r>
    <s v="WSR-2026-2723"/>
    <d v="2026-10-12T00:00:00"/>
    <x v="9"/>
    <x v="9"/>
    <s v="Monday"/>
    <x v="41"/>
    <d v="2026-10-31T00:00:00"/>
    <s v="Fall"/>
    <x v="2"/>
    <x v="8"/>
    <s v="2 Hours"/>
    <n v="1"/>
    <n v="16"/>
    <s v="None"/>
    <n v="0"/>
    <n v="0"/>
    <n v="16"/>
    <x v="1"/>
    <x v="4"/>
    <s v="Debit Card"/>
    <s v="Sunny"/>
  </r>
  <r>
    <s v="WSR-2026-2724"/>
    <d v="2026-10-12T00:00:00"/>
    <x v="9"/>
    <x v="9"/>
    <s v="Monday"/>
    <x v="41"/>
    <d v="2026-10-31T00:00:00"/>
    <s v="Fall"/>
    <x v="3"/>
    <x v="5"/>
    <s v="1 Hour"/>
    <n v="1"/>
    <n v="26"/>
    <s v="None"/>
    <n v="0"/>
    <n v="0"/>
    <n v="26"/>
    <x v="8"/>
    <x v="4"/>
    <s v="Credit Card"/>
    <s v="Windy"/>
  </r>
  <r>
    <s v="WSR-2026-2725"/>
    <d v="2026-10-12T00:00:00"/>
    <x v="9"/>
    <x v="9"/>
    <s v="Monday"/>
    <x v="41"/>
    <d v="2026-10-31T00:00:00"/>
    <s v="Fall"/>
    <x v="3"/>
    <x v="5"/>
    <s v="2 Hours"/>
    <n v="1"/>
    <n v="42"/>
    <s v="None"/>
    <n v="0"/>
    <n v="0"/>
    <n v="42"/>
    <x v="5"/>
    <x v="3"/>
    <s v="Cash"/>
    <s v="Windy"/>
  </r>
  <r>
    <s v="WSR-2026-2726"/>
    <d v="2026-10-12T00:00:00"/>
    <x v="9"/>
    <x v="9"/>
    <s v="Monday"/>
    <x v="41"/>
    <d v="2026-10-31T00:00:00"/>
    <s v="Fall"/>
    <x v="1"/>
    <x v="2"/>
    <s v="1 Hour"/>
    <n v="1"/>
    <n v="34"/>
    <s v="None"/>
    <n v="0"/>
    <n v="0"/>
    <n v="34"/>
    <x v="6"/>
    <x v="4"/>
    <s v="Credit Card"/>
    <s v="Windy"/>
  </r>
  <r>
    <s v="WSR-2026-2727"/>
    <d v="2026-10-12T00:00:00"/>
    <x v="9"/>
    <x v="9"/>
    <s v="Monday"/>
    <x v="41"/>
    <d v="2026-10-31T00:00:00"/>
    <s v="Fall"/>
    <x v="3"/>
    <x v="1"/>
    <s v="1 Hour"/>
    <n v="1"/>
    <n v="24"/>
    <s v="Cooler Rental"/>
    <n v="10"/>
    <n v="0"/>
    <n v="34"/>
    <x v="3"/>
    <x v="2"/>
    <s v="Credit Card"/>
    <s v="Sunny"/>
  </r>
  <r>
    <s v="WSR-2026-2728"/>
    <d v="2026-10-13T00:00:00"/>
    <x v="9"/>
    <x v="9"/>
    <s v="Tuesday"/>
    <x v="41"/>
    <d v="2026-10-31T00:00:00"/>
    <s v="Fall"/>
    <x v="3"/>
    <x v="5"/>
    <s v="Half Day"/>
    <n v="1"/>
    <n v="62"/>
    <s v="None"/>
    <n v="0"/>
    <n v="0"/>
    <n v="62"/>
    <x v="8"/>
    <x v="4"/>
    <s v="Credit Card"/>
    <s v="Cloudy"/>
  </r>
  <r>
    <s v="WSR-2026-2729"/>
    <d v="2026-10-13T00:00:00"/>
    <x v="9"/>
    <x v="9"/>
    <s v="Tuesday"/>
    <x v="41"/>
    <d v="2026-10-31T00:00:00"/>
    <s v="Fall"/>
    <x v="3"/>
    <x v="6"/>
    <s v="1 Hour"/>
    <n v="1"/>
    <n v="36"/>
    <s v="Dry Bag"/>
    <n v="6"/>
    <n v="0"/>
    <n v="42"/>
    <x v="0"/>
    <x v="2"/>
    <s v="Credit Card"/>
    <s v="Sunny"/>
  </r>
  <r>
    <s v="WSR-2026-2730"/>
    <d v="2026-10-13T00:00:00"/>
    <x v="9"/>
    <x v="9"/>
    <s v="Tuesday"/>
    <x v="41"/>
    <d v="2026-10-31T00:00:00"/>
    <s v="Fall"/>
    <x v="3"/>
    <x v="8"/>
    <s v="Full Day"/>
    <n v="1"/>
    <n v="34"/>
    <s v="None"/>
    <n v="0"/>
    <n v="0"/>
    <n v="34"/>
    <x v="6"/>
    <x v="0"/>
    <s v="Debit Card"/>
    <s v="Sunny"/>
  </r>
  <r>
    <s v="WSR-2026-2731"/>
    <d v="2026-10-13T00:00:00"/>
    <x v="9"/>
    <x v="9"/>
    <s v="Tuesday"/>
    <x v="41"/>
    <d v="2026-10-31T00:00:00"/>
    <s v="Fall"/>
    <x v="2"/>
    <x v="8"/>
    <s v="Half Day"/>
    <n v="1"/>
    <n v="24"/>
    <s v="Dry Bag"/>
    <n v="6"/>
    <n v="0"/>
    <n v="30"/>
    <x v="4"/>
    <x v="4"/>
    <s v="Credit Card"/>
    <s v="Sunny"/>
  </r>
  <r>
    <s v="WSR-2026-2732"/>
    <d v="2026-10-13T00:00:00"/>
    <x v="9"/>
    <x v="9"/>
    <s v="Tuesday"/>
    <x v="41"/>
    <d v="2026-10-31T00:00:00"/>
    <s v="Fall"/>
    <x v="3"/>
    <x v="3"/>
    <s v="2 Hours"/>
    <n v="1"/>
    <n v="36"/>
    <s v="None"/>
    <n v="0"/>
    <n v="0"/>
    <n v="36"/>
    <x v="4"/>
    <x v="0"/>
    <s v="Credit Card"/>
    <s v="Sunny"/>
  </r>
  <r>
    <s v="WSR-2026-2733"/>
    <d v="2026-10-14T00:00:00"/>
    <x v="9"/>
    <x v="9"/>
    <s v="Wednesday"/>
    <x v="41"/>
    <d v="2026-10-31T00:00:00"/>
    <s v="Fall"/>
    <x v="2"/>
    <x v="7"/>
    <s v="1 Hour"/>
    <n v="1"/>
    <n v="14"/>
    <s v="None"/>
    <n v="0"/>
    <n v="0"/>
    <n v="14"/>
    <x v="1"/>
    <x v="3"/>
    <s v="Mobile Pay"/>
    <s v="Rainy"/>
  </r>
  <r>
    <s v="WSR-2026-2734"/>
    <d v="2026-10-14T00:00:00"/>
    <x v="9"/>
    <x v="9"/>
    <s v="Wednesday"/>
    <x v="41"/>
    <d v="2026-10-31T00:00:00"/>
    <s v="Fall"/>
    <x v="3"/>
    <x v="5"/>
    <s v="Full Day"/>
    <n v="1"/>
    <n v="88"/>
    <s v="None"/>
    <n v="0"/>
    <n v="0"/>
    <n v="88"/>
    <x v="6"/>
    <x v="4"/>
    <s v="Credit Card"/>
    <s v="Sunny"/>
  </r>
  <r>
    <s v="WSR-2026-2735"/>
    <d v="2026-10-14T00:00:00"/>
    <x v="9"/>
    <x v="9"/>
    <s v="Wednesday"/>
    <x v="41"/>
    <d v="2026-10-31T00:00:00"/>
    <s v="Fall"/>
    <x v="2"/>
    <x v="4"/>
    <s v="1 Hour"/>
    <n v="1"/>
    <n v="12"/>
    <s v="Phone Pouch"/>
    <n v="5"/>
    <n v="0"/>
    <n v="17"/>
    <x v="2"/>
    <x v="4"/>
    <s v="Credit Card"/>
    <s v="Sunny"/>
  </r>
  <r>
    <s v="WSR-2026-2736"/>
    <d v="2026-10-15T00:00:00"/>
    <x v="9"/>
    <x v="9"/>
    <s v="Thursday"/>
    <x v="41"/>
    <d v="2026-10-31T00:00:00"/>
    <s v="Fall"/>
    <x v="2"/>
    <x v="5"/>
    <s v="1 Hour"/>
    <n v="1"/>
    <n v="26"/>
    <s v="None"/>
    <n v="0"/>
    <n v="0"/>
    <n v="26"/>
    <x v="5"/>
    <x v="2"/>
    <s v="Mobile Pay"/>
    <s v="Sunny"/>
  </r>
  <r>
    <s v="WSR-2026-2737"/>
    <d v="2026-10-15T00:00:00"/>
    <x v="9"/>
    <x v="9"/>
    <s v="Thursday"/>
    <x v="41"/>
    <d v="2026-10-31T00:00:00"/>
    <s v="Fall"/>
    <x v="2"/>
    <x v="5"/>
    <s v="Half Day"/>
    <n v="1"/>
    <n v="62"/>
    <s v="Cooler Rental"/>
    <n v="10"/>
    <n v="0"/>
    <n v="72"/>
    <x v="4"/>
    <x v="1"/>
    <s v="Debit Card"/>
    <s v="Sunny"/>
  </r>
  <r>
    <s v="WSR-2026-2738"/>
    <d v="2026-10-15T00:00:00"/>
    <x v="9"/>
    <x v="9"/>
    <s v="Thursday"/>
    <x v="41"/>
    <d v="2026-10-31T00:00:00"/>
    <s v="Fall"/>
    <x v="3"/>
    <x v="4"/>
    <s v="Half Day"/>
    <n v="1"/>
    <n v="28"/>
    <s v="Dry Bag"/>
    <n v="6"/>
    <n v="0"/>
    <n v="34"/>
    <x v="7"/>
    <x v="3"/>
    <s v="Mobile Pay"/>
    <s v="Sunny"/>
  </r>
  <r>
    <s v="WSR-2026-2739"/>
    <d v="2026-10-15T00:00:00"/>
    <x v="9"/>
    <x v="9"/>
    <s v="Thursday"/>
    <x v="41"/>
    <d v="2026-10-31T00:00:00"/>
    <s v="Fall"/>
    <x v="3"/>
    <x v="1"/>
    <s v="2 Hours"/>
    <n v="1"/>
    <n v="38"/>
    <s v="Dry Bag"/>
    <n v="6"/>
    <n v="0"/>
    <n v="44"/>
    <x v="4"/>
    <x v="3"/>
    <s v="Credit Card"/>
    <s v="Sunny"/>
  </r>
  <r>
    <s v="WSR-2026-2740"/>
    <d v="2026-10-15T00:00:00"/>
    <x v="9"/>
    <x v="9"/>
    <s v="Thursday"/>
    <x v="41"/>
    <d v="2026-10-31T00:00:00"/>
    <s v="Fall"/>
    <x v="2"/>
    <x v="2"/>
    <s v="1 Hour"/>
    <n v="1"/>
    <n v="34"/>
    <s v="None"/>
    <n v="0"/>
    <n v="0"/>
    <n v="34"/>
    <x v="7"/>
    <x v="4"/>
    <s v="Credit Card"/>
    <s v="Sunny"/>
  </r>
  <r>
    <s v="WSR-2026-2741"/>
    <d v="2026-10-15T00:00:00"/>
    <x v="9"/>
    <x v="9"/>
    <s v="Thursday"/>
    <x v="41"/>
    <d v="2026-10-31T00:00:00"/>
    <s v="Fall"/>
    <x v="2"/>
    <x v="5"/>
    <s v="1 Hour"/>
    <n v="1"/>
    <n v="26"/>
    <s v="GoPro Mount"/>
    <n v="8"/>
    <n v="0"/>
    <n v="34"/>
    <x v="3"/>
    <x v="2"/>
    <s v="Credit Card"/>
    <s v="Sunny"/>
  </r>
  <r>
    <s v="WSR-2026-2742"/>
    <d v="2026-10-16T00:00:00"/>
    <x v="9"/>
    <x v="9"/>
    <s v="Friday"/>
    <x v="41"/>
    <d v="2026-10-31T00:00:00"/>
    <s v="Fall"/>
    <x v="3"/>
    <x v="8"/>
    <s v="Half Day"/>
    <n v="1"/>
    <n v="24"/>
    <s v="Dry Bag"/>
    <n v="6"/>
    <n v="0"/>
    <n v="30"/>
    <x v="4"/>
    <x v="1"/>
    <s v="Credit Card"/>
    <s v="Sunny"/>
  </r>
  <r>
    <s v="WSR-2026-2743"/>
    <d v="2026-10-16T00:00:00"/>
    <x v="9"/>
    <x v="9"/>
    <s v="Friday"/>
    <x v="41"/>
    <d v="2026-10-31T00:00:00"/>
    <s v="Fall"/>
    <x v="3"/>
    <x v="5"/>
    <s v="1 Hour"/>
    <n v="1"/>
    <n v="26"/>
    <s v="Premium Life Jacket"/>
    <n v="7"/>
    <n v="0"/>
    <n v="33"/>
    <x v="0"/>
    <x v="3"/>
    <s v="Credit Card"/>
    <s v="Sunny"/>
  </r>
  <r>
    <s v="WSR-2026-2744"/>
    <d v="2026-10-16T00:00:00"/>
    <x v="9"/>
    <x v="9"/>
    <s v="Friday"/>
    <x v="41"/>
    <d v="2026-10-31T00:00:00"/>
    <s v="Fall"/>
    <x v="0"/>
    <x v="4"/>
    <s v="2 Hours"/>
    <n v="1"/>
    <n v="18"/>
    <s v="Waterproof Speaker"/>
    <n v="12"/>
    <n v="0"/>
    <n v="30"/>
    <x v="1"/>
    <x v="2"/>
    <s v="Debit Card"/>
    <s v="Sunny"/>
  </r>
  <r>
    <s v="WSR-2026-2745"/>
    <d v="2026-10-17T00:00:00"/>
    <x v="9"/>
    <x v="9"/>
    <s v="Saturday"/>
    <x v="41"/>
    <d v="2026-10-31T00:00:00"/>
    <s v="Fall"/>
    <x v="2"/>
    <x v="5"/>
    <s v="1 Hour"/>
    <n v="1"/>
    <n v="28.08"/>
    <s v="GoPro Mount"/>
    <n v="8"/>
    <n v="0"/>
    <n v="36.08"/>
    <x v="2"/>
    <x v="1"/>
    <s v="Mobile Pay"/>
    <s v="Cloudy"/>
  </r>
  <r>
    <s v="WSR-2026-2746"/>
    <d v="2026-10-17T00:00:00"/>
    <x v="9"/>
    <x v="9"/>
    <s v="Saturday"/>
    <x v="41"/>
    <d v="2026-10-31T00:00:00"/>
    <s v="Fall"/>
    <x v="0"/>
    <x v="9"/>
    <s v="2 Hours"/>
    <n v="1"/>
    <n v="51.84"/>
    <s v="Cooler Rental"/>
    <n v="10"/>
    <n v="0"/>
    <n v="61.84"/>
    <x v="8"/>
    <x v="3"/>
    <s v="Credit Card"/>
    <s v="Sunny"/>
  </r>
  <r>
    <s v="WSR-2026-2747"/>
    <d v="2026-10-17T00:00:00"/>
    <x v="9"/>
    <x v="9"/>
    <s v="Saturday"/>
    <x v="41"/>
    <d v="2026-10-31T00:00:00"/>
    <s v="Fall"/>
    <x v="0"/>
    <x v="5"/>
    <s v="2 Hours"/>
    <n v="1"/>
    <n v="45.36"/>
    <s v="None"/>
    <n v="0"/>
    <n v="0"/>
    <n v="45.36"/>
    <x v="5"/>
    <x v="0"/>
    <s v="Credit Card"/>
    <s v="Sunny"/>
  </r>
  <r>
    <s v="WSR-2026-2748"/>
    <d v="2026-10-17T00:00:00"/>
    <x v="9"/>
    <x v="9"/>
    <s v="Saturday"/>
    <x v="41"/>
    <d v="2026-10-31T00:00:00"/>
    <s v="Fall"/>
    <x v="3"/>
    <x v="4"/>
    <s v="2 Hours"/>
    <n v="1"/>
    <n v="19.440000000000001"/>
    <s v="Cooler Rental"/>
    <n v="10"/>
    <n v="0"/>
    <n v="29.44"/>
    <x v="8"/>
    <x v="0"/>
    <s v="Credit Card"/>
    <s v="Rainy"/>
  </r>
  <r>
    <s v="WSR-2026-2749"/>
    <d v="2026-10-17T00:00:00"/>
    <x v="9"/>
    <x v="9"/>
    <s v="Saturday"/>
    <x v="41"/>
    <d v="2026-10-31T00:00:00"/>
    <s v="Fall"/>
    <x v="3"/>
    <x v="0"/>
    <s v="Half Day"/>
    <n v="1"/>
    <n v="82.08"/>
    <s v="None"/>
    <n v="0"/>
    <n v="0"/>
    <n v="82.08"/>
    <x v="0"/>
    <x v="1"/>
    <s v="Credit Card"/>
    <s v="Sunny"/>
  </r>
  <r>
    <s v="WSR-2026-2750"/>
    <d v="2026-10-17T00:00:00"/>
    <x v="9"/>
    <x v="9"/>
    <s v="Saturday"/>
    <x v="41"/>
    <d v="2026-10-31T00:00:00"/>
    <s v="Fall"/>
    <x v="2"/>
    <x v="3"/>
    <s v="2 Hours"/>
    <n v="1"/>
    <n v="38.880000000000003"/>
    <s v="None"/>
    <n v="0"/>
    <n v="1.94"/>
    <n v="36.94"/>
    <x v="6"/>
    <x v="4"/>
    <s v="Credit Card"/>
    <s v="Sunny"/>
  </r>
  <r>
    <s v="WSR-2026-2751"/>
    <d v="2026-10-17T00:00:00"/>
    <x v="9"/>
    <x v="9"/>
    <s v="Saturday"/>
    <x v="41"/>
    <d v="2026-10-31T00:00:00"/>
    <s v="Fall"/>
    <x v="3"/>
    <x v="9"/>
    <s v="2 Hours"/>
    <n v="1"/>
    <n v="51.84"/>
    <s v="None"/>
    <n v="0"/>
    <n v="0"/>
    <n v="51.84"/>
    <x v="7"/>
    <x v="0"/>
    <s v="Cash"/>
    <s v="Sunny"/>
  </r>
  <r>
    <s v="WSR-2026-2752"/>
    <d v="2026-10-17T00:00:00"/>
    <x v="9"/>
    <x v="9"/>
    <s v="Saturday"/>
    <x v="41"/>
    <d v="2026-10-31T00:00:00"/>
    <s v="Fall"/>
    <x v="0"/>
    <x v="5"/>
    <s v="1 Hour"/>
    <n v="1"/>
    <n v="28.08"/>
    <s v="None"/>
    <n v="0"/>
    <n v="0"/>
    <n v="28.08"/>
    <x v="2"/>
    <x v="0"/>
    <s v="Cash"/>
    <s v="Sunny"/>
  </r>
  <r>
    <s v="WSR-2026-2753"/>
    <d v="2026-10-17T00:00:00"/>
    <x v="9"/>
    <x v="9"/>
    <s v="Saturday"/>
    <x v="41"/>
    <d v="2026-10-31T00:00:00"/>
    <s v="Fall"/>
    <x v="1"/>
    <x v="2"/>
    <s v="1 Hour"/>
    <n v="1"/>
    <n v="36.72"/>
    <s v="Waterproof Speaker"/>
    <n v="12"/>
    <n v="2.44"/>
    <n v="46.28"/>
    <x v="3"/>
    <x v="3"/>
    <s v="Debit Card"/>
    <s v="Rainy"/>
  </r>
  <r>
    <s v="WSR-2026-2754"/>
    <d v="2026-10-17T00:00:00"/>
    <x v="9"/>
    <x v="9"/>
    <s v="Saturday"/>
    <x v="41"/>
    <d v="2026-10-31T00:00:00"/>
    <s v="Fall"/>
    <x v="3"/>
    <x v="5"/>
    <s v="2 Hours"/>
    <n v="1"/>
    <n v="45.36"/>
    <s v="Dry Bag"/>
    <n v="6"/>
    <n v="0"/>
    <n v="51.36"/>
    <x v="9"/>
    <x v="3"/>
    <s v="Credit Card"/>
    <s v="Sunny"/>
  </r>
  <r>
    <s v="WSR-2026-2755"/>
    <d v="2026-10-18T00:00:00"/>
    <x v="9"/>
    <x v="9"/>
    <s v="Sunday"/>
    <x v="42"/>
    <d v="2026-10-31T00:00:00"/>
    <s v="Fall"/>
    <x v="3"/>
    <x v="7"/>
    <s v="Full Day"/>
    <n v="1"/>
    <n v="51.84"/>
    <s v="Cooler Rental"/>
    <n v="10"/>
    <n v="3.09"/>
    <n v="58.75"/>
    <x v="4"/>
    <x v="4"/>
    <s v="Credit Card"/>
    <s v="Rainy"/>
  </r>
  <r>
    <s v="WSR-2026-2756"/>
    <d v="2026-10-18T00:00:00"/>
    <x v="9"/>
    <x v="9"/>
    <s v="Sunday"/>
    <x v="42"/>
    <d v="2026-10-31T00:00:00"/>
    <s v="Fall"/>
    <x v="3"/>
    <x v="4"/>
    <s v="2 Hours"/>
    <n v="1"/>
    <n v="19.440000000000001"/>
    <s v="Waterproof Speaker"/>
    <n v="12"/>
    <n v="0"/>
    <n v="31.44"/>
    <x v="5"/>
    <x v="1"/>
    <s v="Credit Card"/>
    <s v="Rainy"/>
  </r>
  <r>
    <s v="WSR-2026-2757"/>
    <d v="2026-10-18T00:00:00"/>
    <x v="9"/>
    <x v="9"/>
    <s v="Sunday"/>
    <x v="42"/>
    <d v="2026-10-31T00:00:00"/>
    <s v="Fall"/>
    <x v="3"/>
    <x v="3"/>
    <s v="2 Hours"/>
    <n v="1"/>
    <n v="38.880000000000003"/>
    <s v="GoPro Mount"/>
    <n v="8"/>
    <n v="0"/>
    <n v="46.88"/>
    <x v="3"/>
    <x v="1"/>
    <s v="Credit Card"/>
    <s v="Sunny"/>
  </r>
  <r>
    <s v="WSR-2026-2758"/>
    <d v="2026-10-18T00:00:00"/>
    <x v="9"/>
    <x v="9"/>
    <s v="Sunday"/>
    <x v="42"/>
    <d v="2026-10-31T00:00:00"/>
    <s v="Fall"/>
    <x v="4"/>
    <x v="1"/>
    <s v="2 Hours"/>
    <n v="1"/>
    <n v="41.04"/>
    <s v="None"/>
    <n v="0"/>
    <n v="6.16"/>
    <n v="34.880000000000003"/>
    <x v="0"/>
    <x v="4"/>
    <s v="Cash"/>
    <s v="Cloudy"/>
  </r>
  <r>
    <s v="WSR-2026-2759"/>
    <d v="2026-10-18T00:00:00"/>
    <x v="9"/>
    <x v="9"/>
    <s v="Sunday"/>
    <x v="42"/>
    <d v="2026-10-31T00:00:00"/>
    <s v="Fall"/>
    <x v="2"/>
    <x v="9"/>
    <s v="2 Hours"/>
    <n v="1"/>
    <n v="51.84"/>
    <s v="Dry Bag"/>
    <n v="6"/>
    <n v="0"/>
    <n v="57.84"/>
    <x v="6"/>
    <x v="2"/>
    <s v="Credit Card"/>
    <s v="Sunny"/>
  </r>
  <r>
    <s v="WSR-2026-2760"/>
    <d v="2026-10-19T00:00:00"/>
    <x v="9"/>
    <x v="9"/>
    <s v="Monday"/>
    <x v="42"/>
    <d v="2026-10-31T00:00:00"/>
    <s v="Fall"/>
    <x v="2"/>
    <x v="8"/>
    <s v="Full Day"/>
    <n v="1"/>
    <n v="34"/>
    <s v="None"/>
    <n v="0"/>
    <n v="0"/>
    <n v="34"/>
    <x v="2"/>
    <x v="2"/>
    <s v="Debit Card"/>
    <s v="Sunny"/>
  </r>
  <r>
    <s v="WSR-2026-2761"/>
    <d v="2026-10-19T00:00:00"/>
    <x v="9"/>
    <x v="9"/>
    <s v="Monday"/>
    <x v="42"/>
    <d v="2026-10-31T00:00:00"/>
    <s v="Fall"/>
    <x v="0"/>
    <x v="0"/>
    <s v="2 Hours"/>
    <n v="1"/>
    <n v="50"/>
    <s v="GoPro Mount"/>
    <n v="8"/>
    <n v="0"/>
    <n v="58"/>
    <x v="2"/>
    <x v="1"/>
    <s v="Credit Card"/>
    <s v="Windy"/>
  </r>
  <r>
    <s v="WSR-2026-2762"/>
    <d v="2026-10-19T00:00:00"/>
    <x v="9"/>
    <x v="9"/>
    <s v="Monday"/>
    <x v="42"/>
    <d v="2026-10-31T00:00:00"/>
    <s v="Fall"/>
    <x v="0"/>
    <x v="5"/>
    <s v="2 Hours"/>
    <n v="1"/>
    <n v="42"/>
    <s v="Cooler Rental"/>
    <n v="10"/>
    <n v="0"/>
    <n v="52"/>
    <x v="3"/>
    <x v="1"/>
    <s v="Credit Card"/>
    <s v="Sunny"/>
  </r>
  <r>
    <s v="WSR-2026-2763"/>
    <d v="2026-10-19T00:00:00"/>
    <x v="9"/>
    <x v="9"/>
    <s v="Monday"/>
    <x v="42"/>
    <d v="2026-10-31T00:00:00"/>
    <s v="Fall"/>
    <x v="4"/>
    <x v="2"/>
    <s v="1 Hour"/>
    <n v="1"/>
    <n v="34"/>
    <s v="None"/>
    <n v="0"/>
    <n v="5.0999999999999996"/>
    <n v="28.9"/>
    <x v="2"/>
    <x v="2"/>
    <s v="Credit Card"/>
    <s v="Cloudy"/>
  </r>
  <r>
    <s v="WSR-2026-2764"/>
    <d v="2026-10-20T00:00:00"/>
    <x v="9"/>
    <x v="9"/>
    <s v="Tuesday"/>
    <x v="42"/>
    <d v="2026-10-31T00:00:00"/>
    <s v="Fall"/>
    <x v="0"/>
    <x v="3"/>
    <s v="2 Hours"/>
    <n v="1"/>
    <n v="36"/>
    <s v="Premium Life Jacket"/>
    <n v="7"/>
    <n v="0"/>
    <n v="43"/>
    <x v="9"/>
    <x v="2"/>
    <s v="Credit Card"/>
    <s v="Rainy"/>
  </r>
  <r>
    <s v="WSR-2026-2765"/>
    <d v="2026-10-20T00:00:00"/>
    <x v="9"/>
    <x v="9"/>
    <s v="Tuesday"/>
    <x v="42"/>
    <d v="2026-10-31T00:00:00"/>
    <s v="Fall"/>
    <x v="0"/>
    <x v="5"/>
    <s v="Half Day"/>
    <n v="1"/>
    <n v="62"/>
    <s v="Phone Pouch"/>
    <n v="5"/>
    <n v="0"/>
    <n v="67"/>
    <x v="6"/>
    <x v="1"/>
    <s v="Credit Card"/>
    <s v="Cloudy"/>
  </r>
  <r>
    <s v="WSR-2026-2766"/>
    <d v="2026-10-21T00:00:00"/>
    <x v="9"/>
    <x v="9"/>
    <s v="Wednesday"/>
    <x v="42"/>
    <d v="2026-10-31T00:00:00"/>
    <s v="Fall"/>
    <x v="2"/>
    <x v="3"/>
    <s v="1 Hour"/>
    <n v="1"/>
    <n v="22"/>
    <s v="Premium Life Jacket"/>
    <n v="7"/>
    <n v="0"/>
    <n v="29"/>
    <x v="9"/>
    <x v="1"/>
    <s v="Mobile Pay"/>
    <s v="Cloudy"/>
  </r>
  <r>
    <s v="WSR-2026-2767"/>
    <d v="2026-10-21T00:00:00"/>
    <x v="9"/>
    <x v="9"/>
    <s v="Wednesday"/>
    <x v="42"/>
    <d v="2026-10-31T00:00:00"/>
    <s v="Fall"/>
    <x v="3"/>
    <x v="7"/>
    <s v="2 Hours"/>
    <n v="1"/>
    <n v="22"/>
    <s v="None"/>
    <n v="0"/>
    <n v="0"/>
    <n v="22"/>
    <x v="0"/>
    <x v="4"/>
    <s v="Debit Card"/>
    <s v="Sunny"/>
  </r>
  <r>
    <s v="WSR-2026-2768"/>
    <d v="2026-10-21T00:00:00"/>
    <x v="9"/>
    <x v="9"/>
    <s v="Wednesday"/>
    <x v="42"/>
    <d v="2026-10-31T00:00:00"/>
    <s v="Fall"/>
    <x v="3"/>
    <x v="3"/>
    <s v="Half Day"/>
    <n v="1"/>
    <n v="54"/>
    <s v="Waterproof Speaker"/>
    <n v="12"/>
    <n v="0"/>
    <n v="66"/>
    <x v="7"/>
    <x v="0"/>
    <s v="Mobile Pay"/>
    <s v="Sunny"/>
  </r>
  <r>
    <s v="WSR-2026-2769"/>
    <d v="2026-10-21T00:00:00"/>
    <x v="9"/>
    <x v="9"/>
    <s v="Wednesday"/>
    <x v="42"/>
    <d v="2026-10-31T00:00:00"/>
    <s v="Fall"/>
    <x v="0"/>
    <x v="5"/>
    <s v="2 Hours"/>
    <n v="1"/>
    <n v="42"/>
    <s v="None"/>
    <n v="0"/>
    <n v="0"/>
    <n v="42"/>
    <x v="7"/>
    <x v="3"/>
    <s v="Credit Card"/>
    <s v="Sunny"/>
  </r>
  <r>
    <s v="WSR-2026-2770"/>
    <d v="2026-10-21T00:00:00"/>
    <x v="9"/>
    <x v="9"/>
    <s v="Wednesday"/>
    <x v="42"/>
    <d v="2026-10-31T00:00:00"/>
    <s v="Fall"/>
    <x v="4"/>
    <x v="4"/>
    <s v="Full Day"/>
    <n v="1"/>
    <n v="40"/>
    <s v="None"/>
    <n v="0"/>
    <n v="4"/>
    <n v="36"/>
    <x v="7"/>
    <x v="4"/>
    <s v="Mobile Pay"/>
    <s v="Sunny"/>
  </r>
  <r>
    <s v="WSR-2026-2771"/>
    <d v="2026-10-22T00:00:00"/>
    <x v="9"/>
    <x v="9"/>
    <s v="Thursday"/>
    <x v="42"/>
    <d v="2026-10-31T00:00:00"/>
    <s v="Fall"/>
    <x v="3"/>
    <x v="8"/>
    <s v="2 Hours"/>
    <n v="1"/>
    <n v="16"/>
    <s v="Dry Bag"/>
    <n v="6"/>
    <n v="0"/>
    <n v="22"/>
    <x v="0"/>
    <x v="0"/>
    <s v="Debit Card"/>
    <s v="Sunny"/>
  </r>
  <r>
    <s v="WSR-2026-2772"/>
    <d v="2026-10-22T00:00:00"/>
    <x v="9"/>
    <x v="9"/>
    <s v="Thursday"/>
    <x v="42"/>
    <d v="2026-10-31T00:00:00"/>
    <s v="Fall"/>
    <x v="3"/>
    <x v="0"/>
    <s v="1 Hour"/>
    <n v="1"/>
    <n v="32"/>
    <s v="None"/>
    <n v="0"/>
    <n v="0"/>
    <n v="32"/>
    <x v="1"/>
    <x v="3"/>
    <s v="Credit Card"/>
    <s v="Windy"/>
  </r>
  <r>
    <s v="WSR-2026-2773"/>
    <d v="2026-10-22T00:00:00"/>
    <x v="9"/>
    <x v="9"/>
    <s v="Thursday"/>
    <x v="42"/>
    <d v="2026-10-31T00:00:00"/>
    <s v="Fall"/>
    <x v="2"/>
    <x v="4"/>
    <s v="2 Hours"/>
    <n v="1"/>
    <n v="18"/>
    <s v="GoPro Mount"/>
    <n v="8"/>
    <n v="0"/>
    <n v="26"/>
    <x v="1"/>
    <x v="1"/>
    <s v="Credit Card"/>
    <s v="Sunny"/>
  </r>
  <r>
    <s v="WSR-2026-2774"/>
    <d v="2026-10-23T00:00:00"/>
    <x v="9"/>
    <x v="9"/>
    <s v="Friday"/>
    <x v="42"/>
    <d v="2026-10-31T00:00:00"/>
    <s v="Fall"/>
    <x v="3"/>
    <x v="8"/>
    <s v="2 Hours"/>
    <n v="1"/>
    <n v="16"/>
    <s v="None"/>
    <n v="0"/>
    <n v="0"/>
    <n v="16"/>
    <x v="1"/>
    <x v="2"/>
    <s v="Credit Card"/>
    <s v="Sunny"/>
  </r>
  <r>
    <s v="WSR-2026-2775"/>
    <d v="2026-10-23T00:00:00"/>
    <x v="9"/>
    <x v="9"/>
    <s v="Friday"/>
    <x v="42"/>
    <d v="2026-10-31T00:00:00"/>
    <s v="Fall"/>
    <x v="0"/>
    <x v="4"/>
    <s v="Full Day"/>
    <n v="1"/>
    <n v="40"/>
    <s v="Premium Life Jacket"/>
    <n v="7"/>
    <n v="0"/>
    <n v="47"/>
    <x v="7"/>
    <x v="2"/>
    <s v="Credit Card"/>
    <s v="Sunny"/>
  </r>
  <r>
    <s v="WSR-2026-2776"/>
    <d v="2026-10-24T00:00:00"/>
    <x v="9"/>
    <x v="9"/>
    <s v="Saturday"/>
    <x v="42"/>
    <d v="2026-10-31T00:00:00"/>
    <s v="Fall"/>
    <x v="3"/>
    <x v="6"/>
    <s v="2 Hours"/>
    <n v="1"/>
    <n v="62.64"/>
    <s v="Phone Pouch"/>
    <n v="5"/>
    <n v="0"/>
    <n v="67.64"/>
    <x v="6"/>
    <x v="1"/>
    <s v="Credit Card"/>
    <s v="Sunny"/>
  </r>
  <r>
    <s v="WSR-2026-2777"/>
    <d v="2026-10-24T00:00:00"/>
    <x v="9"/>
    <x v="9"/>
    <s v="Saturday"/>
    <x v="42"/>
    <d v="2026-10-31T00:00:00"/>
    <s v="Fall"/>
    <x v="0"/>
    <x v="8"/>
    <s v="Half Day"/>
    <n v="1"/>
    <n v="25.92"/>
    <s v="GoPro Mount"/>
    <n v="8"/>
    <n v="0"/>
    <n v="33.92"/>
    <x v="3"/>
    <x v="1"/>
    <s v="Credit Card"/>
    <s v="Windy"/>
  </r>
  <r>
    <s v="WSR-2026-2778"/>
    <d v="2026-10-24T00:00:00"/>
    <x v="9"/>
    <x v="9"/>
    <s v="Saturday"/>
    <x v="42"/>
    <d v="2026-10-31T00:00:00"/>
    <s v="Fall"/>
    <x v="0"/>
    <x v="5"/>
    <s v="2 Hours"/>
    <n v="1"/>
    <n v="45.36"/>
    <s v="Premium Life Jacket"/>
    <n v="7"/>
    <n v="0"/>
    <n v="52.36"/>
    <x v="1"/>
    <x v="1"/>
    <s v="Credit Card"/>
    <s v="Sunny"/>
  </r>
  <r>
    <s v="WSR-2026-2779"/>
    <d v="2026-10-24T00:00:00"/>
    <x v="9"/>
    <x v="9"/>
    <s v="Saturday"/>
    <x v="42"/>
    <d v="2026-10-31T00:00:00"/>
    <s v="Fall"/>
    <x v="0"/>
    <x v="2"/>
    <s v="1 Hour"/>
    <n v="1"/>
    <n v="36.72"/>
    <s v="Dry Bag"/>
    <n v="6"/>
    <n v="0"/>
    <n v="42.72"/>
    <x v="4"/>
    <x v="0"/>
    <s v="Debit Card"/>
    <s v="Sunny"/>
  </r>
  <r>
    <s v="WSR-2026-2780"/>
    <d v="2026-10-24T00:00:00"/>
    <x v="9"/>
    <x v="9"/>
    <s v="Saturday"/>
    <x v="42"/>
    <d v="2026-10-31T00:00:00"/>
    <s v="Fall"/>
    <x v="0"/>
    <x v="3"/>
    <s v="1 Hour"/>
    <n v="1"/>
    <n v="23.76"/>
    <s v="Premium Life Jacket"/>
    <n v="7"/>
    <n v="0"/>
    <n v="30.76"/>
    <x v="0"/>
    <x v="4"/>
    <s v="Debit Card"/>
    <s v="Sunny"/>
  </r>
  <r>
    <s v="WSR-2026-2781"/>
    <d v="2026-10-24T00:00:00"/>
    <x v="9"/>
    <x v="9"/>
    <s v="Saturday"/>
    <x v="42"/>
    <d v="2026-10-31T00:00:00"/>
    <s v="Fall"/>
    <x v="3"/>
    <x v="8"/>
    <s v="1 Hour"/>
    <n v="1"/>
    <n v="10.8"/>
    <s v="None"/>
    <n v="0"/>
    <n v="0"/>
    <n v="10.8"/>
    <x v="8"/>
    <x v="4"/>
    <s v="Mobile Pay"/>
    <s v="Sunny"/>
  </r>
  <r>
    <s v="WSR-2026-2782"/>
    <d v="2026-10-24T00:00:00"/>
    <x v="9"/>
    <x v="9"/>
    <s v="Saturday"/>
    <x v="42"/>
    <d v="2026-10-31T00:00:00"/>
    <s v="Fall"/>
    <x v="1"/>
    <x v="8"/>
    <s v="Half Day"/>
    <n v="1"/>
    <n v="25.92"/>
    <s v="Premium Life Jacket"/>
    <n v="7"/>
    <n v="3.29"/>
    <n v="29.63"/>
    <x v="9"/>
    <x v="3"/>
    <s v="Credit Card"/>
    <s v="Rainy"/>
  </r>
  <r>
    <s v="WSR-2026-2783"/>
    <d v="2026-10-24T00:00:00"/>
    <x v="9"/>
    <x v="9"/>
    <s v="Saturday"/>
    <x v="42"/>
    <d v="2026-10-31T00:00:00"/>
    <s v="Fall"/>
    <x v="3"/>
    <x v="9"/>
    <s v="2 Hours"/>
    <n v="1"/>
    <n v="51.84"/>
    <s v="None"/>
    <n v="0"/>
    <n v="0"/>
    <n v="51.84"/>
    <x v="7"/>
    <x v="3"/>
    <s v="Cash"/>
    <s v="Sunny"/>
  </r>
  <r>
    <s v="WSR-2026-2784"/>
    <d v="2026-10-24T00:00:00"/>
    <x v="9"/>
    <x v="9"/>
    <s v="Saturday"/>
    <x v="42"/>
    <d v="2026-10-31T00:00:00"/>
    <s v="Fall"/>
    <x v="3"/>
    <x v="2"/>
    <s v="2 Hours"/>
    <n v="1"/>
    <n v="56.16"/>
    <s v="Phone Pouch"/>
    <n v="5"/>
    <n v="0"/>
    <n v="61.16"/>
    <x v="3"/>
    <x v="1"/>
    <s v="Credit Card"/>
    <s v="Sunny"/>
  </r>
  <r>
    <s v="WSR-2026-2785"/>
    <d v="2026-10-24T00:00:00"/>
    <x v="9"/>
    <x v="9"/>
    <s v="Saturday"/>
    <x v="42"/>
    <d v="2026-10-31T00:00:00"/>
    <s v="Fall"/>
    <x v="2"/>
    <x v="4"/>
    <s v="Half Day"/>
    <n v="1"/>
    <n v="30.24"/>
    <s v="None"/>
    <n v="0"/>
    <n v="0"/>
    <n v="30.24"/>
    <x v="3"/>
    <x v="3"/>
    <s v="Debit Card"/>
    <s v="Sunny"/>
  </r>
  <r>
    <s v="WSR-2026-2786"/>
    <d v="2026-10-24T00:00:00"/>
    <x v="9"/>
    <x v="9"/>
    <s v="Saturday"/>
    <x v="42"/>
    <d v="2026-10-31T00:00:00"/>
    <s v="Fall"/>
    <x v="1"/>
    <x v="5"/>
    <s v="1 Hour"/>
    <n v="1"/>
    <n v="28.08"/>
    <s v="None"/>
    <n v="0"/>
    <n v="2.81"/>
    <n v="25.27"/>
    <x v="8"/>
    <x v="3"/>
    <s v="Cash"/>
    <s v="Cloudy"/>
  </r>
  <r>
    <s v="WSR-2026-2787"/>
    <d v="2026-10-24T00:00:00"/>
    <x v="9"/>
    <x v="9"/>
    <s v="Saturday"/>
    <x v="42"/>
    <d v="2026-10-31T00:00:00"/>
    <s v="Fall"/>
    <x v="1"/>
    <x v="8"/>
    <s v="1 Hour"/>
    <n v="1"/>
    <n v="10.8"/>
    <s v="None"/>
    <n v="0"/>
    <n v="1.08"/>
    <n v="9.7200000000000006"/>
    <x v="7"/>
    <x v="4"/>
    <s v="Mobile Pay"/>
    <s v="Sunny"/>
  </r>
  <r>
    <s v="WSR-2026-2788"/>
    <d v="2026-10-24T00:00:00"/>
    <x v="9"/>
    <x v="9"/>
    <s v="Saturday"/>
    <x v="42"/>
    <d v="2026-10-31T00:00:00"/>
    <s v="Fall"/>
    <x v="2"/>
    <x v="0"/>
    <s v="1 Hour"/>
    <n v="1"/>
    <n v="34.56"/>
    <s v="Dry Bag"/>
    <n v="6"/>
    <n v="0"/>
    <n v="40.56"/>
    <x v="3"/>
    <x v="2"/>
    <s v="Mobile Pay"/>
    <s v="Sunny"/>
  </r>
  <r>
    <s v="WSR-2026-2789"/>
    <d v="2026-10-25T00:00:00"/>
    <x v="9"/>
    <x v="9"/>
    <s v="Sunday"/>
    <x v="43"/>
    <d v="2026-10-31T00:00:00"/>
    <s v="Fall"/>
    <x v="3"/>
    <x v="0"/>
    <s v="2 Hours"/>
    <n v="1"/>
    <n v="54"/>
    <s v="None"/>
    <n v="0"/>
    <n v="0"/>
    <n v="54"/>
    <x v="7"/>
    <x v="2"/>
    <s v="Cash"/>
    <s v="Cloudy"/>
  </r>
  <r>
    <s v="WSR-2026-2790"/>
    <d v="2026-10-25T00:00:00"/>
    <x v="9"/>
    <x v="9"/>
    <s v="Sunday"/>
    <x v="43"/>
    <d v="2026-10-31T00:00:00"/>
    <s v="Fall"/>
    <x v="2"/>
    <x v="5"/>
    <s v="Half Day"/>
    <n v="1"/>
    <n v="66.959999999999994"/>
    <s v="Dry Bag"/>
    <n v="6"/>
    <n v="0"/>
    <n v="72.959999999999994"/>
    <x v="0"/>
    <x v="1"/>
    <s v="Credit Card"/>
    <s v="Rainy"/>
  </r>
  <r>
    <s v="WSR-2026-2791"/>
    <d v="2026-10-25T00:00:00"/>
    <x v="9"/>
    <x v="9"/>
    <s v="Sunday"/>
    <x v="43"/>
    <d v="2026-10-31T00:00:00"/>
    <s v="Fall"/>
    <x v="3"/>
    <x v="2"/>
    <s v="2 Hours"/>
    <n v="1"/>
    <n v="56.16"/>
    <s v="Phone Pouch"/>
    <n v="5"/>
    <n v="3.06"/>
    <n v="58.1"/>
    <x v="1"/>
    <x v="4"/>
    <s v="Credit Card"/>
    <s v="Sunny"/>
  </r>
  <r>
    <s v="WSR-2026-2792"/>
    <d v="2026-10-25T00:00:00"/>
    <x v="9"/>
    <x v="9"/>
    <s v="Sunday"/>
    <x v="43"/>
    <d v="2026-10-31T00:00:00"/>
    <s v="Fall"/>
    <x v="0"/>
    <x v="4"/>
    <s v="2 Hours"/>
    <n v="1"/>
    <n v="19.440000000000001"/>
    <s v="Phone Pouch"/>
    <n v="5"/>
    <n v="0"/>
    <n v="24.44"/>
    <x v="6"/>
    <x v="2"/>
    <s v="Cash"/>
    <s v="Sunny"/>
  </r>
  <r>
    <s v="WSR-2026-2793"/>
    <d v="2026-10-25T00:00:00"/>
    <x v="9"/>
    <x v="9"/>
    <s v="Sunday"/>
    <x v="43"/>
    <d v="2026-10-31T00:00:00"/>
    <s v="Fall"/>
    <x v="1"/>
    <x v="0"/>
    <s v="1 Hour"/>
    <n v="1"/>
    <n v="34.56"/>
    <s v="Dry Bag"/>
    <n v="6"/>
    <n v="4.0599999999999996"/>
    <n v="36.5"/>
    <x v="4"/>
    <x v="0"/>
    <s v="Mobile Pay"/>
    <s v="Rainy"/>
  </r>
  <r>
    <s v="WSR-2026-2794"/>
    <d v="2026-10-25T00:00:00"/>
    <x v="9"/>
    <x v="9"/>
    <s v="Sunday"/>
    <x v="43"/>
    <d v="2026-10-31T00:00:00"/>
    <s v="Fall"/>
    <x v="3"/>
    <x v="5"/>
    <s v="1 Hour"/>
    <n v="1"/>
    <n v="28.08"/>
    <s v="Phone Pouch"/>
    <n v="5"/>
    <n v="0"/>
    <n v="33.08"/>
    <x v="8"/>
    <x v="2"/>
    <s v="Credit Card"/>
    <s v="Sunny"/>
  </r>
  <r>
    <s v="WSR-2026-2795"/>
    <d v="2026-10-25T00:00:00"/>
    <x v="9"/>
    <x v="9"/>
    <s v="Sunday"/>
    <x v="43"/>
    <d v="2026-10-31T00:00:00"/>
    <s v="Fall"/>
    <x v="3"/>
    <x v="2"/>
    <s v="2 Hours"/>
    <n v="1"/>
    <n v="56.16"/>
    <s v="Phone Pouch"/>
    <n v="5"/>
    <n v="0"/>
    <n v="61.16"/>
    <x v="1"/>
    <x v="3"/>
    <s v="Mobile Pay"/>
    <s v="Sunny"/>
  </r>
  <r>
    <s v="WSR-2026-2796"/>
    <d v="2026-10-25T00:00:00"/>
    <x v="9"/>
    <x v="9"/>
    <s v="Sunday"/>
    <x v="43"/>
    <d v="2026-10-31T00:00:00"/>
    <s v="Fall"/>
    <x v="1"/>
    <x v="2"/>
    <s v="2 Hours"/>
    <n v="1"/>
    <n v="56.16"/>
    <s v="Dry Bag"/>
    <n v="6"/>
    <n v="6.22"/>
    <n v="55.94"/>
    <x v="0"/>
    <x v="4"/>
    <s v="Mobile Pay"/>
    <s v="Sunny"/>
  </r>
  <r>
    <s v="WSR-2026-2797"/>
    <d v="2026-10-26T00:00:00"/>
    <x v="9"/>
    <x v="9"/>
    <s v="Monday"/>
    <x v="43"/>
    <d v="2026-10-31T00:00:00"/>
    <s v="Fall"/>
    <x v="2"/>
    <x v="5"/>
    <s v="2 Hours"/>
    <n v="1"/>
    <n v="42"/>
    <s v="None"/>
    <n v="0"/>
    <n v="0"/>
    <n v="42"/>
    <x v="3"/>
    <x v="1"/>
    <s v="Credit Card"/>
    <s v="Sunny"/>
  </r>
  <r>
    <s v="WSR-2026-2798"/>
    <d v="2026-10-26T00:00:00"/>
    <x v="9"/>
    <x v="9"/>
    <s v="Monday"/>
    <x v="43"/>
    <d v="2026-10-31T00:00:00"/>
    <s v="Fall"/>
    <x v="1"/>
    <x v="2"/>
    <s v="2 Hours"/>
    <n v="1"/>
    <n v="52"/>
    <s v="None"/>
    <n v="0"/>
    <n v="5.2"/>
    <n v="46.8"/>
    <x v="2"/>
    <x v="2"/>
    <s v="Mobile Pay"/>
    <s v="Sunny"/>
  </r>
  <r>
    <s v="WSR-2026-2799"/>
    <d v="2026-10-26T00:00:00"/>
    <x v="9"/>
    <x v="9"/>
    <s v="Monday"/>
    <x v="43"/>
    <d v="2026-10-31T00:00:00"/>
    <s v="Fall"/>
    <x v="3"/>
    <x v="7"/>
    <s v="Half Day"/>
    <n v="1"/>
    <n v="34"/>
    <s v="None"/>
    <n v="0"/>
    <n v="0"/>
    <n v="34"/>
    <x v="3"/>
    <x v="2"/>
    <s v="Credit Card"/>
    <s v="Sunny"/>
  </r>
  <r>
    <s v="WSR-2026-2800"/>
    <d v="2026-10-26T00:00:00"/>
    <x v="9"/>
    <x v="9"/>
    <s v="Monday"/>
    <x v="43"/>
    <d v="2026-10-31T00:00:00"/>
    <s v="Fall"/>
    <x v="2"/>
    <x v="1"/>
    <s v="1 Hour"/>
    <n v="1"/>
    <n v="24"/>
    <s v="None"/>
    <n v="0"/>
    <n v="0"/>
    <n v="24"/>
    <x v="2"/>
    <x v="2"/>
    <s v="Debit Card"/>
    <s v="Sunny"/>
  </r>
  <r>
    <s v="WSR-2026-2801"/>
    <d v="2026-10-27T00:00:00"/>
    <x v="9"/>
    <x v="9"/>
    <s v="Tuesday"/>
    <x v="43"/>
    <d v="2026-10-31T00:00:00"/>
    <s v="Fall"/>
    <x v="3"/>
    <x v="2"/>
    <s v="2 Hours"/>
    <n v="1"/>
    <n v="52"/>
    <s v="None"/>
    <n v="0"/>
    <n v="0"/>
    <n v="52"/>
    <x v="0"/>
    <x v="2"/>
    <s v="Cash"/>
    <s v="Sunny"/>
  </r>
  <r>
    <s v="WSR-2026-2802"/>
    <d v="2026-10-27T00:00:00"/>
    <x v="9"/>
    <x v="9"/>
    <s v="Tuesday"/>
    <x v="43"/>
    <d v="2026-10-31T00:00:00"/>
    <s v="Fall"/>
    <x v="2"/>
    <x v="5"/>
    <s v="Half Day"/>
    <n v="1"/>
    <n v="62"/>
    <s v="None"/>
    <n v="0"/>
    <n v="0"/>
    <n v="62"/>
    <x v="3"/>
    <x v="4"/>
    <s v="Gift Card"/>
    <s v="Cloudy"/>
  </r>
  <r>
    <s v="WSR-2026-2803"/>
    <d v="2026-10-27T00:00:00"/>
    <x v="9"/>
    <x v="9"/>
    <s v="Tuesday"/>
    <x v="43"/>
    <d v="2026-10-31T00:00:00"/>
    <s v="Fall"/>
    <x v="3"/>
    <x v="2"/>
    <s v="2 Hours"/>
    <n v="1"/>
    <n v="52"/>
    <s v="None"/>
    <n v="0"/>
    <n v="2.6"/>
    <n v="49.4"/>
    <x v="1"/>
    <x v="1"/>
    <s v="Debit Card"/>
    <s v="Sunny"/>
  </r>
  <r>
    <s v="WSR-2026-2804"/>
    <d v="2026-10-27T00:00:00"/>
    <x v="9"/>
    <x v="9"/>
    <s v="Tuesday"/>
    <x v="43"/>
    <d v="2026-10-31T00:00:00"/>
    <s v="Fall"/>
    <x v="3"/>
    <x v="5"/>
    <s v="Half Day"/>
    <n v="1"/>
    <n v="62"/>
    <s v="Phone Pouch"/>
    <n v="5"/>
    <n v="0"/>
    <n v="67"/>
    <x v="1"/>
    <x v="4"/>
    <s v="Cash"/>
    <s v="Sunny"/>
  </r>
  <r>
    <s v="WSR-2026-2805"/>
    <d v="2026-10-27T00:00:00"/>
    <x v="9"/>
    <x v="9"/>
    <s v="Tuesday"/>
    <x v="43"/>
    <d v="2026-10-31T00:00:00"/>
    <s v="Fall"/>
    <x v="2"/>
    <x v="5"/>
    <s v="1 Hour"/>
    <n v="1"/>
    <n v="26"/>
    <s v="Phone Pouch"/>
    <n v="5"/>
    <n v="0"/>
    <n v="31"/>
    <x v="5"/>
    <x v="1"/>
    <s v="Credit Card"/>
    <s v="Sunny"/>
  </r>
  <r>
    <s v="WSR-2026-2806"/>
    <d v="2026-10-27T00:00:00"/>
    <x v="9"/>
    <x v="9"/>
    <s v="Tuesday"/>
    <x v="43"/>
    <d v="2026-10-31T00:00:00"/>
    <s v="Fall"/>
    <x v="2"/>
    <x v="1"/>
    <s v="2 Hours"/>
    <n v="1"/>
    <n v="38"/>
    <s v="Phone Pouch"/>
    <n v="5"/>
    <n v="0"/>
    <n v="43"/>
    <x v="8"/>
    <x v="2"/>
    <s v="Credit Card"/>
    <s v="Sunny"/>
  </r>
  <r>
    <s v="WSR-2026-2807"/>
    <d v="2026-10-28T00:00:00"/>
    <x v="9"/>
    <x v="9"/>
    <s v="Wednesday"/>
    <x v="43"/>
    <d v="2026-10-31T00:00:00"/>
    <s v="Fall"/>
    <x v="2"/>
    <x v="4"/>
    <s v="1 Hour"/>
    <n v="1"/>
    <n v="12"/>
    <s v="Premium Life Jacket"/>
    <n v="7"/>
    <n v="0"/>
    <n v="19"/>
    <x v="3"/>
    <x v="1"/>
    <s v="Credit Card"/>
    <s v="Cloudy"/>
  </r>
  <r>
    <s v="WSR-2026-2808"/>
    <d v="2026-10-28T00:00:00"/>
    <x v="9"/>
    <x v="9"/>
    <s v="Wednesday"/>
    <x v="43"/>
    <d v="2026-10-31T00:00:00"/>
    <s v="Fall"/>
    <x v="3"/>
    <x v="2"/>
    <s v="Half Day"/>
    <n v="1"/>
    <n v="78"/>
    <s v="None"/>
    <n v="0"/>
    <n v="0"/>
    <n v="78"/>
    <x v="0"/>
    <x v="0"/>
    <s v="Credit Card"/>
    <s v="Sunny"/>
  </r>
  <r>
    <s v="WSR-2026-2809"/>
    <d v="2026-10-28T00:00:00"/>
    <x v="9"/>
    <x v="9"/>
    <s v="Wednesday"/>
    <x v="43"/>
    <d v="2026-10-31T00:00:00"/>
    <s v="Fall"/>
    <x v="4"/>
    <x v="9"/>
    <s v="2 Hours"/>
    <n v="1"/>
    <n v="48"/>
    <s v="GoPro Mount"/>
    <n v="8"/>
    <n v="5.6"/>
    <n v="50.4"/>
    <x v="0"/>
    <x v="3"/>
    <s v="Credit Card"/>
    <s v="Cloudy"/>
  </r>
  <r>
    <s v="WSR-2026-2810"/>
    <d v="2026-10-29T00:00:00"/>
    <x v="9"/>
    <x v="9"/>
    <s v="Thursday"/>
    <x v="43"/>
    <d v="2026-10-31T00:00:00"/>
    <s v="Fall"/>
    <x v="3"/>
    <x v="0"/>
    <s v="Half Day"/>
    <n v="1"/>
    <n v="76"/>
    <s v="None"/>
    <n v="0"/>
    <n v="0"/>
    <n v="76"/>
    <x v="9"/>
    <x v="4"/>
    <s v="Mobile Pay"/>
    <s v="Sunny"/>
  </r>
  <r>
    <s v="WSR-2026-2811"/>
    <d v="2026-10-29T00:00:00"/>
    <x v="9"/>
    <x v="9"/>
    <s v="Thursday"/>
    <x v="43"/>
    <d v="2026-10-31T00:00:00"/>
    <s v="Fall"/>
    <x v="3"/>
    <x v="7"/>
    <s v="1 Hour"/>
    <n v="1"/>
    <n v="14"/>
    <s v="None"/>
    <n v="0"/>
    <n v="0"/>
    <n v="14"/>
    <x v="6"/>
    <x v="1"/>
    <s v="Mobile Pay"/>
    <s v="Sunny"/>
  </r>
  <r>
    <s v="WSR-2026-2812"/>
    <d v="2026-10-30T00:00:00"/>
    <x v="9"/>
    <x v="9"/>
    <s v="Friday"/>
    <x v="43"/>
    <d v="2026-10-31T00:00:00"/>
    <s v="Fall"/>
    <x v="2"/>
    <x v="5"/>
    <s v="1 Hour"/>
    <n v="1"/>
    <n v="26"/>
    <s v="None"/>
    <n v="0"/>
    <n v="0"/>
    <n v="26"/>
    <x v="3"/>
    <x v="0"/>
    <s v="Debit Card"/>
    <s v="Sunny"/>
  </r>
  <r>
    <s v="WSR-2026-2813"/>
    <d v="2026-10-30T00:00:00"/>
    <x v="9"/>
    <x v="9"/>
    <s v="Friday"/>
    <x v="43"/>
    <d v="2026-10-31T00:00:00"/>
    <s v="Fall"/>
    <x v="2"/>
    <x v="4"/>
    <s v="1 Hour"/>
    <n v="1"/>
    <n v="12"/>
    <s v="None"/>
    <n v="0"/>
    <n v="0"/>
    <n v="12"/>
    <x v="0"/>
    <x v="2"/>
    <s v="Debit Card"/>
    <s v="Cloudy"/>
  </r>
  <r>
    <s v="WSR-2026-2814"/>
    <d v="2026-10-30T00:00:00"/>
    <x v="9"/>
    <x v="9"/>
    <s v="Friday"/>
    <x v="43"/>
    <d v="2026-10-31T00:00:00"/>
    <s v="Fall"/>
    <x v="3"/>
    <x v="2"/>
    <s v="1 Hour"/>
    <n v="1"/>
    <n v="34"/>
    <s v="GoPro Mount"/>
    <n v="8"/>
    <n v="0"/>
    <n v="42"/>
    <x v="6"/>
    <x v="4"/>
    <s v="Debit Card"/>
    <s v="Rainy"/>
  </r>
  <r>
    <s v="WSR-2026-2815"/>
    <d v="2026-10-30T00:00:00"/>
    <x v="9"/>
    <x v="9"/>
    <s v="Friday"/>
    <x v="43"/>
    <d v="2026-10-31T00:00:00"/>
    <s v="Fall"/>
    <x v="0"/>
    <x v="5"/>
    <s v="Half Day"/>
    <n v="1"/>
    <n v="62"/>
    <s v="None"/>
    <n v="0"/>
    <n v="0"/>
    <n v="62"/>
    <x v="8"/>
    <x v="0"/>
    <s v="Credit Card"/>
    <s v="Sunny"/>
  </r>
  <r>
    <s v="WSR-2026-2816"/>
    <d v="2026-10-30T00:00:00"/>
    <x v="9"/>
    <x v="9"/>
    <s v="Friday"/>
    <x v="43"/>
    <d v="2026-10-31T00:00:00"/>
    <s v="Fall"/>
    <x v="4"/>
    <x v="1"/>
    <s v="2 Hours"/>
    <n v="1"/>
    <n v="38"/>
    <s v="Waterproof Speaker"/>
    <n v="12"/>
    <n v="7.5"/>
    <n v="42.5"/>
    <x v="2"/>
    <x v="3"/>
    <s v="Credit Card"/>
    <s v="Sunny"/>
  </r>
  <r>
    <s v="WSR-2026-2817"/>
    <d v="2026-10-31T00:00:00"/>
    <x v="9"/>
    <x v="9"/>
    <s v="Saturday"/>
    <x v="43"/>
    <d v="2026-10-31T00:00:00"/>
    <s v="Fall"/>
    <x v="3"/>
    <x v="5"/>
    <s v="1 Hour"/>
    <n v="1"/>
    <n v="28.08"/>
    <s v="None"/>
    <n v="0"/>
    <n v="1.4"/>
    <n v="26.68"/>
    <x v="8"/>
    <x v="0"/>
    <s v="Debit Card"/>
    <s v="Sunny"/>
  </r>
  <r>
    <s v="WSR-2026-2818"/>
    <d v="2026-10-31T00:00:00"/>
    <x v="9"/>
    <x v="9"/>
    <s v="Saturday"/>
    <x v="43"/>
    <d v="2026-10-31T00:00:00"/>
    <s v="Fall"/>
    <x v="0"/>
    <x v="8"/>
    <s v="Half Day"/>
    <n v="1"/>
    <n v="25.92"/>
    <s v="Dry Bag"/>
    <n v="6"/>
    <n v="1.6"/>
    <n v="30.32"/>
    <x v="5"/>
    <x v="1"/>
    <s v="Mobile Pay"/>
    <s v="Cloudy"/>
  </r>
  <r>
    <s v="WSR-2026-2819"/>
    <d v="2026-10-31T00:00:00"/>
    <x v="9"/>
    <x v="9"/>
    <s v="Saturday"/>
    <x v="43"/>
    <d v="2026-10-31T00:00:00"/>
    <s v="Fall"/>
    <x v="0"/>
    <x v="9"/>
    <s v="1 Hour"/>
    <n v="1"/>
    <n v="32.4"/>
    <s v="Cooler Rental"/>
    <n v="10"/>
    <n v="0"/>
    <n v="42.4"/>
    <x v="8"/>
    <x v="3"/>
    <s v="Debit Card"/>
    <s v="Sunny"/>
  </r>
  <r>
    <s v="WSR-2026-2820"/>
    <d v="2026-10-31T00:00:00"/>
    <x v="9"/>
    <x v="9"/>
    <s v="Saturday"/>
    <x v="43"/>
    <d v="2026-10-31T00:00:00"/>
    <s v="Fall"/>
    <x v="3"/>
    <x v="2"/>
    <s v="Full Day"/>
    <n v="1"/>
    <n v="120.96"/>
    <s v="Dry Bag"/>
    <n v="6"/>
    <n v="0"/>
    <n v="126.96"/>
    <x v="5"/>
    <x v="0"/>
    <s v="Cash"/>
    <s v="Sunny"/>
  </r>
  <r>
    <s v="WSR-2026-2821"/>
    <d v="2026-10-31T00:00:00"/>
    <x v="9"/>
    <x v="9"/>
    <s v="Saturday"/>
    <x v="43"/>
    <d v="2026-10-31T00:00:00"/>
    <s v="Fall"/>
    <x v="0"/>
    <x v="9"/>
    <s v="1 Hour"/>
    <n v="1"/>
    <n v="32.4"/>
    <s v="None"/>
    <n v="0"/>
    <n v="0"/>
    <n v="32.4"/>
    <x v="2"/>
    <x v="0"/>
    <s v="Cash"/>
    <s v="Sunny"/>
  </r>
  <r>
    <s v="WSR-2026-2822"/>
    <d v="2026-10-31T00:00:00"/>
    <x v="9"/>
    <x v="9"/>
    <s v="Saturday"/>
    <x v="43"/>
    <d v="2026-10-31T00:00:00"/>
    <s v="Fall"/>
    <x v="2"/>
    <x v="7"/>
    <s v="Full Day"/>
    <n v="1"/>
    <n v="51.84"/>
    <s v="Phone Pouch"/>
    <n v="5"/>
    <n v="0"/>
    <n v="56.84"/>
    <x v="7"/>
    <x v="0"/>
    <s v="Debit Card"/>
    <s v="Sunny"/>
  </r>
  <r>
    <s v="WSR-2026-2823"/>
    <d v="2026-10-31T00:00:00"/>
    <x v="9"/>
    <x v="9"/>
    <s v="Saturday"/>
    <x v="43"/>
    <d v="2026-10-31T00:00:00"/>
    <s v="Fall"/>
    <x v="2"/>
    <x v="5"/>
    <s v="Half Day"/>
    <n v="1"/>
    <n v="66.959999999999994"/>
    <s v="None"/>
    <n v="0"/>
    <n v="0"/>
    <n v="66.959999999999994"/>
    <x v="1"/>
    <x v="1"/>
    <s v="Credit Card"/>
    <s v="Sunny"/>
  </r>
  <r>
    <s v="WSR-2026-2824"/>
    <d v="2026-10-31T00:00:00"/>
    <x v="9"/>
    <x v="9"/>
    <s v="Saturday"/>
    <x v="43"/>
    <d v="2026-10-31T00:00:00"/>
    <s v="Fall"/>
    <x v="2"/>
    <x v="5"/>
    <s v="2 Hours"/>
    <n v="1"/>
    <n v="45.36"/>
    <s v="None"/>
    <n v="0"/>
    <n v="0"/>
    <n v="45.36"/>
    <x v="3"/>
    <x v="4"/>
    <s v="Gift Card"/>
    <s v="Sunny"/>
  </r>
  <r>
    <s v="WSR-2026-2825"/>
    <d v="2026-10-31T00:00:00"/>
    <x v="9"/>
    <x v="9"/>
    <s v="Saturday"/>
    <x v="43"/>
    <d v="2026-10-31T00:00:00"/>
    <s v="Fall"/>
    <x v="0"/>
    <x v="2"/>
    <s v="Half Day"/>
    <n v="1"/>
    <n v="84.24"/>
    <s v="None"/>
    <n v="0"/>
    <n v="0"/>
    <n v="84.24"/>
    <x v="1"/>
    <x v="0"/>
    <s v="Mobile Pay"/>
    <s v="Sunny"/>
  </r>
  <r>
    <s v="WSR-2026-2826"/>
    <d v="2026-10-31T00:00:00"/>
    <x v="9"/>
    <x v="9"/>
    <s v="Saturday"/>
    <x v="43"/>
    <d v="2026-10-31T00:00:00"/>
    <s v="Fall"/>
    <x v="0"/>
    <x v="0"/>
    <s v="1 Hour"/>
    <n v="1"/>
    <n v="34.56"/>
    <s v="Cooler Rental"/>
    <n v="10"/>
    <n v="0"/>
    <n v="44.56"/>
    <x v="6"/>
    <x v="2"/>
    <s v="Credit Card"/>
    <s v="Sunny"/>
  </r>
  <r>
    <s v="WSR-2026-2827"/>
    <d v="2026-10-31T00:00:00"/>
    <x v="9"/>
    <x v="9"/>
    <s v="Saturday"/>
    <x v="43"/>
    <d v="2026-10-31T00:00:00"/>
    <s v="Fall"/>
    <x v="0"/>
    <x v="5"/>
    <s v="2 Hours"/>
    <n v="1"/>
    <n v="45.36"/>
    <s v="None"/>
    <n v="0"/>
    <n v="0"/>
    <n v="45.36"/>
    <x v="4"/>
    <x v="4"/>
    <s v="Credit Card"/>
    <s v="Cloudy"/>
  </r>
  <r>
    <s v="WSR-2026-2828"/>
    <d v="2026-10-31T00:00:00"/>
    <x v="9"/>
    <x v="9"/>
    <s v="Saturday"/>
    <x v="43"/>
    <d v="2026-10-31T00:00:00"/>
    <s v="Fall"/>
    <x v="2"/>
    <x v="1"/>
    <s v="2 Hours"/>
    <n v="1"/>
    <n v="41.04"/>
    <s v="Dry Bag"/>
    <n v="6"/>
    <n v="0"/>
    <n v="47.04"/>
    <x v="3"/>
    <x v="4"/>
    <s v="Credit Card"/>
    <s v="Windy"/>
  </r>
  <r>
    <s v="WSR-2026-2829"/>
    <d v="2026-10-31T00:00:00"/>
    <x v="9"/>
    <x v="9"/>
    <s v="Saturday"/>
    <x v="43"/>
    <d v="2026-10-31T00:00:00"/>
    <s v="Fall"/>
    <x v="0"/>
    <x v="4"/>
    <s v="Half Day"/>
    <n v="1"/>
    <n v="30.24"/>
    <s v="Dry Bag"/>
    <n v="6"/>
    <n v="0"/>
    <n v="36.24"/>
    <x v="2"/>
    <x v="3"/>
    <s v="Credit Card"/>
    <s v="Sunny"/>
  </r>
  <r>
    <s v="WSR-2026-2830"/>
    <d v="2026-10-31T00:00:00"/>
    <x v="9"/>
    <x v="9"/>
    <s v="Saturday"/>
    <x v="43"/>
    <d v="2026-10-31T00:00:00"/>
    <s v="Fall"/>
    <x v="2"/>
    <x v="0"/>
    <s v="1 Hour"/>
    <n v="1"/>
    <n v="34.56"/>
    <s v="None"/>
    <n v="0"/>
    <n v="0"/>
    <n v="34.56"/>
    <x v="0"/>
    <x v="2"/>
    <s v="Debit Card"/>
    <s v="Sunny"/>
  </r>
  <r>
    <s v="WSR-2026-2831"/>
    <d v="2026-10-31T00:00:00"/>
    <x v="9"/>
    <x v="9"/>
    <s v="Saturday"/>
    <x v="43"/>
    <d v="2026-10-31T00:00:00"/>
    <s v="Fall"/>
    <x v="3"/>
    <x v="3"/>
    <s v="2 Hours"/>
    <n v="1"/>
    <n v="38.880000000000003"/>
    <s v="Cooler Rental"/>
    <n v="10"/>
    <n v="0"/>
    <n v="48.88"/>
    <x v="7"/>
    <x v="3"/>
    <s v="Mobile Pay"/>
    <s v="Sunny"/>
  </r>
  <r>
    <s v="WSR-2026-2832"/>
    <d v="2026-10-31T00:00:00"/>
    <x v="9"/>
    <x v="9"/>
    <s v="Saturday"/>
    <x v="43"/>
    <d v="2026-10-31T00:00:00"/>
    <s v="Fall"/>
    <x v="0"/>
    <x v="3"/>
    <s v="1 Hour"/>
    <n v="1"/>
    <n v="23.76"/>
    <s v="None"/>
    <n v="0"/>
    <n v="0"/>
    <n v="23.76"/>
    <x v="1"/>
    <x v="4"/>
    <s v="Debit Card"/>
    <s v="Sunny"/>
  </r>
  <r>
    <s v="WSR-2026-2833"/>
    <d v="2026-10-31T00:00:00"/>
    <x v="9"/>
    <x v="9"/>
    <s v="Saturday"/>
    <x v="43"/>
    <d v="2026-10-31T00:00:00"/>
    <s v="Fall"/>
    <x v="0"/>
    <x v="0"/>
    <s v="2 Hours"/>
    <n v="1"/>
    <n v="54"/>
    <s v="None"/>
    <n v="0"/>
    <n v="0"/>
    <n v="54"/>
    <x v="3"/>
    <x v="3"/>
    <s v="Gift Card"/>
    <s v="Windy"/>
  </r>
  <r>
    <s v="WSR-2026-2834"/>
    <d v="2026-11-01T00:00:00"/>
    <x v="10"/>
    <x v="10"/>
    <s v="Sunday"/>
    <x v="44"/>
    <d v="2026-11-30T00:00:00"/>
    <s v="Fall"/>
    <x v="3"/>
    <x v="8"/>
    <s v="2 Hours"/>
    <n v="1"/>
    <n v="17.28"/>
    <s v="None"/>
    <n v="0"/>
    <n v="0"/>
    <n v="17.28"/>
    <x v="6"/>
    <x v="0"/>
    <s v="Mobile Pay"/>
    <s v="Sunny"/>
  </r>
  <r>
    <s v="WSR-2026-2835"/>
    <d v="2026-11-01T00:00:00"/>
    <x v="10"/>
    <x v="10"/>
    <s v="Sunday"/>
    <x v="44"/>
    <d v="2026-11-30T00:00:00"/>
    <s v="Fall"/>
    <x v="2"/>
    <x v="1"/>
    <s v="Full Day"/>
    <n v="1"/>
    <n v="90.72"/>
    <s v="Dry Bag"/>
    <n v="6"/>
    <n v="0"/>
    <n v="96.72"/>
    <x v="7"/>
    <x v="2"/>
    <s v="Credit Card"/>
    <s v="Cloudy"/>
  </r>
  <r>
    <s v="WSR-2026-2836"/>
    <d v="2026-11-01T00:00:00"/>
    <x v="10"/>
    <x v="10"/>
    <s v="Sunday"/>
    <x v="44"/>
    <d v="2026-11-30T00:00:00"/>
    <s v="Fall"/>
    <x v="3"/>
    <x v="5"/>
    <s v="2 Hours"/>
    <n v="1"/>
    <n v="45.36"/>
    <s v="None"/>
    <n v="0"/>
    <n v="0"/>
    <n v="45.36"/>
    <x v="1"/>
    <x v="4"/>
    <s v="Credit Card"/>
    <s v="Cloudy"/>
  </r>
  <r>
    <s v="WSR-2026-2837"/>
    <d v="2026-11-02T00:00:00"/>
    <x v="10"/>
    <x v="10"/>
    <s v="Monday"/>
    <x v="44"/>
    <d v="2026-11-30T00:00:00"/>
    <s v="Fall"/>
    <x v="2"/>
    <x v="2"/>
    <s v="2 Hours"/>
    <n v="1"/>
    <n v="52"/>
    <s v="Dry Bag"/>
    <n v="6"/>
    <n v="0"/>
    <n v="58"/>
    <x v="2"/>
    <x v="3"/>
    <s v="Cash"/>
    <s v="Sunny"/>
  </r>
  <r>
    <s v="WSR-2026-2838"/>
    <d v="2026-11-02T00:00:00"/>
    <x v="10"/>
    <x v="10"/>
    <s v="Monday"/>
    <x v="44"/>
    <d v="2026-11-30T00:00:00"/>
    <s v="Fall"/>
    <x v="4"/>
    <x v="7"/>
    <s v="Half Day"/>
    <n v="1"/>
    <n v="34"/>
    <s v="None"/>
    <n v="0"/>
    <n v="5.0999999999999996"/>
    <n v="28.9"/>
    <x v="2"/>
    <x v="2"/>
    <s v="Mobile Pay"/>
    <s v="Sunny"/>
  </r>
  <r>
    <s v="WSR-2026-2839"/>
    <d v="2026-11-02T00:00:00"/>
    <x v="10"/>
    <x v="10"/>
    <s v="Monday"/>
    <x v="44"/>
    <d v="2026-11-30T00:00:00"/>
    <s v="Fall"/>
    <x v="2"/>
    <x v="5"/>
    <s v="Full Day"/>
    <n v="1"/>
    <n v="88"/>
    <s v="None"/>
    <n v="0"/>
    <n v="0"/>
    <n v="88"/>
    <x v="6"/>
    <x v="2"/>
    <s v="Gift Card"/>
    <s v="Cloudy"/>
  </r>
  <r>
    <s v="WSR-2026-2840"/>
    <d v="2026-11-03T00:00:00"/>
    <x v="10"/>
    <x v="10"/>
    <s v="Tuesday"/>
    <x v="44"/>
    <d v="2026-11-30T00:00:00"/>
    <s v="Fall"/>
    <x v="3"/>
    <x v="5"/>
    <s v="Full Day"/>
    <n v="1"/>
    <n v="88"/>
    <s v="Premium Life Jacket"/>
    <n v="7"/>
    <n v="0"/>
    <n v="95"/>
    <x v="5"/>
    <x v="4"/>
    <s v="Debit Card"/>
    <s v="Sunny"/>
  </r>
  <r>
    <s v="WSR-2026-2841"/>
    <d v="2026-11-05T00:00:00"/>
    <x v="10"/>
    <x v="10"/>
    <s v="Thursday"/>
    <x v="44"/>
    <d v="2026-11-30T00:00:00"/>
    <s v="Fall"/>
    <x v="1"/>
    <x v="0"/>
    <s v="Half Day"/>
    <n v="1"/>
    <n v="76"/>
    <s v="None"/>
    <n v="0"/>
    <n v="0"/>
    <n v="76"/>
    <x v="8"/>
    <x v="1"/>
    <s v="Debit Card"/>
    <s v="Sunny"/>
  </r>
  <r>
    <s v="WSR-2026-2842"/>
    <d v="2026-11-05T00:00:00"/>
    <x v="10"/>
    <x v="10"/>
    <s v="Thursday"/>
    <x v="44"/>
    <d v="2026-11-30T00:00:00"/>
    <s v="Fall"/>
    <x v="3"/>
    <x v="5"/>
    <s v="1 Hour"/>
    <n v="1"/>
    <n v="26"/>
    <s v="Phone Pouch"/>
    <n v="5"/>
    <n v="0"/>
    <n v="31"/>
    <x v="3"/>
    <x v="2"/>
    <s v="Mobile Pay"/>
    <s v="Sunny"/>
  </r>
  <r>
    <s v="WSR-2026-2843"/>
    <d v="2026-11-05T00:00:00"/>
    <x v="10"/>
    <x v="10"/>
    <s v="Thursday"/>
    <x v="44"/>
    <d v="2026-11-30T00:00:00"/>
    <s v="Fall"/>
    <x v="4"/>
    <x v="3"/>
    <s v="2 Hours"/>
    <n v="1"/>
    <n v="36"/>
    <s v="None"/>
    <n v="0"/>
    <n v="3.6"/>
    <n v="32.4"/>
    <x v="8"/>
    <x v="2"/>
    <s v="Credit Card"/>
    <s v="Rainy"/>
  </r>
  <r>
    <s v="WSR-2026-2844"/>
    <d v="2026-11-06T00:00:00"/>
    <x v="10"/>
    <x v="10"/>
    <s v="Friday"/>
    <x v="44"/>
    <d v="2026-11-30T00:00:00"/>
    <s v="Fall"/>
    <x v="0"/>
    <x v="1"/>
    <s v="Half Day"/>
    <n v="1"/>
    <n v="58"/>
    <s v="None"/>
    <n v="0"/>
    <n v="0"/>
    <n v="58"/>
    <x v="3"/>
    <x v="0"/>
    <s v="Cash"/>
    <s v="Sunny"/>
  </r>
  <r>
    <s v="WSR-2026-2845"/>
    <d v="2026-11-06T00:00:00"/>
    <x v="10"/>
    <x v="10"/>
    <s v="Friday"/>
    <x v="44"/>
    <d v="2026-11-30T00:00:00"/>
    <s v="Fall"/>
    <x v="0"/>
    <x v="5"/>
    <s v="1 Hour"/>
    <n v="1"/>
    <n v="26"/>
    <s v="None"/>
    <n v="0"/>
    <n v="0"/>
    <n v="26"/>
    <x v="3"/>
    <x v="4"/>
    <s v="Debit Card"/>
    <s v="Sunny"/>
  </r>
  <r>
    <s v="WSR-2026-2846"/>
    <d v="2026-11-06T00:00:00"/>
    <x v="10"/>
    <x v="10"/>
    <s v="Friday"/>
    <x v="44"/>
    <d v="2026-11-30T00:00:00"/>
    <s v="Fall"/>
    <x v="3"/>
    <x v="9"/>
    <s v="1 Hour"/>
    <n v="1"/>
    <n v="30"/>
    <s v="None"/>
    <n v="0"/>
    <n v="0"/>
    <n v="30"/>
    <x v="9"/>
    <x v="4"/>
    <s v="Gift Card"/>
    <s v="Sunny"/>
  </r>
  <r>
    <s v="WSR-2026-2847"/>
    <d v="2026-11-06T00:00:00"/>
    <x v="10"/>
    <x v="10"/>
    <s v="Friday"/>
    <x v="44"/>
    <d v="2026-11-30T00:00:00"/>
    <s v="Fall"/>
    <x v="2"/>
    <x v="8"/>
    <s v="1 Hour"/>
    <n v="1"/>
    <n v="10"/>
    <s v="None"/>
    <n v="0"/>
    <n v="0"/>
    <n v="10"/>
    <x v="9"/>
    <x v="0"/>
    <s v="Credit Card"/>
    <s v="Windy"/>
  </r>
  <r>
    <s v="WSR-2026-2848"/>
    <d v="2026-11-07T00:00:00"/>
    <x v="10"/>
    <x v="10"/>
    <s v="Saturday"/>
    <x v="44"/>
    <d v="2026-11-30T00:00:00"/>
    <s v="Fall"/>
    <x v="2"/>
    <x v="5"/>
    <s v="1 Hour"/>
    <n v="1"/>
    <n v="28.08"/>
    <s v="None"/>
    <n v="0"/>
    <n v="0"/>
    <n v="28.08"/>
    <x v="5"/>
    <x v="3"/>
    <s v="Credit Card"/>
    <s v="Cloudy"/>
  </r>
  <r>
    <s v="WSR-2026-2849"/>
    <d v="2026-11-07T00:00:00"/>
    <x v="10"/>
    <x v="10"/>
    <s v="Saturday"/>
    <x v="44"/>
    <d v="2026-11-30T00:00:00"/>
    <s v="Fall"/>
    <x v="2"/>
    <x v="1"/>
    <s v="2 Hours"/>
    <n v="1"/>
    <n v="41.04"/>
    <s v="Phone Pouch"/>
    <n v="5"/>
    <n v="0"/>
    <n v="46.04"/>
    <x v="0"/>
    <x v="0"/>
    <s v="Credit Card"/>
    <s v="Cloudy"/>
  </r>
  <r>
    <s v="WSR-2026-2850"/>
    <d v="2026-11-07T00:00:00"/>
    <x v="10"/>
    <x v="10"/>
    <s v="Saturday"/>
    <x v="44"/>
    <d v="2026-11-30T00:00:00"/>
    <s v="Fall"/>
    <x v="1"/>
    <x v="1"/>
    <s v="1 Hour"/>
    <n v="1"/>
    <n v="25.92"/>
    <s v="Waterproof Speaker"/>
    <n v="12"/>
    <n v="3.79"/>
    <n v="34.130000000000003"/>
    <x v="8"/>
    <x v="1"/>
    <s v="Credit Card"/>
    <s v="Sunny"/>
  </r>
  <r>
    <s v="WSR-2026-2851"/>
    <d v="2026-11-07T00:00:00"/>
    <x v="10"/>
    <x v="10"/>
    <s v="Saturday"/>
    <x v="44"/>
    <d v="2026-11-30T00:00:00"/>
    <s v="Fall"/>
    <x v="3"/>
    <x v="5"/>
    <s v="Half Day"/>
    <n v="1"/>
    <n v="66.959999999999994"/>
    <s v="None"/>
    <n v="0"/>
    <n v="0"/>
    <n v="66.959999999999994"/>
    <x v="9"/>
    <x v="0"/>
    <s v="Debit Card"/>
    <s v="Sunny"/>
  </r>
  <r>
    <s v="WSR-2026-2852"/>
    <d v="2026-11-08T00:00:00"/>
    <x v="10"/>
    <x v="10"/>
    <s v="Sunday"/>
    <x v="45"/>
    <d v="2026-11-30T00:00:00"/>
    <s v="Fall"/>
    <x v="3"/>
    <x v="8"/>
    <s v="1 Hour"/>
    <n v="1"/>
    <n v="10.8"/>
    <s v="None"/>
    <n v="0"/>
    <n v="0"/>
    <n v="10.8"/>
    <x v="7"/>
    <x v="3"/>
    <s v="Cash"/>
    <s v="Sunny"/>
  </r>
  <r>
    <s v="WSR-2026-2853"/>
    <d v="2026-11-09T00:00:00"/>
    <x v="10"/>
    <x v="10"/>
    <s v="Monday"/>
    <x v="45"/>
    <d v="2026-11-30T00:00:00"/>
    <s v="Fall"/>
    <x v="3"/>
    <x v="9"/>
    <s v="1 Hour"/>
    <n v="1"/>
    <n v="30"/>
    <s v="None"/>
    <n v="0"/>
    <n v="0"/>
    <n v="30"/>
    <x v="1"/>
    <x v="3"/>
    <s v="Credit Card"/>
    <s v="Cloudy"/>
  </r>
  <r>
    <s v="WSR-2026-2854"/>
    <d v="2026-11-09T00:00:00"/>
    <x v="10"/>
    <x v="10"/>
    <s v="Monday"/>
    <x v="45"/>
    <d v="2026-11-30T00:00:00"/>
    <s v="Fall"/>
    <x v="3"/>
    <x v="5"/>
    <s v="1 Hour"/>
    <n v="1"/>
    <n v="26"/>
    <s v="GoPro Mount"/>
    <n v="8"/>
    <n v="0"/>
    <n v="34"/>
    <x v="1"/>
    <x v="2"/>
    <s v="Mobile Pay"/>
    <s v="Sunny"/>
  </r>
  <r>
    <s v="WSR-2026-2855"/>
    <d v="2026-11-09T00:00:00"/>
    <x v="10"/>
    <x v="10"/>
    <s v="Monday"/>
    <x v="45"/>
    <d v="2026-11-30T00:00:00"/>
    <s v="Fall"/>
    <x v="4"/>
    <x v="8"/>
    <s v="1 Hour"/>
    <n v="1"/>
    <n v="10"/>
    <s v="None"/>
    <n v="0"/>
    <n v="1"/>
    <n v="9"/>
    <x v="1"/>
    <x v="0"/>
    <s v="Mobile Pay"/>
    <s v="Cloudy"/>
  </r>
  <r>
    <s v="WSR-2026-2856"/>
    <d v="2026-11-10T00:00:00"/>
    <x v="10"/>
    <x v="10"/>
    <s v="Tuesday"/>
    <x v="45"/>
    <d v="2026-11-30T00:00:00"/>
    <s v="Fall"/>
    <x v="2"/>
    <x v="5"/>
    <s v="2 Hours"/>
    <n v="1"/>
    <n v="42"/>
    <s v="None"/>
    <n v="0"/>
    <n v="0"/>
    <n v="42"/>
    <x v="2"/>
    <x v="1"/>
    <s v="Mobile Pay"/>
    <s v="Cloudy"/>
  </r>
  <r>
    <s v="WSR-2026-2857"/>
    <d v="2026-11-10T00:00:00"/>
    <x v="10"/>
    <x v="10"/>
    <s v="Tuesday"/>
    <x v="45"/>
    <d v="2026-11-30T00:00:00"/>
    <s v="Fall"/>
    <x v="2"/>
    <x v="1"/>
    <s v="1 Hour"/>
    <n v="1"/>
    <n v="24"/>
    <s v="None"/>
    <n v="0"/>
    <n v="0"/>
    <n v="24"/>
    <x v="5"/>
    <x v="4"/>
    <s v="Debit Card"/>
    <s v="Windy"/>
  </r>
  <r>
    <s v="WSR-2026-2858"/>
    <d v="2026-11-10T00:00:00"/>
    <x v="10"/>
    <x v="10"/>
    <s v="Tuesday"/>
    <x v="45"/>
    <d v="2026-11-30T00:00:00"/>
    <s v="Fall"/>
    <x v="0"/>
    <x v="0"/>
    <s v="2 Hours"/>
    <n v="1"/>
    <n v="50"/>
    <s v="Dry Bag"/>
    <n v="6"/>
    <n v="0"/>
    <n v="56"/>
    <x v="3"/>
    <x v="2"/>
    <s v="Debit Card"/>
    <s v="Cloudy"/>
  </r>
  <r>
    <s v="WSR-2026-2859"/>
    <d v="2026-11-11T00:00:00"/>
    <x v="10"/>
    <x v="10"/>
    <s v="Wednesday"/>
    <x v="45"/>
    <d v="2026-11-30T00:00:00"/>
    <s v="Fall"/>
    <x v="3"/>
    <x v="6"/>
    <s v="Half Day"/>
    <n v="1"/>
    <n v="86"/>
    <s v="Waterproof Speaker"/>
    <n v="12"/>
    <n v="0"/>
    <n v="98"/>
    <x v="1"/>
    <x v="1"/>
    <s v="Credit Card"/>
    <s v="Sunny"/>
  </r>
  <r>
    <s v="WSR-2026-2860"/>
    <d v="2026-11-13T00:00:00"/>
    <x v="10"/>
    <x v="10"/>
    <s v="Friday"/>
    <x v="45"/>
    <d v="2026-11-30T00:00:00"/>
    <s v="Fall"/>
    <x v="3"/>
    <x v="1"/>
    <s v="1 Hour"/>
    <n v="1"/>
    <n v="24"/>
    <s v="None"/>
    <n v="0"/>
    <n v="0"/>
    <n v="24"/>
    <x v="6"/>
    <x v="2"/>
    <s v="Mobile Pay"/>
    <s v="Sunny"/>
  </r>
  <r>
    <s v="WSR-2026-2861"/>
    <d v="2026-11-13T00:00:00"/>
    <x v="10"/>
    <x v="10"/>
    <s v="Friday"/>
    <x v="45"/>
    <d v="2026-11-30T00:00:00"/>
    <s v="Fall"/>
    <x v="3"/>
    <x v="7"/>
    <s v="2 Hours"/>
    <n v="1"/>
    <n v="22"/>
    <s v="None"/>
    <n v="0"/>
    <n v="1.1000000000000001"/>
    <n v="20.9"/>
    <x v="3"/>
    <x v="3"/>
    <s v="Credit Card"/>
    <s v="Cloudy"/>
  </r>
  <r>
    <s v="WSR-2026-2862"/>
    <d v="2026-11-13T00:00:00"/>
    <x v="10"/>
    <x v="10"/>
    <s v="Friday"/>
    <x v="45"/>
    <d v="2026-11-30T00:00:00"/>
    <s v="Fall"/>
    <x v="3"/>
    <x v="3"/>
    <s v="2 Hours"/>
    <n v="1"/>
    <n v="36"/>
    <s v="Dry Bag"/>
    <n v="6"/>
    <n v="0"/>
    <n v="42"/>
    <x v="9"/>
    <x v="2"/>
    <s v="Credit Card"/>
    <s v="Cloudy"/>
  </r>
  <r>
    <s v="WSR-2026-2863"/>
    <d v="2026-11-13T00:00:00"/>
    <x v="10"/>
    <x v="10"/>
    <s v="Friday"/>
    <x v="45"/>
    <d v="2026-11-30T00:00:00"/>
    <s v="Fall"/>
    <x v="3"/>
    <x v="6"/>
    <s v="Half Day"/>
    <n v="1"/>
    <n v="86"/>
    <s v="None"/>
    <n v="0"/>
    <n v="0"/>
    <n v="86"/>
    <x v="9"/>
    <x v="3"/>
    <s v="Debit Card"/>
    <s v="Windy"/>
  </r>
  <r>
    <s v="WSR-2026-2864"/>
    <d v="2026-11-14T00:00:00"/>
    <x v="10"/>
    <x v="10"/>
    <s v="Saturday"/>
    <x v="45"/>
    <d v="2026-11-30T00:00:00"/>
    <s v="Fall"/>
    <x v="2"/>
    <x v="2"/>
    <s v="Half Day"/>
    <n v="1"/>
    <n v="84.24"/>
    <s v="Dry Bag"/>
    <n v="6"/>
    <n v="0"/>
    <n v="90.24"/>
    <x v="0"/>
    <x v="4"/>
    <s v="Credit Card"/>
    <s v="Windy"/>
  </r>
  <r>
    <s v="WSR-2026-2865"/>
    <d v="2026-11-14T00:00:00"/>
    <x v="10"/>
    <x v="10"/>
    <s v="Saturday"/>
    <x v="45"/>
    <d v="2026-11-30T00:00:00"/>
    <s v="Fall"/>
    <x v="3"/>
    <x v="5"/>
    <s v="Half Day"/>
    <n v="1"/>
    <n v="66.959999999999994"/>
    <s v="None"/>
    <n v="0"/>
    <n v="0"/>
    <n v="66.959999999999994"/>
    <x v="3"/>
    <x v="2"/>
    <s v="Debit Card"/>
    <s v="Sunny"/>
  </r>
  <r>
    <s v="WSR-2026-2866"/>
    <d v="2026-11-14T00:00:00"/>
    <x v="10"/>
    <x v="10"/>
    <s v="Saturday"/>
    <x v="45"/>
    <d v="2026-11-30T00:00:00"/>
    <s v="Fall"/>
    <x v="2"/>
    <x v="9"/>
    <s v="2 Hours"/>
    <n v="1"/>
    <n v="51.84"/>
    <s v="None"/>
    <n v="0"/>
    <n v="0"/>
    <n v="51.84"/>
    <x v="8"/>
    <x v="4"/>
    <s v="Debit Card"/>
    <s v="Windy"/>
  </r>
  <r>
    <s v="WSR-2026-2867"/>
    <d v="2026-11-14T00:00:00"/>
    <x v="10"/>
    <x v="10"/>
    <s v="Saturday"/>
    <x v="45"/>
    <d v="2026-11-30T00:00:00"/>
    <s v="Fall"/>
    <x v="1"/>
    <x v="2"/>
    <s v="2 Hours"/>
    <n v="1"/>
    <n v="56.16"/>
    <s v="Phone Pouch"/>
    <n v="5"/>
    <n v="3.06"/>
    <n v="58.1"/>
    <x v="9"/>
    <x v="4"/>
    <s v="Debit Card"/>
    <s v="Cloudy"/>
  </r>
  <r>
    <s v="WSR-2026-2868"/>
    <d v="2026-11-14T00:00:00"/>
    <x v="10"/>
    <x v="10"/>
    <s v="Saturday"/>
    <x v="45"/>
    <d v="2026-11-30T00:00:00"/>
    <s v="Fall"/>
    <x v="3"/>
    <x v="1"/>
    <s v="2 Hours"/>
    <n v="1"/>
    <n v="41.04"/>
    <s v="Dry Bag"/>
    <n v="6"/>
    <n v="0"/>
    <n v="47.04"/>
    <x v="2"/>
    <x v="2"/>
    <s v="Debit Card"/>
    <s v="Sunny"/>
  </r>
  <r>
    <s v="WSR-2026-2869"/>
    <d v="2026-11-15T00:00:00"/>
    <x v="10"/>
    <x v="10"/>
    <s v="Sunday"/>
    <x v="46"/>
    <d v="2026-11-30T00:00:00"/>
    <s v="Fall"/>
    <x v="3"/>
    <x v="3"/>
    <s v="Half Day"/>
    <n v="1"/>
    <n v="58.32"/>
    <s v="GoPro Mount"/>
    <n v="8"/>
    <n v="0"/>
    <n v="66.319999999999993"/>
    <x v="9"/>
    <x v="1"/>
    <s v="Debit Card"/>
    <s v="Cloudy"/>
  </r>
  <r>
    <s v="WSR-2026-2870"/>
    <d v="2026-11-15T00:00:00"/>
    <x v="10"/>
    <x v="10"/>
    <s v="Sunday"/>
    <x v="46"/>
    <d v="2026-11-30T00:00:00"/>
    <s v="Fall"/>
    <x v="3"/>
    <x v="2"/>
    <s v="2 Hours"/>
    <n v="1"/>
    <n v="56.16"/>
    <s v="None"/>
    <n v="0"/>
    <n v="0"/>
    <n v="56.16"/>
    <x v="8"/>
    <x v="4"/>
    <s v="Credit Card"/>
    <s v="Sunny"/>
  </r>
  <r>
    <s v="WSR-2026-2871"/>
    <d v="2026-11-15T00:00:00"/>
    <x v="10"/>
    <x v="10"/>
    <s v="Sunday"/>
    <x v="46"/>
    <d v="2026-11-30T00:00:00"/>
    <s v="Fall"/>
    <x v="3"/>
    <x v="4"/>
    <s v="2 Hours"/>
    <n v="1"/>
    <n v="19.440000000000001"/>
    <s v="None"/>
    <n v="0"/>
    <n v="0"/>
    <n v="19.440000000000001"/>
    <x v="6"/>
    <x v="4"/>
    <s v="Credit Card"/>
    <s v="Rainy"/>
  </r>
  <r>
    <s v="WSR-2026-2872"/>
    <d v="2026-11-15T00:00:00"/>
    <x v="10"/>
    <x v="10"/>
    <s v="Sunday"/>
    <x v="46"/>
    <d v="2026-11-30T00:00:00"/>
    <s v="Fall"/>
    <x v="2"/>
    <x v="8"/>
    <s v="2 Hours"/>
    <n v="1"/>
    <n v="17.28"/>
    <s v="None"/>
    <n v="0"/>
    <n v="0"/>
    <n v="17.28"/>
    <x v="2"/>
    <x v="1"/>
    <s v="Mobile Pay"/>
    <s v="Cloudy"/>
  </r>
  <r>
    <s v="WSR-2026-2873"/>
    <d v="2026-11-16T00:00:00"/>
    <x v="10"/>
    <x v="10"/>
    <s v="Monday"/>
    <x v="46"/>
    <d v="2026-11-30T00:00:00"/>
    <s v="Fall"/>
    <x v="0"/>
    <x v="8"/>
    <s v="1 Hour"/>
    <n v="1"/>
    <n v="10"/>
    <s v="None"/>
    <n v="0"/>
    <n v="0"/>
    <n v="10"/>
    <x v="8"/>
    <x v="1"/>
    <s v="Mobile Pay"/>
    <s v="Cloudy"/>
  </r>
  <r>
    <s v="WSR-2026-2874"/>
    <d v="2026-11-16T00:00:00"/>
    <x v="10"/>
    <x v="10"/>
    <s v="Monday"/>
    <x v="46"/>
    <d v="2026-11-30T00:00:00"/>
    <s v="Fall"/>
    <x v="4"/>
    <x v="1"/>
    <s v="2 Hours"/>
    <n v="1"/>
    <n v="38"/>
    <s v="Dry Bag"/>
    <n v="6"/>
    <n v="6.6"/>
    <n v="37.4"/>
    <x v="1"/>
    <x v="3"/>
    <s v="Credit Card"/>
    <s v="Windy"/>
  </r>
  <r>
    <s v="WSR-2026-2875"/>
    <d v="2026-11-16T00:00:00"/>
    <x v="10"/>
    <x v="10"/>
    <s v="Monday"/>
    <x v="46"/>
    <d v="2026-11-30T00:00:00"/>
    <s v="Fall"/>
    <x v="2"/>
    <x v="1"/>
    <s v="1 Hour"/>
    <n v="1"/>
    <n v="24"/>
    <s v="Phone Pouch"/>
    <n v="5"/>
    <n v="0"/>
    <n v="29"/>
    <x v="0"/>
    <x v="1"/>
    <s v="Credit Card"/>
    <s v="Sunny"/>
  </r>
  <r>
    <s v="WSR-2026-2876"/>
    <d v="2026-11-16T00:00:00"/>
    <x v="10"/>
    <x v="10"/>
    <s v="Monday"/>
    <x v="46"/>
    <d v="2026-11-30T00:00:00"/>
    <s v="Fall"/>
    <x v="4"/>
    <x v="5"/>
    <s v="1 Hour"/>
    <n v="1"/>
    <n v="26"/>
    <s v="None"/>
    <n v="0"/>
    <n v="3.9"/>
    <n v="22.1"/>
    <x v="5"/>
    <x v="2"/>
    <s v="Credit Card"/>
    <s v="Rainy"/>
  </r>
  <r>
    <s v="WSR-2026-2877"/>
    <d v="2026-11-17T00:00:00"/>
    <x v="10"/>
    <x v="10"/>
    <s v="Tuesday"/>
    <x v="46"/>
    <d v="2026-11-30T00:00:00"/>
    <s v="Fall"/>
    <x v="2"/>
    <x v="3"/>
    <s v="Half Day"/>
    <n v="1"/>
    <n v="54"/>
    <s v="None"/>
    <n v="0"/>
    <n v="0"/>
    <n v="54"/>
    <x v="6"/>
    <x v="4"/>
    <s v="Credit Card"/>
    <s v="Sunny"/>
  </r>
  <r>
    <s v="WSR-2026-2878"/>
    <d v="2026-11-17T00:00:00"/>
    <x v="10"/>
    <x v="10"/>
    <s v="Tuesday"/>
    <x v="46"/>
    <d v="2026-11-30T00:00:00"/>
    <s v="Fall"/>
    <x v="1"/>
    <x v="8"/>
    <s v="1 Hour"/>
    <n v="1"/>
    <n v="10"/>
    <s v="Dry Bag"/>
    <n v="6"/>
    <n v="0"/>
    <n v="16"/>
    <x v="5"/>
    <x v="4"/>
    <s v="Credit Card"/>
    <s v="Sunny"/>
  </r>
  <r>
    <s v="WSR-2026-2879"/>
    <d v="2026-11-17T00:00:00"/>
    <x v="10"/>
    <x v="10"/>
    <s v="Tuesday"/>
    <x v="46"/>
    <d v="2026-11-30T00:00:00"/>
    <s v="Fall"/>
    <x v="0"/>
    <x v="3"/>
    <s v="2 Hours"/>
    <n v="1"/>
    <n v="36"/>
    <s v="None"/>
    <n v="0"/>
    <n v="1.8"/>
    <n v="34.200000000000003"/>
    <x v="9"/>
    <x v="0"/>
    <s v="Debit Card"/>
    <s v="Sunny"/>
  </r>
  <r>
    <s v="WSR-2026-2880"/>
    <d v="2026-11-18T00:00:00"/>
    <x v="10"/>
    <x v="10"/>
    <s v="Wednesday"/>
    <x v="46"/>
    <d v="2026-11-30T00:00:00"/>
    <s v="Fall"/>
    <x v="0"/>
    <x v="4"/>
    <s v="2 Hours"/>
    <n v="1"/>
    <n v="18"/>
    <s v="Dry Bag"/>
    <n v="6"/>
    <n v="1.2"/>
    <n v="22.8"/>
    <x v="5"/>
    <x v="2"/>
    <s v="Debit Card"/>
    <s v="Windy"/>
  </r>
  <r>
    <s v="WSR-2026-2881"/>
    <d v="2026-11-18T00:00:00"/>
    <x v="10"/>
    <x v="10"/>
    <s v="Wednesday"/>
    <x v="46"/>
    <d v="2026-11-30T00:00:00"/>
    <s v="Fall"/>
    <x v="2"/>
    <x v="5"/>
    <s v="2 Hours"/>
    <n v="1"/>
    <n v="42"/>
    <s v="None"/>
    <n v="0"/>
    <n v="0"/>
    <n v="42"/>
    <x v="8"/>
    <x v="0"/>
    <s v="Debit Card"/>
    <s v="Windy"/>
  </r>
  <r>
    <s v="WSR-2026-2882"/>
    <d v="2026-11-18T00:00:00"/>
    <x v="10"/>
    <x v="10"/>
    <s v="Wednesday"/>
    <x v="46"/>
    <d v="2026-11-30T00:00:00"/>
    <s v="Fall"/>
    <x v="0"/>
    <x v="5"/>
    <s v="2 Hours"/>
    <n v="1"/>
    <n v="42"/>
    <s v="None"/>
    <n v="0"/>
    <n v="0"/>
    <n v="42"/>
    <x v="0"/>
    <x v="2"/>
    <s v="Credit Card"/>
    <s v="Sunny"/>
  </r>
  <r>
    <s v="WSR-2026-2883"/>
    <d v="2026-11-19T00:00:00"/>
    <x v="10"/>
    <x v="10"/>
    <s v="Thursday"/>
    <x v="46"/>
    <d v="2026-11-30T00:00:00"/>
    <s v="Fall"/>
    <x v="0"/>
    <x v="7"/>
    <s v="2 Hours"/>
    <n v="1"/>
    <n v="22"/>
    <s v="Phone Pouch"/>
    <n v="5"/>
    <n v="0"/>
    <n v="27"/>
    <x v="3"/>
    <x v="4"/>
    <s v="Credit Card"/>
    <s v="Sunny"/>
  </r>
  <r>
    <s v="WSR-2026-2884"/>
    <d v="2026-11-19T00:00:00"/>
    <x v="10"/>
    <x v="10"/>
    <s v="Thursday"/>
    <x v="46"/>
    <d v="2026-11-30T00:00:00"/>
    <s v="Fall"/>
    <x v="3"/>
    <x v="4"/>
    <s v="2 Hours"/>
    <n v="1"/>
    <n v="18"/>
    <s v="GoPro Mount"/>
    <n v="8"/>
    <n v="0"/>
    <n v="26"/>
    <x v="9"/>
    <x v="2"/>
    <s v="Credit Card"/>
    <s v="Windy"/>
  </r>
  <r>
    <s v="WSR-2026-2885"/>
    <d v="2026-11-19T00:00:00"/>
    <x v="10"/>
    <x v="10"/>
    <s v="Thursday"/>
    <x v="46"/>
    <d v="2026-11-30T00:00:00"/>
    <s v="Fall"/>
    <x v="1"/>
    <x v="8"/>
    <s v="Half Day"/>
    <n v="1"/>
    <n v="24"/>
    <s v="GoPro Mount"/>
    <n v="8"/>
    <n v="1.6"/>
    <n v="30.4"/>
    <x v="7"/>
    <x v="3"/>
    <s v="Credit Card"/>
    <s v="Sunny"/>
  </r>
  <r>
    <s v="WSR-2026-2886"/>
    <d v="2026-11-19T00:00:00"/>
    <x v="10"/>
    <x v="10"/>
    <s v="Thursday"/>
    <x v="46"/>
    <d v="2026-11-30T00:00:00"/>
    <s v="Fall"/>
    <x v="0"/>
    <x v="4"/>
    <s v="Full Day"/>
    <n v="1"/>
    <n v="40"/>
    <s v="None"/>
    <n v="0"/>
    <n v="0"/>
    <n v="40"/>
    <x v="9"/>
    <x v="1"/>
    <s v="Cash"/>
    <s v="Sunny"/>
  </r>
  <r>
    <s v="WSR-2026-2887"/>
    <d v="2026-11-20T00:00:00"/>
    <x v="10"/>
    <x v="10"/>
    <s v="Friday"/>
    <x v="46"/>
    <d v="2026-11-30T00:00:00"/>
    <s v="Fall"/>
    <x v="3"/>
    <x v="3"/>
    <s v="1 Hour"/>
    <n v="1"/>
    <n v="22"/>
    <s v="None"/>
    <n v="0"/>
    <n v="0"/>
    <n v="22"/>
    <x v="2"/>
    <x v="1"/>
    <s v="Credit Card"/>
    <s v="Cloudy"/>
  </r>
  <r>
    <s v="WSR-2026-2888"/>
    <d v="2026-11-20T00:00:00"/>
    <x v="10"/>
    <x v="10"/>
    <s v="Friday"/>
    <x v="46"/>
    <d v="2026-11-30T00:00:00"/>
    <s v="Fall"/>
    <x v="4"/>
    <x v="1"/>
    <s v="1 Hour"/>
    <n v="1"/>
    <n v="24"/>
    <s v="GoPro Mount"/>
    <n v="8"/>
    <n v="4.8"/>
    <n v="27.2"/>
    <x v="4"/>
    <x v="1"/>
    <s v="Debit Card"/>
    <s v="Sunny"/>
  </r>
  <r>
    <s v="WSR-2026-2889"/>
    <d v="2026-11-20T00:00:00"/>
    <x v="10"/>
    <x v="10"/>
    <s v="Friday"/>
    <x v="46"/>
    <d v="2026-11-30T00:00:00"/>
    <s v="Fall"/>
    <x v="2"/>
    <x v="2"/>
    <s v="1 Hour"/>
    <n v="1"/>
    <n v="34"/>
    <s v="Dry Bag"/>
    <n v="6"/>
    <n v="0"/>
    <n v="40"/>
    <x v="3"/>
    <x v="2"/>
    <s v="Credit Card"/>
    <s v="Rainy"/>
  </r>
  <r>
    <s v="WSR-2026-2890"/>
    <d v="2026-11-20T00:00:00"/>
    <x v="10"/>
    <x v="10"/>
    <s v="Friday"/>
    <x v="46"/>
    <d v="2026-11-30T00:00:00"/>
    <s v="Fall"/>
    <x v="1"/>
    <x v="4"/>
    <s v="1 Hour"/>
    <n v="1"/>
    <n v="12"/>
    <s v="None"/>
    <n v="0"/>
    <n v="0"/>
    <n v="12"/>
    <x v="6"/>
    <x v="3"/>
    <s v="Credit Card"/>
    <s v="Cloudy"/>
  </r>
  <r>
    <s v="WSR-2026-2891"/>
    <d v="2026-11-21T00:00:00"/>
    <x v="10"/>
    <x v="10"/>
    <s v="Saturday"/>
    <x v="46"/>
    <d v="2026-11-30T00:00:00"/>
    <s v="Fall"/>
    <x v="2"/>
    <x v="1"/>
    <s v="2 Hours"/>
    <n v="1"/>
    <n v="41.04"/>
    <s v="None"/>
    <n v="0"/>
    <n v="0"/>
    <n v="41.04"/>
    <x v="1"/>
    <x v="0"/>
    <s v="Debit Card"/>
    <s v="Cloudy"/>
  </r>
  <r>
    <s v="WSR-2026-2892"/>
    <d v="2026-11-21T00:00:00"/>
    <x v="10"/>
    <x v="10"/>
    <s v="Saturday"/>
    <x v="46"/>
    <d v="2026-11-30T00:00:00"/>
    <s v="Fall"/>
    <x v="2"/>
    <x v="1"/>
    <s v="2 Hours"/>
    <n v="1"/>
    <n v="41.04"/>
    <s v="None"/>
    <n v="0"/>
    <n v="0"/>
    <n v="41.04"/>
    <x v="5"/>
    <x v="4"/>
    <s v="Cash"/>
    <s v="Sunny"/>
  </r>
  <r>
    <s v="WSR-2026-2893"/>
    <d v="2026-11-21T00:00:00"/>
    <x v="10"/>
    <x v="10"/>
    <s v="Saturday"/>
    <x v="46"/>
    <d v="2026-11-30T00:00:00"/>
    <s v="Fall"/>
    <x v="2"/>
    <x v="2"/>
    <s v="Full Day"/>
    <n v="1"/>
    <n v="120.96"/>
    <s v="Cooler Rental"/>
    <n v="10"/>
    <n v="6.55"/>
    <n v="124.41"/>
    <x v="4"/>
    <x v="4"/>
    <s v="Credit Card"/>
    <s v="Sunny"/>
  </r>
  <r>
    <s v="WSR-2026-2894"/>
    <d v="2026-11-21T00:00:00"/>
    <x v="10"/>
    <x v="10"/>
    <s v="Saturday"/>
    <x v="46"/>
    <d v="2026-11-30T00:00:00"/>
    <s v="Fall"/>
    <x v="1"/>
    <x v="8"/>
    <s v="2 Hours"/>
    <n v="1"/>
    <n v="17.28"/>
    <s v="None"/>
    <n v="0"/>
    <n v="0.86"/>
    <n v="16.420000000000002"/>
    <x v="3"/>
    <x v="2"/>
    <s v="Cash"/>
    <s v="Sunny"/>
  </r>
  <r>
    <s v="WSR-2026-2895"/>
    <d v="2026-11-21T00:00:00"/>
    <x v="10"/>
    <x v="10"/>
    <s v="Saturday"/>
    <x v="46"/>
    <d v="2026-11-30T00:00:00"/>
    <s v="Fall"/>
    <x v="0"/>
    <x v="0"/>
    <s v="2 Hours"/>
    <n v="1"/>
    <n v="54"/>
    <s v="Cooler Rental"/>
    <n v="10"/>
    <n v="0"/>
    <n v="64"/>
    <x v="4"/>
    <x v="1"/>
    <s v="Mobile Pay"/>
    <s v="Cloudy"/>
  </r>
  <r>
    <s v="WSR-2026-2896"/>
    <d v="2026-11-21T00:00:00"/>
    <x v="10"/>
    <x v="10"/>
    <s v="Saturday"/>
    <x v="46"/>
    <d v="2026-11-30T00:00:00"/>
    <s v="Fall"/>
    <x v="2"/>
    <x v="5"/>
    <s v="Half Day"/>
    <n v="1"/>
    <n v="66.959999999999994"/>
    <s v="Dry Bag"/>
    <n v="6"/>
    <n v="0"/>
    <n v="72.959999999999994"/>
    <x v="9"/>
    <x v="0"/>
    <s v="Credit Card"/>
    <s v="Sunny"/>
  </r>
  <r>
    <s v="WSR-2026-2897"/>
    <d v="2026-11-21T00:00:00"/>
    <x v="10"/>
    <x v="10"/>
    <s v="Saturday"/>
    <x v="46"/>
    <d v="2026-11-30T00:00:00"/>
    <s v="Fall"/>
    <x v="0"/>
    <x v="5"/>
    <s v="1 Hour"/>
    <n v="1"/>
    <n v="28.08"/>
    <s v="Waterproof Speaker"/>
    <n v="12"/>
    <n v="0"/>
    <n v="40.08"/>
    <x v="6"/>
    <x v="2"/>
    <s v="Credit Card"/>
    <s v="Sunny"/>
  </r>
  <r>
    <s v="WSR-2026-2898"/>
    <d v="2026-11-22T00:00:00"/>
    <x v="10"/>
    <x v="10"/>
    <s v="Sunday"/>
    <x v="47"/>
    <d v="2026-11-30T00:00:00"/>
    <s v="Fall"/>
    <x v="2"/>
    <x v="5"/>
    <s v="2 Hours"/>
    <n v="1"/>
    <n v="45.36"/>
    <s v="GoPro Mount"/>
    <n v="8"/>
    <n v="0"/>
    <n v="53.36"/>
    <x v="4"/>
    <x v="2"/>
    <s v="Credit Card"/>
    <s v="Windy"/>
  </r>
  <r>
    <s v="WSR-2026-2899"/>
    <d v="2026-11-22T00:00:00"/>
    <x v="10"/>
    <x v="10"/>
    <s v="Sunday"/>
    <x v="47"/>
    <d v="2026-11-30T00:00:00"/>
    <s v="Fall"/>
    <x v="2"/>
    <x v="6"/>
    <s v="2 Hours"/>
    <n v="1"/>
    <n v="62.64"/>
    <s v="Phone Pouch"/>
    <n v="5"/>
    <n v="0"/>
    <n v="67.64"/>
    <x v="6"/>
    <x v="3"/>
    <s v="Debit Card"/>
    <s v="Sunny"/>
  </r>
  <r>
    <s v="WSR-2026-2900"/>
    <d v="2026-11-22T00:00:00"/>
    <x v="10"/>
    <x v="10"/>
    <s v="Sunday"/>
    <x v="47"/>
    <d v="2026-11-30T00:00:00"/>
    <s v="Fall"/>
    <x v="3"/>
    <x v="2"/>
    <s v="1 Hour"/>
    <n v="1"/>
    <n v="36.72"/>
    <s v="None"/>
    <n v="0"/>
    <n v="0"/>
    <n v="36.72"/>
    <x v="5"/>
    <x v="0"/>
    <s v="Credit Card"/>
    <s v="Windy"/>
  </r>
  <r>
    <s v="WSR-2026-2901"/>
    <d v="2026-11-22T00:00:00"/>
    <x v="10"/>
    <x v="10"/>
    <s v="Sunday"/>
    <x v="47"/>
    <d v="2026-11-30T00:00:00"/>
    <s v="Fall"/>
    <x v="1"/>
    <x v="0"/>
    <s v="1 Hour"/>
    <n v="1"/>
    <n v="34.56"/>
    <s v="Premium Life Jacket"/>
    <n v="7"/>
    <n v="0"/>
    <n v="41.56"/>
    <x v="9"/>
    <x v="1"/>
    <s v="Debit Card"/>
    <s v="Rainy"/>
  </r>
  <r>
    <s v="WSR-2026-2902"/>
    <d v="2026-11-23T00:00:00"/>
    <x v="10"/>
    <x v="10"/>
    <s v="Monday"/>
    <x v="47"/>
    <d v="2026-11-30T00:00:00"/>
    <s v="Fall"/>
    <x v="3"/>
    <x v="5"/>
    <s v="Half Day"/>
    <n v="1"/>
    <n v="62"/>
    <s v="Premium Life Jacket"/>
    <n v="7"/>
    <n v="0"/>
    <n v="69"/>
    <x v="1"/>
    <x v="0"/>
    <s v="Credit Card"/>
    <s v="Sunny"/>
  </r>
  <r>
    <s v="WSR-2026-2903"/>
    <d v="2026-11-24T00:00:00"/>
    <x v="10"/>
    <x v="10"/>
    <s v="Tuesday"/>
    <x v="47"/>
    <d v="2026-11-30T00:00:00"/>
    <s v="Fall"/>
    <x v="1"/>
    <x v="7"/>
    <s v="1 Hour"/>
    <n v="1"/>
    <n v="14"/>
    <s v="Cooler Rental"/>
    <n v="10"/>
    <n v="2.4"/>
    <n v="21.6"/>
    <x v="3"/>
    <x v="0"/>
    <s v="Debit Card"/>
    <s v="Sunny"/>
  </r>
  <r>
    <s v="WSR-2026-2904"/>
    <d v="2026-11-24T00:00:00"/>
    <x v="10"/>
    <x v="10"/>
    <s v="Tuesday"/>
    <x v="47"/>
    <d v="2026-11-30T00:00:00"/>
    <s v="Fall"/>
    <x v="2"/>
    <x v="4"/>
    <s v="2 Hours"/>
    <n v="1"/>
    <n v="18"/>
    <s v="Waterproof Speaker"/>
    <n v="12"/>
    <n v="0"/>
    <n v="30"/>
    <x v="9"/>
    <x v="3"/>
    <s v="Cash"/>
    <s v="Sunny"/>
  </r>
  <r>
    <s v="WSR-2026-2905"/>
    <d v="2026-11-25T00:00:00"/>
    <x v="10"/>
    <x v="10"/>
    <s v="Wednesday"/>
    <x v="47"/>
    <d v="2026-11-30T00:00:00"/>
    <s v="Fall"/>
    <x v="1"/>
    <x v="1"/>
    <s v="Full Day"/>
    <n v="1"/>
    <n v="84"/>
    <s v="None"/>
    <n v="0"/>
    <n v="4.2"/>
    <n v="79.8"/>
    <x v="5"/>
    <x v="4"/>
    <s v="Credit Card"/>
    <s v="Sunny"/>
  </r>
  <r>
    <s v="WSR-2026-2906"/>
    <d v="2026-11-25T00:00:00"/>
    <x v="10"/>
    <x v="10"/>
    <s v="Wednesday"/>
    <x v="47"/>
    <d v="2026-11-30T00:00:00"/>
    <s v="Fall"/>
    <x v="3"/>
    <x v="1"/>
    <s v="1 Hour"/>
    <n v="1"/>
    <n v="24"/>
    <s v="None"/>
    <n v="0"/>
    <n v="0"/>
    <n v="24"/>
    <x v="4"/>
    <x v="0"/>
    <s v="Credit Card"/>
    <s v="Sunny"/>
  </r>
  <r>
    <s v="WSR-2026-2907"/>
    <d v="2026-11-26T00:00:00"/>
    <x v="10"/>
    <x v="10"/>
    <s v="Thursday"/>
    <x v="47"/>
    <d v="2026-11-30T00:00:00"/>
    <s v="Fall"/>
    <x v="3"/>
    <x v="6"/>
    <s v="Full Day"/>
    <n v="1"/>
    <n v="124"/>
    <s v="Cooler Rental"/>
    <n v="10"/>
    <n v="0"/>
    <n v="134"/>
    <x v="7"/>
    <x v="4"/>
    <s v="Credit Card"/>
    <s v="Sunny"/>
  </r>
  <r>
    <s v="WSR-2026-2908"/>
    <d v="2026-11-26T00:00:00"/>
    <x v="10"/>
    <x v="10"/>
    <s v="Thursday"/>
    <x v="47"/>
    <d v="2026-11-30T00:00:00"/>
    <s v="Fall"/>
    <x v="2"/>
    <x v="7"/>
    <s v="1 Hour"/>
    <n v="1"/>
    <n v="14"/>
    <s v="Cooler Rental"/>
    <n v="10"/>
    <n v="0"/>
    <n v="24"/>
    <x v="0"/>
    <x v="1"/>
    <s v="Credit Card"/>
    <s v="Sunny"/>
  </r>
  <r>
    <s v="WSR-2026-2909"/>
    <d v="2026-11-26T00:00:00"/>
    <x v="10"/>
    <x v="10"/>
    <s v="Thursday"/>
    <x v="47"/>
    <d v="2026-11-30T00:00:00"/>
    <s v="Fall"/>
    <x v="2"/>
    <x v="3"/>
    <s v="1 Hour"/>
    <n v="1"/>
    <n v="22"/>
    <s v="None"/>
    <n v="0"/>
    <n v="0"/>
    <n v="22"/>
    <x v="1"/>
    <x v="1"/>
    <s v="Mobile Pay"/>
    <s v="Sunny"/>
  </r>
  <r>
    <s v="WSR-2026-2910"/>
    <d v="2026-11-27T00:00:00"/>
    <x v="10"/>
    <x v="10"/>
    <s v="Friday"/>
    <x v="47"/>
    <d v="2026-11-30T00:00:00"/>
    <s v="Fall"/>
    <x v="3"/>
    <x v="5"/>
    <s v="Half Day"/>
    <n v="1"/>
    <n v="62"/>
    <s v="Cooler Rental"/>
    <n v="10"/>
    <n v="0"/>
    <n v="72"/>
    <x v="9"/>
    <x v="2"/>
    <s v="Credit Card"/>
    <s v="Sunny"/>
  </r>
  <r>
    <s v="WSR-2026-2911"/>
    <d v="2026-11-27T00:00:00"/>
    <x v="10"/>
    <x v="10"/>
    <s v="Friday"/>
    <x v="47"/>
    <d v="2026-11-30T00:00:00"/>
    <s v="Fall"/>
    <x v="1"/>
    <x v="6"/>
    <s v="1 Hour"/>
    <n v="1"/>
    <n v="36"/>
    <s v="None"/>
    <n v="0"/>
    <n v="3.6"/>
    <n v="32.4"/>
    <x v="8"/>
    <x v="2"/>
    <s v="Credit Card"/>
    <s v="Sunny"/>
  </r>
  <r>
    <s v="WSR-2026-2912"/>
    <d v="2026-11-28T00:00:00"/>
    <x v="10"/>
    <x v="10"/>
    <s v="Saturday"/>
    <x v="47"/>
    <d v="2026-11-30T00:00:00"/>
    <s v="Fall"/>
    <x v="0"/>
    <x v="1"/>
    <s v="2 Hours"/>
    <n v="1"/>
    <n v="41.04"/>
    <s v="None"/>
    <n v="0"/>
    <n v="0"/>
    <n v="41.04"/>
    <x v="6"/>
    <x v="0"/>
    <s v="Mobile Pay"/>
    <s v="Cloudy"/>
  </r>
  <r>
    <s v="WSR-2026-2913"/>
    <d v="2026-11-28T00:00:00"/>
    <x v="10"/>
    <x v="10"/>
    <s v="Saturday"/>
    <x v="47"/>
    <d v="2026-11-30T00:00:00"/>
    <s v="Fall"/>
    <x v="2"/>
    <x v="5"/>
    <s v="Full Day"/>
    <n v="1"/>
    <n v="95.04"/>
    <s v="GoPro Mount"/>
    <n v="8"/>
    <n v="0"/>
    <n v="103.04"/>
    <x v="2"/>
    <x v="2"/>
    <s v="Gift Card"/>
    <s v="Windy"/>
  </r>
  <r>
    <s v="WSR-2026-2914"/>
    <d v="2026-11-28T00:00:00"/>
    <x v="10"/>
    <x v="10"/>
    <s v="Saturday"/>
    <x v="47"/>
    <d v="2026-11-30T00:00:00"/>
    <s v="Fall"/>
    <x v="3"/>
    <x v="8"/>
    <s v="2 Hours"/>
    <n v="1"/>
    <n v="17.28"/>
    <s v="None"/>
    <n v="0"/>
    <n v="0"/>
    <n v="17.28"/>
    <x v="8"/>
    <x v="2"/>
    <s v="Cash"/>
    <s v="Sunny"/>
  </r>
  <r>
    <s v="WSR-2026-2915"/>
    <d v="2026-11-28T00:00:00"/>
    <x v="10"/>
    <x v="10"/>
    <s v="Saturday"/>
    <x v="47"/>
    <d v="2026-11-30T00:00:00"/>
    <s v="Fall"/>
    <x v="0"/>
    <x v="6"/>
    <s v="2 Hours"/>
    <n v="1"/>
    <n v="62.64"/>
    <s v="GoPro Mount"/>
    <n v="8"/>
    <n v="0"/>
    <n v="70.64"/>
    <x v="7"/>
    <x v="1"/>
    <s v="Credit Card"/>
    <s v="Sunny"/>
  </r>
  <r>
    <s v="WSR-2026-2916"/>
    <d v="2026-11-28T00:00:00"/>
    <x v="10"/>
    <x v="10"/>
    <s v="Saturday"/>
    <x v="47"/>
    <d v="2026-11-30T00:00:00"/>
    <s v="Fall"/>
    <x v="3"/>
    <x v="5"/>
    <s v="2 Hours"/>
    <n v="1"/>
    <n v="45.36"/>
    <s v="GoPro Mount"/>
    <n v="8"/>
    <n v="0"/>
    <n v="53.36"/>
    <x v="7"/>
    <x v="3"/>
    <s v="Credit Card"/>
    <s v="Sunny"/>
  </r>
  <r>
    <s v="WSR-2026-2917"/>
    <d v="2026-11-28T00:00:00"/>
    <x v="10"/>
    <x v="10"/>
    <s v="Saturday"/>
    <x v="47"/>
    <d v="2026-11-30T00:00:00"/>
    <s v="Fall"/>
    <x v="3"/>
    <x v="3"/>
    <s v="2 Hours"/>
    <n v="1"/>
    <n v="38.880000000000003"/>
    <s v="None"/>
    <n v="0"/>
    <n v="0"/>
    <n v="38.880000000000003"/>
    <x v="7"/>
    <x v="1"/>
    <s v="Cash"/>
    <s v="Sunny"/>
  </r>
  <r>
    <s v="WSR-2026-2918"/>
    <d v="2026-11-28T00:00:00"/>
    <x v="10"/>
    <x v="10"/>
    <s v="Saturday"/>
    <x v="47"/>
    <d v="2026-11-30T00:00:00"/>
    <s v="Fall"/>
    <x v="2"/>
    <x v="3"/>
    <s v="Full Day"/>
    <n v="1"/>
    <n v="82.08"/>
    <s v="None"/>
    <n v="0"/>
    <n v="0"/>
    <n v="82.08"/>
    <x v="6"/>
    <x v="1"/>
    <s v="Credit Card"/>
    <s v="Cloudy"/>
  </r>
  <r>
    <s v="WSR-2026-2919"/>
    <d v="2026-11-28T00:00:00"/>
    <x v="10"/>
    <x v="10"/>
    <s v="Saturday"/>
    <x v="47"/>
    <d v="2026-11-30T00:00:00"/>
    <s v="Fall"/>
    <x v="2"/>
    <x v="2"/>
    <s v="1 Hour"/>
    <n v="1"/>
    <n v="36.72"/>
    <s v="None"/>
    <n v="0"/>
    <n v="0"/>
    <n v="36.72"/>
    <x v="7"/>
    <x v="0"/>
    <s v="Debit Card"/>
    <s v="Sunny"/>
  </r>
  <r>
    <s v="WSR-2026-2920"/>
    <d v="2026-11-29T00:00:00"/>
    <x v="10"/>
    <x v="10"/>
    <s v="Sunday"/>
    <x v="48"/>
    <d v="2026-11-30T00:00:00"/>
    <s v="Fall"/>
    <x v="0"/>
    <x v="5"/>
    <s v="1 Hour"/>
    <n v="1"/>
    <n v="28.08"/>
    <s v="Cooler Rental"/>
    <n v="10"/>
    <n v="0"/>
    <n v="38.08"/>
    <x v="2"/>
    <x v="1"/>
    <s v="Credit Card"/>
    <s v="Sunny"/>
  </r>
  <r>
    <s v="WSR-2026-2921"/>
    <d v="2026-11-29T00:00:00"/>
    <x v="10"/>
    <x v="10"/>
    <s v="Sunday"/>
    <x v="48"/>
    <d v="2026-11-30T00:00:00"/>
    <s v="Fall"/>
    <x v="2"/>
    <x v="5"/>
    <s v="2 Hours"/>
    <n v="1"/>
    <n v="45.36"/>
    <s v="None"/>
    <n v="0"/>
    <n v="0"/>
    <n v="45.36"/>
    <x v="7"/>
    <x v="2"/>
    <s v="Cash"/>
    <s v="Cloudy"/>
  </r>
  <r>
    <s v="WSR-2026-2922"/>
    <d v="2026-11-30T00:00:00"/>
    <x v="10"/>
    <x v="10"/>
    <s v="Monday"/>
    <x v="48"/>
    <d v="2026-11-30T00:00:00"/>
    <s v="Fall"/>
    <x v="0"/>
    <x v="1"/>
    <s v="2 Hours"/>
    <n v="1"/>
    <n v="38"/>
    <s v="GoPro Mount"/>
    <n v="8"/>
    <n v="0"/>
    <n v="46"/>
    <x v="5"/>
    <x v="2"/>
    <s v="Cash"/>
    <s v="Sunny"/>
  </r>
  <r>
    <s v="WSR-2026-2923"/>
    <d v="2026-12-01T00:00:00"/>
    <x v="11"/>
    <x v="11"/>
    <s v="Tuesday"/>
    <x v="48"/>
    <d v="2026-12-31T00:00:00"/>
    <s v="Winter"/>
    <x v="3"/>
    <x v="4"/>
    <s v="1 Hour"/>
    <n v="1"/>
    <n v="12"/>
    <s v="None"/>
    <n v="0"/>
    <n v="0"/>
    <n v="12"/>
    <x v="1"/>
    <x v="2"/>
    <s v="Gift Card"/>
    <s v="Windy"/>
  </r>
  <r>
    <s v="WSR-2026-2924"/>
    <d v="2026-12-01T00:00:00"/>
    <x v="11"/>
    <x v="11"/>
    <s v="Tuesday"/>
    <x v="48"/>
    <d v="2026-12-31T00:00:00"/>
    <s v="Winter"/>
    <x v="2"/>
    <x v="0"/>
    <s v="Full Day"/>
    <n v="1"/>
    <n v="110"/>
    <s v="None"/>
    <n v="0"/>
    <n v="0"/>
    <n v="110"/>
    <x v="2"/>
    <x v="3"/>
    <s v="Debit Card"/>
    <s v="Rainy"/>
  </r>
  <r>
    <s v="WSR-2026-2925"/>
    <d v="2026-12-01T00:00:00"/>
    <x v="11"/>
    <x v="11"/>
    <s v="Tuesday"/>
    <x v="48"/>
    <d v="2026-12-31T00:00:00"/>
    <s v="Winter"/>
    <x v="2"/>
    <x v="5"/>
    <s v="2 Hours"/>
    <n v="1"/>
    <n v="42"/>
    <s v="Cooler Rental"/>
    <n v="10"/>
    <n v="0"/>
    <n v="52"/>
    <x v="8"/>
    <x v="2"/>
    <s v="Debit Card"/>
    <s v="Windy"/>
  </r>
  <r>
    <s v="WSR-2026-2926"/>
    <d v="2026-12-02T00:00:00"/>
    <x v="11"/>
    <x v="11"/>
    <s v="Wednesday"/>
    <x v="48"/>
    <d v="2026-12-31T00:00:00"/>
    <s v="Winter"/>
    <x v="2"/>
    <x v="8"/>
    <s v="2 Hours"/>
    <n v="1"/>
    <n v="16"/>
    <s v="None"/>
    <n v="0"/>
    <n v="0"/>
    <n v="16"/>
    <x v="2"/>
    <x v="0"/>
    <s v="Cash"/>
    <s v="Cloudy"/>
  </r>
  <r>
    <s v="WSR-2026-2927"/>
    <d v="2026-12-02T00:00:00"/>
    <x v="11"/>
    <x v="11"/>
    <s v="Wednesday"/>
    <x v="48"/>
    <d v="2026-12-31T00:00:00"/>
    <s v="Winter"/>
    <x v="0"/>
    <x v="4"/>
    <s v="1 Hour"/>
    <n v="1"/>
    <n v="12"/>
    <s v="Phone Pouch"/>
    <n v="5"/>
    <n v="0"/>
    <n v="17"/>
    <x v="8"/>
    <x v="0"/>
    <s v="Debit Card"/>
    <s v="Sunny"/>
  </r>
  <r>
    <s v="WSR-2026-2928"/>
    <d v="2026-12-04T00:00:00"/>
    <x v="11"/>
    <x v="11"/>
    <s v="Friday"/>
    <x v="48"/>
    <d v="2026-12-31T00:00:00"/>
    <s v="Winter"/>
    <x v="2"/>
    <x v="3"/>
    <s v="Full Day"/>
    <n v="1"/>
    <n v="76"/>
    <s v="None"/>
    <n v="0"/>
    <n v="0"/>
    <n v="76"/>
    <x v="0"/>
    <x v="2"/>
    <s v="Debit Card"/>
    <s v="Sunny"/>
  </r>
  <r>
    <s v="WSR-2026-2929"/>
    <d v="2026-12-04T00:00:00"/>
    <x v="11"/>
    <x v="11"/>
    <s v="Friday"/>
    <x v="48"/>
    <d v="2026-12-31T00:00:00"/>
    <s v="Winter"/>
    <x v="2"/>
    <x v="5"/>
    <s v="Half Day"/>
    <n v="1"/>
    <n v="62"/>
    <s v="None"/>
    <n v="0"/>
    <n v="0"/>
    <n v="62"/>
    <x v="3"/>
    <x v="4"/>
    <s v="Credit Card"/>
    <s v="Cloudy"/>
  </r>
  <r>
    <s v="WSR-2026-2930"/>
    <d v="2026-12-04T00:00:00"/>
    <x v="11"/>
    <x v="11"/>
    <s v="Friday"/>
    <x v="48"/>
    <d v="2026-12-31T00:00:00"/>
    <s v="Winter"/>
    <x v="3"/>
    <x v="3"/>
    <s v="1 Hour"/>
    <n v="1"/>
    <n v="22"/>
    <s v="Premium Life Jacket"/>
    <n v="7"/>
    <n v="1.45"/>
    <n v="27.55"/>
    <x v="0"/>
    <x v="2"/>
    <s v="Debit Card"/>
    <s v="Sunny"/>
  </r>
  <r>
    <s v="WSR-2026-2931"/>
    <d v="2026-12-05T00:00:00"/>
    <x v="11"/>
    <x v="11"/>
    <s v="Saturday"/>
    <x v="48"/>
    <d v="2026-12-31T00:00:00"/>
    <s v="Winter"/>
    <x v="2"/>
    <x v="1"/>
    <s v="Half Day"/>
    <n v="1"/>
    <n v="62.64"/>
    <s v="None"/>
    <n v="0"/>
    <n v="0"/>
    <n v="62.64"/>
    <x v="4"/>
    <x v="2"/>
    <s v="Credit Card"/>
    <s v="Cloudy"/>
  </r>
  <r>
    <s v="WSR-2026-2932"/>
    <d v="2026-12-05T00:00:00"/>
    <x v="11"/>
    <x v="11"/>
    <s v="Saturday"/>
    <x v="48"/>
    <d v="2026-12-31T00:00:00"/>
    <s v="Winter"/>
    <x v="1"/>
    <x v="7"/>
    <s v="1 Hour"/>
    <n v="1"/>
    <n v="15.12"/>
    <s v="GoPro Mount"/>
    <n v="8"/>
    <n v="0"/>
    <n v="23.12"/>
    <x v="5"/>
    <x v="1"/>
    <s v="Mobile Pay"/>
    <s v="Sunny"/>
  </r>
  <r>
    <s v="WSR-2026-2933"/>
    <d v="2026-12-05T00:00:00"/>
    <x v="11"/>
    <x v="11"/>
    <s v="Saturday"/>
    <x v="48"/>
    <d v="2026-12-31T00:00:00"/>
    <s v="Winter"/>
    <x v="1"/>
    <x v="2"/>
    <s v="2 Hours"/>
    <n v="1"/>
    <n v="56.16"/>
    <s v="None"/>
    <n v="0"/>
    <n v="2.81"/>
    <n v="53.35"/>
    <x v="2"/>
    <x v="2"/>
    <s v="Debit Card"/>
    <s v="Cloudy"/>
  </r>
  <r>
    <s v="WSR-2026-2934"/>
    <d v="2026-12-05T00:00:00"/>
    <x v="11"/>
    <x v="11"/>
    <s v="Saturday"/>
    <x v="48"/>
    <d v="2026-12-31T00:00:00"/>
    <s v="Winter"/>
    <x v="3"/>
    <x v="1"/>
    <s v="Half Day"/>
    <n v="1"/>
    <n v="62.64"/>
    <s v="None"/>
    <n v="0"/>
    <n v="0"/>
    <n v="62.64"/>
    <x v="1"/>
    <x v="3"/>
    <s v="Credit Card"/>
    <s v="Cloudy"/>
  </r>
  <r>
    <s v="WSR-2026-2935"/>
    <d v="2026-12-05T00:00:00"/>
    <x v="11"/>
    <x v="11"/>
    <s v="Saturday"/>
    <x v="48"/>
    <d v="2026-12-31T00:00:00"/>
    <s v="Winter"/>
    <x v="3"/>
    <x v="3"/>
    <s v="Full Day"/>
    <n v="1"/>
    <n v="82.08"/>
    <s v="Dry Bag"/>
    <n v="6"/>
    <n v="0"/>
    <n v="88.08"/>
    <x v="1"/>
    <x v="0"/>
    <s v="Gift Card"/>
    <s v="Sunny"/>
  </r>
  <r>
    <s v="WSR-2026-2936"/>
    <d v="2026-12-06T00:00:00"/>
    <x v="11"/>
    <x v="11"/>
    <s v="Sunday"/>
    <x v="49"/>
    <d v="2026-12-31T00:00:00"/>
    <s v="Winter"/>
    <x v="3"/>
    <x v="5"/>
    <s v="Full Day"/>
    <n v="1"/>
    <n v="95.04"/>
    <s v="Phone Pouch"/>
    <n v="5"/>
    <n v="0"/>
    <n v="100.04"/>
    <x v="8"/>
    <x v="1"/>
    <s v="Credit Card"/>
    <s v="Sunny"/>
  </r>
  <r>
    <s v="WSR-2026-2937"/>
    <d v="2026-12-06T00:00:00"/>
    <x v="11"/>
    <x v="11"/>
    <s v="Sunday"/>
    <x v="49"/>
    <d v="2026-12-31T00:00:00"/>
    <s v="Winter"/>
    <x v="1"/>
    <x v="5"/>
    <s v="Full Day"/>
    <n v="1"/>
    <n v="95.04"/>
    <s v="Cooler Rental"/>
    <n v="10"/>
    <n v="10.5"/>
    <n v="94.54"/>
    <x v="3"/>
    <x v="0"/>
    <s v="Mobile Pay"/>
    <s v="Cloudy"/>
  </r>
  <r>
    <s v="WSR-2026-2938"/>
    <d v="2026-12-07T00:00:00"/>
    <x v="11"/>
    <x v="11"/>
    <s v="Monday"/>
    <x v="49"/>
    <d v="2026-12-31T00:00:00"/>
    <s v="Winter"/>
    <x v="1"/>
    <x v="1"/>
    <s v="Half Day"/>
    <n v="1"/>
    <n v="58"/>
    <s v="None"/>
    <n v="0"/>
    <n v="0"/>
    <n v="58"/>
    <x v="6"/>
    <x v="3"/>
    <s v="Debit Card"/>
    <s v="Cloudy"/>
  </r>
  <r>
    <s v="WSR-2026-2939"/>
    <d v="2026-12-07T00:00:00"/>
    <x v="11"/>
    <x v="11"/>
    <s v="Monday"/>
    <x v="49"/>
    <d v="2026-12-31T00:00:00"/>
    <s v="Winter"/>
    <x v="2"/>
    <x v="9"/>
    <s v="1 Hour"/>
    <n v="1"/>
    <n v="30"/>
    <s v="None"/>
    <n v="0"/>
    <n v="0"/>
    <n v="30"/>
    <x v="8"/>
    <x v="2"/>
    <s v="Credit Card"/>
    <s v="Windy"/>
  </r>
  <r>
    <s v="WSR-2026-2940"/>
    <d v="2026-12-08T00:00:00"/>
    <x v="11"/>
    <x v="11"/>
    <s v="Tuesday"/>
    <x v="49"/>
    <d v="2026-12-31T00:00:00"/>
    <s v="Winter"/>
    <x v="3"/>
    <x v="5"/>
    <s v="1 Hour"/>
    <n v="1"/>
    <n v="26"/>
    <s v="None"/>
    <n v="0"/>
    <n v="0"/>
    <n v="26"/>
    <x v="5"/>
    <x v="2"/>
    <s v="Debit Card"/>
    <s v="Sunny"/>
  </r>
  <r>
    <s v="WSR-2026-2941"/>
    <d v="2026-12-09T00:00:00"/>
    <x v="11"/>
    <x v="11"/>
    <s v="Wednesday"/>
    <x v="49"/>
    <d v="2026-12-31T00:00:00"/>
    <s v="Winter"/>
    <x v="3"/>
    <x v="7"/>
    <s v="1 Hour"/>
    <n v="1"/>
    <n v="14"/>
    <s v="Dry Bag"/>
    <n v="6"/>
    <n v="0"/>
    <n v="20"/>
    <x v="4"/>
    <x v="1"/>
    <s v="Credit Card"/>
    <s v="Windy"/>
  </r>
  <r>
    <s v="WSR-2026-2942"/>
    <d v="2026-12-09T00:00:00"/>
    <x v="11"/>
    <x v="11"/>
    <s v="Wednesday"/>
    <x v="49"/>
    <d v="2026-12-31T00:00:00"/>
    <s v="Winter"/>
    <x v="0"/>
    <x v="4"/>
    <s v="1 Hour"/>
    <n v="1"/>
    <n v="12"/>
    <s v="None"/>
    <n v="0"/>
    <n v="0"/>
    <n v="12"/>
    <x v="6"/>
    <x v="0"/>
    <s v="Credit Card"/>
    <s v="Cloudy"/>
  </r>
  <r>
    <s v="WSR-2026-2943"/>
    <d v="2026-12-10T00:00:00"/>
    <x v="11"/>
    <x v="11"/>
    <s v="Thursday"/>
    <x v="49"/>
    <d v="2026-12-31T00:00:00"/>
    <s v="Winter"/>
    <x v="2"/>
    <x v="3"/>
    <s v="Full Day"/>
    <n v="1"/>
    <n v="76"/>
    <s v="None"/>
    <n v="0"/>
    <n v="0"/>
    <n v="76"/>
    <x v="7"/>
    <x v="3"/>
    <s v="Credit Card"/>
    <s v="Sunny"/>
  </r>
  <r>
    <s v="WSR-2026-2944"/>
    <d v="2026-12-10T00:00:00"/>
    <x v="11"/>
    <x v="11"/>
    <s v="Thursday"/>
    <x v="49"/>
    <d v="2026-12-31T00:00:00"/>
    <s v="Winter"/>
    <x v="1"/>
    <x v="4"/>
    <s v="Half Day"/>
    <n v="1"/>
    <n v="28"/>
    <s v="None"/>
    <n v="0"/>
    <n v="2.8"/>
    <n v="25.2"/>
    <x v="4"/>
    <x v="4"/>
    <s v="Debit Card"/>
    <s v="Cloudy"/>
  </r>
  <r>
    <s v="WSR-2026-2945"/>
    <d v="2026-12-10T00:00:00"/>
    <x v="11"/>
    <x v="11"/>
    <s v="Thursday"/>
    <x v="49"/>
    <d v="2026-12-31T00:00:00"/>
    <s v="Winter"/>
    <x v="1"/>
    <x v="1"/>
    <s v="1 Hour"/>
    <n v="1"/>
    <n v="24"/>
    <s v="None"/>
    <n v="0"/>
    <n v="1.2"/>
    <n v="22.8"/>
    <x v="5"/>
    <x v="2"/>
    <s v="Mobile Pay"/>
    <s v="Sunny"/>
  </r>
  <r>
    <s v="WSR-2026-2946"/>
    <d v="2026-12-12T00:00:00"/>
    <x v="11"/>
    <x v="11"/>
    <s v="Saturday"/>
    <x v="49"/>
    <d v="2026-12-31T00:00:00"/>
    <s v="Winter"/>
    <x v="1"/>
    <x v="5"/>
    <s v="1 Hour"/>
    <n v="1"/>
    <n v="28.08"/>
    <s v="None"/>
    <n v="0"/>
    <n v="0"/>
    <n v="28.08"/>
    <x v="4"/>
    <x v="0"/>
    <s v="Cash"/>
    <s v="Windy"/>
  </r>
  <r>
    <s v="WSR-2026-2947"/>
    <d v="2026-12-12T00:00:00"/>
    <x v="11"/>
    <x v="11"/>
    <s v="Saturday"/>
    <x v="49"/>
    <d v="2026-12-31T00:00:00"/>
    <s v="Winter"/>
    <x v="0"/>
    <x v="2"/>
    <s v="Half Day"/>
    <n v="1"/>
    <n v="84.24"/>
    <s v="None"/>
    <n v="0"/>
    <n v="0"/>
    <n v="84.24"/>
    <x v="1"/>
    <x v="3"/>
    <s v="Credit Card"/>
    <s v="Sunny"/>
  </r>
  <r>
    <s v="WSR-2026-2948"/>
    <d v="2026-12-13T00:00:00"/>
    <x v="11"/>
    <x v="11"/>
    <s v="Sunday"/>
    <x v="50"/>
    <d v="2026-12-31T00:00:00"/>
    <s v="Winter"/>
    <x v="3"/>
    <x v="5"/>
    <s v="2 Hours"/>
    <n v="1"/>
    <n v="45.36"/>
    <s v="Dry Bag"/>
    <n v="6"/>
    <n v="0"/>
    <n v="51.36"/>
    <x v="4"/>
    <x v="1"/>
    <s v="Credit Card"/>
    <s v="Windy"/>
  </r>
  <r>
    <s v="WSR-2026-2949"/>
    <d v="2026-12-13T00:00:00"/>
    <x v="11"/>
    <x v="11"/>
    <s v="Sunday"/>
    <x v="50"/>
    <d v="2026-12-31T00:00:00"/>
    <s v="Winter"/>
    <x v="0"/>
    <x v="7"/>
    <s v="Half Day"/>
    <n v="1"/>
    <n v="36.72"/>
    <s v="Dry Bag"/>
    <n v="6"/>
    <n v="0"/>
    <n v="42.72"/>
    <x v="5"/>
    <x v="0"/>
    <s v="Debit Card"/>
    <s v="Sunny"/>
  </r>
  <r>
    <s v="WSR-2026-2950"/>
    <d v="2026-12-14T00:00:00"/>
    <x v="11"/>
    <x v="11"/>
    <s v="Monday"/>
    <x v="50"/>
    <d v="2026-12-31T00:00:00"/>
    <s v="Winter"/>
    <x v="4"/>
    <x v="1"/>
    <s v="2 Hours"/>
    <n v="1"/>
    <n v="38"/>
    <s v="None"/>
    <n v="0"/>
    <n v="3.8"/>
    <n v="34.200000000000003"/>
    <x v="1"/>
    <x v="4"/>
    <s v="Credit Card"/>
    <s v="Sunny"/>
  </r>
  <r>
    <s v="WSR-2026-2951"/>
    <d v="2026-12-15T00:00:00"/>
    <x v="11"/>
    <x v="11"/>
    <s v="Tuesday"/>
    <x v="50"/>
    <d v="2026-12-31T00:00:00"/>
    <s v="Winter"/>
    <x v="3"/>
    <x v="2"/>
    <s v="Half Day"/>
    <n v="1"/>
    <n v="78"/>
    <s v="Dry Bag"/>
    <n v="6"/>
    <n v="0"/>
    <n v="84"/>
    <x v="2"/>
    <x v="1"/>
    <s v="Debit Card"/>
    <s v="Sunny"/>
  </r>
  <r>
    <s v="WSR-2026-2952"/>
    <d v="2026-12-15T00:00:00"/>
    <x v="11"/>
    <x v="11"/>
    <s v="Tuesday"/>
    <x v="50"/>
    <d v="2026-12-31T00:00:00"/>
    <s v="Winter"/>
    <x v="0"/>
    <x v="5"/>
    <s v="2 Hours"/>
    <n v="1"/>
    <n v="42"/>
    <s v="None"/>
    <n v="0"/>
    <n v="0"/>
    <n v="42"/>
    <x v="4"/>
    <x v="4"/>
    <s v="Mobile Pay"/>
    <s v="Cloudy"/>
  </r>
  <r>
    <s v="WSR-2026-2953"/>
    <d v="2026-12-15T00:00:00"/>
    <x v="11"/>
    <x v="11"/>
    <s v="Tuesday"/>
    <x v="50"/>
    <d v="2026-12-31T00:00:00"/>
    <s v="Winter"/>
    <x v="4"/>
    <x v="3"/>
    <s v="Full Day"/>
    <n v="1"/>
    <n v="76"/>
    <s v="Phone Pouch"/>
    <n v="5"/>
    <n v="8.1"/>
    <n v="72.900000000000006"/>
    <x v="6"/>
    <x v="1"/>
    <s v="Credit Card"/>
    <s v="Cloudy"/>
  </r>
  <r>
    <s v="WSR-2026-2954"/>
    <d v="2026-12-15T00:00:00"/>
    <x v="11"/>
    <x v="11"/>
    <s v="Tuesday"/>
    <x v="50"/>
    <d v="2026-12-31T00:00:00"/>
    <s v="Winter"/>
    <x v="3"/>
    <x v="4"/>
    <s v="Full Day"/>
    <n v="1"/>
    <n v="40"/>
    <s v="None"/>
    <n v="0"/>
    <n v="0"/>
    <n v="40"/>
    <x v="7"/>
    <x v="0"/>
    <s v="Credit Card"/>
    <s v="Windy"/>
  </r>
  <r>
    <s v="WSR-2026-2955"/>
    <d v="2026-12-15T00:00:00"/>
    <x v="11"/>
    <x v="11"/>
    <s v="Tuesday"/>
    <x v="50"/>
    <d v="2026-12-31T00:00:00"/>
    <s v="Winter"/>
    <x v="3"/>
    <x v="1"/>
    <s v="1 Hour"/>
    <n v="1"/>
    <n v="24"/>
    <s v="None"/>
    <n v="0"/>
    <n v="0"/>
    <n v="24"/>
    <x v="6"/>
    <x v="0"/>
    <s v="Mobile Pay"/>
    <s v="Sunny"/>
  </r>
  <r>
    <s v="WSR-2026-2956"/>
    <d v="2026-12-17T00:00:00"/>
    <x v="11"/>
    <x v="11"/>
    <s v="Thursday"/>
    <x v="50"/>
    <d v="2026-12-31T00:00:00"/>
    <s v="Winter"/>
    <x v="2"/>
    <x v="5"/>
    <s v="1 Hour"/>
    <n v="1"/>
    <n v="26"/>
    <s v="None"/>
    <n v="0"/>
    <n v="0"/>
    <n v="26"/>
    <x v="7"/>
    <x v="0"/>
    <s v="Credit Card"/>
    <s v="Windy"/>
  </r>
  <r>
    <s v="WSR-2026-2957"/>
    <d v="2026-12-17T00:00:00"/>
    <x v="11"/>
    <x v="11"/>
    <s v="Thursday"/>
    <x v="50"/>
    <d v="2026-12-31T00:00:00"/>
    <s v="Winter"/>
    <x v="3"/>
    <x v="5"/>
    <s v="Half Day"/>
    <n v="1"/>
    <n v="62"/>
    <s v="Phone Pouch"/>
    <n v="5"/>
    <n v="0"/>
    <n v="67"/>
    <x v="4"/>
    <x v="1"/>
    <s v="Cash"/>
    <s v="Windy"/>
  </r>
  <r>
    <s v="WSR-2026-2958"/>
    <d v="2026-12-17T00:00:00"/>
    <x v="11"/>
    <x v="11"/>
    <s v="Thursday"/>
    <x v="50"/>
    <d v="2026-12-31T00:00:00"/>
    <s v="Winter"/>
    <x v="0"/>
    <x v="2"/>
    <s v="2 Hours"/>
    <n v="1"/>
    <n v="52"/>
    <s v="Phone Pouch"/>
    <n v="5"/>
    <n v="0"/>
    <n v="57"/>
    <x v="2"/>
    <x v="1"/>
    <s v="Credit Card"/>
    <s v="Rainy"/>
  </r>
  <r>
    <s v="WSR-2026-2959"/>
    <d v="2026-12-17T00:00:00"/>
    <x v="11"/>
    <x v="11"/>
    <s v="Thursday"/>
    <x v="50"/>
    <d v="2026-12-31T00:00:00"/>
    <s v="Winter"/>
    <x v="3"/>
    <x v="7"/>
    <s v="Full Day"/>
    <n v="1"/>
    <n v="48"/>
    <s v="GoPro Mount"/>
    <n v="8"/>
    <n v="0"/>
    <n v="56"/>
    <x v="2"/>
    <x v="1"/>
    <s v="Mobile Pay"/>
    <s v="Windy"/>
  </r>
  <r>
    <s v="WSR-2026-2960"/>
    <d v="2026-12-17T00:00:00"/>
    <x v="11"/>
    <x v="11"/>
    <s v="Thursday"/>
    <x v="50"/>
    <d v="2026-12-31T00:00:00"/>
    <s v="Winter"/>
    <x v="0"/>
    <x v="3"/>
    <s v="2 Hours"/>
    <n v="1"/>
    <n v="36"/>
    <s v="None"/>
    <n v="0"/>
    <n v="0"/>
    <n v="36"/>
    <x v="2"/>
    <x v="1"/>
    <s v="Credit Card"/>
    <s v="Cloudy"/>
  </r>
  <r>
    <s v="WSR-2026-2961"/>
    <d v="2026-12-18T00:00:00"/>
    <x v="11"/>
    <x v="11"/>
    <s v="Friday"/>
    <x v="50"/>
    <d v="2026-12-31T00:00:00"/>
    <s v="Winter"/>
    <x v="0"/>
    <x v="5"/>
    <s v="2 Hours"/>
    <n v="1"/>
    <n v="42"/>
    <s v="None"/>
    <n v="0"/>
    <n v="0"/>
    <n v="42"/>
    <x v="3"/>
    <x v="2"/>
    <s v="Gift Card"/>
    <s v="Sunny"/>
  </r>
  <r>
    <s v="WSR-2026-2962"/>
    <d v="2026-12-18T00:00:00"/>
    <x v="11"/>
    <x v="11"/>
    <s v="Friday"/>
    <x v="50"/>
    <d v="2026-12-31T00:00:00"/>
    <s v="Winter"/>
    <x v="2"/>
    <x v="4"/>
    <s v="1 Hour"/>
    <n v="1"/>
    <n v="12"/>
    <s v="GoPro Mount"/>
    <n v="8"/>
    <n v="0"/>
    <n v="20"/>
    <x v="0"/>
    <x v="1"/>
    <s v="Debit Card"/>
    <s v="Windy"/>
  </r>
  <r>
    <s v="WSR-2026-2963"/>
    <d v="2026-12-18T00:00:00"/>
    <x v="11"/>
    <x v="11"/>
    <s v="Friday"/>
    <x v="50"/>
    <d v="2026-12-31T00:00:00"/>
    <s v="Winter"/>
    <x v="2"/>
    <x v="1"/>
    <s v="2 Hours"/>
    <n v="1"/>
    <n v="38"/>
    <s v="None"/>
    <n v="0"/>
    <n v="0"/>
    <n v="38"/>
    <x v="3"/>
    <x v="1"/>
    <s v="Cash"/>
    <s v="Sunny"/>
  </r>
  <r>
    <s v="WSR-2026-2964"/>
    <d v="2026-12-19T00:00:00"/>
    <x v="11"/>
    <x v="11"/>
    <s v="Saturday"/>
    <x v="50"/>
    <d v="2026-12-31T00:00:00"/>
    <s v="Winter"/>
    <x v="3"/>
    <x v="0"/>
    <s v="Half Day"/>
    <n v="1"/>
    <n v="82.08"/>
    <s v="Cooler Rental"/>
    <n v="10"/>
    <n v="0"/>
    <n v="92.08"/>
    <x v="2"/>
    <x v="2"/>
    <s v="Debit Card"/>
    <s v="Cloudy"/>
  </r>
  <r>
    <s v="WSR-2026-2965"/>
    <d v="2026-12-19T00:00:00"/>
    <x v="11"/>
    <x v="11"/>
    <s v="Saturday"/>
    <x v="50"/>
    <d v="2026-12-31T00:00:00"/>
    <s v="Winter"/>
    <x v="0"/>
    <x v="2"/>
    <s v="2 Hours"/>
    <n v="1"/>
    <n v="56.16"/>
    <s v="Cooler Rental"/>
    <n v="10"/>
    <n v="0"/>
    <n v="66.16"/>
    <x v="4"/>
    <x v="0"/>
    <s v="Mobile Pay"/>
    <s v="Windy"/>
  </r>
  <r>
    <s v="WSR-2026-2966"/>
    <d v="2026-12-19T00:00:00"/>
    <x v="11"/>
    <x v="11"/>
    <s v="Saturday"/>
    <x v="50"/>
    <d v="2026-12-31T00:00:00"/>
    <s v="Winter"/>
    <x v="4"/>
    <x v="1"/>
    <s v="2 Hours"/>
    <n v="1"/>
    <n v="41.04"/>
    <s v="GoPro Mount"/>
    <n v="8"/>
    <n v="7.36"/>
    <n v="41.68"/>
    <x v="3"/>
    <x v="1"/>
    <s v="Credit Card"/>
    <s v="Windy"/>
  </r>
  <r>
    <s v="WSR-2026-2967"/>
    <d v="2026-12-19T00:00:00"/>
    <x v="11"/>
    <x v="11"/>
    <s v="Saturday"/>
    <x v="50"/>
    <d v="2026-12-31T00:00:00"/>
    <s v="Winter"/>
    <x v="0"/>
    <x v="0"/>
    <s v="Full Day"/>
    <n v="1"/>
    <n v="118.8"/>
    <s v="Premium Life Jacket"/>
    <n v="7"/>
    <n v="0"/>
    <n v="125.8"/>
    <x v="2"/>
    <x v="2"/>
    <s v="Cash"/>
    <s v="Sunny"/>
  </r>
  <r>
    <s v="WSR-2026-2968"/>
    <d v="2026-12-20T00:00:00"/>
    <x v="11"/>
    <x v="11"/>
    <s v="Sunday"/>
    <x v="51"/>
    <d v="2026-12-31T00:00:00"/>
    <s v="Winter"/>
    <x v="3"/>
    <x v="3"/>
    <s v="2 Hours"/>
    <n v="1"/>
    <n v="38.880000000000003"/>
    <s v="Phone Pouch"/>
    <n v="5"/>
    <n v="0"/>
    <n v="43.88"/>
    <x v="0"/>
    <x v="2"/>
    <s v="Credit Card"/>
    <s v="Sunny"/>
  </r>
  <r>
    <s v="WSR-2026-2969"/>
    <d v="2026-12-20T00:00:00"/>
    <x v="11"/>
    <x v="11"/>
    <s v="Sunday"/>
    <x v="51"/>
    <d v="2026-12-31T00:00:00"/>
    <s v="Winter"/>
    <x v="3"/>
    <x v="1"/>
    <s v="1 Hour"/>
    <n v="1"/>
    <n v="25.92"/>
    <s v="None"/>
    <n v="0"/>
    <n v="0"/>
    <n v="25.92"/>
    <x v="3"/>
    <x v="4"/>
    <s v="Mobile Pay"/>
    <s v="Sunny"/>
  </r>
  <r>
    <s v="WSR-2026-2970"/>
    <d v="2026-12-21T00:00:00"/>
    <x v="11"/>
    <x v="11"/>
    <s v="Monday"/>
    <x v="51"/>
    <d v="2026-12-31T00:00:00"/>
    <s v="Winter"/>
    <x v="0"/>
    <x v="5"/>
    <s v="2 Hours"/>
    <n v="1"/>
    <n v="42"/>
    <s v="None"/>
    <n v="0"/>
    <n v="0"/>
    <n v="42"/>
    <x v="7"/>
    <x v="2"/>
    <s v="Credit Card"/>
    <s v="Sunny"/>
  </r>
  <r>
    <s v="WSR-2026-2971"/>
    <d v="2026-12-21T00:00:00"/>
    <x v="11"/>
    <x v="11"/>
    <s v="Monday"/>
    <x v="51"/>
    <d v="2026-12-31T00:00:00"/>
    <s v="Winter"/>
    <x v="3"/>
    <x v="5"/>
    <s v="2 Hours"/>
    <n v="1"/>
    <n v="42"/>
    <s v="None"/>
    <n v="0"/>
    <n v="0"/>
    <n v="42"/>
    <x v="4"/>
    <x v="0"/>
    <s v="Debit Card"/>
    <s v="Sunny"/>
  </r>
  <r>
    <s v="WSR-2026-2972"/>
    <d v="2026-12-21T00:00:00"/>
    <x v="11"/>
    <x v="11"/>
    <s v="Monday"/>
    <x v="51"/>
    <d v="2026-12-31T00:00:00"/>
    <s v="Winter"/>
    <x v="3"/>
    <x v="1"/>
    <s v="Half Day"/>
    <n v="1"/>
    <n v="58"/>
    <s v="GoPro Mount"/>
    <n v="8"/>
    <n v="0"/>
    <n v="66"/>
    <x v="4"/>
    <x v="1"/>
    <s v="Debit Card"/>
    <s v="Windy"/>
  </r>
  <r>
    <s v="WSR-2026-2973"/>
    <d v="2026-12-21T00:00:00"/>
    <x v="11"/>
    <x v="11"/>
    <s v="Monday"/>
    <x v="51"/>
    <d v="2026-12-31T00:00:00"/>
    <s v="Winter"/>
    <x v="3"/>
    <x v="4"/>
    <s v="Full Day"/>
    <n v="1"/>
    <n v="40"/>
    <s v="Dry Bag"/>
    <n v="6"/>
    <n v="0"/>
    <n v="46"/>
    <x v="3"/>
    <x v="1"/>
    <s v="Mobile Pay"/>
    <s v="Rainy"/>
  </r>
  <r>
    <s v="WSR-2026-2974"/>
    <d v="2026-12-23T00:00:00"/>
    <x v="11"/>
    <x v="11"/>
    <s v="Wednesday"/>
    <x v="51"/>
    <d v="2026-12-31T00:00:00"/>
    <s v="Winter"/>
    <x v="3"/>
    <x v="1"/>
    <s v="2 Hours"/>
    <n v="1"/>
    <n v="38"/>
    <s v="GoPro Mount"/>
    <n v="8"/>
    <n v="2.2999999999999998"/>
    <n v="43.7"/>
    <x v="3"/>
    <x v="0"/>
    <s v="Debit Card"/>
    <s v="Sunny"/>
  </r>
  <r>
    <s v="WSR-2026-2975"/>
    <d v="2026-12-23T00:00:00"/>
    <x v="11"/>
    <x v="11"/>
    <s v="Wednesday"/>
    <x v="51"/>
    <d v="2026-12-31T00:00:00"/>
    <s v="Winter"/>
    <x v="3"/>
    <x v="8"/>
    <s v="Full Day"/>
    <n v="1"/>
    <n v="34"/>
    <s v="None"/>
    <n v="0"/>
    <n v="0"/>
    <n v="34"/>
    <x v="9"/>
    <x v="0"/>
    <s v="Mobile Pay"/>
    <s v="Rainy"/>
  </r>
  <r>
    <s v="WSR-2026-2976"/>
    <d v="2026-12-23T00:00:00"/>
    <x v="11"/>
    <x v="11"/>
    <s v="Wednesday"/>
    <x v="51"/>
    <d v="2026-12-31T00:00:00"/>
    <s v="Winter"/>
    <x v="2"/>
    <x v="8"/>
    <s v="Full Day"/>
    <n v="1"/>
    <n v="34"/>
    <s v="None"/>
    <n v="0"/>
    <n v="0"/>
    <n v="34"/>
    <x v="5"/>
    <x v="0"/>
    <s v="Mobile Pay"/>
    <s v="Cloudy"/>
  </r>
  <r>
    <s v="WSR-2026-2977"/>
    <d v="2026-12-24T00:00:00"/>
    <x v="11"/>
    <x v="11"/>
    <s v="Thursday"/>
    <x v="51"/>
    <d v="2026-12-31T00:00:00"/>
    <s v="Winter"/>
    <x v="4"/>
    <x v="7"/>
    <s v="1 Hour"/>
    <n v="1"/>
    <n v="14"/>
    <s v="Cooler Rental"/>
    <n v="10"/>
    <n v="3.6"/>
    <n v="20.399999999999999"/>
    <x v="8"/>
    <x v="4"/>
    <s v="Credit Card"/>
    <s v="Sunny"/>
  </r>
  <r>
    <s v="WSR-2026-2978"/>
    <d v="2026-12-24T00:00:00"/>
    <x v="11"/>
    <x v="11"/>
    <s v="Thursday"/>
    <x v="51"/>
    <d v="2026-12-31T00:00:00"/>
    <s v="Winter"/>
    <x v="2"/>
    <x v="1"/>
    <s v="1 Hour"/>
    <n v="1"/>
    <n v="24"/>
    <s v="None"/>
    <n v="0"/>
    <n v="0"/>
    <n v="24"/>
    <x v="4"/>
    <x v="2"/>
    <s v="Mobile Pay"/>
    <s v="Rainy"/>
  </r>
  <r>
    <s v="WSR-2026-2979"/>
    <d v="2026-12-24T00:00:00"/>
    <x v="11"/>
    <x v="11"/>
    <s v="Thursday"/>
    <x v="51"/>
    <d v="2026-12-31T00:00:00"/>
    <s v="Winter"/>
    <x v="1"/>
    <x v="5"/>
    <s v="2 Hours"/>
    <n v="1"/>
    <n v="42"/>
    <s v="Phone Pouch"/>
    <n v="5"/>
    <n v="4.7"/>
    <n v="42.3"/>
    <x v="5"/>
    <x v="4"/>
    <s v="Cash"/>
    <s v="Windy"/>
  </r>
  <r>
    <s v="WSR-2026-2980"/>
    <d v="2026-12-25T00:00:00"/>
    <x v="11"/>
    <x v="11"/>
    <s v="Friday"/>
    <x v="51"/>
    <d v="2026-12-31T00:00:00"/>
    <s v="Winter"/>
    <x v="2"/>
    <x v="5"/>
    <s v="2 Hours"/>
    <n v="1"/>
    <n v="42"/>
    <s v="Phone Pouch"/>
    <n v="5"/>
    <n v="0"/>
    <n v="47"/>
    <x v="6"/>
    <x v="0"/>
    <s v="Mobile Pay"/>
    <s v="Cloudy"/>
  </r>
  <r>
    <s v="WSR-2026-2981"/>
    <d v="2026-12-25T00:00:00"/>
    <x v="11"/>
    <x v="11"/>
    <s v="Friday"/>
    <x v="51"/>
    <d v="2026-12-31T00:00:00"/>
    <s v="Winter"/>
    <x v="3"/>
    <x v="1"/>
    <s v="Half Day"/>
    <n v="1"/>
    <n v="58"/>
    <s v="None"/>
    <n v="0"/>
    <n v="0"/>
    <n v="58"/>
    <x v="1"/>
    <x v="4"/>
    <s v="Debit Card"/>
    <s v="Rainy"/>
  </r>
  <r>
    <s v="WSR-2026-2982"/>
    <d v="2026-12-26T00:00:00"/>
    <x v="11"/>
    <x v="11"/>
    <s v="Saturday"/>
    <x v="51"/>
    <d v="2026-12-31T00:00:00"/>
    <s v="Winter"/>
    <x v="3"/>
    <x v="1"/>
    <s v="1 Hour"/>
    <n v="1"/>
    <n v="25.92"/>
    <s v="GoPro Mount"/>
    <n v="8"/>
    <n v="0"/>
    <n v="33.92"/>
    <x v="0"/>
    <x v="1"/>
    <s v="Credit Card"/>
    <s v="Windy"/>
  </r>
  <r>
    <s v="WSR-2026-2983"/>
    <d v="2026-12-26T00:00:00"/>
    <x v="11"/>
    <x v="11"/>
    <s v="Saturday"/>
    <x v="51"/>
    <d v="2026-12-31T00:00:00"/>
    <s v="Winter"/>
    <x v="3"/>
    <x v="7"/>
    <s v="2 Hours"/>
    <n v="1"/>
    <n v="23.76"/>
    <s v="GoPro Mount"/>
    <n v="8"/>
    <n v="0"/>
    <n v="31.76"/>
    <x v="2"/>
    <x v="1"/>
    <s v="Debit Card"/>
    <s v="Sunny"/>
  </r>
  <r>
    <s v="WSR-2026-2984"/>
    <d v="2026-12-26T00:00:00"/>
    <x v="11"/>
    <x v="11"/>
    <s v="Saturday"/>
    <x v="51"/>
    <d v="2026-12-31T00:00:00"/>
    <s v="Winter"/>
    <x v="0"/>
    <x v="3"/>
    <s v="2 Hours"/>
    <n v="1"/>
    <n v="38.880000000000003"/>
    <s v="Dry Bag"/>
    <n v="6"/>
    <n v="0"/>
    <n v="44.88"/>
    <x v="4"/>
    <x v="2"/>
    <s v="Debit Card"/>
    <s v="Sunny"/>
  </r>
  <r>
    <s v="WSR-2026-2985"/>
    <d v="2026-12-26T00:00:00"/>
    <x v="11"/>
    <x v="11"/>
    <s v="Saturday"/>
    <x v="51"/>
    <d v="2026-12-31T00:00:00"/>
    <s v="Winter"/>
    <x v="2"/>
    <x v="2"/>
    <s v="Half Day"/>
    <n v="1"/>
    <n v="84.24"/>
    <s v="None"/>
    <n v="0"/>
    <n v="0"/>
    <n v="84.24"/>
    <x v="5"/>
    <x v="4"/>
    <s v="Mobile Pay"/>
    <s v="Cloudy"/>
  </r>
  <r>
    <s v="WSR-2026-2986"/>
    <d v="2026-12-27T00:00:00"/>
    <x v="11"/>
    <x v="11"/>
    <s v="Sunday"/>
    <x v="52"/>
    <d v="2026-12-31T00:00:00"/>
    <s v="Winter"/>
    <x v="2"/>
    <x v="5"/>
    <s v="2 Hours"/>
    <n v="1"/>
    <n v="45.36"/>
    <s v="None"/>
    <n v="0"/>
    <n v="2.27"/>
    <n v="43.09"/>
    <x v="5"/>
    <x v="4"/>
    <s v="Mobile Pay"/>
    <s v="Windy"/>
  </r>
  <r>
    <s v="WSR-2026-2987"/>
    <d v="2026-12-27T00:00:00"/>
    <x v="11"/>
    <x v="11"/>
    <s v="Sunday"/>
    <x v="52"/>
    <d v="2026-12-31T00:00:00"/>
    <s v="Winter"/>
    <x v="1"/>
    <x v="8"/>
    <s v="Full Day"/>
    <n v="1"/>
    <n v="36.72"/>
    <s v="Phone Pouch"/>
    <n v="5"/>
    <n v="2.09"/>
    <n v="39.630000000000003"/>
    <x v="4"/>
    <x v="0"/>
    <s v="Debit Card"/>
    <s v="Cloudy"/>
  </r>
  <r>
    <s v="WSR-2026-2988"/>
    <d v="2026-12-27T00:00:00"/>
    <x v="11"/>
    <x v="11"/>
    <s v="Sunday"/>
    <x v="52"/>
    <d v="2026-12-31T00:00:00"/>
    <s v="Winter"/>
    <x v="2"/>
    <x v="2"/>
    <s v="Half Day"/>
    <n v="1"/>
    <n v="84.24"/>
    <s v="None"/>
    <n v="0"/>
    <n v="0"/>
    <n v="84.24"/>
    <x v="7"/>
    <x v="2"/>
    <s v="Debit Card"/>
    <s v="Windy"/>
  </r>
  <r>
    <s v="WSR-2026-2989"/>
    <d v="2026-12-27T00:00:00"/>
    <x v="11"/>
    <x v="11"/>
    <s v="Sunday"/>
    <x v="52"/>
    <d v="2026-12-31T00:00:00"/>
    <s v="Winter"/>
    <x v="2"/>
    <x v="5"/>
    <s v="Full Day"/>
    <n v="1"/>
    <n v="95.04"/>
    <s v="Dry Bag"/>
    <n v="6"/>
    <n v="0"/>
    <n v="101.04"/>
    <x v="6"/>
    <x v="1"/>
    <s v="Credit Card"/>
    <s v="Cloudy"/>
  </r>
  <r>
    <s v="WSR-2026-2990"/>
    <d v="2026-12-28T00:00:00"/>
    <x v="11"/>
    <x v="11"/>
    <s v="Monday"/>
    <x v="52"/>
    <d v="2026-12-31T00:00:00"/>
    <s v="Winter"/>
    <x v="3"/>
    <x v="5"/>
    <s v="Full Day"/>
    <n v="1"/>
    <n v="88"/>
    <s v="Phone Pouch"/>
    <n v="5"/>
    <n v="0"/>
    <n v="93"/>
    <x v="8"/>
    <x v="0"/>
    <s v="Credit Card"/>
    <s v="Rainy"/>
  </r>
  <r>
    <s v="WSR-2026-2991"/>
    <d v="2026-12-29T00:00:00"/>
    <x v="11"/>
    <x v="11"/>
    <s v="Tuesday"/>
    <x v="52"/>
    <d v="2026-12-31T00:00:00"/>
    <s v="Winter"/>
    <x v="1"/>
    <x v="4"/>
    <s v="1 Hour"/>
    <n v="1"/>
    <n v="12"/>
    <s v="Cooler Rental"/>
    <n v="10"/>
    <n v="2.2000000000000002"/>
    <n v="19.8"/>
    <x v="3"/>
    <x v="0"/>
    <s v="Credit Card"/>
    <s v="Rainy"/>
  </r>
  <r>
    <s v="WSR-2026-2992"/>
    <d v="2026-12-30T00:00:00"/>
    <x v="11"/>
    <x v="11"/>
    <s v="Wednesday"/>
    <x v="52"/>
    <d v="2026-12-31T00:00:00"/>
    <s v="Winter"/>
    <x v="1"/>
    <x v="5"/>
    <s v="2 Hours"/>
    <n v="1"/>
    <n v="42"/>
    <s v="Cooler Rental"/>
    <n v="10"/>
    <n v="0"/>
    <n v="52"/>
    <x v="3"/>
    <x v="0"/>
    <s v="Cash"/>
    <s v="Windy"/>
  </r>
  <r>
    <s v="WSR-2026-2993"/>
    <d v="2026-12-30T00:00:00"/>
    <x v="11"/>
    <x v="11"/>
    <s v="Wednesday"/>
    <x v="52"/>
    <d v="2026-12-31T00:00:00"/>
    <s v="Winter"/>
    <x v="3"/>
    <x v="0"/>
    <s v="Full Day"/>
    <n v="1"/>
    <n v="110"/>
    <s v="None"/>
    <n v="0"/>
    <n v="0"/>
    <n v="110"/>
    <x v="2"/>
    <x v="4"/>
    <s v="Cash"/>
    <s v="Windy"/>
  </r>
  <r>
    <s v="WSR-2026-2994"/>
    <d v="2026-12-30T00:00:00"/>
    <x v="11"/>
    <x v="11"/>
    <s v="Wednesday"/>
    <x v="52"/>
    <d v="2026-12-31T00:00:00"/>
    <s v="Winter"/>
    <x v="2"/>
    <x v="7"/>
    <s v="2 Hours"/>
    <n v="1"/>
    <n v="22"/>
    <s v="Phone Pouch"/>
    <n v="5"/>
    <n v="1.35"/>
    <n v="25.65"/>
    <x v="4"/>
    <x v="0"/>
    <s v="Credit Card"/>
    <s v="Cloudy"/>
  </r>
  <r>
    <s v="WSR-2026-2995"/>
    <d v="2026-12-31T00:00:00"/>
    <x v="11"/>
    <x v="11"/>
    <s v="Thursday"/>
    <x v="52"/>
    <d v="2026-12-31T00:00:00"/>
    <s v="Winter"/>
    <x v="0"/>
    <x v="8"/>
    <s v="2 Hours"/>
    <n v="1"/>
    <n v="16"/>
    <s v="None"/>
    <n v="0"/>
    <n v="0"/>
    <n v="16"/>
    <x v="0"/>
    <x v="1"/>
    <s v="Mobile Pay"/>
    <s v="Windy"/>
  </r>
  <r>
    <s v="WSR-2026-2996"/>
    <d v="2026-12-31T00:00:00"/>
    <x v="11"/>
    <x v="11"/>
    <s v="Thursday"/>
    <x v="52"/>
    <d v="2026-12-31T00:00:00"/>
    <s v="Winter"/>
    <x v="2"/>
    <x v="8"/>
    <s v="Full Day"/>
    <n v="1"/>
    <n v="34"/>
    <s v="Dry Bag"/>
    <n v="6"/>
    <n v="0"/>
    <n v="40"/>
    <x v="5"/>
    <x v="1"/>
    <s v="Debit Card"/>
    <s v="Cloudy"/>
  </r>
  <r>
    <s v="WSR-2026-2997"/>
    <d v="2026-12-31T00:00:00"/>
    <x v="11"/>
    <x v="11"/>
    <s v="Thursday"/>
    <x v="52"/>
    <d v="2026-12-31T00:00:00"/>
    <s v="Winter"/>
    <x v="3"/>
    <x v="1"/>
    <s v="2 Hours"/>
    <n v="1"/>
    <n v="38"/>
    <s v="Waterproof Speaker"/>
    <n v="12"/>
    <n v="0"/>
    <n v="50"/>
    <x v="9"/>
    <x v="1"/>
    <s v="Mobile Pay"/>
    <s v="Rainy"/>
  </r>
  <r>
    <s v="WSR-2026-2998"/>
    <d v="2026-12-31T00:00:00"/>
    <x v="11"/>
    <x v="11"/>
    <s v="Thursday"/>
    <x v="52"/>
    <d v="2026-12-31T00:00:00"/>
    <s v="Winter"/>
    <x v="0"/>
    <x v="0"/>
    <s v="1 Hour"/>
    <n v="1"/>
    <n v="32"/>
    <s v="None"/>
    <n v="0"/>
    <n v="0"/>
    <n v="32"/>
    <x v="4"/>
    <x v="0"/>
    <s v="Mobile Pay"/>
    <s v="Cloudy"/>
  </r>
  <r>
    <s v="WSR-2026-2999"/>
    <d v="2026-12-31T00:00:00"/>
    <x v="11"/>
    <x v="11"/>
    <s v="Thursday"/>
    <x v="52"/>
    <d v="2026-12-31T00:00:00"/>
    <s v="Winter"/>
    <x v="2"/>
    <x v="8"/>
    <s v="Half Day"/>
    <n v="1"/>
    <n v="24"/>
    <s v="Waterproof Speaker"/>
    <n v="12"/>
    <n v="0"/>
    <n v="36"/>
    <x v="7"/>
    <x v="2"/>
    <s v="Credit Card"/>
    <s v="Rainy"/>
  </r>
  <r>
    <s v="WSR-2026-3000"/>
    <d v="2026-12-31T00:00:00"/>
    <x v="11"/>
    <x v="11"/>
    <s v="Thursday"/>
    <x v="52"/>
    <d v="2026-12-31T00:00:00"/>
    <s v="Winter"/>
    <x v="2"/>
    <x v="7"/>
    <s v="Full Day"/>
    <n v="1"/>
    <n v="48"/>
    <s v="Cooler Rental"/>
    <n v="10"/>
    <n v="0"/>
    <n v="58"/>
    <x v="2"/>
    <x v="1"/>
    <s v="Debit Card"/>
    <s v="Cloudy"/>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1A464E4-20BC-4765-936D-E05226A9AB29}"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A3:B14" firstHeaderRow="1" firstDataRow="1" firstDataCol="1"/>
  <pivotFields count="21">
    <pivotField showAll="0"/>
    <pivotField numFmtId="14" showAll="0"/>
    <pivotField showAll="0"/>
    <pivotField showAll="0"/>
    <pivotField showAll="0"/>
    <pivotField showAll="0"/>
    <pivotField numFmtId="14" showAll="0"/>
    <pivotField showAll="0"/>
    <pivotField showAll="0"/>
    <pivotField showAll="0"/>
    <pivotField showAll="0"/>
    <pivotField showAll="0"/>
    <pivotField numFmtId="164" showAll="0"/>
    <pivotField showAll="0"/>
    <pivotField numFmtId="164" showAll="0"/>
    <pivotField numFmtId="164" showAll="0"/>
    <pivotField dataField="1" numFmtId="164" showAll="0"/>
    <pivotField axis="axisRow" showAll="0" sortType="ascending">
      <items count="11">
        <item x="5"/>
        <item x="4"/>
        <item x="3"/>
        <item x="9"/>
        <item x="2"/>
        <item x="1"/>
        <item x="8"/>
        <item x="7"/>
        <item x="0"/>
        <item x="6"/>
        <item t="default"/>
      </items>
      <autoSortScope>
        <pivotArea dataOnly="0" outline="0" fieldPosition="0">
          <references count="1">
            <reference field="4294967294" count="1" selected="0">
              <x v="0"/>
            </reference>
          </references>
        </pivotArea>
      </autoSortScope>
    </pivotField>
    <pivotField showAll="0">
      <items count="6">
        <item x="2"/>
        <item x="1"/>
        <item x="0"/>
        <item x="4"/>
        <item x="3"/>
        <item t="default"/>
      </items>
    </pivotField>
    <pivotField showAll="0"/>
    <pivotField showAll="0"/>
  </pivotFields>
  <rowFields count="1">
    <field x="17"/>
  </rowFields>
  <rowItems count="11">
    <i>
      <x v="8"/>
    </i>
    <i>
      <x v="3"/>
    </i>
    <i>
      <x v="5"/>
    </i>
    <i>
      <x v="6"/>
    </i>
    <i>
      <x v="7"/>
    </i>
    <i>
      <x v="4"/>
    </i>
    <i>
      <x v="1"/>
    </i>
    <i>
      <x v="2"/>
    </i>
    <i>
      <x v="9"/>
    </i>
    <i>
      <x/>
    </i>
    <i t="grand">
      <x/>
    </i>
  </rowItems>
  <colItems count="1">
    <i/>
  </colItems>
  <dataFields count="1">
    <dataField name="Sum of Total Revenue" fld="16" baseField="0" baseItem="0" numFmtId="164"/>
  </dataFields>
  <chartFormats count="2">
    <chartFormat chart="0" format="0"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2D9066A-3F6A-4AD2-AD68-F80892534A02}"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L3:M5" firstHeaderRow="1" firstDataRow="1" firstDataCol="1"/>
  <pivotFields count="21">
    <pivotField showAll="0"/>
    <pivotField numFmtId="14" showAll="0"/>
    <pivotField showAll="0" measureFilter="1">
      <items count="24">
        <item m="1" x="12"/>
        <item m="1" x="13"/>
        <item m="1" x="14"/>
        <item m="1" x="15"/>
        <item x="4"/>
        <item m="1" x="16"/>
        <item m="1" x="17"/>
        <item m="1" x="18"/>
        <item m="1" x="19"/>
        <item m="1" x="20"/>
        <item m="1" x="21"/>
        <item m="1" x="22"/>
        <item x="0"/>
        <item x="1"/>
        <item x="2"/>
        <item x="3"/>
        <item x="5"/>
        <item x="6"/>
        <item x="7"/>
        <item x="8"/>
        <item x="9"/>
        <item x="10"/>
        <item x="11"/>
        <item t="default"/>
      </items>
    </pivotField>
    <pivotField axis="axisRow" showAll="0" measureFilter="1">
      <items count="13">
        <item x="0"/>
        <item x="1"/>
        <item x="2"/>
        <item x="3"/>
        <item x="4"/>
        <item x="5"/>
        <item x="6"/>
        <item x="7"/>
        <item x="8"/>
        <item x="9"/>
        <item x="10"/>
        <item x="11"/>
        <item t="default"/>
      </items>
    </pivotField>
    <pivotField showAll="0"/>
    <pivotField showAll="0"/>
    <pivotField numFmtId="14" showAll="0"/>
    <pivotField showAll="0"/>
    <pivotField showAll="0"/>
    <pivotField showAll="0"/>
    <pivotField showAll="0"/>
    <pivotField showAll="0"/>
    <pivotField numFmtId="164" showAll="0"/>
    <pivotField showAll="0"/>
    <pivotField numFmtId="164" showAll="0"/>
    <pivotField numFmtId="164" showAll="0"/>
    <pivotField dataField="1" numFmtId="164" showAll="0"/>
    <pivotField showAll="0" sortType="ascending">
      <items count="11">
        <item x="5"/>
        <item x="4"/>
        <item x="3"/>
        <item x="9"/>
        <item x="2"/>
        <item x="1"/>
        <item x="8"/>
        <item x="7"/>
        <item x="0"/>
        <item x="6"/>
        <item t="default"/>
      </items>
      <autoSortScope>
        <pivotArea dataOnly="0" outline="0" fieldPosition="0">
          <references count="1">
            <reference field="4294967294" count="1" selected="0">
              <x v="0"/>
            </reference>
          </references>
        </pivotArea>
      </autoSortScope>
    </pivotField>
    <pivotField showAll="0">
      <items count="6">
        <item x="2"/>
        <item x="1"/>
        <item x="0"/>
        <item x="4"/>
        <item x="3"/>
        <item t="default"/>
      </items>
    </pivotField>
    <pivotField showAll="0"/>
    <pivotField showAll="0"/>
  </pivotFields>
  <rowFields count="1">
    <field x="3"/>
  </rowFields>
  <rowItems count="2">
    <i>
      <x v="6"/>
    </i>
    <i t="grand">
      <x/>
    </i>
  </rowItems>
  <colItems count="1">
    <i/>
  </colItems>
  <dataFields count="1">
    <dataField name="Sum of Total Revenue" fld="16" baseField="0" baseItem="0" numFmtId="164"/>
  </dataFields>
  <chartFormats count="2">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2">
    <filter fld="2" type="count" evalOrder="-1" id="1" iMeasureFld="0">
      <autoFilter ref="A1">
        <filterColumn colId="0">
          <top10 val="1" filterVal="1"/>
        </filterColumn>
      </autoFilter>
    </filter>
    <filter fld="3" type="count" evalOrder="-1" id="2" iMeasureFld="0">
      <autoFilter ref="A1">
        <filterColumn colId="0">
          <top10 val="1" filterVal="1"/>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9299E0B-A9D9-4DB8-9C31-47CDA04DF1EF}"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H3:H4" firstHeaderRow="1" firstDataRow="1" firstDataCol="0"/>
  <pivotFields count="21">
    <pivotField showAll="0"/>
    <pivotField numFmtId="14" showAll="0"/>
    <pivotField showAll="0"/>
    <pivotField showAll="0"/>
    <pivotField showAll="0"/>
    <pivotField showAll="0"/>
    <pivotField numFmtId="14" showAll="0"/>
    <pivotField showAll="0"/>
    <pivotField showAll="0"/>
    <pivotField showAll="0"/>
    <pivotField showAll="0"/>
    <pivotField showAll="0"/>
    <pivotField numFmtId="164" showAll="0"/>
    <pivotField showAll="0"/>
    <pivotField numFmtId="164" showAll="0"/>
    <pivotField numFmtId="164" showAll="0"/>
    <pivotField dataField="1" numFmtId="164" showAll="0"/>
    <pivotField showAll="0" sortType="ascending">
      <items count="11">
        <item x="5"/>
        <item x="4"/>
        <item x="3"/>
        <item x="9"/>
        <item x="2"/>
        <item x="1"/>
        <item x="8"/>
        <item x="7"/>
        <item x="0"/>
        <item x="6"/>
        <item t="default"/>
      </items>
      <autoSortScope>
        <pivotArea dataOnly="0" outline="0" fieldPosition="0">
          <references count="1">
            <reference field="4294967294" count="1" selected="0">
              <x v="0"/>
            </reference>
          </references>
        </pivotArea>
      </autoSortScope>
    </pivotField>
    <pivotField showAll="0">
      <items count="6">
        <item x="2"/>
        <item x="1"/>
        <item x="0"/>
        <item x="4"/>
        <item x="3"/>
        <item t="default"/>
      </items>
    </pivotField>
    <pivotField showAll="0"/>
    <pivotField showAll="0"/>
  </pivotFields>
  <rowItems count="1">
    <i/>
  </rowItems>
  <colItems count="1">
    <i/>
  </colItems>
  <dataFields count="1">
    <dataField name="Average of Total Revenue" fld="16" subtotal="average" baseField="0" baseItem="0" numFmtId="164"/>
  </dataFields>
  <chartFormats count="2">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CEF9981-540F-4F39-A3E5-8B8B453CA6BB}"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D3:D4" firstHeaderRow="1" firstDataRow="1" firstDataCol="0"/>
  <pivotFields count="21">
    <pivotField dataField="1" showAll="0"/>
    <pivotField numFmtId="14" showAll="0"/>
    <pivotField showAll="0"/>
    <pivotField showAll="0"/>
    <pivotField showAll="0"/>
    <pivotField showAll="0"/>
    <pivotField numFmtId="14" showAll="0"/>
    <pivotField showAll="0"/>
    <pivotField showAll="0"/>
    <pivotField showAll="0"/>
    <pivotField showAll="0"/>
    <pivotField showAll="0"/>
    <pivotField numFmtId="164" showAll="0"/>
    <pivotField showAll="0"/>
    <pivotField numFmtId="164" showAll="0"/>
    <pivotField numFmtId="164" showAll="0"/>
    <pivotField numFmtId="164" showAll="0"/>
    <pivotField showAll="0">
      <items count="11">
        <item x="5"/>
        <item x="4"/>
        <item x="3"/>
        <item x="9"/>
        <item x="2"/>
        <item x="1"/>
        <item x="8"/>
        <item x="7"/>
        <item x="0"/>
        <item x="6"/>
        <item t="default"/>
      </items>
    </pivotField>
    <pivotField showAll="0">
      <items count="6">
        <item x="2"/>
        <item x="1"/>
        <item x="0"/>
        <item x="4"/>
        <item x="3"/>
        <item t="default"/>
      </items>
    </pivotField>
    <pivotField showAll="0"/>
    <pivotField showAll="0"/>
  </pivotFields>
  <rowItems count="1">
    <i/>
  </rowItems>
  <colItems count="1">
    <i/>
  </colItems>
  <dataFields count="1">
    <dataField name="Count of Rental ID" fld="0" subtotal="count" baseField="0" baseItem="0" numFmtId="3"/>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1BA288E8-5F42-4F72-8607-85EE3161BE48}"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3:A4" firstHeaderRow="1" firstDataRow="1" firstDataCol="0"/>
  <pivotFields count="21">
    <pivotField showAll="0"/>
    <pivotField numFmtId="14" showAll="0"/>
    <pivotField showAll="0"/>
    <pivotField showAll="0"/>
    <pivotField showAll="0"/>
    <pivotField showAll="0"/>
    <pivotField numFmtId="14" showAll="0"/>
    <pivotField showAll="0"/>
    <pivotField showAll="0"/>
    <pivotField showAll="0"/>
    <pivotField showAll="0"/>
    <pivotField showAll="0"/>
    <pivotField numFmtId="164" showAll="0"/>
    <pivotField showAll="0"/>
    <pivotField numFmtId="164" showAll="0"/>
    <pivotField numFmtId="164" showAll="0"/>
    <pivotField dataField="1" numFmtId="164" showAll="0"/>
    <pivotField showAll="0" sortType="ascending">
      <items count="11">
        <item x="5"/>
        <item x="4"/>
        <item x="3"/>
        <item x="9"/>
        <item x="2"/>
        <item x="1"/>
        <item x="8"/>
        <item x="7"/>
        <item x="0"/>
        <item x="6"/>
        <item t="default"/>
      </items>
      <autoSortScope>
        <pivotArea dataOnly="0" outline="0" fieldPosition="0">
          <references count="1">
            <reference field="4294967294" count="1" selected="0">
              <x v="0"/>
            </reference>
          </references>
        </pivotArea>
      </autoSortScope>
    </pivotField>
    <pivotField showAll="0">
      <items count="6">
        <item x="2"/>
        <item x="1"/>
        <item x="0"/>
        <item x="4"/>
        <item x="3"/>
        <item t="default"/>
      </items>
    </pivotField>
    <pivotField showAll="0"/>
    <pivotField showAll="0"/>
  </pivotFields>
  <rowItems count="1">
    <i/>
  </rowItems>
  <colItems count="1">
    <i/>
  </colItems>
  <dataFields count="1">
    <dataField name="Sum of Total Revenue" fld="16" baseField="0" baseItem="0" numFmtId="164"/>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59A5F0DC-AF9B-4F20-8716-642612AB92E3}"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location ref="A3:C9" firstHeaderRow="0" firstDataRow="1" firstDataCol="1"/>
  <pivotFields count="21">
    <pivotField showAll="0"/>
    <pivotField numFmtId="14" showAll="0"/>
    <pivotField showAll="0"/>
    <pivotField showAll="0"/>
    <pivotField showAll="0"/>
    <pivotField showAll="0"/>
    <pivotField numFmtId="14" showAll="0"/>
    <pivotField showAll="0"/>
    <pivotField axis="axisRow" showAll="0" sortType="ascending">
      <items count="6">
        <item x="1"/>
        <item x="4"/>
        <item x="2"/>
        <item x="0"/>
        <item x="3"/>
        <item t="default"/>
      </items>
      <autoSortScope>
        <pivotArea dataOnly="0" outline="0" fieldPosition="0">
          <references count="1">
            <reference field="4294967294" count="1" selected="0">
              <x v="1"/>
            </reference>
          </references>
        </pivotArea>
      </autoSortScope>
    </pivotField>
    <pivotField showAll="0"/>
    <pivotField showAll="0"/>
    <pivotField showAll="0"/>
    <pivotField numFmtId="164" showAll="0"/>
    <pivotField showAll="0"/>
    <pivotField numFmtId="164" showAll="0"/>
    <pivotField numFmtId="164" showAll="0"/>
    <pivotField dataField="1" numFmtId="164" showAll="0"/>
    <pivotField showAll="0" sortType="ascending">
      <items count="11">
        <item x="5"/>
        <item x="4"/>
        <item x="3"/>
        <item x="9"/>
        <item x="2"/>
        <item x="1"/>
        <item x="8"/>
        <item x="7"/>
        <item x="0"/>
        <item x="6"/>
        <item t="default"/>
      </items>
      <autoSortScope>
        <pivotArea dataOnly="0" outline="0" fieldPosition="0">
          <references count="1">
            <reference field="4294967294" count="1" selected="0">
              <x v="1"/>
            </reference>
          </references>
        </pivotArea>
      </autoSortScope>
    </pivotField>
    <pivotField showAll="0">
      <items count="6">
        <item x="2"/>
        <item x="1"/>
        <item x="0"/>
        <item x="4"/>
        <item x="3"/>
        <item t="default"/>
      </items>
    </pivotField>
    <pivotField showAll="0"/>
    <pivotField showAll="0"/>
  </pivotFields>
  <rowFields count="1">
    <field x="8"/>
  </rowFields>
  <rowItems count="6">
    <i>
      <x v="1"/>
    </i>
    <i>
      <x/>
    </i>
    <i>
      <x v="3"/>
    </i>
    <i>
      <x v="2"/>
    </i>
    <i>
      <x v="4"/>
    </i>
    <i t="grand">
      <x/>
    </i>
  </rowItems>
  <colFields count="1">
    <field x="-2"/>
  </colFields>
  <colItems count="2">
    <i>
      <x/>
    </i>
    <i i="1">
      <x v="1"/>
    </i>
  </colItems>
  <dataFields count="2">
    <dataField name="Sum of Total Revenue2" fld="16" showDataAs="percentOfRow" baseField="0" baseItem="0" numFmtId="9"/>
    <dataField name="Sum of Total Revenue" fld="16" showDataAs="percentOfCol" baseField="0" baseItem="0" numFmtId="9"/>
  </dataFields>
  <chartFormats count="14">
    <chartFormat chart="0" format="0" series="1">
      <pivotArea type="data" outline="0" fieldPosition="0">
        <references count="1">
          <reference field="4294967294" count="1" selected="0">
            <x v="1"/>
          </reference>
        </references>
      </pivotArea>
    </chartFormat>
    <chartFormat chart="1" format="1" series="1">
      <pivotArea type="data" outline="0" fieldPosition="0">
        <references count="1">
          <reference field="4294967294" count="1" selected="0">
            <x v="1"/>
          </reference>
        </references>
      </pivotArea>
    </chartFormat>
    <chartFormat chart="1" format="2" series="1">
      <pivotArea type="data" outline="0" fieldPosition="0">
        <references count="1">
          <reference field="4294967294" count="1" selected="0">
            <x v="0"/>
          </reference>
        </references>
      </pivotArea>
    </chartFormat>
    <chartFormat chart="7" format="3" series="1">
      <pivotArea type="data" outline="0" fieldPosition="0">
        <references count="1">
          <reference field="4294967294" count="1" selected="0">
            <x v="0"/>
          </reference>
        </references>
      </pivotArea>
    </chartFormat>
    <chartFormat chart="7" format="4" series="1">
      <pivotArea type="data" outline="0" fieldPosition="0">
        <references count="1">
          <reference field="4294967294" count="1" selected="0">
            <x v="1"/>
          </reference>
        </references>
      </pivotArea>
    </chartFormat>
    <chartFormat chart="8" format="5" series="1">
      <pivotArea type="data" outline="0" fieldPosition="0">
        <references count="1">
          <reference field="4294967294" count="1" selected="0">
            <x v="0"/>
          </reference>
        </references>
      </pivotArea>
    </chartFormat>
    <chartFormat chart="8" format="6" series="1">
      <pivotArea type="data" outline="0" fieldPosition="0">
        <references count="1">
          <reference field="4294967294" count="1" selected="0">
            <x v="1"/>
          </reference>
        </references>
      </pivotArea>
    </chartFormat>
    <chartFormat chart="15" format="5" series="1">
      <pivotArea type="data" outline="0" fieldPosition="0">
        <references count="1">
          <reference field="4294967294" count="1" selected="0">
            <x v="0"/>
          </reference>
        </references>
      </pivotArea>
    </chartFormat>
    <chartFormat chart="15" format="6" series="1">
      <pivotArea type="data" outline="0" fieldPosition="0">
        <references count="1">
          <reference field="4294967294" count="1" selected="0">
            <x v="1"/>
          </reference>
        </references>
      </pivotArea>
    </chartFormat>
    <chartFormat chart="15" format="7">
      <pivotArea type="data" outline="0" fieldPosition="0">
        <references count="2">
          <reference field="4294967294" count="1" selected="0">
            <x v="1"/>
          </reference>
          <reference field="8" count="1" selected="0">
            <x v="4"/>
          </reference>
        </references>
      </pivotArea>
    </chartFormat>
    <chartFormat chart="15" format="8">
      <pivotArea type="data" outline="0" fieldPosition="0">
        <references count="2">
          <reference field="4294967294" count="1" selected="0">
            <x v="1"/>
          </reference>
          <reference field="8" count="1" selected="0">
            <x v="2"/>
          </reference>
        </references>
      </pivotArea>
    </chartFormat>
    <chartFormat chart="15" format="9">
      <pivotArea type="data" outline="0" fieldPosition="0">
        <references count="2">
          <reference field="4294967294" count="1" selected="0">
            <x v="1"/>
          </reference>
          <reference field="8" count="1" selected="0">
            <x v="3"/>
          </reference>
        </references>
      </pivotArea>
    </chartFormat>
    <chartFormat chart="15" format="10">
      <pivotArea type="data" outline="0" fieldPosition="0">
        <references count="2">
          <reference field="4294967294" count="1" selected="0">
            <x v="1"/>
          </reference>
          <reference field="8" count="1" selected="0">
            <x v="0"/>
          </reference>
        </references>
      </pivotArea>
    </chartFormat>
    <chartFormat chart="15" format="11">
      <pivotArea type="data" outline="0" fieldPosition="0">
        <references count="2">
          <reference field="4294967294" count="1" selected="0">
            <x v="1"/>
          </reference>
          <reference field="8"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10A5D1F1-1D1D-4954-B814-7722E44612E9}"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1">
  <location ref="A3:B16" firstHeaderRow="1" firstDataRow="1" firstDataCol="1"/>
  <pivotFields count="21">
    <pivotField showAll="0"/>
    <pivotField numFmtId="14" showAll="0"/>
    <pivotField axis="axisRow" showAll="0">
      <items count="24">
        <item sd="0" m="1" x="12"/>
        <item sd="0" m="1" x="13"/>
        <item sd="0" m="1" x="14"/>
        <item sd="0" m="1" x="15"/>
        <item sd="0" m="1" x="16"/>
        <item sd="0" m="1" x="17"/>
        <item sd="0" m="1" x="18"/>
        <item sd="0" m="1" x="19"/>
        <item sd="0" m="1" x="20"/>
        <item sd="0" m="1" x="21"/>
        <item sd="0" m="1" x="22"/>
        <item sd="0" x="0"/>
        <item sd="0" x="1"/>
        <item sd="0" x="2"/>
        <item sd="0" x="3"/>
        <item sd="0" x="4"/>
        <item sd="0" x="5"/>
        <item sd="0" x="6"/>
        <item sd="0" x="7"/>
        <item sd="0" x="8"/>
        <item sd="0" x="9"/>
        <item sd="0" x="10"/>
        <item sd="0" x="11"/>
        <item t="default" sd="0"/>
      </items>
    </pivotField>
    <pivotField showAll="0"/>
    <pivotField showAll="0"/>
    <pivotField axis="axisRow" showAll="0">
      <items count="5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t="default"/>
      </items>
    </pivotField>
    <pivotField numFmtId="14" showAll="0"/>
    <pivotField showAll="0"/>
    <pivotField showAll="0"/>
    <pivotField showAll="0"/>
    <pivotField showAll="0"/>
    <pivotField showAll="0"/>
    <pivotField numFmtId="164" showAll="0"/>
    <pivotField showAll="0"/>
    <pivotField numFmtId="164" showAll="0"/>
    <pivotField numFmtId="164" showAll="0"/>
    <pivotField dataField="1" numFmtId="164" showAll="0"/>
    <pivotField showAll="0" sortType="ascending">
      <items count="11">
        <item x="5"/>
        <item x="4"/>
        <item x="3"/>
        <item x="9"/>
        <item x="2"/>
        <item x="1"/>
        <item x="8"/>
        <item x="7"/>
        <item x="0"/>
        <item x="6"/>
        <item t="default"/>
      </items>
      <autoSortScope>
        <pivotArea dataOnly="0" outline="0" fieldPosition="0">
          <references count="1">
            <reference field="4294967294" count="1" selected="0">
              <x v="0"/>
            </reference>
          </references>
        </pivotArea>
      </autoSortScope>
    </pivotField>
    <pivotField showAll="0">
      <items count="6">
        <item x="2"/>
        <item x="1"/>
        <item x="0"/>
        <item x="4"/>
        <item x="3"/>
        <item t="default"/>
      </items>
    </pivotField>
    <pivotField showAll="0"/>
    <pivotField showAll="0"/>
  </pivotFields>
  <rowFields count="2">
    <field x="2"/>
    <field x="5"/>
  </rowFields>
  <rowItems count="13">
    <i>
      <x v="11"/>
    </i>
    <i>
      <x v="12"/>
    </i>
    <i>
      <x v="13"/>
    </i>
    <i>
      <x v="14"/>
    </i>
    <i>
      <x v="15"/>
    </i>
    <i>
      <x v="16"/>
    </i>
    <i>
      <x v="17"/>
    </i>
    <i>
      <x v="18"/>
    </i>
    <i>
      <x v="19"/>
    </i>
    <i>
      <x v="20"/>
    </i>
    <i>
      <x v="21"/>
    </i>
    <i>
      <x v="22"/>
    </i>
    <i t="grand">
      <x/>
    </i>
  </rowItems>
  <colItems count="1">
    <i/>
  </colItems>
  <dataFields count="1">
    <dataField name="Sum of Total Revenue" fld="16" baseField="0" baseItem="0" numFmtId="164"/>
  </dataFields>
  <chartFormats count="4">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7" format="3" series="1">
      <pivotArea type="data" outline="0" fieldPosition="0">
        <references count="1">
          <reference field="4294967294" count="1" selected="0">
            <x v="0"/>
          </reference>
        </references>
      </pivotArea>
    </chartFormat>
    <chartFormat chart="12"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2ECB6440-C5C6-4CB6-8965-55D929708C0F}"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A3:B9" firstHeaderRow="1" firstDataRow="1" firstDataCol="1"/>
  <pivotFields count="21">
    <pivotField showAll="0"/>
    <pivotField numFmtId="14" showAll="0"/>
    <pivotField showAll="0"/>
    <pivotField showAll="0"/>
    <pivotField showAll="0"/>
    <pivotField showAll="0"/>
    <pivotField numFmtId="14" showAll="0"/>
    <pivotField showAll="0"/>
    <pivotField showAll="0"/>
    <pivotField axis="axisRow" showAll="0" measureFilter="1" sortType="descending">
      <items count="11">
        <item x="7"/>
        <item x="0"/>
        <item x="9"/>
        <item x="6"/>
        <item x="1"/>
        <item x="4"/>
        <item x="5"/>
        <item x="3"/>
        <item x="2"/>
        <item x="8"/>
        <item t="default"/>
      </items>
      <autoSortScope>
        <pivotArea dataOnly="0" outline="0" fieldPosition="0">
          <references count="1">
            <reference field="4294967294" count="1" selected="0">
              <x v="0"/>
            </reference>
          </references>
        </pivotArea>
      </autoSortScope>
    </pivotField>
    <pivotField showAll="0"/>
    <pivotField showAll="0"/>
    <pivotField numFmtId="164" showAll="0"/>
    <pivotField showAll="0"/>
    <pivotField numFmtId="164" showAll="0"/>
    <pivotField numFmtId="164" showAll="0"/>
    <pivotField dataField="1" numFmtId="164" showAll="0"/>
    <pivotField showAll="0" sortType="ascending">
      <items count="11">
        <item x="5"/>
        <item x="4"/>
        <item x="3"/>
        <item x="9"/>
        <item x="2"/>
        <item x="1"/>
        <item x="8"/>
        <item x="7"/>
        <item x="0"/>
        <item x="6"/>
        <item t="default"/>
      </items>
      <autoSortScope>
        <pivotArea dataOnly="0" outline="0" fieldPosition="0">
          <references count="1">
            <reference field="4294967294" count="1" selected="0">
              <x v="0"/>
            </reference>
          </references>
        </pivotArea>
      </autoSortScope>
    </pivotField>
    <pivotField showAll="0">
      <items count="6">
        <item x="2"/>
        <item x="1"/>
        <item x="0"/>
        <item x="4"/>
        <item x="3"/>
        <item t="default"/>
      </items>
    </pivotField>
    <pivotField showAll="0"/>
    <pivotField showAll="0"/>
  </pivotFields>
  <rowFields count="1">
    <field x="9"/>
  </rowFields>
  <rowItems count="6">
    <i>
      <x v="6"/>
    </i>
    <i>
      <x v="4"/>
    </i>
    <i>
      <x v="8"/>
    </i>
    <i>
      <x v="7"/>
    </i>
    <i>
      <x v="1"/>
    </i>
    <i t="grand">
      <x/>
    </i>
  </rowItems>
  <colItems count="1">
    <i/>
  </colItems>
  <dataFields count="1">
    <dataField name="Sum of Total Revenue" fld="16" baseField="0" baseItem="0" numFmtId="164"/>
  </dataFields>
  <chartFormats count="8">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8" format="3" series="1">
      <pivotArea type="data" outline="0" fieldPosition="0">
        <references count="1">
          <reference field="4294967294" count="1" selected="0">
            <x v="0"/>
          </reference>
        </references>
      </pivotArea>
    </chartFormat>
    <chartFormat chart="8" format="4">
      <pivotArea type="data" outline="0" fieldPosition="0">
        <references count="2">
          <reference field="4294967294" count="1" selected="0">
            <x v="0"/>
          </reference>
          <reference field="9" count="1" selected="0">
            <x v="6"/>
          </reference>
        </references>
      </pivotArea>
    </chartFormat>
    <chartFormat chart="8" format="5">
      <pivotArea type="data" outline="0" fieldPosition="0">
        <references count="2">
          <reference field="4294967294" count="1" selected="0">
            <x v="0"/>
          </reference>
          <reference field="9" count="1" selected="0">
            <x v="4"/>
          </reference>
        </references>
      </pivotArea>
    </chartFormat>
    <chartFormat chart="8" format="6">
      <pivotArea type="data" outline="0" fieldPosition="0">
        <references count="2">
          <reference field="4294967294" count="1" selected="0">
            <x v="0"/>
          </reference>
          <reference field="9" count="1" selected="0">
            <x v="8"/>
          </reference>
        </references>
      </pivotArea>
    </chartFormat>
    <chartFormat chart="8" format="7">
      <pivotArea type="data" outline="0" fieldPosition="0">
        <references count="2">
          <reference field="4294967294" count="1" selected="0">
            <x v="0"/>
          </reference>
          <reference field="9" count="1" selected="0">
            <x v="1"/>
          </reference>
        </references>
      </pivotArea>
    </chartFormat>
    <chartFormat chart="8" format="7">
      <pivotArea type="data" outline="0" fieldPosition="0">
        <references count="2">
          <reference field="4294967294" count="1" selected="0">
            <x v="0"/>
          </reference>
          <reference field="9" count="1" selected="0">
            <x v="7"/>
          </reference>
        </references>
      </pivotArea>
    </chartFormat>
  </chartFormats>
  <pivotTableStyleInfo name="PivotStyleLight16" showRowHeaders="1" showColHeaders="1" showRowStripes="0" showColStripes="0" showLastColumn="1"/>
  <filters count="1">
    <filter fld="9"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eam_Member" xr10:uid="{B35A32BC-B872-48C4-9AC4-7A5F74DB4605}" sourceName="Team Member">
  <pivotTables>
    <pivotTable tabId="8" name="PivotTable1"/>
    <pivotTable tabId="15" name="PivotTable1"/>
    <pivotTable tabId="15" name="PivotTable3"/>
    <pivotTable tabId="15" name="PivotTable4"/>
    <pivotTable tabId="15" name="PivotTable5"/>
    <pivotTable tabId="12" name="PivotTable1"/>
    <pivotTable tabId="3" name="PivotTable1"/>
  </pivotTables>
  <data>
    <tabular pivotCacheId="641035486">
      <items count="10">
        <i x="5" s="1"/>
        <i x="4" s="1"/>
        <i x="3" s="1"/>
        <i x="9" s="1"/>
        <i x="2" s="1"/>
        <i x="1" s="1"/>
        <i x="8" s="1"/>
        <i x="7" s="1"/>
        <i x="0" s="1"/>
        <i x="6"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Team Member" xr10:uid="{074F4E15-D4FC-4EBA-8C7C-37949BA57CC8}" cache="Slicer_Team_Member" caption="Team Member" style="SlicerStyleLight3 2"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8287D5E-8FE7-4258-AB3F-11B866A6BBA4}" name="tblData" displayName="tblData" ref="A1:U3001" totalsRowShown="0">
  <autoFilter ref="A1:U3001" xr:uid="{73FA3570-BDA7-4395-8462-32626EEA125C}"/>
  <tableColumns count="21">
    <tableColumn id="1" xr3:uid="{7EC6FD65-E3A1-4CE6-8DCA-A2AE690F163E}" name="Rental ID"/>
    <tableColumn id="2" xr3:uid="{E0D3C68E-5D69-4F77-863E-1419FF28B296}" name="Rental Date" dataDxfId="8"/>
    <tableColumn id="3" xr3:uid="{D4FE1B99-D9A3-42AF-8249-264D460542FD}" name="Month" dataDxfId="7">
      <calculatedColumnFormula>TEXT(tblData[[#This Row],[Rental Date]],"mmm")</calculatedColumnFormula>
    </tableColumn>
    <tableColumn id="21" xr3:uid="{1AADA2CF-E987-4CB1-8E57-BED50F2F47CD}" name="Month Name" dataDxfId="6">
      <calculatedColumnFormula>TEXT(tblData[[#This Row],[Rental Date]],"mmmm")</calculatedColumnFormula>
    </tableColumn>
    <tableColumn id="4" xr3:uid="{52A1F68B-1603-43FC-983D-6F2844F3835E}" name="Day of Week"/>
    <tableColumn id="19" xr3:uid="{C902D2F4-955A-45FC-B8AD-05EDB845FE14}" name="Week Number" dataDxfId="5">
      <calculatedColumnFormula>TEXT(WEEKNUM(tblData[[#This Row],[Rental Date]]),"00")</calculatedColumnFormula>
    </tableColumn>
    <tableColumn id="20" xr3:uid="{981A8562-7BE6-4CEC-94EE-1B97AB263785}" name="EO Month" dataDxfId="4">
      <calculatedColumnFormula>EOMONTH(tblData[[#This Row],[Rental Date]],0)</calculatedColumnFormula>
    </tableColumn>
    <tableColumn id="5" xr3:uid="{4AFE48ED-AF9D-4C74-BCB4-1061A09543DB}" name="Season"/>
    <tableColumn id="6" xr3:uid="{2BE1B2F6-2663-4661-92F3-BFB8F2FC3E1A}" name="Customer Type"/>
    <tableColumn id="7" xr3:uid="{EFC8F086-F4C9-4D17-B73E-3BADBA2842D8}" name="Rental Item"/>
    <tableColumn id="8" xr3:uid="{EA0986FF-2665-40F0-ACBC-9BE9677BA7E4}" name="Rental Duration"/>
    <tableColumn id="9" xr3:uid="{3074D02C-68AD-4052-840C-F3E9434EFAEC}" name="Quantity"/>
    <tableColumn id="10" xr3:uid="{BDB4CE49-9A46-4584-9719-DBD081D44686}" name="Unit Price" dataDxfId="3" dataCellStyle="Currency"/>
    <tableColumn id="11" xr3:uid="{2BC7251D-DB49-4D32-9C02-3EB71E17886E}" name="Add-on"/>
    <tableColumn id="12" xr3:uid="{8FF439BF-06C1-43F7-B6E8-E62EE58CC2C6}" name="Add-on Revenue" dataDxfId="2"/>
    <tableColumn id="13" xr3:uid="{540CB2F9-6505-47D4-AF6B-C9929404FF05}" name="Discount Amount" dataDxfId="1"/>
    <tableColumn id="14" xr3:uid="{5C05AF93-AA0A-4987-9B6C-69FFE3A58A2E}" name="Total Revenue" dataDxfId="0" dataCellStyle="Currency"/>
    <tableColumn id="15" xr3:uid="{75D57F9A-B796-4963-818A-B1C009AFF767}" name="Team Member"/>
    <tableColumn id="16" xr3:uid="{4A4DEBED-D213-4131-8FF8-8244B2157013}" name="Launch Site"/>
    <tableColumn id="17" xr3:uid="{F6EED478-2EE1-4E05-A8B8-A0CCF8DBF373}" name="Payment Method"/>
    <tableColumn id="18" xr3:uid="{4E5FB473-E681-4EED-B3D0-F7BC41443476}" name="Weather"/>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4.xml"/><Relationship Id="rId2" Type="http://schemas.openxmlformats.org/officeDocument/2006/relationships/pivotTable" Target="../pivotTables/pivotTable3.xml"/><Relationship Id="rId1" Type="http://schemas.openxmlformats.org/officeDocument/2006/relationships/pivotTable" Target="../pivotTables/pivotTable2.xml"/><Relationship Id="rId4" Type="http://schemas.openxmlformats.org/officeDocument/2006/relationships/pivotTable" Target="../pivotTables/pivotTable5.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6.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7.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8.xml"/></Relationships>
</file>

<file path=xl/worksheets/_rels/sheet7.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6AD2D7-E5E7-4A26-A0E8-FDFDEF6C179D}">
  <dimension ref="A1"/>
  <sheetViews>
    <sheetView zoomScaleNormal="100" workbookViewId="0">
      <selection activeCell="W8" sqref="W8"/>
    </sheetView>
  </sheetViews>
  <sheetFormatPr defaultColWidth="8.81640625" defaultRowHeight="14.5" x14ac:dyDescent="0.35"/>
  <cols>
    <col min="1" max="16384" width="8.81640625" style="6"/>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AA7C75-2FD4-4654-BE23-6251D0F3E37D}">
  <dimension ref="A3:B14"/>
  <sheetViews>
    <sheetView workbookViewId="0">
      <selection activeCell="B4" sqref="B4"/>
    </sheetView>
  </sheetViews>
  <sheetFormatPr defaultRowHeight="14.5" x14ac:dyDescent="0.35"/>
  <cols>
    <col min="1" max="1" width="13.26953125" bestFit="1" customWidth="1"/>
    <col min="2" max="2" width="18.7265625" bestFit="1" customWidth="1"/>
  </cols>
  <sheetData>
    <row r="3" spans="1:2" x14ac:dyDescent="0.35">
      <c r="A3" s="4" t="s">
        <v>3082</v>
      </c>
      <c r="B3" t="s">
        <v>3084</v>
      </c>
    </row>
    <row r="4" spans="1:2" x14ac:dyDescent="0.35">
      <c r="A4" s="5" t="s">
        <v>27</v>
      </c>
      <c r="B4" s="3">
        <v>10997.509999999995</v>
      </c>
    </row>
    <row r="5" spans="1:2" x14ac:dyDescent="0.35">
      <c r="A5" s="5" t="s">
        <v>94</v>
      </c>
      <c r="B5" s="3">
        <v>13802.789999999994</v>
      </c>
    </row>
    <row r="6" spans="1:2" x14ac:dyDescent="0.35">
      <c r="A6" s="5" t="s">
        <v>34</v>
      </c>
      <c r="B6" s="3">
        <v>14280.32</v>
      </c>
    </row>
    <row r="7" spans="1:2" x14ac:dyDescent="0.35">
      <c r="A7" s="5" t="s">
        <v>76</v>
      </c>
      <c r="B7" s="3">
        <v>14537.399999999987</v>
      </c>
    </row>
    <row r="8" spans="1:2" x14ac:dyDescent="0.35">
      <c r="A8" s="5" t="s">
        <v>71</v>
      </c>
      <c r="B8" s="3">
        <v>15031.989999999994</v>
      </c>
    </row>
    <row r="9" spans="1:2" x14ac:dyDescent="0.35">
      <c r="A9" s="5" t="s">
        <v>42</v>
      </c>
      <c r="B9" s="3">
        <v>15523.019999999997</v>
      </c>
    </row>
    <row r="10" spans="1:2" x14ac:dyDescent="0.35">
      <c r="A10" s="5" t="s">
        <v>57</v>
      </c>
      <c r="B10" s="3">
        <v>15835.329999999989</v>
      </c>
    </row>
    <row r="11" spans="1:2" x14ac:dyDescent="0.35">
      <c r="A11" s="5" t="s">
        <v>45</v>
      </c>
      <c r="B11" s="3">
        <v>16380.299999999987</v>
      </c>
    </row>
    <row r="12" spans="1:2" x14ac:dyDescent="0.35">
      <c r="A12" s="5" t="s">
        <v>66</v>
      </c>
      <c r="B12" s="3">
        <v>16882.71</v>
      </c>
    </row>
    <row r="13" spans="1:2" x14ac:dyDescent="0.35">
      <c r="A13" s="5" t="s">
        <v>62</v>
      </c>
      <c r="B13" s="3">
        <v>17654.09</v>
      </c>
    </row>
    <row r="14" spans="1:2" x14ac:dyDescent="0.35">
      <c r="A14" s="5" t="s">
        <v>3083</v>
      </c>
      <c r="B14" s="3">
        <v>150925.45999999993</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439353-5E7B-4B53-9B5A-DED632672B8C}">
  <dimension ref="A3:M5"/>
  <sheetViews>
    <sheetView workbookViewId="0">
      <selection activeCell="L4" sqref="L4"/>
    </sheetView>
  </sheetViews>
  <sheetFormatPr defaultRowHeight="14.5" x14ac:dyDescent="0.35"/>
  <cols>
    <col min="1" max="1" width="20.81640625" bestFit="1" customWidth="1"/>
    <col min="2" max="2" width="18.7265625" bestFit="1" customWidth="1"/>
    <col min="4" max="4" width="17.81640625" bestFit="1" customWidth="1"/>
    <col min="8" max="8" width="24.1796875" bestFit="1" customWidth="1"/>
    <col min="12" max="12" width="13.453125" bestFit="1" customWidth="1"/>
    <col min="13" max="13" width="20.81640625" bestFit="1" customWidth="1"/>
  </cols>
  <sheetData>
    <row r="3" spans="1:13" x14ac:dyDescent="0.35">
      <c r="A3" t="s">
        <v>3084</v>
      </c>
      <c r="D3" t="s">
        <v>3086</v>
      </c>
      <c r="H3" t="s">
        <v>3087</v>
      </c>
      <c r="L3" s="4" t="s">
        <v>3082</v>
      </c>
      <c r="M3" t="s">
        <v>3084</v>
      </c>
    </row>
    <row r="4" spans="1:13" x14ac:dyDescent="0.35">
      <c r="A4" s="3">
        <v>150925.45999999979</v>
      </c>
      <c r="D4" s="7">
        <v>3000</v>
      </c>
      <c r="H4" s="3">
        <v>50.308486666666596</v>
      </c>
      <c r="L4" s="5" t="s">
        <v>3100</v>
      </c>
      <c r="M4" s="3">
        <v>36017.40000000006</v>
      </c>
    </row>
    <row r="5" spans="1:13" x14ac:dyDescent="0.35">
      <c r="L5" s="5" t="s">
        <v>3083</v>
      </c>
      <c r="M5" s="3">
        <v>36017.40000000006</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656106-4A52-49A5-85A2-84FCC81AFF13}">
  <dimension ref="A3:C9"/>
  <sheetViews>
    <sheetView workbookViewId="0">
      <selection activeCell="B4" sqref="B4"/>
    </sheetView>
  </sheetViews>
  <sheetFormatPr defaultRowHeight="14.5" x14ac:dyDescent="0.35"/>
  <cols>
    <col min="1" max="1" width="14.54296875" bestFit="1" customWidth="1"/>
    <col min="2" max="2" width="22" bestFit="1" customWidth="1"/>
    <col min="3" max="3" width="20.81640625" bestFit="1" customWidth="1"/>
  </cols>
  <sheetData>
    <row r="3" spans="1:3" x14ac:dyDescent="0.35">
      <c r="A3" s="4" t="s">
        <v>3082</v>
      </c>
      <c r="B3" t="s">
        <v>3085</v>
      </c>
      <c r="C3" t="s">
        <v>3084</v>
      </c>
    </row>
    <row r="4" spans="1:3" x14ac:dyDescent="0.35">
      <c r="A4" s="5" t="s">
        <v>53</v>
      </c>
      <c r="B4" s="8">
        <v>1</v>
      </c>
      <c r="C4" s="8">
        <v>3.9912020145573782E-2</v>
      </c>
    </row>
    <row r="5" spans="1:3" x14ac:dyDescent="0.35">
      <c r="A5" s="5" t="s">
        <v>32</v>
      </c>
      <c r="B5" s="8">
        <v>1</v>
      </c>
      <c r="C5" s="8">
        <v>0.10812595833731409</v>
      </c>
    </row>
    <row r="6" spans="1:3" x14ac:dyDescent="0.35">
      <c r="A6" s="5" t="s">
        <v>23</v>
      </c>
      <c r="B6" s="8">
        <v>1</v>
      </c>
      <c r="C6" s="8">
        <v>0.17840349799165753</v>
      </c>
    </row>
    <row r="7" spans="1:3" x14ac:dyDescent="0.35">
      <c r="A7" s="5" t="s">
        <v>39</v>
      </c>
      <c r="B7" s="8">
        <v>1</v>
      </c>
      <c r="C7" s="8">
        <v>0.32513699146585334</v>
      </c>
    </row>
    <row r="8" spans="1:3" x14ac:dyDescent="0.35">
      <c r="A8" s="5" t="s">
        <v>48</v>
      </c>
      <c r="B8" s="8">
        <v>1</v>
      </c>
      <c r="C8" s="8">
        <v>0.34842153205960125</v>
      </c>
    </row>
    <row r="9" spans="1:3" x14ac:dyDescent="0.35">
      <c r="A9" s="5" t="s">
        <v>3083</v>
      </c>
      <c r="B9" s="8">
        <v>1</v>
      </c>
      <c r="C9" s="8">
        <v>1</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71FDC6-6E4D-4D54-BB64-BC94ED138DE8}">
  <dimension ref="A3:B16"/>
  <sheetViews>
    <sheetView workbookViewId="0">
      <selection activeCell="A3" sqref="A3"/>
    </sheetView>
  </sheetViews>
  <sheetFormatPr defaultRowHeight="14.5" x14ac:dyDescent="0.35"/>
  <cols>
    <col min="1" max="1" width="13.453125" bestFit="1" customWidth="1"/>
    <col min="2" max="2" width="20.81640625" bestFit="1" customWidth="1"/>
    <col min="3" max="3" width="19.7265625" bestFit="1" customWidth="1"/>
  </cols>
  <sheetData>
    <row r="3" spans="1:2" x14ac:dyDescent="0.35">
      <c r="A3" s="4" t="s">
        <v>3082</v>
      </c>
      <c r="B3" t="s">
        <v>3084</v>
      </c>
    </row>
    <row r="4" spans="1:2" x14ac:dyDescent="0.35">
      <c r="A4" s="5" t="s">
        <v>3089</v>
      </c>
      <c r="B4" s="3">
        <v>2794.71</v>
      </c>
    </row>
    <row r="5" spans="1:2" x14ac:dyDescent="0.35">
      <c r="A5" s="5" t="s">
        <v>3090</v>
      </c>
      <c r="B5" s="3">
        <v>2977.0699999999997</v>
      </c>
    </row>
    <row r="6" spans="1:2" x14ac:dyDescent="0.35">
      <c r="A6" s="5" t="s">
        <v>3091</v>
      </c>
      <c r="B6" s="3">
        <v>6298.470000000003</v>
      </c>
    </row>
    <row r="7" spans="1:2" x14ac:dyDescent="0.35">
      <c r="A7" s="5" t="s">
        <v>3092</v>
      </c>
      <c r="B7" s="3">
        <v>8405.8200000000033</v>
      </c>
    </row>
    <row r="8" spans="1:2" x14ac:dyDescent="0.35">
      <c r="A8" s="5" t="s">
        <v>517</v>
      </c>
      <c r="B8" s="3">
        <v>10745.890000000005</v>
      </c>
    </row>
    <row r="9" spans="1:2" x14ac:dyDescent="0.35">
      <c r="A9" s="5" t="s">
        <v>3093</v>
      </c>
      <c r="B9" s="3">
        <v>24265.590000000015</v>
      </c>
    </row>
    <row r="10" spans="1:2" x14ac:dyDescent="0.35">
      <c r="A10" s="5" t="s">
        <v>3088</v>
      </c>
      <c r="B10" s="3">
        <v>36017.40000000006</v>
      </c>
    </row>
    <row r="11" spans="1:2" x14ac:dyDescent="0.35">
      <c r="A11" s="5" t="s">
        <v>3094</v>
      </c>
      <c r="B11" s="3">
        <v>30268.870000000017</v>
      </c>
    </row>
    <row r="12" spans="1:2" x14ac:dyDescent="0.35">
      <c r="A12" s="5" t="s">
        <v>3095</v>
      </c>
      <c r="B12" s="3">
        <v>14350.869999999995</v>
      </c>
    </row>
    <row r="13" spans="1:2" x14ac:dyDescent="0.35">
      <c r="A13" s="5" t="s">
        <v>3096</v>
      </c>
      <c r="B13" s="3">
        <v>6905.5800000000008</v>
      </c>
    </row>
    <row r="14" spans="1:2" x14ac:dyDescent="0.35">
      <c r="A14" s="5" t="s">
        <v>3097</v>
      </c>
      <c r="B14" s="3">
        <v>4032.5599999999995</v>
      </c>
    </row>
    <row r="15" spans="1:2" x14ac:dyDescent="0.35">
      <c r="A15" s="5" t="s">
        <v>3098</v>
      </c>
      <c r="B15" s="3">
        <v>3862.6300000000006</v>
      </c>
    </row>
    <row r="16" spans="1:2" x14ac:dyDescent="0.35">
      <c r="A16" s="5" t="s">
        <v>3083</v>
      </c>
      <c r="B16" s="3">
        <v>150925.46000000011</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8FEA1A-7B5C-4017-AEB7-B436A4407738}">
  <dimension ref="A3:B9"/>
  <sheetViews>
    <sheetView workbookViewId="0">
      <selection activeCell="B4" sqref="B4"/>
    </sheetView>
  </sheetViews>
  <sheetFormatPr defaultRowHeight="14.5" x14ac:dyDescent="0.35"/>
  <cols>
    <col min="1" max="1" width="21.81640625" bestFit="1" customWidth="1"/>
    <col min="2" max="2" width="20.81640625" bestFit="1" customWidth="1"/>
  </cols>
  <sheetData>
    <row r="3" spans="1:2" x14ac:dyDescent="0.35">
      <c r="A3" s="4" t="s">
        <v>3082</v>
      </c>
      <c r="B3" t="s">
        <v>3084</v>
      </c>
    </row>
    <row r="4" spans="1:2" x14ac:dyDescent="0.35">
      <c r="A4" s="5" t="s">
        <v>78</v>
      </c>
      <c r="B4" s="3">
        <v>32854.790000000117</v>
      </c>
    </row>
    <row r="5" spans="1:2" x14ac:dyDescent="0.35">
      <c r="A5" s="5" t="s">
        <v>33</v>
      </c>
      <c r="B5" s="3">
        <v>28621.049999999937</v>
      </c>
    </row>
    <row r="6" spans="1:2" x14ac:dyDescent="0.35">
      <c r="A6" s="5" t="s">
        <v>44</v>
      </c>
      <c r="B6" s="3">
        <v>26346.380000000059</v>
      </c>
    </row>
    <row r="7" spans="1:2" x14ac:dyDescent="0.35">
      <c r="A7" s="5" t="s">
        <v>49</v>
      </c>
      <c r="B7" s="3">
        <v>15684.879999999976</v>
      </c>
    </row>
    <row r="8" spans="1:2" x14ac:dyDescent="0.35">
      <c r="A8" s="5" t="s">
        <v>24</v>
      </c>
      <c r="B8" s="3">
        <v>12554.369999999994</v>
      </c>
    </row>
    <row r="9" spans="1:2" x14ac:dyDescent="0.35">
      <c r="A9" s="5" t="s">
        <v>3083</v>
      </c>
      <c r="B9" s="3">
        <v>116061.47000000009</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674972-1572-4ADC-BC4D-9F6BD35B0BC3}">
  <dimension ref="A1:U3001"/>
  <sheetViews>
    <sheetView zoomScaleNormal="100" workbookViewId="0"/>
  </sheetViews>
  <sheetFormatPr defaultRowHeight="14.5" x14ac:dyDescent="0.35"/>
  <cols>
    <col min="1" max="1" width="14.26953125" bestFit="1" customWidth="1"/>
    <col min="2" max="2" width="12.7265625" bestFit="1" customWidth="1"/>
    <col min="3" max="3" width="9.7265625" bestFit="1" customWidth="1"/>
    <col min="4" max="4" width="13.7265625" bestFit="1" customWidth="1"/>
    <col min="5" max="5" width="13.26953125" bestFit="1" customWidth="1"/>
    <col min="6" max="6" width="15" bestFit="1" customWidth="1"/>
    <col min="7" max="7" width="11" bestFit="1" customWidth="1"/>
    <col min="8" max="8" width="9.26953125" bestFit="1" customWidth="1"/>
    <col min="9" max="9" width="15.7265625" bestFit="1" customWidth="1"/>
    <col min="10" max="10" width="19.7265625" bestFit="1" customWidth="1"/>
    <col min="11" max="11" width="16.1796875" bestFit="1" customWidth="1"/>
    <col min="12" max="12" width="10.26953125" bestFit="1" customWidth="1"/>
    <col min="13" max="13" width="11.26953125" bestFit="1" customWidth="1"/>
    <col min="14" max="14" width="17.26953125" bestFit="1" customWidth="1"/>
    <col min="15" max="15" width="16.7265625" bestFit="1" customWidth="1"/>
    <col min="16" max="16" width="17.453125" bestFit="1" customWidth="1"/>
    <col min="17" max="17" width="14.7265625" bestFit="1" customWidth="1"/>
    <col min="18" max="18" width="15" bestFit="1" customWidth="1"/>
    <col min="19" max="19" width="13.26953125" bestFit="1" customWidth="1"/>
    <col min="20" max="20" width="17.26953125" bestFit="1" customWidth="1"/>
    <col min="21" max="21" width="10.26953125" bestFit="1" customWidth="1"/>
  </cols>
  <sheetData>
    <row r="1" spans="1:21" x14ac:dyDescent="0.35">
      <c r="A1" t="s">
        <v>0</v>
      </c>
      <c r="B1" t="s">
        <v>1</v>
      </c>
      <c r="C1" t="s">
        <v>2</v>
      </c>
      <c r="D1" t="s">
        <v>3099</v>
      </c>
      <c r="E1" t="s">
        <v>3</v>
      </c>
      <c r="F1" t="s">
        <v>4</v>
      </c>
      <c r="G1" t="s">
        <v>5</v>
      </c>
      <c r="H1" t="s">
        <v>6</v>
      </c>
      <c r="I1" t="s">
        <v>7</v>
      </c>
      <c r="J1" t="s">
        <v>8</v>
      </c>
      <c r="K1" t="s">
        <v>9</v>
      </c>
      <c r="L1" t="s">
        <v>10</v>
      </c>
      <c r="M1" t="s">
        <v>11</v>
      </c>
      <c r="N1" t="s">
        <v>12</v>
      </c>
      <c r="O1" t="s">
        <v>13</v>
      </c>
      <c r="P1" t="s">
        <v>14</v>
      </c>
      <c r="Q1" t="s">
        <v>15</v>
      </c>
      <c r="R1" t="s">
        <v>16</v>
      </c>
      <c r="S1" t="s">
        <v>17</v>
      </c>
      <c r="T1" t="s">
        <v>18</v>
      </c>
      <c r="U1" t="s">
        <v>19</v>
      </c>
    </row>
    <row r="2" spans="1:21" x14ac:dyDescent="0.35">
      <c r="A2" t="s">
        <v>20</v>
      </c>
      <c r="B2" s="1">
        <v>46023</v>
      </c>
      <c r="C2" t="str">
        <f>TEXT(tblData[[#This Row],[Rental Date]],"mmm")</f>
        <v>Jan</v>
      </c>
      <c r="D2" t="str">
        <f>TEXT(tblData[[#This Row],[Rental Date]],"mmmm")</f>
        <v>January</v>
      </c>
      <c r="E2" t="s">
        <v>21</v>
      </c>
      <c r="F2" t="str">
        <f>TEXT(WEEKNUM(tblData[[#This Row],[Rental Date]]),"00")</f>
        <v>01</v>
      </c>
      <c r="G2" s="1">
        <f>EOMONTH(tblData[[#This Row],[Rental Date]],0)</f>
        <v>46053</v>
      </c>
      <c r="H2" t="s">
        <v>22</v>
      </c>
      <c r="I2" t="s">
        <v>23</v>
      </c>
      <c r="J2" t="s">
        <v>24</v>
      </c>
      <c r="K2" t="s">
        <v>25</v>
      </c>
      <c r="L2">
        <v>1</v>
      </c>
      <c r="M2" s="2">
        <v>50</v>
      </c>
      <c r="N2" t="s">
        <v>26</v>
      </c>
      <c r="O2" s="3">
        <v>0</v>
      </c>
      <c r="P2" s="3">
        <v>0</v>
      </c>
      <c r="Q2" s="2">
        <v>50</v>
      </c>
      <c r="R2" t="s">
        <v>27</v>
      </c>
      <c r="S2" t="s">
        <v>28</v>
      </c>
      <c r="T2" t="s">
        <v>29</v>
      </c>
      <c r="U2" t="s">
        <v>30</v>
      </c>
    </row>
    <row r="3" spans="1:21" x14ac:dyDescent="0.35">
      <c r="A3" t="s">
        <v>31</v>
      </c>
      <c r="B3" s="1">
        <v>46023</v>
      </c>
      <c r="C3" t="str">
        <f>TEXT(tblData[[#This Row],[Rental Date]],"mmm")</f>
        <v>Jan</v>
      </c>
      <c r="D3" t="str">
        <f>TEXT(tblData[[#This Row],[Rental Date]],"mmmm")</f>
        <v>January</v>
      </c>
      <c r="E3" t="s">
        <v>21</v>
      </c>
      <c r="F3" t="str">
        <f>TEXT(WEEKNUM(tblData[[#This Row],[Rental Date]]),"00")</f>
        <v>01</v>
      </c>
      <c r="G3" s="1">
        <f>EOMONTH(tblData[[#This Row],[Rental Date]],0)</f>
        <v>46053</v>
      </c>
      <c r="H3" t="s">
        <v>22</v>
      </c>
      <c r="I3" t="s">
        <v>32</v>
      </c>
      <c r="J3" t="s">
        <v>33</v>
      </c>
      <c r="K3" t="s">
        <v>25</v>
      </c>
      <c r="L3">
        <v>1</v>
      </c>
      <c r="M3" s="2">
        <v>38</v>
      </c>
      <c r="N3" t="s">
        <v>26</v>
      </c>
      <c r="O3" s="3">
        <v>0</v>
      </c>
      <c r="P3" s="3">
        <v>0</v>
      </c>
      <c r="Q3" s="2">
        <v>38</v>
      </c>
      <c r="R3" t="s">
        <v>34</v>
      </c>
      <c r="S3" t="s">
        <v>35</v>
      </c>
      <c r="T3" t="s">
        <v>29</v>
      </c>
      <c r="U3" t="s">
        <v>36</v>
      </c>
    </row>
    <row r="4" spans="1:21" x14ac:dyDescent="0.35">
      <c r="A4" t="s">
        <v>37</v>
      </c>
      <c r="B4" s="1">
        <v>46024</v>
      </c>
      <c r="C4" t="str">
        <f>TEXT(tblData[[#This Row],[Rental Date]],"mmm")</f>
        <v>Jan</v>
      </c>
      <c r="D4" t="str">
        <f>TEXT(tblData[[#This Row],[Rental Date]],"mmmm")</f>
        <v>January</v>
      </c>
      <c r="E4" t="s">
        <v>38</v>
      </c>
      <c r="F4" t="str">
        <f>TEXT(WEEKNUM(tblData[[#This Row],[Rental Date]]),"00")</f>
        <v>01</v>
      </c>
      <c r="G4" s="1">
        <f>EOMONTH(tblData[[#This Row],[Rental Date]],0)</f>
        <v>46053</v>
      </c>
      <c r="H4" t="s">
        <v>22</v>
      </c>
      <c r="I4" t="s">
        <v>39</v>
      </c>
      <c r="J4" t="s">
        <v>24</v>
      </c>
      <c r="K4" t="s">
        <v>40</v>
      </c>
      <c r="L4">
        <v>1</v>
      </c>
      <c r="M4" s="2">
        <v>76</v>
      </c>
      <c r="N4" t="s">
        <v>41</v>
      </c>
      <c r="O4" s="3">
        <v>5</v>
      </c>
      <c r="P4" s="3">
        <v>0</v>
      </c>
      <c r="Q4" s="2">
        <v>81</v>
      </c>
      <c r="R4" t="s">
        <v>42</v>
      </c>
      <c r="S4" t="s">
        <v>35</v>
      </c>
      <c r="T4" t="s">
        <v>29</v>
      </c>
      <c r="U4" t="s">
        <v>30</v>
      </c>
    </row>
    <row r="5" spans="1:21" x14ac:dyDescent="0.35">
      <c r="A5" t="s">
        <v>43</v>
      </c>
      <c r="B5" s="1">
        <v>46024</v>
      </c>
      <c r="C5" t="str">
        <f>TEXT(tblData[[#This Row],[Rental Date]],"mmm")</f>
        <v>Jan</v>
      </c>
      <c r="D5" t="str">
        <f>TEXT(tblData[[#This Row],[Rental Date]],"mmmm")</f>
        <v>January</v>
      </c>
      <c r="E5" t="s">
        <v>38</v>
      </c>
      <c r="F5" t="str">
        <f>TEXT(WEEKNUM(tblData[[#This Row],[Rental Date]]),"00")</f>
        <v>01</v>
      </c>
      <c r="G5" s="1">
        <f>EOMONTH(tblData[[#This Row],[Rental Date]],0)</f>
        <v>46053</v>
      </c>
      <c r="H5" t="s">
        <v>22</v>
      </c>
      <c r="I5" t="s">
        <v>23</v>
      </c>
      <c r="J5" t="s">
        <v>44</v>
      </c>
      <c r="K5" t="s">
        <v>40</v>
      </c>
      <c r="L5">
        <v>1</v>
      </c>
      <c r="M5" s="2">
        <v>78</v>
      </c>
      <c r="N5" t="s">
        <v>41</v>
      </c>
      <c r="O5" s="3">
        <v>5</v>
      </c>
      <c r="P5" s="3">
        <v>0</v>
      </c>
      <c r="Q5" s="2">
        <v>83</v>
      </c>
      <c r="R5" t="s">
        <v>45</v>
      </c>
      <c r="S5" t="s">
        <v>46</v>
      </c>
      <c r="T5" t="s">
        <v>29</v>
      </c>
      <c r="U5" t="s">
        <v>30</v>
      </c>
    </row>
    <row r="6" spans="1:21" x14ac:dyDescent="0.35">
      <c r="A6" t="s">
        <v>47</v>
      </c>
      <c r="B6" s="1">
        <v>46024</v>
      </c>
      <c r="C6" t="str">
        <f>TEXT(tblData[[#This Row],[Rental Date]],"mmm")</f>
        <v>Jan</v>
      </c>
      <c r="D6" t="str">
        <f>TEXT(tblData[[#This Row],[Rental Date]],"mmmm")</f>
        <v>January</v>
      </c>
      <c r="E6" t="s">
        <v>38</v>
      </c>
      <c r="F6" t="str">
        <f>TEXT(WEEKNUM(tblData[[#This Row],[Rental Date]]),"00")</f>
        <v>01</v>
      </c>
      <c r="G6" s="1">
        <f>EOMONTH(tblData[[#This Row],[Rental Date]],0)</f>
        <v>46053</v>
      </c>
      <c r="H6" t="s">
        <v>22</v>
      </c>
      <c r="I6" t="s">
        <v>48</v>
      </c>
      <c r="J6" t="s">
        <v>49</v>
      </c>
      <c r="K6" t="s">
        <v>25</v>
      </c>
      <c r="L6">
        <v>1</v>
      </c>
      <c r="M6" s="2">
        <v>36</v>
      </c>
      <c r="N6" t="s">
        <v>26</v>
      </c>
      <c r="O6" s="3">
        <v>0</v>
      </c>
      <c r="P6" s="3">
        <v>0</v>
      </c>
      <c r="Q6" s="2">
        <v>36</v>
      </c>
      <c r="R6" t="s">
        <v>27</v>
      </c>
      <c r="S6" t="s">
        <v>50</v>
      </c>
      <c r="T6" t="s">
        <v>51</v>
      </c>
      <c r="U6" t="s">
        <v>30</v>
      </c>
    </row>
    <row r="7" spans="1:21" x14ac:dyDescent="0.35">
      <c r="A7" t="s">
        <v>52</v>
      </c>
      <c r="B7" s="1">
        <v>46024</v>
      </c>
      <c r="C7" t="str">
        <f>TEXT(tblData[[#This Row],[Rental Date]],"mmm")</f>
        <v>Jan</v>
      </c>
      <c r="D7" t="str">
        <f>TEXT(tblData[[#This Row],[Rental Date]],"mmmm")</f>
        <v>January</v>
      </c>
      <c r="E7" t="s">
        <v>38</v>
      </c>
      <c r="F7" t="str">
        <f>TEXT(WEEKNUM(tblData[[#This Row],[Rental Date]]),"00")</f>
        <v>01</v>
      </c>
      <c r="G7" s="1">
        <f>EOMONTH(tblData[[#This Row],[Rental Date]],0)</f>
        <v>46053</v>
      </c>
      <c r="H7" t="s">
        <v>22</v>
      </c>
      <c r="I7" t="s">
        <v>53</v>
      </c>
      <c r="J7" t="s">
        <v>44</v>
      </c>
      <c r="K7" t="s">
        <v>25</v>
      </c>
      <c r="L7">
        <v>1</v>
      </c>
      <c r="M7" s="2">
        <v>52</v>
      </c>
      <c r="N7" t="s">
        <v>26</v>
      </c>
      <c r="O7" s="3">
        <v>0</v>
      </c>
      <c r="P7" s="3">
        <v>5.2</v>
      </c>
      <c r="Q7" s="2">
        <v>46.8</v>
      </c>
      <c r="R7" t="s">
        <v>45</v>
      </c>
      <c r="S7" t="s">
        <v>54</v>
      </c>
      <c r="T7" t="s">
        <v>51</v>
      </c>
      <c r="U7" t="s">
        <v>36</v>
      </c>
    </row>
    <row r="8" spans="1:21" x14ac:dyDescent="0.35">
      <c r="A8" t="s">
        <v>55</v>
      </c>
      <c r="B8" s="1">
        <v>46025</v>
      </c>
      <c r="C8" t="str">
        <f>TEXT(tblData[[#This Row],[Rental Date]],"mmm")</f>
        <v>Jan</v>
      </c>
      <c r="D8" t="str">
        <f>TEXT(tblData[[#This Row],[Rental Date]],"mmmm")</f>
        <v>January</v>
      </c>
      <c r="E8" t="s">
        <v>56</v>
      </c>
      <c r="F8" t="str">
        <f>TEXT(WEEKNUM(tblData[[#This Row],[Rental Date]]),"00")</f>
        <v>01</v>
      </c>
      <c r="G8" s="1">
        <f>EOMONTH(tblData[[#This Row],[Rental Date]],0)</f>
        <v>46053</v>
      </c>
      <c r="H8" t="s">
        <v>22</v>
      </c>
      <c r="I8" t="s">
        <v>39</v>
      </c>
      <c r="J8" t="s">
        <v>44</v>
      </c>
      <c r="K8" t="s">
        <v>25</v>
      </c>
      <c r="L8">
        <v>1</v>
      </c>
      <c r="M8" s="2">
        <v>56.16</v>
      </c>
      <c r="N8" t="s">
        <v>26</v>
      </c>
      <c r="O8" s="3">
        <v>0</v>
      </c>
      <c r="P8" s="3">
        <v>0</v>
      </c>
      <c r="Q8" s="2">
        <v>56.16</v>
      </c>
      <c r="R8" t="s">
        <v>57</v>
      </c>
      <c r="S8" t="s">
        <v>35</v>
      </c>
      <c r="T8" t="s">
        <v>29</v>
      </c>
      <c r="U8" t="s">
        <v>58</v>
      </c>
    </row>
    <row r="9" spans="1:21" x14ac:dyDescent="0.35">
      <c r="A9" t="s">
        <v>59</v>
      </c>
      <c r="B9" s="1">
        <v>46025</v>
      </c>
      <c r="C9" t="str">
        <f>TEXT(tblData[[#This Row],[Rental Date]],"mmm")</f>
        <v>Jan</v>
      </c>
      <c r="D9" t="str">
        <f>TEXT(tblData[[#This Row],[Rental Date]],"mmmm")</f>
        <v>January</v>
      </c>
      <c r="E9" t="s">
        <v>56</v>
      </c>
      <c r="F9" t="str">
        <f>TEXT(WEEKNUM(tblData[[#This Row],[Rental Date]]),"00")</f>
        <v>01</v>
      </c>
      <c r="G9" s="1">
        <f>EOMONTH(tblData[[#This Row],[Rental Date]],0)</f>
        <v>46053</v>
      </c>
      <c r="H9" t="s">
        <v>22</v>
      </c>
      <c r="I9" t="s">
        <v>48</v>
      </c>
      <c r="J9" t="s">
        <v>44</v>
      </c>
      <c r="K9" t="s">
        <v>60</v>
      </c>
      <c r="L9">
        <v>1</v>
      </c>
      <c r="M9" s="2">
        <v>36.72</v>
      </c>
      <c r="N9" t="s">
        <v>61</v>
      </c>
      <c r="O9" s="3">
        <v>8</v>
      </c>
      <c r="P9" s="3">
        <v>0</v>
      </c>
      <c r="Q9" s="2">
        <v>44.72</v>
      </c>
      <c r="R9" t="s">
        <v>62</v>
      </c>
      <c r="S9" t="s">
        <v>28</v>
      </c>
      <c r="T9" t="s">
        <v>63</v>
      </c>
      <c r="U9" t="s">
        <v>30</v>
      </c>
    </row>
    <row r="10" spans="1:21" x14ac:dyDescent="0.35">
      <c r="A10" t="s">
        <v>64</v>
      </c>
      <c r="B10" s="1">
        <v>46025</v>
      </c>
      <c r="C10" t="str">
        <f>TEXT(tblData[[#This Row],[Rental Date]],"mmm")</f>
        <v>Jan</v>
      </c>
      <c r="D10" t="str">
        <f>TEXT(tblData[[#This Row],[Rental Date]],"mmmm")</f>
        <v>January</v>
      </c>
      <c r="E10" t="s">
        <v>56</v>
      </c>
      <c r="F10" t="str">
        <f>TEXT(WEEKNUM(tblData[[#This Row],[Rental Date]]),"00")</f>
        <v>01</v>
      </c>
      <c r="G10" s="1">
        <f>EOMONTH(tblData[[#This Row],[Rental Date]],0)</f>
        <v>46053</v>
      </c>
      <c r="H10" t="s">
        <v>22</v>
      </c>
      <c r="I10" t="s">
        <v>48</v>
      </c>
      <c r="J10" t="s">
        <v>65</v>
      </c>
      <c r="K10" t="s">
        <v>60</v>
      </c>
      <c r="L10">
        <v>1</v>
      </c>
      <c r="M10" s="2">
        <v>12.96</v>
      </c>
      <c r="N10" t="s">
        <v>26</v>
      </c>
      <c r="O10" s="3">
        <v>0</v>
      </c>
      <c r="P10" s="3">
        <v>0</v>
      </c>
      <c r="Q10" s="2">
        <v>12.96</v>
      </c>
      <c r="R10" t="s">
        <v>66</v>
      </c>
      <c r="S10" t="s">
        <v>54</v>
      </c>
      <c r="T10" t="s">
        <v>51</v>
      </c>
      <c r="U10" t="s">
        <v>30</v>
      </c>
    </row>
    <row r="11" spans="1:21" x14ac:dyDescent="0.35">
      <c r="A11" t="s">
        <v>67</v>
      </c>
      <c r="B11" s="1">
        <v>46026</v>
      </c>
      <c r="C11" t="str">
        <f>TEXT(tblData[[#This Row],[Rental Date]],"mmm")</f>
        <v>Jan</v>
      </c>
      <c r="D11" t="str">
        <f>TEXT(tblData[[#This Row],[Rental Date]],"mmmm")</f>
        <v>January</v>
      </c>
      <c r="E11" t="s">
        <v>68</v>
      </c>
      <c r="F11" t="str">
        <f>TEXT(WEEKNUM(tblData[[#This Row],[Rental Date]]),"00")</f>
        <v>02</v>
      </c>
      <c r="G11" s="1">
        <f>EOMONTH(tblData[[#This Row],[Rental Date]],0)</f>
        <v>46053</v>
      </c>
      <c r="H11" t="s">
        <v>22</v>
      </c>
      <c r="I11" t="s">
        <v>32</v>
      </c>
      <c r="J11" t="s">
        <v>44</v>
      </c>
      <c r="K11" t="s">
        <v>25</v>
      </c>
      <c r="L11">
        <v>1</v>
      </c>
      <c r="M11" s="2">
        <v>56.16</v>
      </c>
      <c r="N11" t="s">
        <v>26</v>
      </c>
      <c r="O11" s="3">
        <v>0</v>
      </c>
      <c r="P11" s="3">
        <v>5.62</v>
      </c>
      <c r="Q11" s="2">
        <v>50.54</v>
      </c>
      <c r="R11" t="s">
        <v>66</v>
      </c>
      <c r="S11" t="s">
        <v>50</v>
      </c>
      <c r="T11" t="s">
        <v>51</v>
      </c>
      <c r="U11" t="s">
        <v>58</v>
      </c>
    </row>
    <row r="12" spans="1:21" x14ac:dyDescent="0.35">
      <c r="A12" t="s">
        <v>69</v>
      </c>
      <c r="B12" s="1">
        <v>46026</v>
      </c>
      <c r="C12" t="str">
        <f>TEXT(tblData[[#This Row],[Rental Date]],"mmm")</f>
        <v>Jan</v>
      </c>
      <c r="D12" t="str">
        <f>TEXT(tblData[[#This Row],[Rental Date]],"mmmm")</f>
        <v>January</v>
      </c>
      <c r="E12" t="s">
        <v>68</v>
      </c>
      <c r="F12" t="str">
        <f>TEXT(WEEKNUM(tblData[[#This Row],[Rental Date]]),"00")</f>
        <v>02</v>
      </c>
      <c r="G12" s="1">
        <f>EOMONTH(tblData[[#This Row],[Rental Date]],0)</f>
        <v>46053</v>
      </c>
      <c r="H12" t="s">
        <v>22</v>
      </c>
      <c r="I12" t="s">
        <v>48</v>
      </c>
      <c r="J12" t="s">
        <v>33</v>
      </c>
      <c r="K12" t="s">
        <v>40</v>
      </c>
      <c r="L12">
        <v>1</v>
      </c>
      <c r="M12" s="2">
        <v>62.64</v>
      </c>
      <c r="N12" t="s">
        <v>70</v>
      </c>
      <c r="O12" s="3">
        <v>7</v>
      </c>
      <c r="P12" s="3">
        <v>0</v>
      </c>
      <c r="Q12" s="2">
        <v>69.64</v>
      </c>
      <c r="R12" t="s">
        <v>71</v>
      </c>
      <c r="S12" t="s">
        <v>46</v>
      </c>
      <c r="T12" t="s">
        <v>29</v>
      </c>
      <c r="U12" t="s">
        <v>30</v>
      </c>
    </row>
    <row r="13" spans="1:21" x14ac:dyDescent="0.35">
      <c r="A13" t="s">
        <v>72</v>
      </c>
      <c r="B13" s="1">
        <v>46026</v>
      </c>
      <c r="C13" t="str">
        <f>TEXT(tblData[[#This Row],[Rental Date]],"mmm")</f>
        <v>Jan</v>
      </c>
      <c r="D13" t="str">
        <f>TEXT(tblData[[#This Row],[Rental Date]],"mmmm")</f>
        <v>January</v>
      </c>
      <c r="E13" t="s">
        <v>68</v>
      </c>
      <c r="F13" t="str">
        <f>TEXT(WEEKNUM(tblData[[#This Row],[Rental Date]]),"00")</f>
        <v>02</v>
      </c>
      <c r="G13" s="1">
        <f>EOMONTH(tblData[[#This Row],[Rental Date]],0)</f>
        <v>46053</v>
      </c>
      <c r="H13" t="s">
        <v>22</v>
      </c>
      <c r="I13" t="s">
        <v>32</v>
      </c>
      <c r="J13" t="s">
        <v>65</v>
      </c>
      <c r="K13" t="s">
        <v>60</v>
      </c>
      <c r="L13">
        <v>1</v>
      </c>
      <c r="M13" s="2">
        <v>12.96</v>
      </c>
      <c r="N13" t="s">
        <v>26</v>
      </c>
      <c r="O13" s="3">
        <v>0</v>
      </c>
      <c r="P13" s="3">
        <v>1.3</v>
      </c>
      <c r="Q13" s="2">
        <v>11.66</v>
      </c>
      <c r="R13" t="s">
        <v>45</v>
      </c>
      <c r="S13" t="s">
        <v>35</v>
      </c>
      <c r="T13" t="s">
        <v>29</v>
      </c>
      <c r="U13" t="s">
        <v>58</v>
      </c>
    </row>
    <row r="14" spans="1:21" x14ac:dyDescent="0.35">
      <c r="A14" t="s">
        <v>73</v>
      </c>
      <c r="B14" s="1">
        <v>46027</v>
      </c>
      <c r="C14" t="str">
        <f>TEXT(tblData[[#This Row],[Rental Date]],"mmm")</f>
        <v>Jan</v>
      </c>
      <c r="D14" t="str">
        <f>TEXT(tblData[[#This Row],[Rental Date]],"mmmm")</f>
        <v>January</v>
      </c>
      <c r="E14" t="s">
        <v>74</v>
      </c>
      <c r="F14" t="str">
        <f>TEXT(WEEKNUM(tblData[[#This Row],[Rental Date]]),"00")</f>
        <v>02</v>
      </c>
      <c r="G14" s="1">
        <f>EOMONTH(tblData[[#This Row],[Rental Date]],0)</f>
        <v>46053</v>
      </c>
      <c r="H14" t="s">
        <v>22</v>
      </c>
      <c r="I14" t="s">
        <v>39</v>
      </c>
      <c r="J14" t="s">
        <v>49</v>
      </c>
      <c r="K14" t="s">
        <v>40</v>
      </c>
      <c r="L14">
        <v>1</v>
      </c>
      <c r="M14" s="2">
        <v>54</v>
      </c>
      <c r="N14" t="s">
        <v>75</v>
      </c>
      <c r="O14" s="3">
        <v>12</v>
      </c>
      <c r="P14" s="3">
        <v>3.3</v>
      </c>
      <c r="Q14" s="2">
        <v>62.7</v>
      </c>
      <c r="R14" t="s">
        <v>76</v>
      </c>
      <c r="S14" t="s">
        <v>50</v>
      </c>
      <c r="T14" t="s">
        <v>51</v>
      </c>
      <c r="U14" t="s">
        <v>30</v>
      </c>
    </row>
    <row r="15" spans="1:21" x14ac:dyDescent="0.35">
      <c r="A15" t="s">
        <v>77</v>
      </c>
      <c r="B15" s="1">
        <v>46030</v>
      </c>
      <c r="C15" t="str">
        <f>TEXT(tblData[[#This Row],[Rental Date]],"mmm")</f>
        <v>Jan</v>
      </c>
      <c r="D15" t="str">
        <f>TEXT(tblData[[#This Row],[Rental Date]],"mmmm")</f>
        <v>January</v>
      </c>
      <c r="E15" t="s">
        <v>21</v>
      </c>
      <c r="F15" t="str">
        <f>TEXT(WEEKNUM(tblData[[#This Row],[Rental Date]]),"00")</f>
        <v>02</v>
      </c>
      <c r="G15" s="1">
        <f>EOMONTH(tblData[[#This Row],[Rental Date]],0)</f>
        <v>46053</v>
      </c>
      <c r="H15" t="s">
        <v>22</v>
      </c>
      <c r="I15" t="s">
        <v>39</v>
      </c>
      <c r="J15" t="s">
        <v>78</v>
      </c>
      <c r="K15" t="s">
        <v>60</v>
      </c>
      <c r="L15">
        <v>1</v>
      </c>
      <c r="M15" s="2">
        <v>26</v>
      </c>
      <c r="N15" t="s">
        <v>61</v>
      </c>
      <c r="O15" s="3">
        <v>8</v>
      </c>
      <c r="P15" s="3">
        <v>0</v>
      </c>
      <c r="Q15" s="2">
        <v>34</v>
      </c>
      <c r="R15" t="s">
        <v>66</v>
      </c>
      <c r="S15" t="s">
        <v>50</v>
      </c>
      <c r="T15" t="s">
        <v>63</v>
      </c>
      <c r="U15" t="s">
        <v>79</v>
      </c>
    </row>
    <row r="16" spans="1:21" x14ac:dyDescent="0.35">
      <c r="A16" t="s">
        <v>80</v>
      </c>
      <c r="B16" s="1">
        <v>46030</v>
      </c>
      <c r="C16" t="str">
        <f>TEXT(tblData[[#This Row],[Rental Date]],"mmm")</f>
        <v>Jan</v>
      </c>
      <c r="D16" t="str">
        <f>TEXT(tblData[[#This Row],[Rental Date]],"mmmm")</f>
        <v>January</v>
      </c>
      <c r="E16" t="s">
        <v>21</v>
      </c>
      <c r="F16" t="str">
        <f>TEXT(WEEKNUM(tblData[[#This Row],[Rental Date]]),"00")</f>
        <v>02</v>
      </c>
      <c r="G16" s="1">
        <f>EOMONTH(tblData[[#This Row],[Rental Date]],0)</f>
        <v>46053</v>
      </c>
      <c r="H16" t="s">
        <v>22</v>
      </c>
      <c r="I16" t="s">
        <v>32</v>
      </c>
      <c r="J16" t="s">
        <v>24</v>
      </c>
      <c r="K16" t="s">
        <v>40</v>
      </c>
      <c r="L16">
        <v>1</v>
      </c>
      <c r="M16" s="2">
        <v>76</v>
      </c>
      <c r="N16" t="s">
        <v>26</v>
      </c>
      <c r="O16" s="3">
        <v>0</v>
      </c>
      <c r="P16" s="3">
        <v>7.6</v>
      </c>
      <c r="Q16" s="2">
        <v>68.400000000000006</v>
      </c>
      <c r="R16" t="s">
        <v>42</v>
      </c>
      <c r="S16" t="s">
        <v>50</v>
      </c>
      <c r="T16" t="s">
        <v>51</v>
      </c>
      <c r="U16" t="s">
        <v>30</v>
      </c>
    </row>
    <row r="17" spans="1:21" x14ac:dyDescent="0.35">
      <c r="A17" t="s">
        <v>81</v>
      </c>
      <c r="B17" s="1">
        <v>46030</v>
      </c>
      <c r="C17" t="str">
        <f>TEXT(tblData[[#This Row],[Rental Date]],"mmm")</f>
        <v>Jan</v>
      </c>
      <c r="D17" t="str">
        <f>TEXT(tblData[[#This Row],[Rental Date]],"mmmm")</f>
        <v>January</v>
      </c>
      <c r="E17" t="s">
        <v>21</v>
      </c>
      <c r="F17" t="str">
        <f>TEXT(WEEKNUM(tblData[[#This Row],[Rental Date]]),"00")</f>
        <v>02</v>
      </c>
      <c r="G17" s="1">
        <f>EOMONTH(tblData[[#This Row],[Rental Date]],0)</f>
        <v>46053</v>
      </c>
      <c r="H17" t="s">
        <v>22</v>
      </c>
      <c r="I17" t="s">
        <v>23</v>
      </c>
      <c r="J17" t="s">
        <v>78</v>
      </c>
      <c r="K17" t="s">
        <v>25</v>
      </c>
      <c r="L17">
        <v>1</v>
      </c>
      <c r="M17" s="2">
        <v>42</v>
      </c>
      <c r="N17" t="s">
        <v>26</v>
      </c>
      <c r="O17" s="3">
        <v>0</v>
      </c>
      <c r="P17" s="3">
        <v>0</v>
      </c>
      <c r="Q17" s="2">
        <v>42</v>
      </c>
      <c r="R17" t="s">
        <v>27</v>
      </c>
      <c r="S17" t="s">
        <v>46</v>
      </c>
      <c r="T17" t="s">
        <v>29</v>
      </c>
      <c r="U17" t="s">
        <v>58</v>
      </c>
    </row>
    <row r="18" spans="1:21" x14ac:dyDescent="0.35">
      <c r="A18" t="s">
        <v>82</v>
      </c>
      <c r="B18" s="1">
        <v>46030</v>
      </c>
      <c r="C18" t="str">
        <f>TEXT(tblData[[#This Row],[Rental Date]],"mmm")</f>
        <v>Jan</v>
      </c>
      <c r="D18" t="str">
        <f>TEXT(tblData[[#This Row],[Rental Date]],"mmmm")</f>
        <v>January</v>
      </c>
      <c r="E18" t="s">
        <v>21</v>
      </c>
      <c r="F18" t="str">
        <f>TEXT(WEEKNUM(tblData[[#This Row],[Rental Date]]),"00")</f>
        <v>02</v>
      </c>
      <c r="G18" s="1">
        <f>EOMONTH(tblData[[#This Row],[Rental Date]],0)</f>
        <v>46053</v>
      </c>
      <c r="H18" t="s">
        <v>22</v>
      </c>
      <c r="I18" t="s">
        <v>48</v>
      </c>
      <c r="J18" t="s">
        <v>44</v>
      </c>
      <c r="K18" t="s">
        <v>25</v>
      </c>
      <c r="L18">
        <v>1</v>
      </c>
      <c r="M18" s="2">
        <v>52</v>
      </c>
      <c r="N18" t="s">
        <v>61</v>
      </c>
      <c r="O18" s="3">
        <v>8</v>
      </c>
      <c r="P18" s="3">
        <v>0</v>
      </c>
      <c r="Q18" s="2">
        <v>60</v>
      </c>
      <c r="R18" t="s">
        <v>27</v>
      </c>
      <c r="S18" t="s">
        <v>35</v>
      </c>
      <c r="T18" t="s">
        <v>83</v>
      </c>
      <c r="U18" t="s">
        <v>30</v>
      </c>
    </row>
    <row r="19" spans="1:21" x14ac:dyDescent="0.35">
      <c r="A19" t="s">
        <v>84</v>
      </c>
      <c r="B19" s="1">
        <v>46031</v>
      </c>
      <c r="C19" t="str">
        <f>TEXT(tblData[[#This Row],[Rental Date]],"mmm")</f>
        <v>Jan</v>
      </c>
      <c r="D19" t="str">
        <f>TEXT(tblData[[#This Row],[Rental Date]],"mmmm")</f>
        <v>January</v>
      </c>
      <c r="E19" t="s">
        <v>38</v>
      </c>
      <c r="F19" t="str">
        <f>TEXT(WEEKNUM(tblData[[#This Row],[Rental Date]]),"00")</f>
        <v>02</v>
      </c>
      <c r="G19" s="1">
        <f>EOMONTH(tblData[[#This Row],[Rental Date]],0)</f>
        <v>46053</v>
      </c>
      <c r="H19" t="s">
        <v>22</v>
      </c>
      <c r="I19" t="s">
        <v>23</v>
      </c>
      <c r="J19" t="s">
        <v>78</v>
      </c>
      <c r="K19" t="s">
        <v>40</v>
      </c>
      <c r="L19">
        <v>1</v>
      </c>
      <c r="M19" s="2">
        <v>62</v>
      </c>
      <c r="N19" t="s">
        <v>26</v>
      </c>
      <c r="O19" s="3">
        <v>0</v>
      </c>
      <c r="P19" s="3">
        <v>0</v>
      </c>
      <c r="Q19" s="2">
        <v>62</v>
      </c>
      <c r="R19" t="s">
        <v>34</v>
      </c>
      <c r="S19" t="s">
        <v>35</v>
      </c>
      <c r="T19" t="s">
        <v>29</v>
      </c>
      <c r="U19" t="s">
        <v>30</v>
      </c>
    </row>
    <row r="20" spans="1:21" x14ac:dyDescent="0.35">
      <c r="A20" t="s">
        <v>85</v>
      </c>
      <c r="B20" s="1">
        <v>46031</v>
      </c>
      <c r="C20" t="str">
        <f>TEXT(tblData[[#This Row],[Rental Date]],"mmm")</f>
        <v>Jan</v>
      </c>
      <c r="D20" t="str">
        <f>TEXT(tblData[[#This Row],[Rental Date]],"mmmm")</f>
        <v>January</v>
      </c>
      <c r="E20" t="s">
        <v>38</v>
      </c>
      <c r="F20" t="str">
        <f>TEXT(WEEKNUM(tblData[[#This Row],[Rental Date]]),"00")</f>
        <v>02</v>
      </c>
      <c r="G20" s="1">
        <f>EOMONTH(tblData[[#This Row],[Rental Date]],0)</f>
        <v>46053</v>
      </c>
      <c r="H20" t="s">
        <v>22</v>
      </c>
      <c r="I20" t="s">
        <v>23</v>
      </c>
      <c r="J20" t="s">
        <v>86</v>
      </c>
      <c r="K20" t="s">
        <v>40</v>
      </c>
      <c r="L20">
        <v>1</v>
      </c>
      <c r="M20" s="2">
        <v>86</v>
      </c>
      <c r="N20" t="s">
        <v>87</v>
      </c>
      <c r="O20" s="3">
        <v>10</v>
      </c>
      <c r="P20" s="3">
        <v>0</v>
      </c>
      <c r="Q20" s="2">
        <v>96</v>
      </c>
      <c r="R20" t="s">
        <v>42</v>
      </c>
      <c r="S20" t="s">
        <v>46</v>
      </c>
      <c r="T20" t="s">
        <v>29</v>
      </c>
      <c r="U20" t="s">
        <v>58</v>
      </c>
    </row>
    <row r="21" spans="1:21" x14ac:dyDescent="0.35">
      <c r="A21" t="s">
        <v>88</v>
      </c>
      <c r="B21" s="1">
        <v>46031</v>
      </c>
      <c r="C21" t="str">
        <f>TEXT(tblData[[#This Row],[Rental Date]],"mmm")</f>
        <v>Jan</v>
      </c>
      <c r="D21" t="str">
        <f>TEXT(tblData[[#This Row],[Rental Date]],"mmmm")</f>
        <v>January</v>
      </c>
      <c r="E21" t="s">
        <v>38</v>
      </c>
      <c r="F21" t="str">
        <f>TEXT(WEEKNUM(tblData[[#This Row],[Rental Date]]),"00")</f>
        <v>02</v>
      </c>
      <c r="G21" s="1">
        <f>EOMONTH(tblData[[#This Row],[Rental Date]],0)</f>
        <v>46053</v>
      </c>
      <c r="H21" t="s">
        <v>22</v>
      </c>
      <c r="I21" t="s">
        <v>39</v>
      </c>
      <c r="J21" t="s">
        <v>78</v>
      </c>
      <c r="K21" t="s">
        <v>40</v>
      </c>
      <c r="L21">
        <v>1</v>
      </c>
      <c r="M21" s="2">
        <v>62</v>
      </c>
      <c r="N21" t="s">
        <v>89</v>
      </c>
      <c r="O21" s="3">
        <v>6</v>
      </c>
      <c r="P21" s="3">
        <v>0</v>
      </c>
      <c r="Q21" s="2">
        <v>68</v>
      </c>
      <c r="R21" t="s">
        <v>27</v>
      </c>
      <c r="S21" t="s">
        <v>46</v>
      </c>
      <c r="T21" t="s">
        <v>90</v>
      </c>
      <c r="U21" t="s">
        <v>30</v>
      </c>
    </row>
    <row r="22" spans="1:21" x14ac:dyDescent="0.35">
      <c r="A22" t="s">
        <v>91</v>
      </c>
      <c r="B22" s="1">
        <v>46031</v>
      </c>
      <c r="C22" t="str">
        <f>TEXT(tblData[[#This Row],[Rental Date]],"mmm")</f>
        <v>Jan</v>
      </c>
      <c r="D22" t="str">
        <f>TEXT(tblData[[#This Row],[Rental Date]],"mmmm")</f>
        <v>January</v>
      </c>
      <c r="E22" t="s">
        <v>38</v>
      </c>
      <c r="F22" t="str">
        <f>TEXT(WEEKNUM(tblData[[#This Row],[Rental Date]]),"00")</f>
        <v>02</v>
      </c>
      <c r="G22" s="1">
        <f>EOMONTH(tblData[[#This Row],[Rental Date]],0)</f>
        <v>46053</v>
      </c>
      <c r="H22" t="s">
        <v>22</v>
      </c>
      <c r="I22" t="s">
        <v>23</v>
      </c>
      <c r="J22" t="s">
        <v>78</v>
      </c>
      <c r="K22" t="s">
        <v>92</v>
      </c>
      <c r="L22">
        <v>1</v>
      </c>
      <c r="M22" s="2">
        <v>88</v>
      </c>
      <c r="N22" t="s">
        <v>26</v>
      </c>
      <c r="O22" s="3">
        <v>0</v>
      </c>
      <c r="P22" s="3">
        <v>0</v>
      </c>
      <c r="Q22" s="2">
        <v>88</v>
      </c>
      <c r="R22" t="s">
        <v>42</v>
      </c>
      <c r="S22" t="s">
        <v>35</v>
      </c>
      <c r="T22" t="s">
        <v>51</v>
      </c>
      <c r="U22" t="s">
        <v>30</v>
      </c>
    </row>
    <row r="23" spans="1:21" x14ac:dyDescent="0.35">
      <c r="A23" t="s">
        <v>93</v>
      </c>
      <c r="B23" s="1">
        <v>46032</v>
      </c>
      <c r="C23" t="str">
        <f>TEXT(tblData[[#This Row],[Rental Date]],"mmm")</f>
        <v>Jan</v>
      </c>
      <c r="D23" t="str">
        <f>TEXT(tblData[[#This Row],[Rental Date]],"mmmm")</f>
        <v>January</v>
      </c>
      <c r="E23" t="s">
        <v>56</v>
      </c>
      <c r="F23" t="str">
        <f>TEXT(WEEKNUM(tblData[[#This Row],[Rental Date]]),"00")</f>
        <v>02</v>
      </c>
      <c r="G23" s="1">
        <f>EOMONTH(tblData[[#This Row],[Rental Date]],0)</f>
        <v>46053</v>
      </c>
      <c r="H23" t="s">
        <v>22</v>
      </c>
      <c r="I23" t="s">
        <v>53</v>
      </c>
      <c r="J23" t="s">
        <v>49</v>
      </c>
      <c r="K23" t="s">
        <v>25</v>
      </c>
      <c r="L23">
        <v>1</v>
      </c>
      <c r="M23" s="2">
        <v>38.880000000000003</v>
      </c>
      <c r="N23" t="s">
        <v>26</v>
      </c>
      <c r="O23" s="3">
        <v>0</v>
      </c>
      <c r="P23" s="3">
        <v>5.83</v>
      </c>
      <c r="Q23" s="2">
        <v>33.049999999999997</v>
      </c>
      <c r="R23" t="s">
        <v>94</v>
      </c>
      <c r="S23" t="s">
        <v>28</v>
      </c>
      <c r="T23" t="s">
        <v>63</v>
      </c>
      <c r="U23" t="s">
        <v>58</v>
      </c>
    </row>
    <row r="24" spans="1:21" x14ac:dyDescent="0.35">
      <c r="A24" t="s">
        <v>95</v>
      </c>
      <c r="B24" s="1">
        <v>46033</v>
      </c>
      <c r="C24" t="str">
        <f>TEXT(tblData[[#This Row],[Rental Date]],"mmm")</f>
        <v>Jan</v>
      </c>
      <c r="D24" t="str">
        <f>TEXT(tblData[[#This Row],[Rental Date]],"mmmm")</f>
        <v>January</v>
      </c>
      <c r="E24" t="s">
        <v>68</v>
      </c>
      <c r="F24" t="str">
        <f>TEXT(WEEKNUM(tblData[[#This Row],[Rental Date]]),"00")</f>
        <v>03</v>
      </c>
      <c r="G24" s="1">
        <f>EOMONTH(tblData[[#This Row],[Rental Date]],0)</f>
        <v>46053</v>
      </c>
      <c r="H24" t="s">
        <v>22</v>
      </c>
      <c r="I24" t="s">
        <v>48</v>
      </c>
      <c r="J24" t="s">
        <v>44</v>
      </c>
      <c r="K24" t="s">
        <v>25</v>
      </c>
      <c r="L24">
        <v>1</v>
      </c>
      <c r="M24" s="2">
        <v>56.16</v>
      </c>
      <c r="N24" t="s">
        <v>89</v>
      </c>
      <c r="O24" s="3">
        <v>6</v>
      </c>
      <c r="P24" s="3">
        <v>0</v>
      </c>
      <c r="Q24" s="2">
        <v>62.16</v>
      </c>
      <c r="R24" t="s">
        <v>27</v>
      </c>
      <c r="S24" t="s">
        <v>46</v>
      </c>
      <c r="T24" t="s">
        <v>51</v>
      </c>
      <c r="U24" t="s">
        <v>30</v>
      </c>
    </row>
    <row r="25" spans="1:21" x14ac:dyDescent="0.35">
      <c r="A25" t="s">
        <v>96</v>
      </c>
      <c r="B25" s="1">
        <v>46033</v>
      </c>
      <c r="C25" t="str">
        <f>TEXT(tblData[[#This Row],[Rental Date]],"mmm")</f>
        <v>Jan</v>
      </c>
      <c r="D25" t="str">
        <f>TEXT(tblData[[#This Row],[Rental Date]],"mmmm")</f>
        <v>January</v>
      </c>
      <c r="E25" t="s">
        <v>68</v>
      </c>
      <c r="F25" t="str">
        <f>TEXT(WEEKNUM(tblData[[#This Row],[Rental Date]]),"00")</f>
        <v>03</v>
      </c>
      <c r="G25" s="1">
        <f>EOMONTH(tblData[[#This Row],[Rental Date]],0)</f>
        <v>46053</v>
      </c>
      <c r="H25" t="s">
        <v>22</v>
      </c>
      <c r="I25" t="s">
        <v>23</v>
      </c>
      <c r="J25" t="s">
        <v>78</v>
      </c>
      <c r="K25" t="s">
        <v>60</v>
      </c>
      <c r="L25">
        <v>1</v>
      </c>
      <c r="M25" s="2">
        <v>28.08</v>
      </c>
      <c r="N25" t="s">
        <v>61</v>
      </c>
      <c r="O25" s="3">
        <v>8</v>
      </c>
      <c r="P25" s="3">
        <v>1.8</v>
      </c>
      <c r="Q25" s="2">
        <v>34.28</v>
      </c>
      <c r="R25" t="s">
        <v>66</v>
      </c>
      <c r="S25" t="s">
        <v>46</v>
      </c>
      <c r="T25" t="s">
        <v>51</v>
      </c>
      <c r="U25" t="s">
        <v>30</v>
      </c>
    </row>
    <row r="26" spans="1:21" x14ac:dyDescent="0.35">
      <c r="A26" t="s">
        <v>97</v>
      </c>
      <c r="B26" s="1">
        <v>46033</v>
      </c>
      <c r="C26" t="str">
        <f>TEXT(tblData[[#This Row],[Rental Date]],"mmm")</f>
        <v>Jan</v>
      </c>
      <c r="D26" t="str">
        <f>TEXT(tblData[[#This Row],[Rental Date]],"mmmm")</f>
        <v>January</v>
      </c>
      <c r="E26" t="s">
        <v>68</v>
      </c>
      <c r="F26" t="str">
        <f>TEXT(WEEKNUM(tblData[[#This Row],[Rental Date]]),"00")</f>
        <v>03</v>
      </c>
      <c r="G26" s="1">
        <f>EOMONTH(tblData[[#This Row],[Rental Date]],0)</f>
        <v>46053</v>
      </c>
      <c r="H26" t="s">
        <v>22</v>
      </c>
      <c r="I26" t="s">
        <v>48</v>
      </c>
      <c r="J26" t="s">
        <v>44</v>
      </c>
      <c r="K26" t="s">
        <v>40</v>
      </c>
      <c r="L26">
        <v>1</v>
      </c>
      <c r="M26" s="2">
        <v>84.24</v>
      </c>
      <c r="N26" t="s">
        <v>70</v>
      </c>
      <c r="O26" s="3">
        <v>7</v>
      </c>
      <c r="P26" s="3">
        <v>0</v>
      </c>
      <c r="Q26" s="2">
        <v>91.24</v>
      </c>
      <c r="R26" t="s">
        <v>94</v>
      </c>
      <c r="S26" t="s">
        <v>54</v>
      </c>
      <c r="T26" t="s">
        <v>90</v>
      </c>
      <c r="U26" t="s">
        <v>58</v>
      </c>
    </row>
    <row r="27" spans="1:21" x14ac:dyDescent="0.35">
      <c r="A27" t="s">
        <v>98</v>
      </c>
      <c r="B27" s="1">
        <v>46033</v>
      </c>
      <c r="C27" t="str">
        <f>TEXT(tblData[[#This Row],[Rental Date]],"mmm")</f>
        <v>Jan</v>
      </c>
      <c r="D27" t="str">
        <f>TEXT(tblData[[#This Row],[Rental Date]],"mmmm")</f>
        <v>January</v>
      </c>
      <c r="E27" t="s">
        <v>68</v>
      </c>
      <c r="F27" t="str">
        <f>TEXT(WEEKNUM(tblData[[#This Row],[Rental Date]]),"00")</f>
        <v>03</v>
      </c>
      <c r="G27" s="1">
        <f>EOMONTH(tblData[[#This Row],[Rental Date]],0)</f>
        <v>46053</v>
      </c>
      <c r="H27" t="s">
        <v>22</v>
      </c>
      <c r="I27" t="s">
        <v>39</v>
      </c>
      <c r="J27" t="s">
        <v>44</v>
      </c>
      <c r="K27" t="s">
        <v>60</v>
      </c>
      <c r="L27">
        <v>1</v>
      </c>
      <c r="M27" s="2">
        <v>36.72</v>
      </c>
      <c r="N27" t="s">
        <v>41</v>
      </c>
      <c r="O27" s="3">
        <v>5</v>
      </c>
      <c r="P27" s="3">
        <v>0</v>
      </c>
      <c r="Q27" s="2">
        <v>41.72</v>
      </c>
      <c r="R27" t="s">
        <v>62</v>
      </c>
      <c r="S27" t="s">
        <v>28</v>
      </c>
      <c r="T27" t="s">
        <v>51</v>
      </c>
      <c r="U27" t="s">
        <v>58</v>
      </c>
    </row>
    <row r="28" spans="1:21" x14ac:dyDescent="0.35">
      <c r="A28" t="s">
        <v>99</v>
      </c>
      <c r="B28" s="1">
        <v>46033</v>
      </c>
      <c r="C28" t="str">
        <f>TEXT(tblData[[#This Row],[Rental Date]],"mmm")</f>
        <v>Jan</v>
      </c>
      <c r="D28" t="str">
        <f>TEXT(tblData[[#This Row],[Rental Date]],"mmmm")</f>
        <v>January</v>
      </c>
      <c r="E28" t="s">
        <v>68</v>
      </c>
      <c r="F28" t="str">
        <f>TEXT(WEEKNUM(tblData[[#This Row],[Rental Date]]),"00")</f>
        <v>03</v>
      </c>
      <c r="G28" s="1">
        <f>EOMONTH(tblData[[#This Row],[Rental Date]],0)</f>
        <v>46053</v>
      </c>
      <c r="H28" t="s">
        <v>22</v>
      </c>
      <c r="I28" t="s">
        <v>39</v>
      </c>
      <c r="J28" t="s">
        <v>44</v>
      </c>
      <c r="K28" t="s">
        <v>40</v>
      </c>
      <c r="L28">
        <v>1</v>
      </c>
      <c r="M28" s="2">
        <v>84.24</v>
      </c>
      <c r="N28" t="s">
        <v>26</v>
      </c>
      <c r="O28" s="3">
        <v>0</v>
      </c>
      <c r="P28" s="3">
        <v>0</v>
      </c>
      <c r="Q28" s="2">
        <v>84.24</v>
      </c>
      <c r="R28" t="s">
        <v>45</v>
      </c>
      <c r="S28" t="s">
        <v>28</v>
      </c>
      <c r="T28" t="s">
        <v>29</v>
      </c>
      <c r="U28" t="s">
        <v>79</v>
      </c>
    </row>
    <row r="29" spans="1:21" x14ac:dyDescent="0.35">
      <c r="A29" t="s">
        <v>100</v>
      </c>
      <c r="B29" s="1">
        <v>46034</v>
      </c>
      <c r="C29" t="str">
        <f>TEXT(tblData[[#This Row],[Rental Date]],"mmm")</f>
        <v>Jan</v>
      </c>
      <c r="D29" t="str">
        <f>TEXT(tblData[[#This Row],[Rental Date]],"mmmm")</f>
        <v>January</v>
      </c>
      <c r="E29" t="s">
        <v>74</v>
      </c>
      <c r="F29" t="str">
        <f>TEXT(WEEKNUM(tblData[[#This Row],[Rental Date]]),"00")</f>
        <v>03</v>
      </c>
      <c r="G29" s="1">
        <f>EOMONTH(tblData[[#This Row],[Rental Date]],0)</f>
        <v>46053</v>
      </c>
      <c r="H29" t="s">
        <v>22</v>
      </c>
      <c r="I29" t="s">
        <v>48</v>
      </c>
      <c r="J29" t="s">
        <v>24</v>
      </c>
      <c r="K29" t="s">
        <v>60</v>
      </c>
      <c r="L29">
        <v>1</v>
      </c>
      <c r="M29" s="2">
        <v>32</v>
      </c>
      <c r="N29" t="s">
        <v>61</v>
      </c>
      <c r="O29" s="3">
        <v>8</v>
      </c>
      <c r="P29" s="3">
        <v>0</v>
      </c>
      <c r="Q29" s="2">
        <v>40</v>
      </c>
      <c r="R29" t="s">
        <v>71</v>
      </c>
      <c r="S29" t="s">
        <v>50</v>
      </c>
      <c r="T29" t="s">
        <v>29</v>
      </c>
      <c r="U29" t="s">
        <v>30</v>
      </c>
    </row>
    <row r="30" spans="1:21" x14ac:dyDescent="0.35">
      <c r="A30" t="s">
        <v>101</v>
      </c>
      <c r="B30" s="1">
        <v>46035</v>
      </c>
      <c r="C30" t="str">
        <f>TEXT(tblData[[#This Row],[Rental Date]],"mmm")</f>
        <v>Jan</v>
      </c>
      <c r="D30" t="str">
        <f>TEXT(tblData[[#This Row],[Rental Date]],"mmmm")</f>
        <v>January</v>
      </c>
      <c r="E30" t="s">
        <v>102</v>
      </c>
      <c r="F30" t="str">
        <f>TEXT(WEEKNUM(tblData[[#This Row],[Rental Date]]),"00")</f>
        <v>03</v>
      </c>
      <c r="G30" s="1">
        <f>EOMONTH(tblData[[#This Row],[Rental Date]],0)</f>
        <v>46053</v>
      </c>
      <c r="H30" t="s">
        <v>22</v>
      </c>
      <c r="I30" t="s">
        <v>39</v>
      </c>
      <c r="J30" t="s">
        <v>33</v>
      </c>
      <c r="K30" t="s">
        <v>60</v>
      </c>
      <c r="L30">
        <v>1</v>
      </c>
      <c r="M30" s="2">
        <v>24</v>
      </c>
      <c r="N30" t="s">
        <v>26</v>
      </c>
      <c r="O30" s="3">
        <v>0</v>
      </c>
      <c r="P30" s="3">
        <v>0</v>
      </c>
      <c r="Q30" s="2">
        <v>24</v>
      </c>
      <c r="R30" t="s">
        <v>94</v>
      </c>
      <c r="S30" t="s">
        <v>35</v>
      </c>
      <c r="T30" t="s">
        <v>51</v>
      </c>
      <c r="U30" t="s">
        <v>36</v>
      </c>
    </row>
    <row r="31" spans="1:21" x14ac:dyDescent="0.35">
      <c r="A31" t="s">
        <v>103</v>
      </c>
      <c r="B31" s="1">
        <v>46035</v>
      </c>
      <c r="C31" t="str">
        <f>TEXT(tblData[[#This Row],[Rental Date]],"mmm")</f>
        <v>Jan</v>
      </c>
      <c r="D31" t="str">
        <f>TEXT(tblData[[#This Row],[Rental Date]],"mmmm")</f>
        <v>January</v>
      </c>
      <c r="E31" t="s">
        <v>102</v>
      </c>
      <c r="F31" t="str">
        <f>TEXT(WEEKNUM(tblData[[#This Row],[Rental Date]]),"00")</f>
        <v>03</v>
      </c>
      <c r="G31" s="1">
        <f>EOMONTH(tblData[[#This Row],[Rental Date]],0)</f>
        <v>46053</v>
      </c>
      <c r="H31" t="s">
        <v>22</v>
      </c>
      <c r="I31" t="s">
        <v>23</v>
      </c>
      <c r="J31" t="s">
        <v>86</v>
      </c>
      <c r="K31" t="s">
        <v>25</v>
      </c>
      <c r="L31">
        <v>1</v>
      </c>
      <c r="M31" s="2">
        <v>58</v>
      </c>
      <c r="N31" t="s">
        <v>41</v>
      </c>
      <c r="O31" s="3">
        <v>5</v>
      </c>
      <c r="P31" s="3">
        <v>0</v>
      </c>
      <c r="Q31" s="2">
        <v>63</v>
      </c>
      <c r="R31" t="s">
        <v>42</v>
      </c>
      <c r="S31" t="s">
        <v>28</v>
      </c>
      <c r="T31" t="s">
        <v>51</v>
      </c>
      <c r="U31" t="s">
        <v>79</v>
      </c>
    </row>
    <row r="32" spans="1:21" x14ac:dyDescent="0.35">
      <c r="A32" t="s">
        <v>104</v>
      </c>
      <c r="B32" s="1">
        <v>46035</v>
      </c>
      <c r="C32" t="str">
        <f>TEXT(tblData[[#This Row],[Rental Date]],"mmm")</f>
        <v>Jan</v>
      </c>
      <c r="D32" t="str">
        <f>TEXT(tblData[[#This Row],[Rental Date]],"mmmm")</f>
        <v>January</v>
      </c>
      <c r="E32" t="s">
        <v>102</v>
      </c>
      <c r="F32" t="str">
        <f>TEXT(WEEKNUM(tblData[[#This Row],[Rental Date]]),"00")</f>
        <v>03</v>
      </c>
      <c r="G32" s="1">
        <f>EOMONTH(tblData[[#This Row],[Rental Date]],0)</f>
        <v>46053</v>
      </c>
      <c r="H32" t="s">
        <v>22</v>
      </c>
      <c r="I32" t="s">
        <v>48</v>
      </c>
      <c r="J32" t="s">
        <v>86</v>
      </c>
      <c r="K32" t="s">
        <v>40</v>
      </c>
      <c r="L32">
        <v>1</v>
      </c>
      <c r="M32" s="2">
        <v>86</v>
      </c>
      <c r="N32" t="s">
        <v>26</v>
      </c>
      <c r="O32" s="3">
        <v>0</v>
      </c>
      <c r="P32" s="3">
        <v>0</v>
      </c>
      <c r="Q32" s="2">
        <v>86</v>
      </c>
      <c r="R32" t="s">
        <v>45</v>
      </c>
      <c r="S32" t="s">
        <v>50</v>
      </c>
      <c r="T32" t="s">
        <v>63</v>
      </c>
      <c r="U32" t="s">
        <v>30</v>
      </c>
    </row>
    <row r="33" spans="1:21" x14ac:dyDescent="0.35">
      <c r="A33" t="s">
        <v>105</v>
      </c>
      <c r="B33" s="1">
        <v>46035</v>
      </c>
      <c r="C33" t="str">
        <f>TEXT(tblData[[#This Row],[Rental Date]],"mmm")</f>
        <v>Jan</v>
      </c>
      <c r="D33" t="str">
        <f>TEXT(tblData[[#This Row],[Rental Date]],"mmmm")</f>
        <v>January</v>
      </c>
      <c r="E33" t="s">
        <v>102</v>
      </c>
      <c r="F33" t="str">
        <f>TEXT(WEEKNUM(tblData[[#This Row],[Rental Date]]),"00")</f>
        <v>03</v>
      </c>
      <c r="G33" s="1">
        <f>EOMONTH(tblData[[#This Row],[Rental Date]],0)</f>
        <v>46053</v>
      </c>
      <c r="H33" t="s">
        <v>22</v>
      </c>
      <c r="I33" t="s">
        <v>48</v>
      </c>
      <c r="J33" t="s">
        <v>65</v>
      </c>
      <c r="K33" t="s">
        <v>25</v>
      </c>
      <c r="L33">
        <v>1</v>
      </c>
      <c r="M33" s="2">
        <v>18</v>
      </c>
      <c r="N33" t="s">
        <v>26</v>
      </c>
      <c r="O33" s="3">
        <v>0</v>
      </c>
      <c r="P33" s="3">
        <v>0</v>
      </c>
      <c r="Q33" s="2">
        <v>18</v>
      </c>
      <c r="R33" t="s">
        <v>45</v>
      </c>
      <c r="S33" t="s">
        <v>28</v>
      </c>
      <c r="T33" t="s">
        <v>29</v>
      </c>
      <c r="U33" t="s">
        <v>58</v>
      </c>
    </row>
    <row r="34" spans="1:21" x14ac:dyDescent="0.35">
      <c r="A34" t="s">
        <v>106</v>
      </c>
      <c r="B34" s="1">
        <v>46035</v>
      </c>
      <c r="C34" t="str">
        <f>TEXT(tblData[[#This Row],[Rental Date]],"mmm")</f>
        <v>Jan</v>
      </c>
      <c r="D34" t="str">
        <f>TEXT(tblData[[#This Row],[Rental Date]],"mmmm")</f>
        <v>January</v>
      </c>
      <c r="E34" t="s">
        <v>102</v>
      </c>
      <c r="F34" t="str">
        <f>TEXT(WEEKNUM(tblData[[#This Row],[Rental Date]]),"00")</f>
        <v>03</v>
      </c>
      <c r="G34" s="1">
        <f>EOMONTH(tblData[[#This Row],[Rental Date]],0)</f>
        <v>46053</v>
      </c>
      <c r="H34" t="s">
        <v>22</v>
      </c>
      <c r="I34" t="s">
        <v>48</v>
      </c>
      <c r="J34" t="s">
        <v>78</v>
      </c>
      <c r="K34" t="s">
        <v>60</v>
      </c>
      <c r="L34">
        <v>1</v>
      </c>
      <c r="M34" s="2">
        <v>26</v>
      </c>
      <c r="N34" t="s">
        <v>41</v>
      </c>
      <c r="O34" s="3">
        <v>5</v>
      </c>
      <c r="P34" s="3">
        <v>0</v>
      </c>
      <c r="Q34" s="2">
        <v>31</v>
      </c>
      <c r="R34" t="s">
        <v>34</v>
      </c>
      <c r="S34" t="s">
        <v>54</v>
      </c>
      <c r="T34" t="s">
        <v>90</v>
      </c>
      <c r="U34" t="s">
        <v>58</v>
      </c>
    </row>
    <row r="35" spans="1:21" x14ac:dyDescent="0.35">
      <c r="A35" t="s">
        <v>107</v>
      </c>
      <c r="B35" s="1">
        <v>46035</v>
      </c>
      <c r="C35" t="str">
        <f>TEXT(tblData[[#This Row],[Rental Date]],"mmm")</f>
        <v>Jan</v>
      </c>
      <c r="D35" t="str">
        <f>TEXT(tblData[[#This Row],[Rental Date]],"mmmm")</f>
        <v>January</v>
      </c>
      <c r="E35" t="s">
        <v>102</v>
      </c>
      <c r="F35" t="str">
        <f>TEXT(WEEKNUM(tblData[[#This Row],[Rental Date]]),"00")</f>
        <v>03</v>
      </c>
      <c r="G35" s="1">
        <f>EOMONTH(tblData[[#This Row],[Rental Date]],0)</f>
        <v>46053</v>
      </c>
      <c r="H35" t="s">
        <v>22</v>
      </c>
      <c r="I35" t="s">
        <v>48</v>
      </c>
      <c r="J35" t="s">
        <v>24</v>
      </c>
      <c r="K35" t="s">
        <v>25</v>
      </c>
      <c r="L35">
        <v>1</v>
      </c>
      <c r="M35" s="2">
        <v>50</v>
      </c>
      <c r="N35" t="s">
        <v>26</v>
      </c>
      <c r="O35" s="3">
        <v>0</v>
      </c>
      <c r="P35" s="3">
        <v>0</v>
      </c>
      <c r="Q35" s="2">
        <v>50</v>
      </c>
      <c r="R35" t="s">
        <v>57</v>
      </c>
      <c r="S35" t="s">
        <v>46</v>
      </c>
      <c r="T35" t="s">
        <v>29</v>
      </c>
      <c r="U35" t="s">
        <v>36</v>
      </c>
    </row>
    <row r="36" spans="1:21" x14ac:dyDescent="0.35">
      <c r="A36" t="s">
        <v>108</v>
      </c>
      <c r="B36" s="1">
        <v>46036</v>
      </c>
      <c r="C36" t="str">
        <f>TEXT(tblData[[#This Row],[Rental Date]],"mmm")</f>
        <v>Jan</v>
      </c>
      <c r="D36" t="str">
        <f>TEXT(tblData[[#This Row],[Rental Date]],"mmmm")</f>
        <v>January</v>
      </c>
      <c r="E36" t="s">
        <v>109</v>
      </c>
      <c r="F36" t="str">
        <f>TEXT(WEEKNUM(tblData[[#This Row],[Rental Date]]),"00")</f>
        <v>03</v>
      </c>
      <c r="G36" s="1">
        <f>EOMONTH(tblData[[#This Row],[Rental Date]],0)</f>
        <v>46053</v>
      </c>
      <c r="H36" t="s">
        <v>22</v>
      </c>
      <c r="I36" t="s">
        <v>48</v>
      </c>
      <c r="J36" t="s">
        <v>24</v>
      </c>
      <c r="K36" t="s">
        <v>92</v>
      </c>
      <c r="L36">
        <v>1</v>
      </c>
      <c r="M36" s="2">
        <v>110</v>
      </c>
      <c r="N36" t="s">
        <v>87</v>
      </c>
      <c r="O36" s="3">
        <v>10</v>
      </c>
      <c r="P36" s="3">
        <v>0</v>
      </c>
      <c r="Q36" s="2">
        <v>120</v>
      </c>
      <c r="R36" t="s">
        <v>62</v>
      </c>
      <c r="S36" t="s">
        <v>28</v>
      </c>
      <c r="T36" t="s">
        <v>51</v>
      </c>
      <c r="U36" t="s">
        <v>30</v>
      </c>
    </row>
    <row r="37" spans="1:21" x14ac:dyDescent="0.35">
      <c r="A37" t="s">
        <v>110</v>
      </c>
      <c r="B37" s="1">
        <v>46037</v>
      </c>
      <c r="C37" t="str">
        <f>TEXT(tblData[[#This Row],[Rental Date]],"mmm")</f>
        <v>Jan</v>
      </c>
      <c r="D37" t="str">
        <f>TEXT(tblData[[#This Row],[Rental Date]],"mmmm")</f>
        <v>January</v>
      </c>
      <c r="E37" t="s">
        <v>21</v>
      </c>
      <c r="F37" t="str">
        <f>TEXT(WEEKNUM(tblData[[#This Row],[Rental Date]]),"00")</f>
        <v>03</v>
      </c>
      <c r="G37" s="1">
        <f>EOMONTH(tblData[[#This Row],[Rental Date]],0)</f>
        <v>46053</v>
      </c>
      <c r="H37" t="s">
        <v>22</v>
      </c>
      <c r="I37" t="s">
        <v>48</v>
      </c>
      <c r="J37" t="s">
        <v>111</v>
      </c>
      <c r="K37" t="s">
        <v>60</v>
      </c>
      <c r="L37">
        <v>1</v>
      </c>
      <c r="M37" s="2">
        <v>14</v>
      </c>
      <c r="N37" t="s">
        <v>61</v>
      </c>
      <c r="O37" s="3">
        <v>8</v>
      </c>
      <c r="P37" s="3">
        <v>0</v>
      </c>
      <c r="Q37" s="2">
        <v>22</v>
      </c>
      <c r="R37" t="s">
        <v>71</v>
      </c>
      <c r="S37" t="s">
        <v>54</v>
      </c>
      <c r="T37" t="s">
        <v>63</v>
      </c>
      <c r="U37" t="s">
        <v>79</v>
      </c>
    </row>
    <row r="38" spans="1:21" x14ac:dyDescent="0.35">
      <c r="A38" t="s">
        <v>112</v>
      </c>
      <c r="B38" s="1">
        <v>46038</v>
      </c>
      <c r="C38" t="str">
        <f>TEXT(tblData[[#This Row],[Rental Date]],"mmm")</f>
        <v>Jan</v>
      </c>
      <c r="D38" t="str">
        <f>TEXT(tblData[[#This Row],[Rental Date]],"mmmm")</f>
        <v>January</v>
      </c>
      <c r="E38" t="s">
        <v>38</v>
      </c>
      <c r="F38" t="str">
        <f>TEXT(WEEKNUM(tblData[[#This Row],[Rental Date]]),"00")</f>
        <v>03</v>
      </c>
      <c r="G38" s="1">
        <f>EOMONTH(tblData[[#This Row],[Rental Date]],0)</f>
        <v>46053</v>
      </c>
      <c r="H38" t="s">
        <v>22</v>
      </c>
      <c r="I38" t="s">
        <v>39</v>
      </c>
      <c r="J38" t="s">
        <v>33</v>
      </c>
      <c r="K38" t="s">
        <v>25</v>
      </c>
      <c r="L38">
        <v>1</v>
      </c>
      <c r="M38" s="2">
        <v>38</v>
      </c>
      <c r="N38" t="s">
        <v>26</v>
      </c>
      <c r="O38" s="3">
        <v>0</v>
      </c>
      <c r="P38" s="3">
        <v>0</v>
      </c>
      <c r="Q38" s="2">
        <v>38</v>
      </c>
      <c r="R38" t="s">
        <v>62</v>
      </c>
      <c r="S38" t="s">
        <v>50</v>
      </c>
      <c r="T38" t="s">
        <v>29</v>
      </c>
      <c r="U38" t="s">
        <v>30</v>
      </c>
    </row>
    <row r="39" spans="1:21" x14ac:dyDescent="0.35">
      <c r="A39" t="s">
        <v>113</v>
      </c>
      <c r="B39" s="1">
        <v>46038</v>
      </c>
      <c r="C39" t="str">
        <f>TEXT(tblData[[#This Row],[Rental Date]],"mmm")</f>
        <v>Jan</v>
      </c>
      <c r="D39" t="str">
        <f>TEXT(tblData[[#This Row],[Rental Date]],"mmmm")</f>
        <v>January</v>
      </c>
      <c r="E39" t="s">
        <v>38</v>
      </c>
      <c r="F39" t="str">
        <f>TEXT(WEEKNUM(tblData[[#This Row],[Rental Date]]),"00")</f>
        <v>03</v>
      </c>
      <c r="G39" s="1">
        <f>EOMONTH(tblData[[#This Row],[Rental Date]],0)</f>
        <v>46053</v>
      </c>
      <c r="H39" t="s">
        <v>22</v>
      </c>
      <c r="I39" t="s">
        <v>23</v>
      </c>
      <c r="J39" t="s">
        <v>33</v>
      </c>
      <c r="K39" t="s">
        <v>60</v>
      </c>
      <c r="L39">
        <v>1</v>
      </c>
      <c r="M39" s="2">
        <v>24</v>
      </c>
      <c r="N39" t="s">
        <v>26</v>
      </c>
      <c r="O39" s="3">
        <v>0</v>
      </c>
      <c r="P39" s="3">
        <v>0</v>
      </c>
      <c r="Q39" s="2">
        <v>24</v>
      </c>
      <c r="R39" t="s">
        <v>34</v>
      </c>
      <c r="S39" t="s">
        <v>46</v>
      </c>
      <c r="T39" t="s">
        <v>29</v>
      </c>
      <c r="U39" t="s">
        <v>36</v>
      </c>
    </row>
    <row r="40" spans="1:21" x14ac:dyDescent="0.35">
      <c r="A40" t="s">
        <v>114</v>
      </c>
      <c r="B40" s="1">
        <v>46039</v>
      </c>
      <c r="C40" t="str">
        <f>TEXT(tblData[[#This Row],[Rental Date]],"mmm")</f>
        <v>Jan</v>
      </c>
      <c r="D40" t="str">
        <f>TEXT(tblData[[#This Row],[Rental Date]],"mmmm")</f>
        <v>January</v>
      </c>
      <c r="E40" t="s">
        <v>56</v>
      </c>
      <c r="F40" t="str">
        <f>TEXT(WEEKNUM(tblData[[#This Row],[Rental Date]]),"00")</f>
        <v>03</v>
      </c>
      <c r="G40" s="1">
        <f>EOMONTH(tblData[[#This Row],[Rental Date]],0)</f>
        <v>46053</v>
      </c>
      <c r="H40" t="s">
        <v>22</v>
      </c>
      <c r="I40" t="s">
        <v>39</v>
      </c>
      <c r="J40" t="s">
        <v>78</v>
      </c>
      <c r="K40" t="s">
        <v>60</v>
      </c>
      <c r="L40">
        <v>1</v>
      </c>
      <c r="M40" s="2">
        <v>28.08</v>
      </c>
      <c r="N40" t="s">
        <v>26</v>
      </c>
      <c r="O40" s="3">
        <v>0</v>
      </c>
      <c r="P40" s="3">
        <v>0</v>
      </c>
      <c r="Q40" s="2">
        <v>28.08</v>
      </c>
      <c r="R40" t="s">
        <v>62</v>
      </c>
      <c r="S40" t="s">
        <v>28</v>
      </c>
      <c r="T40" t="s">
        <v>29</v>
      </c>
      <c r="U40" t="s">
        <v>58</v>
      </c>
    </row>
    <row r="41" spans="1:21" x14ac:dyDescent="0.35">
      <c r="A41" t="s">
        <v>115</v>
      </c>
      <c r="B41" s="1">
        <v>46039</v>
      </c>
      <c r="C41" t="str">
        <f>TEXT(tblData[[#This Row],[Rental Date]],"mmm")</f>
        <v>Jan</v>
      </c>
      <c r="D41" t="str">
        <f>TEXT(tblData[[#This Row],[Rental Date]],"mmmm")</f>
        <v>January</v>
      </c>
      <c r="E41" t="s">
        <v>56</v>
      </c>
      <c r="F41" t="str">
        <f>TEXT(WEEKNUM(tblData[[#This Row],[Rental Date]]),"00")</f>
        <v>03</v>
      </c>
      <c r="G41" s="1">
        <f>EOMONTH(tblData[[#This Row],[Rental Date]],0)</f>
        <v>46053</v>
      </c>
      <c r="H41" t="s">
        <v>22</v>
      </c>
      <c r="I41" t="s">
        <v>23</v>
      </c>
      <c r="J41" t="s">
        <v>49</v>
      </c>
      <c r="K41" t="s">
        <v>25</v>
      </c>
      <c r="L41">
        <v>1</v>
      </c>
      <c r="M41" s="2">
        <v>38.880000000000003</v>
      </c>
      <c r="N41" t="s">
        <v>26</v>
      </c>
      <c r="O41" s="3">
        <v>0</v>
      </c>
      <c r="P41" s="3">
        <v>0</v>
      </c>
      <c r="Q41" s="2">
        <v>38.880000000000003</v>
      </c>
      <c r="R41" t="s">
        <v>42</v>
      </c>
      <c r="S41" t="s">
        <v>46</v>
      </c>
      <c r="T41" t="s">
        <v>29</v>
      </c>
      <c r="U41" t="s">
        <v>36</v>
      </c>
    </row>
    <row r="42" spans="1:21" x14ac:dyDescent="0.35">
      <c r="A42" t="s">
        <v>116</v>
      </c>
      <c r="B42" s="1">
        <v>46041</v>
      </c>
      <c r="C42" t="str">
        <f>TEXT(tblData[[#This Row],[Rental Date]],"mmm")</f>
        <v>Jan</v>
      </c>
      <c r="D42" t="str">
        <f>TEXT(tblData[[#This Row],[Rental Date]],"mmmm")</f>
        <v>January</v>
      </c>
      <c r="E42" t="s">
        <v>74</v>
      </c>
      <c r="F42" t="str">
        <f>TEXT(WEEKNUM(tblData[[#This Row],[Rental Date]]),"00")</f>
        <v>04</v>
      </c>
      <c r="G42" s="1">
        <f>EOMONTH(tblData[[#This Row],[Rental Date]],0)</f>
        <v>46053</v>
      </c>
      <c r="H42" t="s">
        <v>22</v>
      </c>
      <c r="I42" t="s">
        <v>48</v>
      </c>
      <c r="J42" t="s">
        <v>86</v>
      </c>
      <c r="K42" t="s">
        <v>60</v>
      </c>
      <c r="L42">
        <v>1</v>
      </c>
      <c r="M42" s="2">
        <v>36</v>
      </c>
      <c r="N42" t="s">
        <v>70</v>
      </c>
      <c r="O42" s="3">
        <v>7</v>
      </c>
      <c r="P42" s="3">
        <v>0</v>
      </c>
      <c r="Q42" s="2">
        <v>43</v>
      </c>
      <c r="R42" t="s">
        <v>62</v>
      </c>
      <c r="S42" t="s">
        <v>50</v>
      </c>
      <c r="T42" t="s">
        <v>29</v>
      </c>
      <c r="U42" t="s">
        <v>30</v>
      </c>
    </row>
    <row r="43" spans="1:21" x14ac:dyDescent="0.35">
      <c r="A43" t="s">
        <v>117</v>
      </c>
      <c r="B43" s="1">
        <v>46041</v>
      </c>
      <c r="C43" t="str">
        <f>TEXT(tblData[[#This Row],[Rental Date]],"mmm")</f>
        <v>Jan</v>
      </c>
      <c r="D43" t="str">
        <f>TEXT(tblData[[#This Row],[Rental Date]],"mmmm")</f>
        <v>January</v>
      </c>
      <c r="E43" t="s">
        <v>74</v>
      </c>
      <c r="F43" t="str">
        <f>TEXT(WEEKNUM(tblData[[#This Row],[Rental Date]]),"00")</f>
        <v>04</v>
      </c>
      <c r="G43" s="1">
        <f>EOMONTH(tblData[[#This Row],[Rental Date]],0)</f>
        <v>46053</v>
      </c>
      <c r="H43" t="s">
        <v>22</v>
      </c>
      <c r="I43" t="s">
        <v>32</v>
      </c>
      <c r="J43" t="s">
        <v>111</v>
      </c>
      <c r="K43" t="s">
        <v>60</v>
      </c>
      <c r="L43">
        <v>1</v>
      </c>
      <c r="M43" s="2">
        <v>14</v>
      </c>
      <c r="N43" t="s">
        <v>26</v>
      </c>
      <c r="O43" s="3">
        <v>0</v>
      </c>
      <c r="P43" s="3">
        <v>1.4</v>
      </c>
      <c r="Q43" s="2">
        <v>12.6</v>
      </c>
      <c r="R43" t="s">
        <v>34</v>
      </c>
      <c r="S43" t="s">
        <v>50</v>
      </c>
      <c r="T43" t="s">
        <v>83</v>
      </c>
      <c r="U43" t="s">
        <v>58</v>
      </c>
    </row>
    <row r="44" spans="1:21" x14ac:dyDescent="0.35">
      <c r="A44" t="s">
        <v>118</v>
      </c>
      <c r="B44" s="1">
        <v>46042</v>
      </c>
      <c r="C44" t="str">
        <f>TEXT(tblData[[#This Row],[Rental Date]],"mmm")</f>
        <v>Jan</v>
      </c>
      <c r="D44" t="str">
        <f>TEXT(tblData[[#This Row],[Rental Date]],"mmmm")</f>
        <v>January</v>
      </c>
      <c r="E44" t="s">
        <v>102</v>
      </c>
      <c r="F44" t="str">
        <f>TEXT(WEEKNUM(tblData[[#This Row],[Rental Date]]),"00")</f>
        <v>04</v>
      </c>
      <c r="G44" s="1">
        <f>EOMONTH(tblData[[#This Row],[Rental Date]],0)</f>
        <v>46053</v>
      </c>
      <c r="H44" t="s">
        <v>22</v>
      </c>
      <c r="I44" t="s">
        <v>23</v>
      </c>
      <c r="J44" t="s">
        <v>111</v>
      </c>
      <c r="K44" t="s">
        <v>60</v>
      </c>
      <c r="L44">
        <v>1</v>
      </c>
      <c r="M44" s="2">
        <v>14</v>
      </c>
      <c r="N44" t="s">
        <v>26</v>
      </c>
      <c r="O44" s="3">
        <v>0</v>
      </c>
      <c r="P44" s="3">
        <v>0</v>
      </c>
      <c r="Q44" s="2">
        <v>14</v>
      </c>
      <c r="R44" t="s">
        <v>34</v>
      </c>
      <c r="S44" t="s">
        <v>54</v>
      </c>
      <c r="T44" t="s">
        <v>51</v>
      </c>
      <c r="U44" t="s">
        <v>30</v>
      </c>
    </row>
    <row r="45" spans="1:21" x14ac:dyDescent="0.35">
      <c r="A45" t="s">
        <v>119</v>
      </c>
      <c r="B45" s="1">
        <v>46043</v>
      </c>
      <c r="C45" t="str">
        <f>TEXT(tblData[[#This Row],[Rental Date]],"mmm")</f>
        <v>Jan</v>
      </c>
      <c r="D45" t="str">
        <f>TEXT(tblData[[#This Row],[Rental Date]],"mmmm")</f>
        <v>January</v>
      </c>
      <c r="E45" t="s">
        <v>109</v>
      </c>
      <c r="F45" t="str">
        <f>TEXT(WEEKNUM(tblData[[#This Row],[Rental Date]]),"00")</f>
        <v>04</v>
      </c>
      <c r="G45" s="1">
        <f>EOMONTH(tblData[[#This Row],[Rental Date]],0)</f>
        <v>46053</v>
      </c>
      <c r="H45" t="s">
        <v>22</v>
      </c>
      <c r="I45" t="s">
        <v>39</v>
      </c>
      <c r="J45" t="s">
        <v>65</v>
      </c>
      <c r="K45" t="s">
        <v>60</v>
      </c>
      <c r="L45">
        <v>1</v>
      </c>
      <c r="M45" s="2">
        <v>12</v>
      </c>
      <c r="N45" t="s">
        <v>26</v>
      </c>
      <c r="O45" s="3">
        <v>0</v>
      </c>
      <c r="P45" s="3">
        <v>0</v>
      </c>
      <c r="Q45" s="2">
        <v>12</v>
      </c>
      <c r="R45" t="s">
        <v>34</v>
      </c>
      <c r="S45" t="s">
        <v>46</v>
      </c>
      <c r="T45" t="s">
        <v>29</v>
      </c>
      <c r="U45" t="s">
        <v>36</v>
      </c>
    </row>
    <row r="46" spans="1:21" x14ac:dyDescent="0.35">
      <c r="A46" t="s">
        <v>120</v>
      </c>
      <c r="B46" s="1">
        <v>46044</v>
      </c>
      <c r="C46" t="str">
        <f>TEXT(tblData[[#This Row],[Rental Date]],"mmm")</f>
        <v>Jan</v>
      </c>
      <c r="D46" t="str">
        <f>TEXT(tblData[[#This Row],[Rental Date]],"mmmm")</f>
        <v>January</v>
      </c>
      <c r="E46" t="s">
        <v>21</v>
      </c>
      <c r="F46" t="str">
        <f>TEXT(WEEKNUM(tblData[[#This Row],[Rental Date]]),"00")</f>
        <v>04</v>
      </c>
      <c r="G46" s="1">
        <f>EOMONTH(tblData[[#This Row],[Rental Date]],0)</f>
        <v>46053</v>
      </c>
      <c r="H46" t="s">
        <v>22</v>
      </c>
      <c r="I46" t="s">
        <v>48</v>
      </c>
      <c r="J46" t="s">
        <v>49</v>
      </c>
      <c r="K46" t="s">
        <v>25</v>
      </c>
      <c r="L46">
        <v>1</v>
      </c>
      <c r="M46" s="2">
        <v>36</v>
      </c>
      <c r="N46" t="s">
        <v>61</v>
      </c>
      <c r="O46" s="3">
        <v>8</v>
      </c>
      <c r="P46" s="3">
        <v>0</v>
      </c>
      <c r="Q46" s="2">
        <v>44</v>
      </c>
      <c r="R46" t="s">
        <v>34</v>
      </c>
      <c r="S46" t="s">
        <v>28</v>
      </c>
      <c r="T46" t="s">
        <v>90</v>
      </c>
      <c r="U46" t="s">
        <v>36</v>
      </c>
    </row>
    <row r="47" spans="1:21" x14ac:dyDescent="0.35">
      <c r="A47" t="s">
        <v>121</v>
      </c>
      <c r="B47" s="1">
        <v>46045</v>
      </c>
      <c r="C47" t="str">
        <f>TEXT(tblData[[#This Row],[Rental Date]],"mmm")</f>
        <v>Jan</v>
      </c>
      <c r="D47" t="str">
        <f>TEXT(tblData[[#This Row],[Rental Date]],"mmmm")</f>
        <v>January</v>
      </c>
      <c r="E47" t="s">
        <v>38</v>
      </c>
      <c r="F47" t="str">
        <f>TEXT(WEEKNUM(tblData[[#This Row],[Rental Date]]),"00")</f>
        <v>04</v>
      </c>
      <c r="G47" s="1">
        <f>EOMONTH(tblData[[#This Row],[Rental Date]],0)</f>
        <v>46053</v>
      </c>
      <c r="H47" t="s">
        <v>22</v>
      </c>
      <c r="I47" t="s">
        <v>48</v>
      </c>
      <c r="J47" t="s">
        <v>78</v>
      </c>
      <c r="K47" t="s">
        <v>25</v>
      </c>
      <c r="L47">
        <v>1</v>
      </c>
      <c r="M47" s="2">
        <v>42</v>
      </c>
      <c r="N47" t="s">
        <v>89</v>
      </c>
      <c r="O47" s="3">
        <v>6</v>
      </c>
      <c r="P47" s="3">
        <v>0</v>
      </c>
      <c r="Q47" s="2">
        <v>48</v>
      </c>
      <c r="R47" t="s">
        <v>76</v>
      </c>
      <c r="S47" t="s">
        <v>54</v>
      </c>
      <c r="T47" t="s">
        <v>29</v>
      </c>
      <c r="U47" t="s">
        <v>30</v>
      </c>
    </row>
    <row r="48" spans="1:21" x14ac:dyDescent="0.35">
      <c r="A48" t="s">
        <v>122</v>
      </c>
      <c r="B48" s="1">
        <v>46045</v>
      </c>
      <c r="C48" t="str">
        <f>TEXT(tblData[[#This Row],[Rental Date]],"mmm")</f>
        <v>Jan</v>
      </c>
      <c r="D48" t="str">
        <f>TEXT(tblData[[#This Row],[Rental Date]],"mmmm")</f>
        <v>January</v>
      </c>
      <c r="E48" t="s">
        <v>38</v>
      </c>
      <c r="F48" t="str">
        <f>TEXT(WEEKNUM(tblData[[#This Row],[Rental Date]]),"00")</f>
        <v>04</v>
      </c>
      <c r="G48" s="1">
        <f>EOMONTH(tblData[[#This Row],[Rental Date]],0)</f>
        <v>46053</v>
      </c>
      <c r="H48" t="s">
        <v>22</v>
      </c>
      <c r="I48" t="s">
        <v>23</v>
      </c>
      <c r="J48" t="s">
        <v>111</v>
      </c>
      <c r="K48" t="s">
        <v>92</v>
      </c>
      <c r="L48">
        <v>1</v>
      </c>
      <c r="M48" s="2">
        <v>48</v>
      </c>
      <c r="N48" t="s">
        <v>41</v>
      </c>
      <c r="O48" s="3">
        <v>5</v>
      </c>
      <c r="P48" s="3">
        <v>0</v>
      </c>
      <c r="Q48" s="2">
        <v>53</v>
      </c>
      <c r="R48" t="s">
        <v>62</v>
      </c>
      <c r="S48" t="s">
        <v>50</v>
      </c>
      <c r="T48" t="s">
        <v>29</v>
      </c>
      <c r="U48" t="s">
        <v>79</v>
      </c>
    </row>
    <row r="49" spans="1:21" x14ac:dyDescent="0.35">
      <c r="A49" t="s">
        <v>123</v>
      </c>
      <c r="B49" s="1">
        <v>46045</v>
      </c>
      <c r="C49" t="str">
        <f>TEXT(tblData[[#This Row],[Rental Date]],"mmm")</f>
        <v>Jan</v>
      </c>
      <c r="D49" t="str">
        <f>TEXT(tblData[[#This Row],[Rental Date]],"mmmm")</f>
        <v>January</v>
      </c>
      <c r="E49" t="s">
        <v>38</v>
      </c>
      <c r="F49" t="str">
        <f>TEXT(WEEKNUM(tblData[[#This Row],[Rental Date]]),"00")</f>
        <v>04</v>
      </c>
      <c r="G49" s="1">
        <f>EOMONTH(tblData[[#This Row],[Rental Date]],0)</f>
        <v>46053</v>
      </c>
      <c r="H49" t="s">
        <v>22</v>
      </c>
      <c r="I49" t="s">
        <v>39</v>
      </c>
      <c r="J49" t="s">
        <v>24</v>
      </c>
      <c r="K49" t="s">
        <v>25</v>
      </c>
      <c r="L49">
        <v>1</v>
      </c>
      <c r="M49" s="2">
        <v>50</v>
      </c>
      <c r="N49" t="s">
        <v>70</v>
      </c>
      <c r="O49" s="3">
        <v>7</v>
      </c>
      <c r="P49" s="3">
        <v>0</v>
      </c>
      <c r="Q49" s="2">
        <v>57</v>
      </c>
      <c r="R49" t="s">
        <v>62</v>
      </c>
      <c r="S49" t="s">
        <v>46</v>
      </c>
      <c r="T49" t="s">
        <v>90</v>
      </c>
      <c r="U49" t="s">
        <v>79</v>
      </c>
    </row>
    <row r="50" spans="1:21" x14ac:dyDescent="0.35">
      <c r="A50" t="s">
        <v>124</v>
      </c>
      <c r="B50" s="1">
        <v>46046</v>
      </c>
      <c r="C50" t="str">
        <f>TEXT(tblData[[#This Row],[Rental Date]],"mmm")</f>
        <v>Jan</v>
      </c>
      <c r="D50" t="str">
        <f>TEXT(tblData[[#This Row],[Rental Date]],"mmmm")</f>
        <v>January</v>
      </c>
      <c r="E50" t="s">
        <v>56</v>
      </c>
      <c r="F50" t="str">
        <f>TEXT(WEEKNUM(tblData[[#This Row],[Rental Date]]),"00")</f>
        <v>04</v>
      </c>
      <c r="G50" s="1">
        <f>EOMONTH(tblData[[#This Row],[Rental Date]],0)</f>
        <v>46053</v>
      </c>
      <c r="H50" t="s">
        <v>22</v>
      </c>
      <c r="I50" t="s">
        <v>39</v>
      </c>
      <c r="J50" t="s">
        <v>78</v>
      </c>
      <c r="K50" t="s">
        <v>40</v>
      </c>
      <c r="L50">
        <v>1</v>
      </c>
      <c r="M50" s="2">
        <v>66.959999999999994</v>
      </c>
      <c r="N50" t="s">
        <v>26</v>
      </c>
      <c r="O50" s="3">
        <v>0</v>
      </c>
      <c r="P50" s="3">
        <v>0</v>
      </c>
      <c r="Q50" s="2">
        <v>66.959999999999994</v>
      </c>
      <c r="R50" t="s">
        <v>27</v>
      </c>
      <c r="S50" t="s">
        <v>35</v>
      </c>
      <c r="T50" t="s">
        <v>90</v>
      </c>
      <c r="U50" t="s">
        <v>58</v>
      </c>
    </row>
    <row r="51" spans="1:21" x14ac:dyDescent="0.35">
      <c r="A51" t="s">
        <v>125</v>
      </c>
      <c r="B51" s="1">
        <v>46047</v>
      </c>
      <c r="C51" t="str">
        <f>TEXT(tblData[[#This Row],[Rental Date]],"mmm")</f>
        <v>Jan</v>
      </c>
      <c r="D51" t="str">
        <f>TEXT(tblData[[#This Row],[Rental Date]],"mmmm")</f>
        <v>January</v>
      </c>
      <c r="E51" t="s">
        <v>68</v>
      </c>
      <c r="F51" t="str">
        <f>TEXT(WEEKNUM(tblData[[#This Row],[Rental Date]]),"00")</f>
        <v>05</v>
      </c>
      <c r="G51" s="1">
        <f>EOMONTH(tblData[[#This Row],[Rental Date]],0)</f>
        <v>46053</v>
      </c>
      <c r="H51" t="s">
        <v>22</v>
      </c>
      <c r="I51" t="s">
        <v>39</v>
      </c>
      <c r="J51" t="s">
        <v>44</v>
      </c>
      <c r="K51" t="s">
        <v>25</v>
      </c>
      <c r="L51">
        <v>1</v>
      </c>
      <c r="M51" s="2">
        <v>56.16</v>
      </c>
      <c r="N51" t="s">
        <v>41</v>
      </c>
      <c r="O51" s="3">
        <v>5</v>
      </c>
      <c r="P51" s="3">
        <v>0</v>
      </c>
      <c r="Q51" s="2">
        <v>61.16</v>
      </c>
      <c r="R51" t="s">
        <v>62</v>
      </c>
      <c r="S51" t="s">
        <v>28</v>
      </c>
      <c r="T51" t="s">
        <v>29</v>
      </c>
      <c r="U51" t="s">
        <v>30</v>
      </c>
    </row>
    <row r="52" spans="1:21" x14ac:dyDescent="0.35">
      <c r="A52" t="s">
        <v>126</v>
      </c>
      <c r="B52" s="1">
        <v>46047</v>
      </c>
      <c r="C52" t="str">
        <f>TEXT(tblData[[#This Row],[Rental Date]],"mmm")</f>
        <v>Jan</v>
      </c>
      <c r="D52" t="str">
        <f>TEXT(tblData[[#This Row],[Rental Date]],"mmmm")</f>
        <v>January</v>
      </c>
      <c r="E52" t="s">
        <v>68</v>
      </c>
      <c r="F52" t="str">
        <f>TEXT(WEEKNUM(tblData[[#This Row],[Rental Date]]),"00")</f>
        <v>05</v>
      </c>
      <c r="G52" s="1">
        <f>EOMONTH(tblData[[#This Row],[Rental Date]],0)</f>
        <v>46053</v>
      </c>
      <c r="H52" t="s">
        <v>22</v>
      </c>
      <c r="I52" t="s">
        <v>39</v>
      </c>
      <c r="J52" t="s">
        <v>127</v>
      </c>
      <c r="K52" t="s">
        <v>60</v>
      </c>
      <c r="L52">
        <v>1</v>
      </c>
      <c r="M52" s="2">
        <v>10.8</v>
      </c>
      <c r="N52" t="s">
        <v>87</v>
      </c>
      <c r="O52" s="3">
        <v>10</v>
      </c>
      <c r="P52" s="3">
        <v>0</v>
      </c>
      <c r="Q52" s="2">
        <v>20.8</v>
      </c>
      <c r="R52" t="s">
        <v>76</v>
      </c>
      <c r="S52" t="s">
        <v>46</v>
      </c>
      <c r="T52" t="s">
        <v>29</v>
      </c>
      <c r="U52" t="s">
        <v>58</v>
      </c>
    </row>
    <row r="53" spans="1:21" x14ac:dyDescent="0.35">
      <c r="A53" t="s">
        <v>128</v>
      </c>
      <c r="B53" s="1">
        <v>46048</v>
      </c>
      <c r="C53" t="str">
        <f>TEXT(tblData[[#This Row],[Rental Date]],"mmm")</f>
        <v>Jan</v>
      </c>
      <c r="D53" t="str">
        <f>TEXT(tblData[[#This Row],[Rental Date]],"mmmm")</f>
        <v>January</v>
      </c>
      <c r="E53" t="s">
        <v>74</v>
      </c>
      <c r="F53" t="str">
        <f>TEXT(WEEKNUM(tblData[[#This Row],[Rental Date]]),"00")</f>
        <v>05</v>
      </c>
      <c r="G53" s="1">
        <f>EOMONTH(tblData[[#This Row],[Rental Date]],0)</f>
        <v>46053</v>
      </c>
      <c r="H53" t="s">
        <v>22</v>
      </c>
      <c r="I53" t="s">
        <v>48</v>
      </c>
      <c r="J53" t="s">
        <v>33</v>
      </c>
      <c r="K53" t="s">
        <v>92</v>
      </c>
      <c r="L53">
        <v>1</v>
      </c>
      <c r="M53" s="2">
        <v>84</v>
      </c>
      <c r="N53" t="s">
        <v>26</v>
      </c>
      <c r="O53" s="3">
        <v>0</v>
      </c>
      <c r="P53" s="3">
        <v>0</v>
      </c>
      <c r="Q53" s="2">
        <v>84</v>
      </c>
      <c r="R53" t="s">
        <v>71</v>
      </c>
      <c r="S53" t="s">
        <v>54</v>
      </c>
      <c r="T53" t="s">
        <v>29</v>
      </c>
      <c r="U53" t="s">
        <v>30</v>
      </c>
    </row>
    <row r="54" spans="1:21" x14ac:dyDescent="0.35">
      <c r="A54" t="s">
        <v>129</v>
      </c>
      <c r="B54" s="1">
        <v>46048</v>
      </c>
      <c r="C54" t="str">
        <f>TEXT(tblData[[#This Row],[Rental Date]],"mmm")</f>
        <v>Jan</v>
      </c>
      <c r="D54" t="str">
        <f>TEXT(tblData[[#This Row],[Rental Date]],"mmmm")</f>
        <v>January</v>
      </c>
      <c r="E54" t="s">
        <v>74</v>
      </c>
      <c r="F54" t="str">
        <f>TEXT(WEEKNUM(tblData[[#This Row],[Rental Date]]),"00")</f>
        <v>05</v>
      </c>
      <c r="G54" s="1">
        <f>EOMONTH(tblData[[#This Row],[Rental Date]],0)</f>
        <v>46053</v>
      </c>
      <c r="H54" t="s">
        <v>22</v>
      </c>
      <c r="I54" t="s">
        <v>23</v>
      </c>
      <c r="J54" t="s">
        <v>78</v>
      </c>
      <c r="K54" t="s">
        <v>60</v>
      </c>
      <c r="L54">
        <v>1</v>
      </c>
      <c r="M54" s="2">
        <v>26</v>
      </c>
      <c r="N54" t="s">
        <v>87</v>
      </c>
      <c r="O54" s="3">
        <v>10</v>
      </c>
      <c r="P54" s="3">
        <v>0</v>
      </c>
      <c r="Q54" s="2">
        <v>36</v>
      </c>
      <c r="R54" t="s">
        <v>57</v>
      </c>
      <c r="S54" t="s">
        <v>54</v>
      </c>
      <c r="T54" t="s">
        <v>29</v>
      </c>
      <c r="U54" t="s">
        <v>30</v>
      </c>
    </row>
    <row r="55" spans="1:21" x14ac:dyDescent="0.35">
      <c r="A55" t="s">
        <v>130</v>
      </c>
      <c r="B55" s="1">
        <v>46050</v>
      </c>
      <c r="C55" t="str">
        <f>TEXT(tblData[[#This Row],[Rental Date]],"mmm")</f>
        <v>Jan</v>
      </c>
      <c r="D55" t="str">
        <f>TEXT(tblData[[#This Row],[Rental Date]],"mmmm")</f>
        <v>January</v>
      </c>
      <c r="E55" t="s">
        <v>109</v>
      </c>
      <c r="F55" t="str">
        <f>TEXT(WEEKNUM(tblData[[#This Row],[Rental Date]]),"00")</f>
        <v>05</v>
      </c>
      <c r="G55" s="1">
        <f>EOMONTH(tblData[[#This Row],[Rental Date]],0)</f>
        <v>46053</v>
      </c>
      <c r="H55" t="s">
        <v>22</v>
      </c>
      <c r="I55" t="s">
        <v>48</v>
      </c>
      <c r="J55" t="s">
        <v>33</v>
      </c>
      <c r="K55" t="s">
        <v>60</v>
      </c>
      <c r="L55">
        <v>1</v>
      </c>
      <c r="M55" s="2">
        <v>24</v>
      </c>
      <c r="N55" t="s">
        <v>41</v>
      </c>
      <c r="O55" s="3">
        <v>5</v>
      </c>
      <c r="P55" s="3">
        <v>0</v>
      </c>
      <c r="Q55" s="2">
        <v>29</v>
      </c>
      <c r="R55" t="s">
        <v>71</v>
      </c>
      <c r="S55" t="s">
        <v>50</v>
      </c>
      <c r="T55" t="s">
        <v>63</v>
      </c>
      <c r="U55" t="s">
        <v>30</v>
      </c>
    </row>
    <row r="56" spans="1:21" x14ac:dyDescent="0.35">
      <c r="A56" t="s">
        <v>131</v>
      </c>
      <c r="B56" s="1">
        <v>46051</v>
      </c>
      <c r="C56" t="str">
        <f>TEXT(tblData[[#This Row],[Rental Date]],"mmm")</f>
        <v>Jan</v>
      </c>
      <c r="D56" t="str">
        <f>TEXT(tblData[[#This Row],[Rental Date]],"mmmm")</f>
        <v>January</v>
      </c>
      <c r="E56" t="s">
        <v>21</v>
      </c>
      <c r="F56" t="str">
        <f>TEXT(WEEKNUM(tblData[[#This Row],[Rental Date]]),"00")</f>
        <v>05</v>
      </c>
      <c r="G56" s="1">
        <f>EOMONTH(tblData[[#This Row],[Rental Date]],0)</f>
        <v>46053</v>
      </c>
      <c r="H56" t="s">
        <v>22</v>
      </c>
      <c r="I56" t="s">
        <v>39</v>
      </c>
      <c r="J56" t="s">
        <v>127</v>
      </c>
      <c r="K56" t="s">
        <v>40</v>
      </c>
      <c r="L56">
        <v>1</v>
      </c>
      <c r="M56" s="2">
        <v>24</v>
      </c>
      <c r="N56" t="s">
        <v>41</v>
      </c>
      <c r="O56" s="3">
        <v>5</v>
      </c>
      <c r="P56" s="3">
        <v>0</v>
      </c>
      <c r="Q56" s="2">
        <v>29</v>
      </c>
      <c r="R56" t="s">
        <v>42</v>
      </c>
      <c r="S56" t="s">
        <v>46</v>
      </c>
      <c r="T56" t="s">
        <v>51</v>
      </c>
      <c r="U56" t="s">
        <v>58</v>
      </c>
    </row>
    <row r="57" spans="1:21" x14ac:dyDescent="0.35">
      <c r="A57" t="s">
        <v>132</v>
      </c>
      <c r="B57" s="1">
        <v>46052</v>
      </c>
      <c r="C57" t="str">
        <f>TEXT(tblData[[#This Row],[Rental Date]],"mmm")</f>
        <v>Jan</v>
      </c>
      <c r="D57" t="str">
        <f>TEXT(tblData[[#This Row],[Rental Date]],"mmmm")</f>
        <v>January</v>
      </c>
      <c r="E57" t="s">
        <v>38</v>
      </c>
      <c r="F57" t="str">
        <f>TEXT(WEEKNUM(tblData[[#This Row],[Rental Date]]),"00")</f>
        <v>05</v>
      </c>
      <c r="G57" s="1">
        <f>EOMONTH(tblData[[#This Row],[Rental Date]],0)</f>
        <v>46053</v>
      </c>
      <c r="H57" t="s">
        <v>22</v>
      </c>
      <c r="I57" t="s">
        <v>23</v>
      </c>
      <c r="J57" t="s">
        <v>111</v>
      </c>
      <c r="K57" t="s">
        <v>60</v>
      </c>
      <c r="L57">
        <v>1</v>
      </c>
      <c r="M57" s="2">
        <v>14</v>
      </c>
      <c r="N57" t="s">
        <v>87</v>
      </c>
      <c r="O57" s="3">
        <v>10</v>
      </c>
      <c r="P57" s="3">
        <v>0</v>
      </c>
      <c r="Q57" s="2">
        <v>24</v>
      </c>
      <c r="R57" t="s">
        <v>62</v>
      </c>
      <c r="S57" t="s">
        <v>46</v>
      </c>
      <c r="T57" t="s">
        <v>51</v>
      </c>
      <c r="U57" t="s">
        <v>58</v>
      </c>
    </row>
    <row r="58" spans="1:21" x14ac:dyDescent="0.35">
      <c r="A58" t="s">
        <v>133</v>
      </c>
      <c r="B58" s="1">
        <v>46052</v>
      </c>
      <c r="C58" t="str">
        <f>TEXT(tblData[[#This Row],[Rental Date]],"mmm")</f>
        <v>Jan</v>
      </c>
      <c r="D58" t="str">
        <f>TEXT(tblData[[#This Row],[Rental Date]],"mmmm")</f>
        <v>January</v>
      </c>
      <c r="E58" t="s">
        <v>38</v>
      </c>
      <c r="F58" t="str">
        <f>TEXT(WEEKNUM(tblData[[#This Row],[Rental Date]]),"00")</f>
        <v>05</v>
      </c>
      <c r="G58" s="1">
        <f>EOMONTH(tblData[[#This Row],[Rental Date]],0)</f>
        <v>46053</v>
      </c>
      <c r="H58" t="s">
        <v>22</v>
      </c>
      <c r="I58" t="s">
        <v>23</v>
      </c>
      <c r="J58" t="s">
        <v>49</v>
      </c>
      <c r="K58" t="s">
        <v>60</v>
      </c>
      <c r="L58">
        <v>1</v>
      </c>
      <c r="M58" s="2">
        <v>22</v>
      </c>
      <c r="N58" t="s">
        <v>26</v>
      </c>
      <c r="O58" s="3">
        <v>0</v>
      </c>
      <c r="P58" s="3">
        <v>0</v>
      </c>
      <c r="Q58" s="2">
        <v>22</v>
      </c>
      <c r="R58" t="s">
        <v>45</v>
      </c>
      <c r="S58" t="s">
        <v>50</v>
      </c>
      <c r="T58" t="s">
        <v>29</v>
      </c>
      <c r="U58" t="s">
        <v>58</v>
      </c>
    </row>
    <row r="59" spans="1:21" x14ac:dyDescent="0.35">
      <c r="A59" t="s">
        <v>134</v>
      </c>
      <c r="B59" s="1">
        <v>46052</v>
      </c>
      <c r="C59" t="str">
        <f>TEXT(tblData[[#This Row],[Rental Date]],"mmm")</f>
        <v>Jan</v>
      </c>
      <c r="D59" t="str">
        <f>TEXT(tblData[[#This Row],[Rental Date]],"mmmm")</f>
        <v>January</v>
      </c>
      <c r="E59" t="s">
        <v>38</v>
      </c>
      <c r="F59" t="str">
        <f>TEXT(WEEKNUM(tblData[[#This Row],[Rental Date]]),"00")</f>
        <v>05</v>
      </c>
      <c r="G59" s="1">
        <f>EOMONTH(tblData[[#This Row],[Rental Date]],0)</f>
        <v>46053</v>
      </c>
      <c r="H59" t="s">
        <v>22</v>
      </c>
      <c r="I59" t="s">
        <v>39</v>
      </c>
      <c r="J59" t="s">
        <v>78</v>
      </c>
      <c r="K59" t="s">
        <v>60</v>
      </c>
      <c r="L59">
        <v>1</v>
      </c>
      <c r="M59" s="2">
        <v>26</v>
      </c>
      <c r="N59" t="s">
        <v>61</v>
      </c>
      <c r="O59" s="3">
        <v>8</v>
      </c>
      <c r="P59" s="3">
        <v>0</v>
      </c>
      <c r="Q59" s="2">
        <v>34</v>
      </c>
      <c r="R59" t="s">
        <v>27</v>
      </c>
      <c r="S59" t="s">
        <v>54</v>
      </c>
      <c r="T59" t="s">
        <v>29</v>
      </c>
      <c r="U59" t="s">
        <v>36</v>
      </c>
    </row>
    <row r="60" spans="1:21" x14ac:dyDescent="0.35">
      <c r="A60" t="s">
        <v>135</v>
      </c>
      <c r="B60" s="1">
        <v>46053</v>
      </c>
      <c r="C60" t="str">
        <f>TEXT(tblData[[#This Row],[Rental Date]],"mmm")</f>
        <v>Jan</v>
      </c>
      <c r="D60" t="str">
        <f>TEXT(tblData[[#This Row],[Rental Date]],"mmmm")</f>
        <v>January</v>
      </c>
      <c r="E60" t="s">
        <v>56</v>
      </c>
      <c r="F60" t="str">
        <f>TEXT(WEEKNUM(tblData[[#This Row],[Rental Date]]),"00")</f>
        <v>05</v>
      </c>
      <c r="G60" s="1">
        <f>EOMONTH(tblData[[#This Row],[Rental Date]],0)</f>
        <v>46053</v>
      </c>
      <c r="H60" t="s">
        <v>22</v>
      </c>
      <c r="I60" t="s">
        <v>39</v>
      </c>
      <c r="J60" t="s">
        <v>65</v>
      </c>
      <c r="K60" t="s">
        <v>60</v>
      </c>
      <c r="L60">
        <v>1</v>
      </c>
      <c r="M60" s="2">
        <v>12.96</v>
      </c>
      <c r="N60" t="s">
        <v>26</v>
      </c>
      <c r="O60" s="3">
        <v>0</v>
      </c>
      <c r="P60" s="3">
        <v>0</v>
      </c>
      <c r="Q60" s="2">
        <v>12.96</v>
      </c>
      <c r="R60" t="s">
        <v>27</v>
      </c>
      <c r="S60" t="s">
        <v>50</v>
      </c>
      <c r="T60" t="s">
        <v>90</v>
      </c>
      <c r="U60" t="s">
        <v>58</v>
      </c>
    </row>
    <row r="61" spans="1:21" x14ac:dyDescent="0.35">
      <c r="A61" t="s">
        <v>136</v>
      </c>
      <c r="B61" s="1">
        <v>46054</v>
      </c>
      <c r="C61" t="str">
        <f>TEXT(tblData[[#This Row],[Rental Date]],"mmm")</f>
        <v>Feb</v>
      </c>
      <c r="D61" t="str">
        <f>TEXT(tblData[[#This Row],[Rental Date]],"mmmm")</f>
        <v>February</v>
      </c>
      <c r="E61" t="s">
        <v>68</v>
      </c>
      <c r="F61" t="str">
        <f>TEXT(WEEKNUM(tblData[[#This Row],[Rental Date]]),"00")</f>
        <v>06</v>
      </c>
      <c r="G61" s="1">
        <f>EOMONTH(tblData[[#This Row],[Rental Date]],0)</f>
        <v>46081</v>
      </c>
      <c r="H61" t="s">
        <v>22</v>
      </c>
      <c r="I61" t="s">
        <v>23</v>
      </c>
      <c r="J61" t="s">
        <v>24</v>
      </c>
      <c r="K61" t="s">
        <v>25</v>
      </c>
      <c r="L61">
        <v>1</v>
      </c>
      <c r="M61" s="2">
        <v>54</v>
      </c>
      <c r="N61" t="s">
        <v>26</v>
      </c>
      <c r="O61" s="3">
        <v>0</v>
      </c>
      <c r="P61" s="3">
        <v>0</v>
      </c>
      <c r="Q61" s="2">
        <v>54</v>
      </c>
      <c r="R61" t="s">
        <v>27</v>
      </c>
      <c r="S61" t="s">
        <v>46</v>
      </c>
      <c r="T61" t="s">
        <v>90</v>
      </c>
      <c r="U61" t="s">
        <v>30</v>
      </c>
    </row>
    <row r="62" spans="1:21" x14ac:dyDescent="0.35">
      <c r="A62" t="s">
        <v>137</v>
      </c>
      <c r="B62" s="1">
        <v>46054</v>
      </c>
      <c r="C62" t="str">
        <f>TEXT(tblData[[#This Row],[Rental Date]],"mmm")</f>
        <v>Feb</v>
      </c>
      <c r="D62" t="str">
        <f>TEXT(tblData[[#This Row],[Rental Date]],"mmmm")</f>
        <v>February</v>
      </c>
      <c r="E62" t="s">
        <v>68</v>
      </c>
      <c r="F62" t="str">
        <f>TEXT(WEEKNUM(tblData[[#This Row],[Rental Date]]),"00")</f>
        <v>06</v>
      </c>
      <c r="G62" s="1">
        <f>EOMONTH(tblData[[#This Row],[Rental Date]],0)</f>
        <v>46081</v>
      </c>
      <c r="H62" t="s">
        <v>22</v>
      </c>
      <c r="I62" t="s">
        <v>23</v>
      </c>
      <c r="J62" t="s">
        <v>138</v>
      </c>
      <c r="K62" t="s">
        <v>25</v>
      </c>
      <c r="L62">
        <v>1</v>
      </c>
      <c r="M62" s="2">
        <v>51.84</v>
      </c>
      <c r="N62" t="s">
        <v>26</v>
      </c>
      <c r="O62" s="3">
        <v>0</v>
      </c>
      <c r="P62" s="3">
        <v>0</v>
      </c>
      <c r="Q62" s="2">
        <v>51.84</v>
      </c>
      <c r="R62" t="s">
        <v>62</v>
      </c>
      <c r="S62" t="s">
        <v>46</v>
      </c>
      <c r="T62" t="s">
        <v>29</v>
      </c>
      <c r="U62" t="s">
        <v>30</v>
      </c>
    </row>
    <row r="63" spans="1:21" x14ac:dyDescent="0.35">
      <c r="A63" t="s">
        <v>139</v>
      </c>
      <c r="B63" s="1">
        <v>46055</v>
      </c>
      <c r="C63" t="str">
        <f>TEXT(tblData[[#This Row],[Rental Date]],"mmm")</f>
        <v>Feb</v>
      </c>
      <c r="D63" t="str">
        <f>TEXT(tblData[[#This Row],[Rental Date]],"mmmm")</f>
        <v>February</v>
      </c>
      <c r="E63" t="s">
        <v>74</v>
      </c>
      <c r="F63" t="str">
        <f>TEXT(WEEKNUM(tblData[[#This Row],[Rental Date]]),"00")</f>
        <v>06</v>
      </c>
      <c r="G63" s="1">
        <f>EOMONTH(tblData[[#This Row],[Rental Date]],0)</f>
        <v>46081</v>
      </c>
      <c r="H63" t="s">
        <v>22</v>
      </c>
      <c r="I63" t="s">
        <v>39</v>
      </c>
      <c r="J63" t="s">
        <v>111</v>
      </c>
      <c r="K63" t="s">
        <v>40</v>
      </c>
      <c r="L63">
        <v>1</v>
      </c>
      <c r="M63" s="2">
        <v>34</v>
      </c>
      <c r="N63" t="s">
        <v>26</v>
      </c>
      <c r="O63" s="3">
        <v>0</v>
      </c>
      <c r="P63" s="3">
        <v>0</v>
      </c>
      <c r="Q63" s="2">
        <v>34</v>
      </c>
      <c r="R63" t="s">
        <v>66</v>
      </c>
      <c r="S63" t="s">
        <v>54</v>
      </c>
      <c r="T63" t="s">
        <v>29</v>
      </c>
      <c r="U63" t="s">
        <v>79</v>
      </c>
    </row>
    <row r="64" spans="1:21" x14ac:dyDescent="0.35">
      <c r="A64" t="s">
        <v>140</v>
      </c>
      <c r="B64" s="1">
        <v>46055</v>
      </c>
      <c r="C64" t="str">
        <f>TEXT(tblData[[#This Row],[Rental Date]],"mmm")</f>
        <v>Feb</v>
      </c>
      <c r="D64" t="str">
        <f>TEXT(tblData[[#This Row],[Rental Date]],"mmmm")</f>
        <v>February</v>
      </c>
      <c r="E64" t="s">
        <v>74</v>
      </c>
      <c r="F64" t="str">
        <f>TEXT(WEEKNUM(tblData[[#This Row],[Rental Date]]),"00")</f>
        <v>06</v>
      </c>
      <c r="G64" s="1">
        <f>EOMONTH(tblData[[#This Row],[Rental Date]],0)</f>
        <v>46081</v>
      </c>
      <c r="H64" t="s">
        <v>22</v>
      </c>
      <c r="I64" t="s">
        <v>39</v>
      </c>
      <c r="J64" t="s">
        <v>65</v>
      </c>
      <c r="K64" t="s">
        <v>60</v>
      </c>
      <c r="L64">
        <v>1</v>
      </c>
      <c r="M64" s="2">
        <v>12</v>
      </c>
      <c r="N64" t="s">
        <v>26</v>
      </c>
      <c r="O64" s="3">
        <v>0</v>
      </c>
      <c r="P64" s="3">
        <v>0</v>
      </c>
      <c r="Q64" s="2">
        <v>12</v>
      </c>
      <c r="R64" t="s">
        <v>94</v>
      </c>
      <c r="S64" t="s">
        <v>54</v>
      </c>
      <c r="T64" t="s">
        <v>63</v>
      </c>
      <c r="U64" t="s">
        <v>30</v>
      </c>
    </row>
    <row r="65" spans="1:21" x14ac:dyDescent="0.35">
      <c r="A65" t="s">
        <v>141</v>
      </c>
      <c r="B65" s="1">
        <v>46055</v>
      </c>
      <c r="C65" t="str">
        <f>TEXT(tblData[[#This Row],[Rental Date]],"mmm")</f>
        <v>Feb</v>
      </c>
      <c r="D65" t="str">
        <f>TEXT(tblData[[#This Row],[Rental Date]],"mmmm")</f>
        <v>February</v>
      </c>
      <c r="E65" t="s">
        <v>74</v>
      </c>
      <c r="F65" t="str">
        <f>TEXT(WEEKNUM(tblData[[#This Row],[Rental Date]]),"00")</f>
        <v>06</v>
      </c>
      <c r="G65" s="1">
        <f>EOMONTH(tblData[[#This Row],[Rental Date]],0)</f>
        <v>46081</v>
      </c>
      <c r="H65" t="s">
        <v>22</v>
      </c>
      <c r="I65" t="s">
        <v>48</v>
      </c>
      <c r="J65" t="s">
        <v>78</v>
      </c>
      <c r="K65" t="s">
        <v>40</v>
      </c>
      <c r="L65">
        <v>1</v>
      </c>
      <c r="M65" s="2">
        <v>62</v>
      </c>
      <c r="N65" t="s">
        <v>41</v>
      </c>
      <c r="O65" s="3">
        <v>5</v>
      </c>
      <c r="P65" s="3">
        <v>0</v>
      </c>
      <c r="Q65" s="2">
        <v>67</v>
      </c>
      <c r="R65" t="s">
        <v>57</v>
      </c>
      <c r="S65" t="s">
        <v>54</v>
      </c>
      <c r="T65" t="s">
        <v>29</v>
      </c>
      <c r="U65" t="s">
        <v>58</v>
      </c>
    </row>
    <row r="66" spans="1:21" x14ac:dyDescent="0.35">
      <c r="A66" t="s">
        <v>142</v>
      </c>
      <c r="B66" s="1">
        <v>46056</v>
      </c>
      <c r="C66" t="str">
        <f>TEXT(tblData[[#This Row],[Rental Date]],"mmm")</f>
        <v>Feb</v>
      </c>
      <c r="D66" t="str">
        <f>TEXT(tblData[[#This Row],[Rental Date]],"mmmm")</f>
        <v>February</v>
      </c>
      <c r="E66" t="s">
        <v>102</v>
      </c>
      <c r="F66" t="str">
        <f>TEXT(WEEKNUM(tblData[[#This Row],[Rental Date]]),"00")</f>
        <v>06</v>
      </c>
      <c r="G66" s="1">
        <f>EOMONTH(tblData[[#This Row],[Rental Date]],0)</f>
        <v>46081</v>
      </c>
      <c r="H66" t="s">
        <v>22</v>
      </c>
      <c r="I66" t="s">
        <v>48</v>
      </c>
      <c r="J66" t="s">
        <v>49</v>
      </c>
      <c r="K66" t="s">
        <v>92</v>
      </c>
      <c r="L66">
        <v>1</v>
      </c>
      <c r="M66" s="2">
        <v>76</v>
      </c>
      <c r="N66" t="s">
        <v>41</v>
      </c>
      <c r="O66" s="3">
        <v>5</v>
      </c>
      <c r="P66" s="3">
        <v>0</v>
      </c>
      <c r="Q66" s="2">
        <v>81</v>
      </c>
      <c r="R66" t="s">
        <v>42</v>
      </c>
      <c r="S66" t="s">
        <v>50</v>
      </c>
      <c r="T66" t="s">
        <v>51</v>
      </c>
      <c r="U66" t="s">
        <v>58</v>
      </c>
    </row>
    <row r="67" spans="1:21" x14ac:dyDescent="0.35">
      <c r="A67" t="s">
        <v>143</v>
      </c>
      <c r="B67" s="1">
        <v>46056</v>
      </c>
      <c r="C67" t="str">
        <f>TEXT(tblData[[#This Row],[Rental Date]],"mmm")</f>
        <v>Feb</v>
      </c>
      <c r="D67" t="str">
        <f>TEXT(tblData[[#This Row],[Rental Date]],"mmmm")</f>
        <v>February</v>
      </c>
      <c r="E67" t="s">
        <v>102</v>
      </c>
      <c r="F67" t="str">
        <f>TEXT(WEEKNUM(tblData[[#This Row],[Rental Date]]),"00")</f>
        <v>06</v>
      </c>
      <c r="G67" s="1">
        <f>EOMONTH(tblData[[#This Row],[Rental Date]],0)</f>
        <v>46081</v>
      </c>
      <c r="H67" t="s">
        <v>22</v>
      </c>
      <c r="I67" t="s">
        <v>39</v>
      </c>
      <c r="J67" t="s">
        <v>127</v>
      </c>
      <c r="K67" t="s">
        <v>60</v>
      </c>
      <c r="L67">
        <v>1</v>
      </c>
      <c r="M67" s="2">
        <v>10</v>
      </c>
      <c r="N67" t="s">
        <v>41</v>
      </c>
      <c r="O67" s="3">
        <v>5</v>
      </c>
      <c r="P67" s="3">
        <v>0</v>
      </c>
      <c r="Q67" s="2">
        <v>15</v>
      </c>
      <c r="R67" t="s">
        <v>94</v>
      </c>
      <c r="S67" t="s">
        <v>50</v>
      </c>
      <c r="T67" t="s">
        <v>51</v>
      </c>
      <c r="U67" t="s">
        <v>30</v>
      </c>
    </row>
    <row r="68" spans="1:21" x14ac:dyDescent="0.35">
      <c r="A68" t="s">
        <v>144</v>
      </c>
      <c r="B68" s="1">
        <v>46057</v>
      </c>
      <c r="C68" t="str">
        <f>TEXT(tblData[[#This Row],[Rental Date]],"mmm")</f>
        <v>Feb</v>
      </c>
      <c r="D68" t="str">
        <f>TEXT(tblData[[#This Row],[Rental Date]],"mmmm")</f>
        <v>February</v>
      </c>
      <c r="E68" t="s">
        <v>109</v>
      </c>
      <c r="F68" t="str">
        <f>TEXT(WEEKNUM(tblData[[#This Row],[Rental Date]]),"00")</f>
        <v>06</v>
      </c>
      <c r="G68" s="1">
        <f>EOMONTH(tblData[[#This Row],[Rental Date]],0)</f>
        <v>46081</v>
      </c>
      <c r="H68" t="s">
        <v>22</v>
      </c>
      <c r="I68" t="s">
        <v>39</v>
      </c>
      <c r="J68" t="s">
        <v>24</v>
      </c>
      <c r="K68" t="s">
        <v>25</v>
      </c>
      <c r="L68">
        <v>1</v>
      </c>
      <c r="M68" s="2">
        <v>50</v>
      </c>
      <c r="N68" t="s">
        <v>41</v>
      </c>
      <c r="O68" s="3">
        <v>5</v>
      </c>
      <c r="P68" s="3">
        <v>0</v>
      </c>
      <c r="Q68" s="2">
        <v>55</v>
      </c>
      <c r="R68" t="s">
        <v>94</v>
      </c>
      <c r="S68" t="s">
        <v>28</v>
      </c>
      <c r="T68" t="s">
        <v>83</v>
      </c>
      <c r="U68" t="s">
        <v>58</v>
      </c>
    </row>
    <row r="69" spans="1:21" x14ac:dyDescent="0.35">
      <c r="A69" t="s">
        <v>145</v>
      </c>
      <c r="B69" s="1">
        <v>46057</v>
      </c>
      <c r="C69" t="str">
        <f>TEXT(tblData[[#This Row],[Rental Date]],"mmm")</f>
        <v>Feb</v>
      </c>
      <c r="D69" t="str">
        <f>TEXT(tblData[[#This Row],[Rental Date]],"mmmm")</f>
        <v>February</v>
      </c>
      <c r="E69" t="s">
        <v>109</v>
      </c>
      <c r="F69" t="str">
        <f>TEXT(WEEKNUM(tblData[[#This Row],[Rental Date]]),"00")</f>
        <v>06</v>
      </c>
      <c r="G69" s="1">
        <f>EOMONTH(tblData[[#This Row],[Rental Date]],0)</f>
        <v>46081</v>
      </c>
      <c r="H69" t="s">
        <v>22</v>
      </c>
      <c r="I69" t="s">
        <v>23</v>
      </c>
      <c r="J69" t="s">
        <v>33</v>
      </c>
      <c r="K69" t="s">
        <v>25</v>
      </c>
      <c r="L69">
        <v>1</v>
      </c>
      <c r="M69" s="2">
        <v>38</v>
      </c>
      <c r="N69" t="s">
        <v>61</v>
      </c>
      <c r="O69" s="3">
        <v>8</v>
      </c>
      <c r="P69" s="3">
        <v>0</v>
      </c>
      <c r="Q69" s="2">
        <v>46</v>
      </c>
      <c r="R69" t="s">
        <v>76</v>
      </c>
      <c r="S69" t="s">
        <v>28</v>
      </c>
      <c r="T69" t="s">
        <v>63</v>
      </c>
      <c r="U69" t="s">
        <v>36</v>
      </c>
    </row>
    <row r="70" spans="1:21" x14ac:dyDescent="0.35">
      <c r="A70" t="s">
        <v>146</v>
      </c>
      <c r="B70" s="1">
        <v>46058</v>
      </c>
      <c r="C70" t="str">
        <f>TEXT(tblData[[#This Row],[Rental Date]],"mmm")</f>
        <v>Feb</v>
      </c>
      <c r="D70" t="str">
        <f>TEXT(tblData[[#This Row],[Rental Date]],"mmmm")</f>
        <v>February</v>
      </c>
      <c r="E70" t="s">
        <v>21</v>
      </c>
      <c r="F70" t="str">
        <f>TEXT(WEEKNUM(tblData[[#This Row],[Rental Date]]),"00")</f>
        <v>06</v>
      </c>
      <c r="G70" s="1">
        <f>EOMONTH(tblData[[#This Row],[Rental Date]],0)</f>
        <v>46081</v>
      </c>
      <c r="H70" t="s">
        <v>22</v>
      </c>
      <c r="I70" t="s">
        <v>39</v>
      </c>
      <c r="J70" t="s">
        <v>111</v>
      </c>
      <c r="K70" t="s">
        <v>60</v>
      </c>
      <c r="L70">
        <v>1</v>
      </c>
      <c r="M70" s="2">
        <v>14</v>
      </c>
      <c r="N70" t="s">
        <v>26</v>
      </c>
      <c r="O70" s="3">
        <v>0</v>
      </c>
      <c r="P70" s="3">
        <v>0</v>
      </c>
      <c r="Q70" s="2">
        <v>14</v>
      </c>
      <c r="R70" t="s">
        <v>76</v>
      </c>
      <c r="S70" t="s">
        <v>46</v>
      </c>
      <c r="T70" t="s">
        <v>51</v>
      </c>
      <c r="U70" t="s">
        <v>58</v>
      </c>
    </row>
    <row r="71" spans="1:21" x14ac:dyDescent="0.35">
      <c r="A71" t="s">
        <v>147</v>
      </c>
      <c r="B71" s="1">
        <v>46058</v>
      </c>
      <c r="C71" t="str">
        <f>TEXT(tblData[[#This Row],[Rental Date]],"mmm")</f>
        <v>Feb</v>
      </c>
      <c r="D71" t="str">
        <f>TEXT(tblData[[#This Row],[Rental Date]],"mmmm")</f>
        <v>February</v>
      </c>
      <c r="E71" t="s">
        <v>21</v>
      </c>
      <c r="F71" t="str">
        <f>TEXT(WEEKNUM(tblData[[#This Row],[Rental Date]]),"00")</f>
        <v>06</v>
      </c>
      <c r="G71" s="1">
        <f>EOMONTH(tblData[[#This Row],[Rental Date]],0)</f>
        <v>46081</v>
      </c>
      <c r="H71" t="s">
        <v>22</v>
      </c>
      <c r="I71" t="s">
        <v>48</v>
      </c>
      <c r="J71" t="s">
        <v>78</v>
      </c>
      <c r="K71" t="s">
        <v>60</v>
      </c>
      <c r="L71">
        <v>1</v>
      </c>
      <c r="M71" s="2">
        <v>26</v>
      </c>
      <c r="N71" t="s">
        <v>89</v>
      </c>
      <c r="O71" s="3">
        <v>6</v>
      </c>
      <c r="P71" s="3">
        <v>0</v>
      </c>
      <c r="Q71" s="2">
        <v>32</v>
      </c>
      <c r="R71" t="s">
        <v>76</v>
      </c>
      <c r="S71" t="s">
        <v>54</v>
      </c>
      <c r="T71" t="s">
        <v>51</v>
      </c>
      <c r="U71" t="s">
        <v>36</v>
      </c>
    </row>
    <row r="72" spans="1:21" x14ac:dyDescent="0.35">
      <c r="A72" t="s">
        <v>148</v>
      </c>
      <c r="B72" s="1">
        <v>46058</v>
      </c>
      <c r="C72" t="str">
        <f>TEXT(tblData[[#This Row],[Rental Date]],"mmm")</f>
        <v>Feb</v>
      </c>
      <c r="D72" t="str">
        <f>TEXT(tblData[[#This Row],[Rental Date]],"mmmm")</f>
        <v>February</v>
      </c>
      <c r="E72" t="s">
        <v>21</v>
      </c>
      <c r="F72" t="str">
        <f>TEXT(WEEKNUM(tblData[[#This Row],[Rental Date]]),"00")</f>
        <v>06</v>
      </c>
      <c r="G72" s="1">
        <f>EOMONTH(tblData[[#This Row],[Rental Date]],0)</f>
        <v>46081</v>
      </c>
      <c r="H72" t="s">
        <v>22</v>
      </c>
      <c r="I72" t="s">
        <v>39</v>
      </c>
      <c r="J72" t="s">
        <v>49</v>
      </c>
      <c r="K72" t="s">
        <v>40</v>
      </c>
      <c r="L72">
        <v>1</v>
      </c>
      <c r="M72" s="2">
        <v>54</v>
      </c>
      <c r="N72" t="s">
        <v>26</v>
      </c>
      <c r="O72" s="3">
        <v>0</v>
      </c>
      <c r="P72" s="3">
        <v>0</v>
      </c>
      <c r="Q72" s="2">
        <v>54</v>
      </c>
      <c r="R72" t="s">
        <v>94</v>
      </c>
      <c r="S72" t="s">
        <v>35</v>
      </c>
      <c r="T72" t="s">
        <v>51</v>
      </c>
      <c r="U72" t="s">
        <v>30</v>
      </c>
    </row>
    <row r="73" spans="1:21" x14ac:dyDescent="0.35">
      <c r="A73" t="s">
        <v>149</v>
      </c>
      <c r="B73" s="1">
        <v>46058</v>
      </c>
      <c r="C73" t="str">
        <f>TEXT(tblData[[#This Row],[Rental Date]],"mmm")</f>
        <v>Feb</v>
      </c>
      <c r="D73" t="str">
        <f>TEXT(tblData[[#This Row],[Rental Date]],"mmmm")</f>
        <v>February</v>
      </c>
      <c r="E73" t="s">
        <v>21</v>
      </c>
      <c r="F73" t="str">
        <f>TEXT(WEEKNUM(tblData[[#This Row],[Rental Date]]),"00")</f>
        <v>06</v>
      </c>
      <c r="G73" s="1">
        <f>EOMONTH(tblData[[#This Row],[Rental Date]],0)</f>
        <v>46081</v>
      </c>
      <c r="H73" t="s">
        <v>22</v>
      </c>
      <c r="I73" t="s">
        <v>48</v>
      </c>
      <c r="J73" t="s">
        <v>65</v>
      </c>
      <c r="K73" t="s">
        <v>60</v>
      </c>
      <c r="L73">
        <v>1</v>
      </c>
      <c r="M73" s="2">
        <v>12</v>
      </c>
      <c r="N73" t="s">
        <v>26</v>
      </c>
      <c r="O73" s="3">
        <v>0</v>
      </c>
      <c r="P73" s="3">
        <v>0</v>
      </c>
      <c r="Q73" s="2">
        <v>12</v>
      </c>
      <c r="R73" t="s">
        <v>76</v>
      </c>
      <c r="S73" t="s">
        <v>28</v>
      </c>
      <c r="T73" t="s">
        <v>29</v>
      </c>
      <c r="U73" t="s">
        <v>58</v>
      </c>
    </row>
    <row r="74" spans="1:21" x14ac:dyDescent="0.35">
      <c r="A74" t="s">
        <v>150</v>
      </c>
      <c r="B74" s="1">
        <v>46058</v>
      </c>
      <c r="C74" t="str">
        <f>TEXT(tblData[[#This Row],[Rental Date]],"mmm")</f>
        <v>Feb</v>
      </c>
      <c r="D74" t="str">
        <f>TEXT(tblData[[#This Row],[Rental Date]],"mmmm")</f>
        <v>February</v>
      </c>
      <c r="E74" t="s">
        <v>21</v>
      </c>
      <c r="F74" t="str">
        <f>TEXT(WEEKNUM(tblData[[#This Row],[Rental Date]]),"00")</f>
        <v>06</v>
      </c>
      <c r="G74" s="1">
        <f>EOMONTH(tblData[[#This Row],[Rental Date]],0)</f>
        <v>46081</v>
      </c>
      <c r="H74" t="s">
        <v>22</v>
      </c>
      <c r="I74" t="s">
        <v>39</v>
      </c>
      <c r="J74" t="s">
        <v>78</v>
      </c>
      <c r="K74" t="s">
        <v>25</v>
      </c>
      <c r="L74">
        <v>1</v>
      </c>
      <c r="M74" s="2">
        <v>42</v>
      </c>
      <c r="N74" t="s">
        <v>41</v>
      </c>
      <c r="O74" s="3">
        <v>5</v>
      </c>
      <c r="P74" s="3">
        <v>0</v>
      </c>
      <c r="Q74" s="2">
        <v>47</v>
      </c>
      <c r="R74" t="s">
        <v>45</v>
      </c>
      <c r="S74" t="s">
        <v>50</v>
      </c>
      <c r="T74" t="s">
        <v>29</v>
      </c>
      <c r="U74" t="s">
        <v>58</v>
      </c>
    </row>
    <row r="75" spans="1:21" x14ac:dyDescent="0.35">
      <c r="A75" t="s">
        <v>151</v>
      </c>
      <c r="B75" s="1">
        <v>46058</v>
      </c>
      <c r="C75" t="str">
        <f>TEXT(tblData[[#This Row],[Rental Date]],"mmm")</f>
        <v>Feb</v>
      </c>
      <c r="D75" t="str">
        <f>TEXT(tblData[[#This Row],[Rental Date]],"mmmm")</f>
        <v>February</v>
      </c>
      <c r="E75" t="s">
        <v>21</v>
      </c>
      <c r="F75" t="str">
        <f>TEXT(WEEKNUM(tblData[[#This Row],[Rental Date]]),"00")</f>
        <v>06</v>
      </c>
      <c r="G75" s="1">
        <f>EOMONTH(tblData[[#This Row],[Rental Date]],0)</f>
        <v>46081</v>
      </c>
      <c r="H75" t="s">
        <v>22</v>
      </c>
      <c r="I75" t="s">
        <v>23</v>
      </c>
      <c r="J75" t="s">
        <v>138</v>
      </c>
      <c r="K75" t="s">
        <v>40</v>
      </c>
      <c r="L75">
        <v>1</v>
      </c>
      <c r="M75" s="2">
        <v>72</v>
      </c>
      <c r="N75" t="s">
        <v>26</v>
      </c>
      <c r="O75" s="3">
        <v>0</v>
      </c>
      <c r="P75" s="3">
        <v>0</v>
      </c>
      <c r="Q75" s="2">
        <v>72</v>
      </c>
      <c r="R75" t="s">
        <v>94</v>
      </c>
      <c r="S75" t="s">
        <v>28</v>
      </c>
      <c r="T75" t="s">
        <v>90</v>
      </c>
      <c r="U75" t="s">
        <v>30</v>
      </c>
    </row>
    <row r="76" spans="1:21" x14ac:dyDescent="0.35">
      <c r="A76" t="s">
        <v>152</v>
      </c>
      <c r="B76" s="1">
        <v>46059</v>
      </c>
      <c r="C76" t="str">
        <f>TEXT(tblData[[#This Row],[Rental Date]],"mmm")</f>
        <v>Feb</v>
      </c>
      <c r="D76" t="str">
        <f>TEXT(tblData[[#This Row],[Rental Date]],"mmmm")</f>
        <v>February</v>
      </c>
      <c r="E76" t="s">
        <v>38</v>
      </c>
      <c r="F76" t="str">
        <f>TEXT(WEEKNUM(tblData[[#This Row],[Rental Date]]),"00")</f>
        <v>06</v>
      </c>
      <c r="G76" s="1">
        <f>EOMONTH(tblData[[#This Row],[Rental Date]],0)</f>
        <v>46081</v>
      </c>
      <c r="H76" t="s">
        <v>22</v>
      </c>
      <c r="I76" t="s">
        <v>32</v>
      </c>
      <c r="J76" t="s">
        <v>65</v>
      </c>
      <c r="K76" t="s">
        <v>60</v>
      </c>
      <c r="L76">
        <v>1</v>
      </c>
      <c r="M76" s="2">
        <v>12</v>
      </c>
      <c r="N76" t="s">
        <v>87</v>
      </c>
      <c r="O76" s="3">
        <v>10</v>
      </c>
      <c r="P76" s="3">
        <v>1.1000000000000001</v>
      </c>
      <c r="Q76" s="2">
        <v>20.9</v>
      </c>
      <c r="R76" t="s">
        <v>27</v>
      </c>
      <c r="S76" t="s">
        <v>28</v>
      </c>
      <c r="T76" t="s">
        <v>63</v>
      </c>
      <c r="U76" t="s">
        <v>58</v>
      </c>
    </row>
    <row r="77" spans="1:21" x14ac:dyDescent="0.35">
      <c r="A77" t="s">
        <v>153</v>
      </c>
      <c r="B77" s="1">
        <v>46059</v>
      </c>
      <c r="C77" t="str">
        <f>TEXT(tblData[[#This Row],[Rental Date]],"mmm")</f>
        <v>Feb</v>
      </c>
      <c r="D77" t="str">
        <f>TEXT(tblData[[#This Row],[Rental Date]],"mmmm")</f>
        <v>February</v>
      </c>
      <c r="E77" t="s">
        <v>38</v>
      </c>
      <c r="F77" t="str">
        <f>TEXT(WEEKNUM(tblData[[#This Row],[Rental Date]]),"00")</f>
        <v>06</v>
      </c>
      <c r="G77" s="1">
        <f>EOMONTH(tblData[[#This Row],[Rental Date]],0)</f>
        <v>46081</v>
      </c>
      <c r="H77" t="s">
        <v>22</v>
      </c>
      <c r="I77" t="s">
        <v>53</v>
      </c>
      <c r="J77" t="s">
        <v>111</v>
      </c>
      <c r="K77" t="s">
        <v>40</v>
      </c>
      <c r="L77">
        <v>1</v>
      </c>
      <c r="M77" s="2">
        <v>34</v>
      </c>
      <c r="N77" t="s">
        <v>26</v>
      </c>
      <c r="O77" s="3">
        <v>0</v>
      </c>
      <c r="P77" s="3">
        <v>3.4</v>
      </c>
      <c r="Q77" s="2">
        <v>30.6</v>
      </c>
      <c r="R77" t="s">
        <v>66</v>
      </c>
      <c r="S77" t="s">
        <v>35</v>
      </c>
      <c r="T77" t="s">
        <v>29</v>
      </c>
      <c r="U77" t="s">
        <v>30</v>
      </c>
    </row>
    <row r="78" spans="1:21" x14ac:dyDescent="0.35">
      <c r="A78" t="s">
        <v>154</v>
      </c>
      <c r="B78" s="1">
        <v>46060</v>
      </c>
      <c r="C78" t="str">
        <f>TEXT(tblData[[#This Row],[Rental Date]],"mmm")</f>
        <v>Feb</v>
      </c>
      <c r="D78" t="str">
        <f>TEXT(tblData[[#This Row],[Rental Date]],"mmmm")</f>
        <v>February</v>
      </c>
      <c r="E78" t="s">
        <v>56</v>
      </c>
      <c r="F78" t="str">
        <f>TEXT(WEEKNUM(tblData[[#This Row],[Rental Date]]),"00")</f>
        <v>06</v>
      </c>
      <c r="G78" s="1">
        <f>EOMONTH(tblData[[#This Row],[Rental Date]],0)</f>
        <v>46081</v>
      </c>
      <c r="H78" t="s">
        <v>22</v>
      </c>
      <c r="I78" t="s">
        <v>39</v>
      </c>
      <c r="J78" t="s">
        <v>49</v>
      </c>
      <c r="K78" t="s">
        <v>25</v>
      </c>
      <c r="L78">
        <v>1</v>
      </c>
      <c r="M78" s="2">
        <v>38.880000000000003</v>
      </c>
      <c r="N78" t="s">
        <v>89</v>
      </c>
      <c r="O78" s="3">
        <v>6</v>
      </c>
      <c r="P78" s="3">
        <v>0</v>
      </c>
      <c r="Q78" s="2">
        <v>44.88</v>
      </c>
      <c r="R78" t="s">
        <v>34</v>
      </c>
      <c r="S78" t="s">
        <v>28</v>
      </c>
      <c r="T78" t="s">
        <v>29</v>
      </c>
      <c r="U78" t="s">
        <v>58</v>
      </c>
    </row>
    <row r="79" spans="1:21" x14ac:dyDescent="0.35">
      <c r="A79" t="s">
        <v>155</v>
      </c>
      <c r="B79" s="1">
        <v>46060</v>
      </c>
      <c r="C79" t="str">
        <f>TEXT(tblData[[#This Row],[Rental Date]],"mmm")</f>
        <v>Feb</v>
      </c>
      <c r="D79" t="str">
        <f>TEXT(tblData[[#This Row],[Rental Date]],"mmmm")</f>
        <v>February</v>
      </c>
      <c r="E79" t="s">
        <v>56</v>
      </c>
      <c r="F79" t="str">
        <f>TEXT(WEEKNUM(tblData[[#This Row],[Rental Date]]),"00")</f>
        <v>06</v>
      </c>
      <c r="G79" s="1">
        <f>EOMONTH(tblData[[#This Row],[Rental Date]],0)</f>
        <v>46081</v>
      </c>
      <c r="H79" t="s">
        <v>22</v>
      </c>
      <c r="I79" t="s">
        <v>32</v>
      </c>
      <c r="J79" t="s">
        <v>127</v>
      </c>
      <c r="K79" t="s">
        <v>60</v>
      </c>
      <c r="L79">
        <v>1</v>
      </c>
      <c r="M79" s="2">
        <v>10.8</v>
      </c>
      <c r="N79" t="s">
        <v>89</v>
      </c>
      <c r="O79" s="3">
        <v>6</v>
      </c>
      <c r="P79" s="3">
        <v>1.68</v>
      </c>
      <c r="Q79" s="2">
        <v>15.12</v>
      </c>
      <c r="R79" t="s">
        <v>34</v>
      </c>
      <c r="S79" t="s">
        <v>28</v>
      </c>
      <c r="T79" t="s">
        <v>51</v>
      </c>
      <c r="U79" t="s">
        <v>58</v>
      </c>
    </row>
    <row r="80" spans="1:21" x14ac:dyDescent="0.35">
      <c r="A80" t="s">
        <v>156</v>
      </c>
      <c r="B80" s="1">
        <v>46060</v>
      </c>
      <c r="C80" t="str">
        <f>TEXT(tblData[[#This Row],[Rental Date]],"mmm")</f>
        <v>Feb</v>
      </c>
      <c r="D80" t="str">
        <f>TEXT(tblData[[#This Row],[Rental Date]],"mmmm")</f>
        <v>February</v>
      </c>
      <c r="E80" t="s">
        <v>56</v>
      </c>
      <c r="F80" t="str">
        <f>TEXT(WEEKNUM(tblData[[#This Row],[Rental Date]]),"00")</f>
        <v>06</v>
      </c>
      <c r="G80" s="1">
        <f>EOMONTH(tblData[[#This Row],[Rental Date]],0)</f>
        <v>46081</v>
      </c>
      <c r="H80" t="s">
        <v>22</v>
      </c>
      <c r="I80" t="s">
        <v>48</v>
      </c>
      <c r="J80" t="s">
        <v>78</v>
      </c>
      <c r="K80" t="s">
        <v>40</v>
      </c>
      <c r="L80">
        <v>1</v>
      </c>
      <c r="M80" s="2">
        <v>66.959999999999994</v>
      </c>
      <c r="N80" t="s">
        <v>26</v>
      </c>
      <c r="O80" s="3">
        <v>0</v>
      </c>
      <c r="P80" s="3">
        <v>0</v>
      </c>
      <c r="Q80" s="2">
        <v>66.959999999999994</v>
      </c>
      <c r="R80" t="s">
        <v>62</v>
      </c>
      <c r="S80" t="s">
        <v>50</v>
      </c>
      <c r="T80" t="s">
        <v>29</v>
      </c>
      <c r="U80" t="s">
        <v>58</v>
      </c>
    </row>
    <row r="81" spans="1:21" x14ac:dyDescent="0.35">
      <c r="A81" t="s">
        <v>157</v>
      </c>
      <c r="B81" s="1">
        <v>46060</v>
      </c>
      <c r="C81" t="str">
        <f>TEXT(tblData[[#This Row],[Rental Date]],"mmm")</f>
        <v>Feb</v>
      </c>
      <c r="D81" t="str">
        <f>TEXT(tblData[[#This Row],[Rental Date]],"mmmm")</f>
        <v>February</v>
      </c>
      <c r="E81" t="s">
        <v>56</v>
      </c>
      <c r="F81" t="str">
        <f>TEXT(WEEKNUM(tblData[[#This Row],[Rental Date]]),"00")</f>
        <v>06</v>
      </c>
      <c r="G81" s="1">
        <f>EOMONTH(tblData[[#This Row],[Rental Date]],0)</f>
        <v>46081</v>
      </c>
      <c r="H81" t="s">
        <v>22</v>
      </c>
      <c r="I81" t="s">
        <v>32</v>
      </c>
      <c r="J81" t="s">
        <v>78</v>
      </c>
      <c r="K81" t="s">
        <v>25</v>
      </c>
      <c r="L81">
        <v>1</v>
      </c>
      <c r="M81" s="2">
        <v>45.36</v>
      </c>
      <c r="N81" t="s">
        <v>41</v>
      </c>
      <c r="O81" s="3">
        <v>5</v>
      </c>
      <c r="P81" s="3">
        <v>2.52</v>
      </c>
      <c r="Q81" s="2">
        <v>47.84</v>
      </c>
      <c r="R81" t="s">
        <v>94</v>
      </c>
      <c r="S81" t="s">
        <v>46</v>
      </c>
      <c r="T81" t="s">
        <v>90</v>
      </c>
      <c r="U81" t="s">
        <v>58</v>
      </c>
    </row>
    <row r="82" spans="1:21" x14ac:dyDescent="0.35">
      <c r="A82" t="s">
        <v>158</v>
      </c>
      <c r="B82" s="1">
        <v>46060</v>
      </c>
      <c r="C82" t="str">
        <f>TEXT(tblData[[#This Row],[Rental Date]],"mmm")</f>
        <v>Feb</v>
      </c>
      <c r="D82" t="str">
        <f>TEXT(tblData[[#This Row],[Rental Date]],"mmmm")</f>
        <v>February</v>
      </c>
      <c r="E82" t="s">
        <v>56</v>
      </c>
      <c r="F82" t="str">
        <f>TEXT(WEEKNUM(tblData[[#This Row],[Rental Date]]),"00")</f>
        <v>06</v>
      </c>
      <c r="G82" s="1">
        <f>EOMONTH(tblData[[#This Row],[Rental Date]],0)</f>
        <v>46081</v>
      </c>
      <c r="H82" t="s">
        <v>22</v>
      </c>
      <c r="I82" t="s">
        <v>23</v>
      </c>
      <c r="J82" t="s">
        <v>78</v>
      </c>
      <c r="K82" t="s">
        <v>25</v>
      </c>
      <c r="L82">
        <v>1</v>
      </c>
      <c r="M82" s="2">
        <v>45.36</v>
      </c>
      <c r="N82" t="s">
        <v>41</v>
      </c>
      <c r="O82" s="3">
        <v>5</v>
      </c>
      <c r="P82" s="3">
        <v>0</v>
      </c>
      <c r="Q82" s="2">
        <v>50.36</v>
      </c>
      <c r="R82" t="s">
        <v>94</v>
      </c>
      <c r="S82" t="s">
        <v>46</v>
      </c>
      <c r="T82" t="s">
        <v>90</v>
      </c>
      <c r="U82" t="s">
        <v>58</v>
      </c>
    </row>
    <row r="83" spans="1:21" x14ac:dyDescent="0.35">
      <c r="A83" t="s">
        <v>159</v>
      </c>
      <c r="B83" s="1">
        <v>46061</v>
      </c>
      <c r="C83" t="str">
        <f>TEXT(tblData[[#This Row],[Rental Date]],"mmm")</f>
        <v>Feb</v>
      </c>
      <c r="D83" t="str">
        <f>TEXT(tblData[[#This Row],[Rental Date]],"mmmm")</f>
        <v>February</v>
      </c>
      <c r="E83" t="s">
        <v>68</v>
      </c>
      <c r="F83" t="str">
        <f>TEXT(WEEKNUM(tblData[[#This Row],[Rental Date]]),"00")</f>
        <v>07</v>
      </c>
      <c r="G83" s="1">
        <f>EOMONTH(tblData[[#This Row],[Rental Date]],0)</f>
        <v>46081</v>
      </c>
      <c r="H83" t="s">
        <v>22</v>
      </c>
      <c r="I83" t="s">
        <v>23</v>
      </c>
      <c r="J83" t="s">
        <v>111</v>
      </c>
      <c r="K83" t="s">
        <v>92</v>
      </c>
      <c r="L83">
        <v>1</v>
      </c>
      <c r="M83" s="2">
        <v>51.84</v>
      </c>
      <c r="N83" t="s">
        <v>26</v>
      </c>
      <c r="O83" s="3">
        <v>0</v>
      </c>
      <c r="P83" s="3">
        <v>0</v>
      </c>
      <c r="Q83" s="2">
        <v>51.84</v>
      </c>
      <c r="R83" t="s">
        <v>66</v>
      </c>
      <c r="S83" t="s">
        <v>54</v>
      </c>
      <c r="T83" t="s">
        <v>29</v>
      </c>
      <c r="U83" t="s">
        <v>79</v>
      </c>
    </row>
    <row r="84" spans="1:21" x14ac:dyDescent="0.35">
      <c r="A84" t="s">
        <v>160</v>
      </c>
      <c r="B84" s="1">
        <v>46061</v>
      </c>
      <c r="C84" t="str">
        <f>TEXT(tblData[[#This Row],[Rental Date]],"mmm")</f>
        <v>Feb</v>
      </c>
      <c r="D84" t="str">
        <f>TEXT(tblData[[#This Row],[Rental Date]],"mmmm")</f>
        <v>February</v>
      </c>
      <c r="E84" t="s">
        <v>68</v>
      </c>
      <c r="F84" t="str">
        <f>TEXT(WEEKNUM(tblData[[#This Row],[Rental Date]]),"00")</f>
        <v>07</v>
      </c>
      <c r="G84" s="1">
        <f>EOMONTH(tblData[[#This Row],[Rental Date]],0)</f>
        <v>46081</v>
      </c>
      <c r="H84" t="s">
        <v>22</v>
      </c>
      <c r="I84" t="s">
        <v>23</v>
      </c>
      <c r="J84" t="s">
        <v>33</v>
      </c>
      <c r="K84" t="s">
        <v>25</v>
      </c>
      <c r="L84">
        <v>1</v>
      </c>
      <c r="M84" s="2">
        <v>41.04</v>
      </c>
      <c r="N84" t="s">
        <v>89</v>
      </c>
      <c r="O84" s="3">
        <v>6</v>
      </c>
      <c r="P84" s="3">
        <v>0</v>
      </c>
      <c r="Q84" s="2">
        <v>47.04</v>
      </c>
      <c r="R84" t="s">
        <v>42</v>
      </c>
      <c r="S84" t="s">
        <v>28</v>
      </c>
      <c r="T84" t="s">
        <v>90</v>
      </c>
      <c r="U84" t="s">
        <v>30</v>
      </c>
    </row>
    <row r="85" spans="1:21" x14ac:dyDescent="0.35">
      <c r="A85" t="s">
        <v>161</v>
      </c>
      <c r="B85" s="1">
        <v>46061</v>
      </c>
      <c r="C85" t="str">
        <f>TEXT(tblData[[#This Row],[Rental Date]],"mmm")</f>
        <v>Feb</v>
      </c>
      <c r="D85" t="str">
        <f>TEXT(tblData[[#This Row],[Rental Date]],"mmmm")</f>
        <v>February</v>
      </c>
      <c r="E85" t="s">
        <v>68</v>
      </c>
      <c r="F85" t="str">
        <f>TEXT(WEEKNUM(tblData[[#This Row],[Rental Date]]),"00")</f>
        <v>07</v>
      </c>
      <c r="G85" s="1">
        <f>EOMONTH(tblData[[#This Row],[Rental Date]],0)</f>
        <v>46081</v>
      </c>
      <c r="H85" t="s">
        <v>22</v>
      </c>
      <c r="I85" t="s">
        <v>48</v>
      </c>
      <c r="J85" t="s">
        <v>49</v>
      </c>
      <c r="K85" t="s">
        <v>92</v>
      </c>
      <c r="L85">
        <v>1</v>
      </c>
      <c r="M85" s="2">
        <v>82.08</v>
      </c>
      <c r="N85" t="s">
        <v>70</v>
      </c>
      <c r="O85" s="3">
        <v>7</v>
      </c>
      <c r="P85" s="3">
        <v>0</v>
      </c>
      <c r="Q85" s="2">
        <v>89.08</v>
      </c>
      <c r="R85" t="s">
        <v>62</v>
      </c>
      <c r="S85" t="s">
        <v>35</v>
      </c>
      <c r="T85" t="s">
        <v>29</v>
      </c>
      <c r="U85" t="s">
        <v>58</v>
      </c>
    </row>
    <row r="86" spans="1:21" x14ac:dyDescent="0.35">
      <c r="A86" t="s">
        <v>162</v>
      </c>
      <c r="B86" s="1">
        <v>46061</v>
      </c>
      <c r="C86" t="str">
        <f>TEXT(tblData[[#This Row],[Rental Date]],"mmm")</f>
        <v>Feb</v>
      </c>
      <c r="D86" t="str">
        <f>TEXT(tblData[[#This Row],[Rental Date]],"mmmm")</f>
        <v>February</v>
      </c>
      <c r="E86" t="s">
        <v>68</v>
      </c>
      <c r="F86" t="str">
        <f>TEXT(WEEKNUM(tblData[[#This Row],[Rental Date]]),"00")</f>
        <v>07</v>
      </c>
      <c r="G86" s="1">
        <f>EOMONTH(tblData[[#This Row],[Rental Date]],0)</f>
        <v>46081</v>
      </c>
      <c r="H86" t="s">
        <v>22</v>
      </c>
      <c r="I86" t="s">
        <v>32</v>
      </c>
      <c r="J86" t="s">
        <v>44</v>
      </c>
      <c r="K86" t="s">
        <v>40</v>
      </c>
      <c r="L86">
        <v>1</v>
      </c>
      <c r="M86" s="2">
        <v>84.24</v>
      </c>
      <c r="N86" t="s">
        <v>26</v>
      </c>
      <c r="O86" s="3">
        <v>0</v>
      </c>
      <c r="P86" s="3">
        <v>8.42</v>
      </c>
      <c r="Q86" s="2">
        <v>75.819999999999993</v>
      </c>
      <c r="R86" t="s">
        <v>27</v>
      </c>
      <c r="S86" t="s">
        <v>54</v>
      </c>
      <c r="T86" t="s">
        <v>51</v>
      </c>
      <c r="U86" t="s">
        <v>36</v>
      </c>
    </row>
    <row r="87" spans="1:21" x14ac:dyDescent="0.35">
      <c r="A87" t="s">
        <v>163</v>
      </c>
      <c r="B87" s="1">
        <v>46061</v>
      </c>
      <c r="C87" t="str">
        <f>TEXT(tblData[[#This Row],[Rental Date]],"mmm")</f>
        <v>Feb</v>
      </c>
      <c r="D87" t="str">
        <f>TEXT(tblData[[#This Row],[Rental Date]],"mmmm")</f>
        <v>February</v>
      </c>
      <c r="E87" t="s">
        <v>68</v>
      </c>
      <c r="F87" t="str">
        <f>TEXT(WEEKNUM(tblData[[#This Row],[Rental Date]]),"00")</f>
        <v>07</v>
      </c>
      <c r="G87" s="1">
        <f>EOMONTH(tblData[[#This Row],[Rental Date]],0)</f>
        <v>46081</v>
      </c>
      <c r="H87" t="s">
        <v>22</v>
      </c>
      <c r="I87" t="s">
        <v>39</v>
      </c>
      <c r="J87" t="s">
        <v>65</v>
      </c>
      <c r="K87" t="s">
        <v>60</v>
      </c>
      <c r="L87">
        <v>1</v>
      </c>
      <c r="M87" s="2">
        <v>12.96</v>
      </c>
      <c r="N87" t="s">
        <v>26</v>
      </c>
      <c r="O87" s="3">
        <v>0</v>
      </c>
      <c r="P87" s="3">
        <v>0</v>
      </c>
      <c r="Q87" s="2">
        <v>12.96</v>
      </c>
      <c r="R87" t="s">
        <v>62</v>
      </c>
      <c r="S87" t="s">
        <v>28</v>
      </c>
      <c r="T87" t="s">
        <v>51</v>
      </c>
      <c r="U87" t="s">
        <v>58</v>
      </c>
    </row>
    <row r="88" spans="1:21" x14ac:dyDescent="0.35">
      <c r="A88" t="s">
        <v>164</v>
      </c>
      <c r="B88" s="1">
        <v>46062</v>
      </c>
      <c r="C88" t="str">
        <f>TEXT(tblData[[#This Row],[Rental Date]],"mmm")</f>
        <v>Feb</v>
      </c>
      <c r="D88" t="str">
        <f>TEXT(tblData[[#This Row],[Rental Date]],"mmmm")</f>
        <v>February</v>
      </c>
      <c r="E88" t="s">
        <v>74</v>
      </c>
      <c r="F88" t="str">
        <f>TEXT(WEEKNUM(tblData[[#This Row],[Rental Date]]),"00")</f>
        <v>07</v>
      </c>
      <c r="G88" s="1">
        <f>EOMONTH(tblData[[#This Row],[Rental Date]],0)</f>
        <v>46081</v>
      </c>
      <c r="H88" t="s">
        <v>22</v>
      </c>
      <c r="I88" t="s">
        <v>39</v>
      </c>
      <c r="J88" t="s">
        <v>44</v>
      </c>
      <c r="K88" t="s">
        <v>60</v>
      </c>
      <c r="L88">
        <v>1</v>
      </c>
      <c r="M88" s="2">
        <v>34</v>
      </c>
      <c r="N88" t="s">
        <v>41</v>
      </c>
      <c r="O88" s="3">
        <v>5</v>
      </c>
      <c r="P88" s="3">
        <v>0</v>
      </c>
      <c r="Q88" s="2">
        <v>39</v>
      </c>
      <c r="R88" t="s">
        <v>62</v>
      </c>
      <c r="S88" t="s">
        <v>35</v>
      </c>
      <c r="T88" t="s">
        <v>51</v>
      </c>
      <c r="U88" t="s">
        <v>58</v>
      </c>
    </row>
    <row r="89" spans="1:21" x14ac:dyDescent="0.35">
      <c r="A89" t="s">
        <v>165</v>
      </c>
      <c r="B89" s="1">
        <v>46062</v>
      </c>
      <c r="C89" t="str">
        <f>TEXT(tblData[[#This Row],[Rental Date]],"mmm")</f>
        <v>Feb</v>
      </c>
      <c r="D89" t="str">
        <f>TEXT(tblData[[#This Row],[Rental Date]],"mmmm")</f>
        <v>February</v>
      </c>
      <c r="E89" t="s">
        <v>74</v>
      </c>
      <c r="F89" t="str">
        <f>TEXT(WEEKNUM(tblData[[#This Row],[Rental Date]]),"00")</f>
        <v>07</v>
      </c>
      <c r="G89" s="1">
        <f>EOMONTH(tblData[[#This Row],[Rental Date]],0)</f>
        <v>46081</v>
      </c>
      <c r="H89" t="s">
        <v>22</v>
      </c>
      <c r="I89" t="s">
        <v>39</v>
      </c>
      <c r="J89" t="s">
        <v>111</v>
      </c>
      <c r="K89" t="s">
        <v>40</v>
      </c>
      <c r="L89">
        <v>1</v>
      </c>
      <c r="M89" s="2">
        <v>34</v>
      </c>
      <c r="N89" t="s">
        <v>41</v>
      </c>
      <c r="O89" s="3">
        <v>5</v>
      </c>
      <c r="P89" s="3">
        <v>0</v>
      </c>
      <c r="Q89" s="2">
        <v>39</v>
      </c>
      <c r="R89" t="s">
        <v>66</v>
      </c>
      <c r="S89" t="s">
        <v>35</v>
      </c>
      <c r="T89" t="s">
        <v>29</v>
      </c>
      <c r="U89" t="s">
        <v>58</v>
      </c>
    </row>
    <row r="90" spans="1:21" x14ac:dyDescent="0.35">
      <c r="A90" t="s">
        <v>166</v>
      </c>
      <c r="B90" s="1">
        <v>46063</v>
      </c>
      <c r="C90" t="str">
        <f>TEXT(tblData[[#This Row],[Rental Date]],"mmm")</f>
        <v>Feb</v>
      </c>
      <c r="D90" t="str">
        <f>TEXT(tblData[[#This Row],[Rental Date]],"mmmm")</f>
        <v>February</v>
      </c>
      <c r="E90" t="s">
        <v>102</v>
      </c>
      <c r="F90" t="str">
        <f>TEXT(WEEKNUM(tblData[[#This Row],[Rental Date]]),"00")</f>
        <v>07</v>
      </c>
      <c r="G90" s="1">
        <f>EOMONTH(tblData[[#This Row],[Rental Date]],0)</f>
        <v>46081</v>
      </c>
      <c r="H90" t="s">
        <v>22</v>
      </c>
      <c r="I90" t="s">
        <v>32</v>
      </c>
      <c r="J90" t="s">
        <v>111</v>
      </c>
      <c r="K90" t="s">
        <v>60</v>
      </c>
      <c r="L90">
        <v>1</v>
      </c>
      <c r="M90" s="2">
        <v>14</v>
      </c>
      <c r="N90" t="s">
        <v>26</v>
      </c>
      <c r="O90" s="3">
        <v>0</v>
      </c>
      <c r="P90" s="3">
        <v>1.4</v>
      </c>
      <c r="Q90" s="2">
        <v>12.6</v>
      </c>
      <c r="R90" t="s">
        <v>62</v>
      </c>
      <c r="S90" t="s">
        <v>46</v>
      </c>
      <c r="T90" t="s">
        <v>51</v>
      </c>
      <c r="U90" t="s">
        <v>30</v>
      </c>
    </row>
    <row r="91" spans="1:21" x14ac:dyDescent="0.35">
      <c r="A91" t="s">
        <v>167</v>
      </c>
      <c r="B91" s="1">
        <v>46064</v>
      </c>
      <c r="C91" t="str">
        <f>TEXT(tblData[[#This Row],[Rental Date]],"mmm")</f>
        <v>Feb</v>
      </c>
      <c r="D91" t="str">
        <f>TEXT(tblData[[#This Row],[Rental Date]],"mmmm")</f>
        <v>February</v>
      </c>
      <c r="E91" t="s">
        <v>109</v>
      </c>
      <c r="F91" t="str">
        <f>TEXT(WEEKNUM(tblData[[#This Row],[Rental Date]]),"00")</f>
        <v>07</v>
      </c>
      <c r="G91" s="1">
        <f>EOMONTH(tblData[[#This Row],[Rental Date]],0)</f>
        <v>46081</v>
      </c>
      <c r="H91" t="s">
        <v>22</v>
      </c>
      <c r="I91" t="s">
        <v>39</v>
      </c>
      <c r="J91" t="s">
        <v>78</v>
      </c>
      <c r="K91" t="s">
        <v>40</v>
      </c>
      <c r="L91">
        <v>1</v>
      </c>
      <c r="M91" s="2">
        <v>62</v>
      </c>
      <c r="N91" t="s">
        <v>70</v>
      </c>
      <c r="O91" s="3">
        <v>7</v>
      </c>
      <c r="P91" s="3">
        <v>0</v>
      </c>
      <c r="Q91" s="2">
        <v>69</v>
      </c>
      <c r="R91" t="s">
        <v>76</v>
      </c>
      <c r="S91" t="s">
        <v>28</v>
      </c>
      <c r="T91" t="s">
        <v>90</v>
      </c>
      <c r="U91" t="s">
        <v>30</v>
      </c>
    </row>
    <row r="92" spans="1:21" x14ac:dyDescent="0.35">
      <c r="A92" t="s">
        <v>168</v>
      </c>
      <c r="B92" s="1">
        <v>46064</v>
      </c>
      <c r="C92" t="str">
        <f>TEXT(tblData[[#This Row],[Rental Date]],"mmm")</f>
        <v>Feb</v>
      </c>
      <c r="D92" t="str">
        <f>TEXT(tblData[[#This Row],[Rental Date]],"mmmm")</f>
        <v>February</v>
      </c>
      <c r="E92" t="s">
        <v>109</v>
      </c>
      <c r="F92" t="str">
        <f>TEXT(WEEKNUM(tblData[[#This Row],[Rental Date]]),"00")</f>
        <v>07</v>
      </c>
      <c r="G92" s="1">
        <f>EOMONTH(tblData[[#This Row],[Rental Date]],0)</f>
        <v>46081</v>
      </c>
      <c r="H92" t="s">
        <v>22</v>
      </c>
      <c r="I92" t="s">
        <v>48</v>
      </c>
      <c r="J92" t="s">
        <v>24</v>
      </c>
      <c r="K92" t="s">
        <v>60</v>
      </c>
      <c r="L92">
        <v>1</v>
      </c>
      <c r="M92" s="2">
        <v>32</v>
      </c>
      <c r="N92" t="s">
        <v>89</v>
      </c>
      <c r="O92" s="3">
        <v>6</v>
      </c>
      <c r="P92" s="3">
        <v>0</v>
      </c>
      <c r="Q92" s="2">
        <v>38</v>
      </c>
      <c r="R92" t="s">
        <v>34</v>
      </c>
      <c r="S92" t="s">
        <v>35</v>
      </c>
      <c r="T92" t="s">
        <v>29</v>
      </c>
      <c r="U92" t="s">
        <v>79</v>
      </c>
    </row>
    <row r="93" spans="1:21" x14ac:dyDescent="0.35">
      <c r="A93" t="s">
        <v>169</v>
      </c>
      <c r="B93" s="1">
        <v>46064</v>
      </c>
      <c r="C93" t="str">
        <f>TEXT(tblData[[#This Row],[Rental Date]],"mmm")</f>
        <v>Feb</v>
      </c>
      <c r="D93" t="str">
        <f>TEXT(tblData[[#This Row],[Rental Date]],"mmmm")</f>
        <v>February</v>
      </c>
      <c r="E93" t="s">
        <v>109</v>
      </c>
      <c r="F93" t="str">
        <f>TEXT(WEEKNUM(tblData[[#This Row],[Rental Date]]),"00")</f>
        <v>07</v>
      </c>
      <c r="G93" s="1">
        <f>EOMONTH(tblData[[#This Row],[Rental Date]],0)</f>
        <v>46081</v>
      </c>
      <c r="H93" t="s">
        <v>22</v>
      </c>
      <c r="I93" t="s">
        <v>39</v>
      </c>
      <c r="J93" t="s">
        <v>24</v>
      </c>
      <c r="K93" t="s">
        <v>25</v>
      </c>
      <c r="L93">
        <v>1</v>
      </c>
      <c r="M93" s="2">
        <v>50</v>
      </c>
      <c r="N93" t="s">
        <v>41</v>
      </c>
      <c r="O93" s="3">
        <v>5</v>
      </c>
      <c r="P93" s="3">
        <v>0</v>
      </c>
      <c r="Q93" s="2">
        <v>55</v>
      </c>
      <c r="R93" t="s">
        <v>57</v>
      </c>
      <c r="S93" t="s">
        <v>46</v>
      </c>
      <c r="T93" t="s">
        <v>51</v>
      </c>
      <c r="U93" t="s">
        <v>30</v>
      </c>
    </row>
    <row r="94" spans="1:21" x14ac:dyDescent="0.35">
      <c r="A94" t="s">
        <v>170</v>
      </c>
      <c r="B94" s="1">
        <v>46065</v>
      </c>
      <c r="C94" t="str">
        <f>TEXT(tblData[[#This Row],[Rental Date]],"mmm")</f>
        <v>Feb</v>
      </c>
      <c r="D94" t="str">
        <f>TEXT(tblData[[#This Row],[Rental Date]],"mmmm")</f>
        <v>February</v>
      </c>
      <c r="E94" t="s">
        <v>21</v>
      </c>
      <c r="F94" t="str">
        <f>TEXT(WEEKNUM(tblData[[#This Row],[Rental Date]]),"00")</f>
        <v>07</v>
      </c>
      <c r="G94" s="1">
        <f>EOMONTH(tblData[[#This Row],[Rental Date]],0)</f>
        <v>46081</v>
      </c>
      <c r="H94" t="s">
        <v>22</v>
      </c>
      <c r="I94" t="s">
        <v>39</v>
      </c>
      <c r="J94" t="s">
        <v>33</v>
      </c>
      <c r="K94" t="s">
        <v>40</v>
      </c>
      <c r="L94">
        <v>1</v>
      </c>
      <c r="M94" s="2">
        <v>58</v>
      </c>
      <c r="N94" t="s">
        <v>26</v>
      </c>
      <c r="O94" s="3">
        <v>0</v>
      </c>
      <c r="P94" s="3">
        <v>0</v>
      </c>
      <c r="Q94" s="2">
        <v>58</v>
      </c>
      <c r="R94" t="s">
        <v>66</v>
      </c>
      <c r="S94" t="s">
        <v>50</v>
      </c>
      <c r="T94" t="s">
        <v>51</v>
      </c>
      <c r="U94" t="s">
        <v>58</v>
      </c>
    </row>
    <row r="95" spans="1:21" x14ac:dyDescent="0.35">
      <c r="A95" t="s">
        <v>171</v>
      </c>
      <c r="B95" s="1">
        <v>46065</v>
      </c>
      <c r="C95" t="str">
        <f>TEXT(tblData[[#This Row],[Rental Date]],"mmm")</f>
        <v>Feb</v>
      </c>
      <c r="D95" t="str">
        <f>TEXT(tblData[[#This Row],[Rental Date]],"mmmm")</f>
        <v>February</v>
      </c>
      <c r="E95" t="s">
        <v>21</v>
      </c>
      <c r="F95" t="str">
        <f>TEXT(WEEKNUM(tblData[[#This Row],[Rental Date]]),"00")</f>
        <v>07</v>
      </c>
      <c r="G95" s="1">
        <f>EOMONTH(tblData[[#This Row],[Rental Date]],0)</f>
        <v>46081</v>
      </c>
      <c r="H95" t="s">
        <v>22</v>
      </c>
      <c r="I95" t="s">
        <v>48</v>
      </c>
      <c r="J95" t="s">
        <v>78</v>
      </c>
      <c r="K95" t="s">
        <v>60</v>
      </c>
      <c r="L95">
        <v>1</v>
      </c>
      <c r="M95" s="2">
        <v>26</v>
      </c>
      <c r="N95" t="s">
        <v>41</v>
      </c>
      <c r="O95" s="3">
        <v>5</v>
      </c>
      <c r="P95" s="3">
        <v>0</v>
      </c>
      <c r="Q95" s="2">
        <v>31</v>
      </c>
      <c r="R95" t="s">
        <v>45</v>
      </c>
      <c r="S95" t="s">
        <v>46</v>
      </c>
      <c r="T95" t="s">
        <v>51</v>
      </c>
      <c r="U95" t="s">
        <v>30</v>
      </c>
    </row>
    <row r="96" spans="1:21" x14ac:dyDescent="0.35">
      <c r="A96" t="s">
        <v>172</v>
      </c>
      <c r="B96" s="1">
        <v>46066</v>
      </c>
      <c r="C96" t="str">
        <f>TEXT(tblData[[#This Row],[Rental Date]],"mmm")</f>
        <v>Feb</v>
      </c>
      <c r="D96" t="str">
        <f>TEXT(tblData[[#This Row],[Rental Date]],"mmmm")</f>
        <v>February</v>
      </c>
      <c r="E96" t="s">
        <v>38</v>
      </c>
      <c r="F96" t="str">
        <f>TEXT(WEEKNUM(tblData[[#This Row],[Rental Date]]),"00")</f>
        <v>07</v>
      </c>
      <c r="G96" s="1">
        <f>EOMONTH(tblData[[#This Row],[Rental Date]],0)</f>
        <v>46081</v>
      </c>
      <c r="H96" t="s">
        <v>22</v>
      </c>
      <c r="I96" t="s">
        <v>48</v>
      </c>
      <c r="J96" t="s">
        <v>44</v>
      </c>
      <c r="K96" t="s">
        <v>60</v>
      </c>
      <c r="L96">
        <v>1</v>
      </c>
      <c r="M96" s="2">
        <v>34</v>
      </c>
      <c r="N96" t="s">
        <v>89</v>
      </c>
      <c r="O96" s="3">
        <v>6</v>
      </c>
      <c r="P96" s="3">
        <v>0</v>
      </c>
      <c r="Q96" s="2">
        <v>40</v>
      </c>
      <c r="R96" t="s">
        <v>76</v>
      </c>
      <c r="S96" t="s">
        <v>50</v>
      </c>
      <c r="T96" t="s">
        <v>29</v>
      </c>
      <c r="U96" t="s">
        <v>58</v>
      </c>
    </row>
    <row r="97" spans="1:21" x14ac:dyDescent="0.35">
      <c r="A97" t="s">
        <v>173</v>
      </c>
      <c r="B97" s="1">
        <v>46066</v>
      </c>
      <c r="C97" t="str">
        <f>TEXT(tblData[[#This Row],[Rental Date]],"mmm")</f>
        <v>Feb</v>
      </c>
      <c r="D97" t="str">
        <f>TEXT(tblData[[#This Row],[Rental Date]],"mmmm")</f>
        <v>February</v>
      </c>
      <c r="E97" t="s">
        <v>38</v>
      </c>
      <c r="F97" t="str">
        <f>TEXT(WEEKNUM(tblData[[#This Row],[Rental Date]]),"00")</f>
        <v>07</v>
      </c>
      <c r="G97" s="1">
        <f>EOMONTH(tblData[[#This Row],[Rental Date]],0)</f>
        <v>46081</v>
      </c>
      <c r="H97" t="s">
        <v>22</v>
      </c>
      <c r="I97" t="s">
        <v>48</v>
      </c>
      <c r="J97" t="s">
        <v>138</v>
      </c>
      <c r="K97" t="s">
        <v>92</v>
      </c>
      <c r="L97">
        <v>1</v>
      </c>
      <c r="M97" s="2">
        <v>104</v>
      </c>
      <c r="N97" t="s">
        <v>26</v>
      </c>
      <c r="O97" s="3">
        <v>0</v>
      </c>
      <c r="P97" s="3">
        <v>0</v>
      </c>
      <c r="Q97" s="2">
        <v>104</v>
      </c>
      <c r="R97" t="s">
        <v>76</v>
      </c>
      <c r="S97" t="s">
        <v>54</v>
      </c>
      <c r="T97" t="s">
        <v>29</v>
      </c>
      <c r="U97" t="s">
        <v>30</v>
      </c>
    </row>
    <row r="98" spans="1:21" x14ac:dyDescent="0.35">
      <c r="A98" t="s">
        <v>174</v>
      </c>
      <c r="B98" s="1">
        <v>46067</v>
      </c>
      <c r="C98" t="str">
        <f>TEXT(tblData[[#This Row],[Rental Date]],"mmm")</f>
        <v>Feb</v>
      </c>
      <c r="D98" t="str">
        <f>TEXT(tblData[[#This Row],[Rental Date]],"mmmm")</f>
        <v>February</v>
      </c>
      <c r="E98" t="s">
        <v>56</v>
      </c>
      <c r="F98" t="str">
        <f>TEXT(WEEKNUM(tblData[[#This Row],[Rental Date]]),"00")</f>
        <v>07</v>
      </c>
      <c r="G98" s="1">
        <f>EOMONTH(tblData[[#This Row],[Rental Date]],0)</f>
        <v>46081</v>
      </c>
      <c r="H98" t="s">
        <v>22</v>
      </c>
      <c r="I98" t="s">
        <v>39</v>
      </c>
      <c r="J98" t="s">
        <v>65</v>
      </c>
      <c r="K98" t="s">
        <v>25</v>
      </c>
      <c r="L98">
        <v>1</v>
      </c>
      <c r="M98" s="2">
        <v>19.440000000000001</v>
      </c>
      <c r="N98" t="s">
        <v>26</v>
      </c>
      <c r="O98" s="3">
        <v>0</v>
      </c>
      <c r="P98" s="3">
        <v>0</v>
      </c>
      <c r="Q98" s="2">
        <v>19.440000000000001</v>
      </c>
      <c r="R98" t="s">
        <v>42</v>
      </c>
      <c r="S98" t="s">
        <v>35</v>
      </c>
      <c r="T98" t="s">
        <v>29</v>
      </c>
      <c r="U98" t="s">
        <v>58</v>
      </c>
    </row>
    <row r="99" spans="1:21" x14ac:dyDescent="0.35">
      <c r="A99" t="s">
        <v>175</v>
      </c>
      <c r="B99" s="1">
        <v>46067</v>
      </c>
      <c r="C99" t="str">
        <f>TEXT(tblData[[#This Row],[Rental Date]],"mmm")</f>
        <v>Feb</v>
      </c>
      <c r="D99" t="str">
        <f>TEXT(tblData[[#This Row],[Rental Date]],"mmmm")</f>
        <v>February</v>
      </c>
      <c r="E99" t="s">
        <v>56</v>
      </c>
      <c r="F99" t="str">
        <f>TEXT(WEEKNUM(tblData[[#This Row],[Rental Date]]),"00")</f>
        <v>07</v>
      </c>
      <c r="G99" s="1">
        <f>EOMONTH(tblData[[#This Row],[Rental Date]],0)</f>
        <v>46081</v>
      </c>
      <c r="H99" t="s">
        <v>22</v>
      </c>
      <c r="I99" t="s">
        <v>48</v>
      </c>
      <c r="J99" t="s">
        <v>86</v>
      </c>
      <c r="K99" t="s">
        <v>40</v>
      </c>
      <c r="L99">
        <v>1</v>
      </c>
      <c r="M99" s="2">
        <v>92.88</v>
      </c>
      <c r="N99" t="s">
        <v>89</v>
      </c>
      <c r="O99" s="3">
        <v>6</v>
      </c>
      <c r="P99" s="3">
        <v>0</v>
      </c>
      <c r="Q99" s="2">
        <v>98.88</v>
      </c>
      <c r="R99" t="s">
        <v>27</v>
      </c>
      <c r="S99" t="s">
        <v>35</v>
      </c>
      <c r="T99" t="s">
        <v>63</v>
      </c>
      <c r="U99" t="s">
        <v>36</v>
      </c>
    </row>
    <row r="100" spans="1:21" x14ac:dyDescent="0.35">
      <c r="A100" t="s">
        <v>176</v>
      </c>
      <c r="B100" s="1">
        <v>46067</v>
      </c>
      <c r="C100" t="str">
        <f>TEXT(tblData[[#This Row],[Rental Date]],"mmm")</f>
        <v>Feb</v>
      </c>
      <c r="D100" t="str">
        <f>TEXT(tblData[[#This Row],[Rental Date]],"mmmm")</f>
        <v>February</v>
      </c>
      <c r="E100" t="s">
        <v>56</v>
      </c>
      <c r="F100" t="str">
        <f>TEXT(WEEKNUM(tblData[[#This Row],[Rental Date]]),"00")</f>
        <v>07</v>
      </c>
      <c r="G100" s="1">
        <f>EOMONTH(tblData[[#This Row],[Rental Date]],0)</f>
        <v>46081</v>
      </c>
      <c r="H100" t="s">
        <v>22</v>
      </c>
      <c r="I100" t="s">
        <v>32</v>
      </c>
      <c r="J100" t="s">
        <v>86</v>
      </c>
      <c r="K100" t="s">
        <v>25</v>
      </c>
      <c r="L100">
        <v>1</v>
      </c>
      <c r="M100" s="2">
        <v>62.64</v>
      </c>
      <c r="N100" t="s">
        <v>89</v>
      </c>
      <c r="O100" s="3">
        <v>6</v>
      </c>
      <c r="P100" s="3">
        <v>6.86</v>
      </c>
      <c r="Q100" s="2">
        <v>61.78</v>
      </c>
      <c r="R100" t="s">
        <v>57</v>
      </c>
      <c r="S100" t="s">
        <v>35</v>
      </c>
      <c r="T100" t="s">
        <v>51</v>
      </c>
      <c r="U100" t="s">
        <v>58</v>
      </c>
    </row>
    <row r="101" spans="1:21" x14ac:dyDescent="0.35">
      <c r="A101" t="s">
        <v>177</v>
      </c>
      <c r="B101" s="1">
        <v>46068</v>
      </c>
      <c r="C101" t="str">
        <f>TEXT(tblData[[#This Row],[Rental Date]],"mmm")</f>
        <v>Feb</v>
      </c>
      <c r="D101" t="str">
        <f>TEXT(tblData[[#This Row],[Rental Date]],"mmmm")</f>
        <v>February</v>
      </c>
      <c r="E101" t="s">
        <v>68</v>
      </c>
      <c r="F101" t="str">
        <f>TEXT(WEEKNUM(tblData[[#This Row],[Rental Date]]),"00")</f>
        <v>08</v>
      </c>
      <c r="G101" s="1">
        <f>EOMONTH(tblData[[#This Row],[Rental Date]],0)</f>
        <v>46081</v>
      </c>
      <c r="H101" t="s">
        <v>22</v>
      </c>
      <c r="I101" t="s">
        <v>23</v>
      </c>
      <c r="J101" t="s">
        <v>127</v>
      </c>
      <c r="K101" t="s">
        <v>25</v>
      </c>
      <c r="L101">
        <v>1</v>
      </c>
      <c r="M101" s="2">
        <v>17.28</v>
      </c>
      <c r="N101" t="s">
        <v>26</v>
      </c>
      <c r="O101" s="3">
        <v>0</v>
      </c>
      <c r="P101" s="3">
        <v>0</v>
      </c>
      <c r="Q101" s="2">
        <v>17.28</v>
      </c>
      <c r="R101" t="s">
        <v>71</v>
      </c>
      <c r="S101" t="s">
        <v>28</v>
      </c>
      <c r="T101" t="s">
        <v>29</v>
      </c>
      <c r="U101" t="s">
        <v>58</v>
      </c>
    </row>
    <row r="102" spans="1:21" x14ac:dyDescent="0.35">
      <c r="A102" t="s">
        <v>178</v>
      </c>
      <c r="B102" s="1">
        <v>46070</v>
      </c>
      <c r="C102" t="str">
        <f>TEXT(tblData[[#This Row],[Rental Date]],"mmm")</f>
        <v>Feb</v>
      </c>
      <c r="D102" t="str">
        <f>TEXT(tblData[[#This Row],[Rental Date]],"mmmm")</f>
        <v>February</v>
      </c>
      <c r="E102" t="s">
        <v>102</v>
      </c>
      <c r="F102" t="str">
        <f>TEXT(WEEKNUM(tblData[[#This Row],[Rental Date]]),"00")</f>
        <v>08</v>
      </c>
      <c r="G102" s="1">
        <f>EOMONTH(tblData[[#This Row],[Rental Date]],0)</f>
        <v>46081</v>
      </c>
      <c r="H102" t="s">
        <v>22</v>
      </c>
      <c r="I102" t="s">
        <v>48</v>
      </c>
      <c r="J102" t="s">
        <v>33</v>
      </c>
      <c r="K102" t="s">
        <v>25</v>
      </c>
      <c r="L102">
        <v>1</v>
      </c>
      <c r="M102" s="2">
        <v>38</v>
      </c>
      <c r="N102" t="s">
        <v>26</v>
      </c>
      <c r="O102" s="3">
        <v>0</v>
      </c>
      <c r="P102" s="3">
        <v>0</v>
      </c>
      <c r="Q102" s="2">
        <v>38</v>
      </c>
      <c r="R102" t="s">
        <v>66</v>
      </c>
      <c r="S102" t="s">
        <v>46</v>
      </c>
      <c r="T102" t="s">
        <v>63</v>
      </c>
      <c r="U102" t="s">
        <v>30</v>
      </c>
    </row>
    <row r="103" spans="1:21" x14ac:dyDescent="0.35">
      <c r="A103" t="s">
        <v>179</v>
      </c>
      <c r="B103" s="1">
        <v>46071</v>
      </c>
      <c r="C103" t="str">
        <f>TEXT(tblData[[#This Row],[Rental Date]],"mmm")</f>
        <v>Feb</v>
      </c>
      <c r="D103" t="str">
        <f>TEXT(tblData[[#This Row],[Rental Date]],"mmmm")</f>
        <v>February</v>
      </c>
      <c r="E103" t="s">
        <v>109</v>
      </c>
      <c r="F103" t="str">
        <f>TEXT(WEEKNUM(tblData[[#This Row],[Rental Date]]),"00")</f>
        <v>08</v>
      </c>
      <c r="G103" s="1">
        <f>EOMONTH(tblData[[#This Row],[Rental Date]],0)</f>
        <v>46081</v>
      </c>
      <c r="H103" t="s">
        <v>22</v>
      </c>
      <c r="I103" t="s">
        <v>39</v>
      </c>
      <c r="J103" t="s">
        <v>33</v>
      </c>
      <c r="K103" t="s">
        <v>25</v>
      </c>
      <c r="L103">
        <v>1</v>
      </c>
      <c r="M103" s="2">
        <v>38</v>
      </c>
      <c r="N103" t="s">
        <v>87</v>
      </c>
      <c r="O103" s="3">
        <v>10</v>
      </c>
      <c r="P103" s="3">
        <v>0</v>
      </c>
      <c r="Q103" s="2">
        <v>48</v>
      </c>
      <c r="R103" t="s">
        <v>76</v>
      </c>
      <c r="S103" t="s">
        <v>28</v>
      </c>
      <c r="T103" t="s">
        <v>29</v>
      </c>
      <c r="U103" t="s">
        <v>79</v>
      </c>
    </row>
    <row r="104" spans="1:21" x14ac:dyDescent="0.35">
      <c r="A104" t="s">
        <v>180</v>
      </c>
      <c r="B104" s="1">
        <v>46074</v>
      </c>
      <c r="C104" t="str">
        <f>TEXT(tblData[[#This Row],[Rental Date]],"mmm")</f>
        <v>Feb</v>
      </c>
      <c r="D104" t="str">
        <f>TEXT(tblData[[#This Row],[Rental Date]],"mmmm")</f>
        <v>February</v>
      </c>
      <c r="E104" t="s">
        <v>56</v>
      </c>
      <c r="F104" t="str">
        <f>TEXT(WEEKNUM(tblData[[#This Row],[Rental Date]]),"00")</f>
        <v>08</v>
      </c>
      <c r="G104" s="1">
        <f>EOMONTH(tblData[[#This Row],[Rental Date]],0)</f>
        <v>46081</v>
      </c>
      <c r="H104" t="s">
        <v>22</v>
      </c>
      <c r="I104" t="s">
        <v>48</v>
      </c>
      <c r="J104" t="s">
        <v>44</v>
      </c>
      <c r="K104" t="s">
        <v>60</v>
      </c>
      <c r="L104">
        <v>1</v>
      </c>
      <c r="M104" s="2">
        <v>36.72</v>
      </c>
      <c r="N104" t="s">
        <v>41</v>
      </c>
      <c r="O104" s="3">
        <v>5</v>
      </c>
      <c r="P104" s="3">
        <v>0</v>
      </c>
      <c r="Q104" s="2">
        <v>41.72</v>
      </c>
      <c r="R104" t="s">
        <v>71</v>
      </c>
      <c r="S104" t="s">
        <v>54</v>
      </c>
      <c r="T104" t="s">
        <v>51</v>
      </c>
      <c r="U104" t="s">
        <v>58</v>
      </c>
    </row>
    <row r="105" spans="1:21" x14ac:dyDescent="0.35">
      <c r="A105" t="s">
        <v>181</v>
      </c>
      <c r="B105" s="1">
        <v>46074</v>
      </c>
      <c r="C105" t="str">
        <f>TEXT(tblData[[#This Row],[Rental Date]],"mmm")</f>
        <v>Feb</v>
      </c>
      <c r="D105" t="str">
        <f>TEXT(tblData[[#This Row],[Rental Date]],"mmmm")</f>
        <v>February</v>
      </c>
      <c r="E105" t="s">
        <v>56</v>
      </c>
      <c r="F105" t="str">
        <f>TEXT(WEEKNUM(tblData[[#This Row],[Rental Date]]),"00")</f>
        <v>08</v>
      </c>
      <c r="G105" s="1">
        <f>EOMONTH(tblData[[#This Row],[Rental Date]],0)</f>
        <v>46081</v>
      </c>
      <c r="H105" t="s">
        <v>22</v>
      </c>
      <c r="I105" t="s">
        <v>48</v>
      </c>
      <c r="J105" t="s">
        <v>33</v>
      </c>
      <c r="K105" t="s">
        <v>92</v>
      </c>
      <c r="L105">
        <v>1</v>
      </c>
      <c r="M105" s="2">
        <v>90.72</v>
      </c>
      <c r="N105" t="s">
        <v>41</v>
      </c>
      <c r="O105" s="3">
        <v>5</v>
      </c>
      <c r="P105" s="3">
        <v>0</v>
      </c>
      <c r="Q105" s="2">
        <v>95.72</v>
      </c>
      <c r="R105" t="s">
        <v>27</v>
      </c>
      <c r="S105" t="s">
        <v>28</v>
      </c>
      <c r="T105" t="s">
        <v>51</v>
      </c>
      <c r="U105" t="s">
        <v>58</v>
      </c>
    </row>
    <row r="106" spans="1:21" x14ac:dyDescent="0.35">
      <c r="A106" t="s">
        <v>182</v>
      </c>
      <c r="B106" s="1">
        <v>46074</v>
      </c>
      <c r="C106" t="str">
        <f>TEXT(tblData[[#This Row],[Rental Date]],"mmm")</f>
        <v>Feb</v>
      </c>
      <c r="D106" t="str">
        <f>TEXT(tblData[[#This Row],[Rental Date]],"mmmm")</f>
        <v>February</v>
      </c>
      <c r="E106" t="s">
        <v>56</v>
      </c>
      <c r="F106" t="str">
        <f>TEXT(WEEKNUM(tblData[[#This Row],[Rental Date]]),"00")</f>
        <v>08</v>
      </c>
      <c r="G106" s="1">
        <f>EOMONTH(tblData[[#This Row],[Rental Date]],0)</f>
        <v>46081</v>
      </c>
      <c r="H106" t="s">
        <v>22</v>
      </c>
      <c r="I106" t="s">
        <v>39</v>
      </c>
      <c r="J106" t="s">
        <v>78</v>
      </c>
      <c r="K106" t="s">
        <v>25</v>
      </c>
      <c r="L106">
        <v>1</v>
      </c>
      <c r="M106" s="2">
        <v>45.36</v>
      </c>
      <c r="N106" t="s">
        <v>87</v>
      </c>
      <c r="O106" s="3">
        <v>10</v>
      </c>
      <c r="P106" s="3">
        <v>0</v>
      </c>
      <c r="Q106" s="2">
        <v>55.36</v>
      </c>
      <c r="R106" t="s">
        <v>45</v>
      </c>
      <c r="S106" t="s">
        <v>46</v>
      </c>
      <c r="T106" t="s">
        <v>51</v>
      </c>
      <c r="U106" t="s">
        <v>30</v>
      </c>
    </row>
    <row r="107" spans="1:21" x14ac:dyDescent="0.35">
      <c r="A107" t="s">
        <v>183</v>
      </c>
      <c r="B107" s="1">
        <v>46074</v>
      </c>
      <c r="C107" t="str">
        <f>TEXT(tblData[[#This Row],[Rental Date]],"mmm")</f>
        <v>Feb</v>
      </c>
      <c r="D107" t="str">
        <f>TEXT(tblData[[#This Row],[Rental Date]],"mmmm")</f>
        <v>February</v>
      </c>
      <c r="E107" t="s">
        <v>56</v>
      </c>
      <c r="F107" t="str">
        <f>TEXT(WEEKNUM(tblData[[#This Row],[Rental Date]]),"00")</f>
        <v>08</v>
      </c>
      <c r="G107" s="1">
        <f>EOMONTH(tblData[[#This Row],[Rental Date]],0)</f>
        <v>46081</v>
      </c>
      <c r="H107" t="s">
        <v>22</v>
      </c>
      <c r="I107" t="s">
        <v>39</v>
      </c>
      <c r="J107" t="s">
        <v>24</v>
      </c>
      <c r="K107" t="s">
        <v>25</v>
      </c>
      <c r="L107">
        <v>1</v>
      </c>
      <c r="M107" s="2">
        <v>54</v>
      </c>
      <c r="N107" t="s">
        <v>89</v>
      </c>
      <c r="O107" s="3">
        <v>6</v>
      </c>
      <c r="P107" s="3">
        <v>0</v>
      </c>
      <c r="Q107" s="2">
        <v>60</v>
      </c>
      <c r="R107" t="s">
        <v>57</v>
      </c>
      <c r="S107" t="s">
        <v>46</v>
      </c>
      <c r="T107" t="s">
        <v>29</v>
      </c>
      <c r="U107" t="s">
        <v>58</v>
      </c>
    </row>
    <row r="108" spans="1:21" x14ac:dyDescent="0.35">
      <c r="A108" t="s">
        <v>184</v>
      </c>
      <c r="B108" s="1">
        <v>46075</v>
      </c>
      <c r="C108" t="str">
        <f>TEXT(tblData[[#This Row],[Rental Date]],"mmm")</f>
        <v>Feb</v>
      </c>
      <c r="D108" t="str">
        <f>TEXT(tblData[[#This Row],[Rental Date]],"mmmm")</f>
        <v>February</v>
      </c>
      <c r="E108" t="s">
        <v>68</v>
      </c>
      <c r="F108" t="str">
        <f>TEXT(WEEKNUM(tblData[[#This Row],[Rental Date]]),"00")</f>
        <v>09</v>
      </c>
      <c r="G108" s="1">
        <f>EOMONTH(tblData[[#This Row],[Rental Date]],0)</f>
        <v>46081</v>
      </c>
      <c r="H108" t="s">
        <v>22</v>
      </c>
      <c r="I108" t="s">
        <v>48</v>
      </c>
      <c r="J108" t="s">
        <v>44</v>
      </c>
      <c r="K108" t="s">
        <v>60</v>
      </c>
      <c r="L108">
        <v>1</v>
      </c>
      <c r="M108" s="2">
        <v>36.72</v>
      </c>
      <c r="N108" t="s">
        <v>89</v>
      </c>
      <c r="O108" s="3">
        <v>6</v>
      </c>
      <c r="P108" s="3">
        <v>0</v>
      </c>
      <c r="Q108" s="2">
        <v>42.72</v>
      </c>
      <c r="R108" t="s">
        <v>76</v>
      </c>
      <c r="S108" t="s">
        <v>54</v>
      </c>
      <c r="T108" t="s">
        <v>63</v>
      </c>
      <c r="U108" t="s">
        <v>79</v>
      </c>
    </row>
    <row r="109" spans="1:21" x14ac:dyDescent="0.35">
      <c r="A109" t="s">
        <v>185</v>
      </c>
      <c r="B109" s="1">
        <v>46075</v>
      </c>
      <c r="C109" t="str">
        <f>TEXT(tblData[[#This Row],[Rental Date]],"mmm")</f>
        <v>Feb</v>
      </c>
      <c r="D109" t="str">
        <f>TEXT(tblData[[#This Row],[Rental Date]],"mmmm")</f>
        <v>February</v>
      </c>
      <c r="E109" t="s">
        <v>68</v>
      </c>
      <c r="F109" t="str">
        <f>TEXT(WEEKNUM(tblData[[#This Row],[Rental Date]]),"00")</f>
        <v>09</v>
      </c>
      <c r="G109" s="1">
        <f>EOMONTH(tblData[[#This Row],[Rental Date]],0)</f>
        <v>46081</v>
      </c>
      <c r="H109" t="s">
        <v>22</v>
      </c>
      <c r="I109" t="s">
        <v>48</v>
      </c>
      <c r="J109" t="s">
        <v>49</v>
      </c>
      <c r="K109" t="s">
        <v>25</v>
      </c>
      <c r="L109">
        <v>1</v>
      </c>
      <c r="M109" s="2">
        <v>38.880000000000003</v>
      </c>
      <c r="N109" t="s">
        <v>26</v>
      </c>
      <c r="O109" s="3">
        <v>0</v>
      </c>
      <c r="P109" s="3">
        <v>0</v>
      </c>
      <c r="Q109" s="2">
        <v>38.880000000000003</v>
      </c>
      <c r="R109" t="s">
        <v>62</v>
      </c>
      <c r="S109" t="s">
        <v>35</v>
      </c>
      <c r="T109" t="s">
        <v>29</v>
      </c>
      <c r="U109" t="s">
        <v>58</v>
      </c>
    </row>
    <row r="110" spans="1:21" x14ac:dyDescent="0.35">
      <c r="A110" t="s">
        <v>186</v>
      </c>
      <c r="B110" s="1">
        <v>46076</v>
      </c>
      <c r="C110" t="str">
        <f>TEXT(tblData[[#This Row],[Rental Date]],"mmm")</f>
        <v>Feb</v>
      </c>
      <c r="D110" t="str">
        <f>TEXT(tblData[[#This Row],[Rental Date]],"mmmm")</f>
        <v>February</v>
      </c>
      <c r="E110" t="s">
        <v>74</v>
      </c>
      <c r="F110" t="str">
        <f>TEXT(WEEKNUM(tblData[[#This Row],[Rental Date]]),"00")</f>
        <v>09</v>
      </c>
      <c r="G110" s="1">
        <f>EOMONTH(tblData[[#This Row],[Rental Date]],0)</f>
        <v>46081</v>
      </c>
      <c r="H110" t="s">
        <v>22</v>
      </c>
      <c r="I110" t="s">
        <v>32</v>
      </c>
      <c r="J110" t="s">
        <v>33</v>
      </c>
      <c r="K110" t="s">
        <v>25</v>
      </c>
      <c r="L110">
        <v>1</v>
      </c>
      <c r="M110" s="2">
        <v>38</v>
      </c>
      <c r="N110" t="s">
        <v>26</v>
      </c>
      <c r="O110" s="3">
        <v>0</v>
      </c>
      <c r="P110" s="3">
        <v>0</v>
      </c>
      <c r="Q110" s="2">
        <v>38</v>
      </c>
      <c r="R110" t="s">
        <v>45</v>
      </c>
      <c r="S110" t="s">
        <v>46</v>
      </c>
      <c r="T110" t="s">
        <v>51</v>
      </c>
      <c r="U110" t="s">
        <v>30</v>
      </c>
    </row>
    <row r="111" spans="1:21" x14ac:dyDescent="0.35">
      <c r="A111" t="s">
        <v>187</v>
      </c>
      <c r="B111" s="1">
        <v>46076</v>
      </c>
      <c r="C111" t="str">
        <f>TEXT(tblData[[#This Row],[Rental Date]],"mmm")</f>
        <v>Feb</v>
      </c>
      <c r="D111" t="str">
        <f>TEXT(tblData[[#This Row],[Rental Date]],"mmmm")</f>
        <v>February</v>
      </c>
      <c r="E111" t="s">
        <v>74</v>
      </c>
      <c r="F111" t="str">
        <f>TEXT(WEEKNUM(tblData[[#This Row],[Rental Date]]),"00")</f>
        <v>09</v>
      </c>
      <c r="G111" s="1">
        <f>EOMONTH(tblData[[#This Row],[Rental Date]],0)</f>
        <v>46081</v>
      </c>
      <c r="H111" t="s">
        <v>22</v>
      </c>
      <c r="I111" t="s">
        <v>32</v>
      </c>
      <c r="J111" t="s">
        <v>127</v>
      </c>
      <c r="K111" t="s">
        <v>25</v>
      </c>
      <c r="L111">
        <v>1</v>
      </c>
      <c r="M111" s="2">
        <v>16</v>
      </c>
      <c r="N111" t="s">
        <v>41</v>
      </c>
      <c r="O111" s="3">
        <v>5</v>
      </c>
      <c r="P111" s="3">
        <v>1.05</v>
      </c>
      <c r="Q111" s="2">
        <v>19.95</v>
      </c>
      <c r="R111" t="s">
        <v>66</v>
      </c>
      <c r="S111" t="s">
        <v>46</v>
      </c>
      <c r="T111" t="s">
        <v>29</v>
      </c>
      <c r="U111" t="s">
        <v>36</v>
      </c>
    </row>
    <row r="112" spans="1:21" x14ac:dyDescent="0.35">
      <c r="A112" t="s">
        <v>188</v>
      </c>
      <c r="B112" s="1">
        <v>46076</v>
      </c>
      <c r="C112" t="str">
        <f>TEXT(tblData[[#This Row],[Rental Date]],"mmm")</f>
        <v>Feb</v>
      </c>
      <c r="D112" t="str">
        <f>TEXT(tblData[[#This Row],[Rental Date]],"mmmm")</f>
        <v>February</v>
      </c>
      <c r="E112" t="s">
        <v>74</v>
      </c>
      <c r="F112" t="str">
        <f>TEXT(WEEKNUM(tblData[[#This Row],[Rental Date]]),"00")</f>
        <v>09</v>
      </c>
      <c r="G112" s="1">
        <f>EOMONTH(tblData[[#This Row],[Rental Date]],0)</f>
        <v>46081</v>
      </c>
      <c r="H112" t="s">
        <v>22</v>
      </c>
      <c r="I112" t="s">
        <v>23</v>
      </c>
      <c r="J112" t="s">
        <v>24</v>
      </c>
      <c r="K112" t="s">
        <v>60</v>
      </c>
      <c r="L112">
        <v>1</v>
      </c>
      <c r="M112" s="2">
        <v>32</v>
      </c>
      <c r="N112" t="s">
        <v>89</v>
      </c>
      <c r="O112" s="3">
        <v>6</v>
      </c>
      <c r="P112" s="3">
        <v>0</v>
      </c>
      <c r="Q112" s="2">
        <v>38</v>
      </c>
      <c r="R112" t="s">
        <v>27</v>
      </c>
      <c r="S112" t="s">
        <v>46</v>
      </c>
      <c r="T112" t="s">
        <v>51</v>
      </c>
      <c r="U112" t="s">
        <v>58</v>
      </c>
    </row>
    <row r="113" spans="1:21" x14ac:dyDescent="0.35">
      <c r="A113" t="s">
        <v>189</v>
      </c>
      <c r="B113" s="1">
        <v>46077</v>
      </c>
      <c r="C113" t="str">
        <f>TEXT(tblData[[#This Row],[Rental Date]],"mmm")</f>
        <v>Feb</v>
      </c>
      <c r="D113" t="str">
        <f>TEXT(tblData[[#This Row],[Rental Date]],"mmmm")</f>
        <v>February</v>
      </c>
      <c r="E113" t="s">
        <v>102</v>
      </c>
      <c r="F113" t="str">
        <f>TEXT(WEEKNUM(tblData[[#This Row],[Rental Date]]),"00")</f>
        <v>09</v>
      </c>
      <c r="G113" s="1">
        <f>EOMONTH(tblData[[#This Row],[Rental Date]],0)</f>
        <v>46081</v>
      </c>
      <c r="H113" t="s">
        <v>22</v>
      </c>
      <c r="I113" t="s">
        <v>32</v>
      </c>
      <c r="J113" t="s">
        <v>33</v>
      </c>
      <c r="K113" t="s">
        <v>40</v>
      </c>
      <c r="L113">
        <v>1</v>
      </c>
      <c r="M113" s="2">
        <v>58</v>
      </c>
      <c r="N113" t="s">
        <v>89</v>
      </c>
      <c r="O113" s="3">
        <v>6</v>
      </c>
      <c r="P113" s="3">
        <v>0</v>
      </c>
      <c r="Q113" s="2">
        <v>64</v>
      </c>
      <c r="R113" t="s">
        <v>45</v>
      </c>
      <c r="S113" t="s">
        <v>54</v>
      </c>
      <c r="T113" t="s">
        <v>29</v>
      </c>
      <c r="U113" t="s">
        <v>30</v>
      </c>
    </row>
    <row r="114" spans="1:21" x14ac:dyDescent="0.35">
      <c r="A114" t="s">
        <v>190</v>
      </c>
      <c r="B114" s="1">
        <v>46078</v>
      </c>
      <c r="C114" t="str">
        <f>TEXT(tblData[[#This Row],[Rental Date]],"mmm")</f>
        <v>Feb</v>
      </c>
      <c r="D114" t="str">
        <f>TEXT(tblData[[#This Row],[Rental Date]],"mmmm")</f>
        <v>February</v>
      </c>
      <c r="E114" t="s">
        <v>109</v>
      </c>
      <c r="F114" t="str">
        <f>TEXT(WEEKNUM(tblData[[#This Row],[Rental Date]]),"00")</f>
        <v>09</v>
      </c>
      <c r="G114" s="1">
        <f>EOMONTH(tblData[[#This Row],[Rental Date]],0)</f>
        <v>46081</v>
      </c>
      <c r="H114" t="s">
        <v>22</v>
      </c>
      <c r="I114" t="s">
        <v>23</v>
      </c>
      <c r="J114" t="s">
        <v>49</v>
      </c>
      <c r="K114" t="s">
        <v>92</v>
      </c>
      <c r="L114">
        <v>1</v>
      </c>
      <c r="M114" s="2">
        <v>76</v>
      </c>
      <c r="N114" t="s">
        <v>87</v>
      </c>
      <c r="O114" s="3">
        <v>10</v>
      </c>
      <c r="P114" s="3">
        <v>0</v>
      </c>
      <c r="Q114" s="2">
        <v>86</v>
      </c>
      <c r="R114" t="s">
        <v>57</v>
      </c>
      <c r="S114" t="s">
        <v>50</v>
      </c>
      <c r="T114" t="s">
        <v>51</v>
      </c>
      <c r="U114" t="s">
        <v>36</v>
      </c>
    </row>
    <row r="115" spans="1:21" x14ac:dyDescent="0.35">
      <c r="A115" t="s">
        <v>191</v>
      </c>
      <c r="B115" s="1">
        <v>46078</v>
      </c>
      <c r="C115" t="str">
        <f>TEXT(tblData[[#This Row],[Rental Date]],"mmm")</f>
        <v>Feb</v>
      </c>
      <c r="D115" t="str">
        <f>TEXT(tblData[[#This Row],[Rental Date]],"mmmm")</f>
        <v>February</v>
      </c>
      <c r="E115" t="s">
        <v>109</v>
      </c>
      <c r="F115" t="str">
        <f>TEXT(WEEKNUM(tblData[[#This Row],[Rental Date]]),"00")</f>
        <v>09</v>
      </c>
      <c r="G115" s="1">
        <f>EOMONTH(tblData[[#This Row],[Rental Date]],0)</f>
        <v>46081</v>
      </c>
      <c r="H115" t="s">
        <v>22</v>
      </c>
      <c r="I115" t="s">
        <v>48</v>
      </c>
      <c r="J115" t="s">
        <v>49</v>
      </c>
      <c r="K115" t="s">
        <v>40</v>
      </c>
      <c r="L115">
        <v>1</v>
      </c>
      <c r="M115" s="2">
        <v>54</v>
      </c>
      <c r="N115" t="s">
        <v>41</v>
      </c>
      <c r="O115" s="3">
        <v>5</v>
      </c>
      <c r="P115" s="3">
        <v>0</v>
      </c>
      <c r="Q115" s="2">
        <v>59</v>
      </c>
      <c r="R115" t="s">
        <v>34</v>
      </c>
      <c r="S115" t="s">
        <v>35</v>
      </c>
      <c r="T115" t="s">
        <v>90</v>
      </c>
      <c r="U115" t="s">
        <v>79</v>
      </c>
    </row>
    <row r="116" spans="1:21" x14ac:dyDescent="0.35">
      <c r="A116" t="s">
        <v>192</v>
      </c>
      <c r="B116" s="1">
        <v>46078</v>
      </c>
      <c r="C116" t="str">
        <f>TEXT(tblData[[#This Row],[Rental Date]],"mmm")</f>
        <v>Feb</v>
      </c>
      <c r="D116" t="str">
        <f>TEXT(tblData[[#This Row],[Rental Date]],"mmmm")</f>
        <v>February</v>
      </c>
      <c r="E116" t="s">
        <v>109</v>
      </c>
      <c r="F116" t="str">
        <f>TEXT(WEEKNUM(tblData[[#This Row],[Rental Date]]),"00")</f>
        <v>09</v>
      </c>
      <c r="G116" s="1">
        <f>EOMONTH(tblData[[#This Row],[Rental Date]],0)</f>
        <v>46081</v>
      </c>
      <c r="H116" t="s">
        <v>22</v>
      </c>
      <c r="I116" t="s">
        <v>48</v>
      </c>
      <c r="J116" t="s">
        <v>111</v>
      </c>
      <c r="K116" t="s">
        <v>25</v>
      </c>
      <c r="L116">
        <v>1</v>
      </c>
      <c r="M116" s="2">
        <v>22</v>
      </c>
      <c r="N116" t="s">
        <v>26</v>
      </c>
      <c r="O116" s="3">
        <v>0</v>
      </c>
      <c r="P116" s="3">
        <v>0</v>
      </c>
      <c r="Q116" s="2">
        <v>22</v>
      </c>
      <c r="R116" t="s">
        <v>45</v>
      </c>
      <c r="S116" t="s">
        <v>54</v>
      </c>
      <c r="T116" t="s">
        <v>63</v>
      </c>
      <c r="U116" t="s">
        <v>30</v>
      </c>
    </row>
    <row r="117" spans="1:21" x14ac:dyDescent="0.35">
      <c r="A117" t="s">
        <v>193</v>
      </c>
      <c r="B117" s="1">
        <v>46079</v>
      </c>
      <c r="C117" t="str">
        <f>TEXT(tblData[[#This Row],[Rental Date]],"mmm")</f>
        <v>Feb</v>
      </c>
      <c r="D117" t="str">
        <f>TEXT(tblData[[#This Row],[Rental Date]],"mmmm")</f>
        <v>February</v>
      </c>
      <c r="E117" t="s">
        <v>21</v>
      </c>
      <c r="F117" t="str">
        <f>TEXT(WEEKNUM(tblData[[#This Row],[Rental Date]]),"00")</f>
        <v>09</v>
      </c>
      <c r="G117" s="1">
        <f>EOMONTH(tblData[[#This Row],[Rental Date]],0)</f>
        <v>46081</v>
      </c>
      <c r="H117" t="s">
        <v>22</v>
      </c>
      <c r="I117" t="s">
        <v>23</v>
      </c>
      <c r="J117" t="s">
        <v>49</v>
      </c>
      <c r="K117" t="s">
        <v>40</v>
      </c>
      <c r="L117">
        <v>1</v>
      </c>
      <c r="M117" s="2">
        <v>54</v>
      </c>
      <c r="N117" t="s">
        <v>41</v>
      </c>
      <c r="O117" s="3">
        <v>5</v>
      </c>
      <c r="P117" s="3">
        <v>0</v>
      </c>
      <c r="Q117" s="2">
        <v>59</v>
      </c>
      <c r="R117" t="s">
        <v>57</v>
      </c>
      <c r="S117" t="s">
        <v>54</v>
      </c>
      <c r="T117" t="s">
        <v>63</v>
      </c>
      <c r="U117" t="s">
        <v>36</v>
      </c>
    </row>
    <row r="118" spans="1:21" x14ac:dyDescent="0.35">
      <c r="A118" t="s">
        <v>194</v>
      </c>
      <c r="B118" s="1">
        <v>46079</v>
      </c>
      <c r="C118" t="str">
        <f>TEXT(tblData[[#This Row],[Rental Date]],"mmm")</f>
        <v>Feb</v>
      </c>
      <c r="D118" t="str">
        <f>TEXT(tblData[[#This Row],[Rental Date]],"mmmm")</f>
        <v>February</v>
      </c>
      <c r="E118" t="s">
        <v>21</v>
      </c>
      <c r="F118" t="str">
        <f>TEXT(WEEKNUM(tblData[[#This Row],[Rental Date]]),"00")</f>
        <v>09</v>
      </c>
      <c r="G118" s="1">
        <f>EOMONTH(tblData[[#This Row],[Rental Date]],0)</f>
        <v>46081</v>
      </c>
      <c r="H118" t="s">
        <v>22</v>
      </c>
      <c r="I118" t="s">
        <v>39</v>
      </c>
      <c r="J118" t="s">
        <v>33</v>
      </c>
      <c r="K118" t="s">
        <v>25</v>
      </c>
      <c r="L118">
        <v>1</v>
      </c>
      <c r="M118" s="2">
        <v>38</v>
      </c>
      <c r="N118" t="s">
        <v>26</v>
      </c>
      <c r="O118" s="3">
        <v>0</v>
      </c>
      <c r="P118" s="3">
        <v>1.9</v>
      </c>
      <c r="Q118" s="2">
        <v>36.1</v>
      </c>
      <c r="R118" t="s">
        <v>71</v>
      </c>
      <c r="S118" t="s">
        <v>35</v>
      </c>
      <c r="T118" t="s">
        <v>51</v>
      </c>
      <c r="U118" t="s">
        <v>30</v>
      </c>
    </row>
    <row r="119" spans="1:21" x14ac:dyDescent="0.35">
      <c r="A119" t="s">
        <v>195</v>
      </c>
      <c r="B119" s="1">
        <v>46079</v>
      </c>
      <c r="C119" t="str">
        <f>TEXT(tblData[[#This Row],[Rental Date]],"mmm")</f>
        <v>Feb</v>
      </c>
      <c r="D119" t="str">
        <f>TEXT(tblData[[#This Row],[Rental Date]],"mmmm")</f>
        <v>February</v>
      </c>
      <c r="E119" t="s">
        <v>21</v>
      </c>
      <c r="F119" t="str">
        <f>TEXT(WEEKNUM(tblData[[#This Row],[Rental Date]]),"00")</f>
        <v>09</v>
      </c>
      <c r="G119" s="1">
        <f>EOMONTH(tblData[[#This Row],[Rental Date]],0)</f>
        <v>46081</v>
      </c>
      <c r="H119" t="s">
        <v>22</v>
      </c>
      <c r="I119" t="s">
        <v>23</v>
      </c>
      <c r="J119" t="s">
        <v>33</v>
      </c>
      <c r="K119" t="s">
        <v>25</v>
      </c>
      <c r="L119">
        <v>1</v>
      </c>
      <c r="M119" s="2">
        <v>38</v>
      </c>
      <c r="N119" t="s">
        <v>26</v>
      </c>
      <c r="O119" s="3">
        <v>0</v>
      </c>
      <c r="P119" s="3">
        <v>0</v>
      </c>
      <c r="Q119" s="2">
        <v>38</v>
      </c>
      <c r="R119" t="s">
        <v>57</v>
      </c>
      <c r="S119" t="s">
        <v>50</v>
      </c>
      <c r="T119" t="s">
        <v>29</v>
      </c>
      <c r="U119" t="s">
        <v>79</v>
      </c>
    </row>
    <row r="120" spans="1:21" x14ac:dyDescent="0.35">
      <c r="A120" t="s">
        <v>196</v>
      </c>
      <c r="B120" s="1">
        <v>46080</v>
      </c>
      <c r="C120" t="str">
        <f>TEXT(tblData[[#This Row],[Rental Date]],"mmm")</f>
        <v>Feb</v>
      </c>
      <c r="D120" t="str">
        <f>TEXT(tblData[[#This Row],[Rental Date]],"mmmm")</f>
        <v>February</v>
      </c>
      <c r="E120" t="s">
        <v>38</v>
      </c>
      <c r="F120" t="str">
        <f>TEXT(WEEKNUM(tblData[[#This Row],[Rental Date]]),"00")</f>
        <v>09</v>
      </c>
      <c r="G120" s="1">
        <f>EOMONTH(tblData[[#This Row],[Rental Date]],0)</f>
        <v>46081</v>
      </c>
      <c r="H120" t="s">
        <v>22</v>
      </c>
      <c r="I120" t="s">
        <v>48</v>
      </c>
      <c r="J120" t="s">
        <v>78</v>
      </c>
      <c r="K120" t="s">
        <v>25</v>
      </c>
      <c r="L120">
        <v>1</v>
      </c>
      <c r="M120" s="2">
        <v>42</v>
      </c>
      <c r="N120" t="s">
        <v>41</v>
      </c>
      <c r="O120" s="3">
        <v>5</v>
      </c>
      <c r="P120" s="3">
        <v>0</v>
      </c>
      <c r="Q120" s="2">
        <v>47</v>
      </c>
      <c r="R120" t="s">
        <v>94</v>
      </c>
      <c r="S120" t="s">
        <v>50</v>
      </c>
      <c r="T120" t="s">
        <v>51</v>
      </c>
      <c r="U120" t="s">
        <v>30</v>
      </c>
    </row>
    <row r="121" spans="1:21" x14ac:dyDescent="0.35">
      <c r="A121" t="s">
        <v>197</v>
      </c>
      <c r="B121" s="1">
        <v>46080</v>
      </c>
      <c r="C121" t="str">
        <f>TEXT(tblData[[#This Row],[Rental Date]],"mmm")</f>
        <v>Feb</v>
      </c>
      <c r="D121" t="str">
        <f>TEXT(tblData[[#This Row],[Rental Date]],"mmmm")</f>
        <v>February</v>
      </c>
      <c r="E121" t="s">
        <v>38</v>
      </c>
      <c r="F121" t="str">
        <f>TEXT(WEEKNUM(tblData[[#This Row],[Rental Date]]),"00")</f>
        <v>09</v>
      </c>
      <c r="G121" s="1">
        <f>EOMONTH(tblData[[#This Row],[Rental Date]],0)</f>
        <v>46081</v>
      </c>
      <c r="H121" t="s">
        <v>22</v>
      </c>
      <c r="I121" t="s">
        <v>48</v>
      </c>
      <c r="J121" t="s">
        <v>49</v>
      </c>
      <c r="K121" t="s">
        <v>60</v>
      </c>
      <c r="L121">
        <v>1</v>
      </c>
      <c r="M121" s="2">
        <v>22</v>
      </c>
      <c r="N121" t="s">
        <v>26</v>
      </c>
      <c r="O121" s="3">
        <v>0</v>
      </c>
      <c r="P121" s="3">
        <v>0</v>
      </c>
      <c r="Q121" s="2">
        <v>22</v>
      </c>
      <c r="R121" t="s">
        <v>71</v>
      </c>
      <c r="S121" t="s">
        <v>35</v>
      </c>
      <c r="T121" t="s">
        <v>63</v>
      </c>
      <c r="U121" t="s">
        <v>58</v>
      </c>
    </row>
    <row r="122" spans="1:21" x14ac:dyDescent="0.35">
      <c r="A122" t="s">
        <v>198</v>
      </c>
      <c r="B122" s="1">
        <v>46080</v>
      </c>
      <c r="C122" t="str">
        <f>TEXT(tblData[[#This Row],[Rental Date]],"mmm")</f>
        <v>Feb</v>
      </c>
      <c r="D122" t="str">
        <f>TEXT(tblData[[#This Row],[Rental Date]],"mmmm")</f>
        <v>February</v>
      </c>
      <c r="E122" t="s">
        <v>38</v>
      </c>
      <c r="F122" t="str">
        <f>TEXT(WEEKNUM(tblData[[#This Row],[Rental Date]]),"00")</f>
        <v>09</v>
      </c>
      <c r="G122" s="1">
        <f>EOMONTH(tblData[[#This Row],[Rental Date]],0)</f>
        <v>46081</v>
      </c>
      <c r="H122" t="s">
        <v>22</v>
      </c>
      <c r="I122" t="s">
        <v>48</v>
      </c>
      <c r="J122" t="s">
        <v>65</v>
      </c>
      <c r="K122" t="s">
        <v>60</v>
      </c>
      <c r="L122">
        <v>1</v>
      </c>
      <c r="M122" s="2">
        <v>12</v>
      </c>
      <c r="N122" t="s">
        <v>26</v>
      </c>
      <c r="O122" s="3">
        <v>0</v>
      </c>
      <c r="P122" s="3">
        <v>0</v>
      </c>
      <c r="Q122" s="2">
        <v>12</v>
      </c>
      <c r="R122" t="s">
        <v>34</v>
      </c>
      <c r="S122" t="s">
        <v>35</v>
      </c>
      <c r="T122" t="s">
        <v>29</v>
      </c>
      <c r="U122" t="s">
        <v>36</v>
      </c>
    </row>
    <row r="123" spans="1:21" x14ac:dyDescent="0.35">
      <c r="A123" t="s">
        <v>199</v>
      </c>
      <c r="B123" s="1">
        <v>46080</v>
      </c>
      <c r="C123" t="str">
        <f>TEXT(tblData[[#This Row],[Rental Date]],"mmm")</f>
        <v>Feb</v>
      </c>
      <c r="D123" t="str">
        <f>TEXT(tblData[[#This Row],[Rental Date]],"mmmm")</f>
        <v>February</v>
      </c>
      <c r="E123" t="s">
        <v>38</v>
      </c>
      <c r="F123" t="str">
        <f>TEXT(WEEKNUM(tblData[[#This Row],[Rental Date]]),"00")</f>
        <v>09</v>
      </c>
      <c r="G123" s="1">
        <f>EOMONTH(tblData[[#This Row],[Rental Date]],0)</f>
        <v>46081</v>
      </c>
      <c r="H123" t="s">
        <v>22</v>
      </c>
      <c r="I123" t="s">
        <v>48</v>
      </c>
      <c r="J123" t="s">
        <v>33</v>
      </c>
      <c r="K123" t="s">
        <v>60</v>
      </c>
      <c r="L123">
        <v>1</v>
      </c>
      <c r="M123" s="2">
        <v>24</v>
      </c>
      <c r="N123" t="s">
        <v>75</v>
      </c>
      <c r="O123" s="3">
        <v>12</v>
      </c>
      <c r="P123" s="3">
        <v>0</v>
      </c>
      <c r="Q123" s="2">
        <v>36</v>
      </c>
      <c r="R123" t="s">
        <v>62</v>
      </c>
      <c r="S123" t="s">
        <v>46</v>
      </c>
      <c r="T123" t="s">
        <v>29</v>
      </c>
      <c r="U123" t="s">
        <v>58</v>
      </c>
    </row>
    <row r="124" spans="1:21" x14ac:dyDescent="0.35">
      <c r="A124" t="s">
        <v>200</v>
      </c>
      <c r="B124" s="1">
        <v>46081</v>
      </c>
      <c r="C124" t="str">
        <f>TEXT(tblData[[#This Row],[Rental Date]],"mmm")</f>
        <v>Feb</v>
      </c>
      <c r="D124" t="str">
        <f>TEXT(tblData[[#This Row],[Rental Date]],"mmmm")</f>
        <v>February</v>
      </c>
      <c r="E124" t="s">
        <v>56</v>
      </c>
      <c r="F124" t="str">
        <f>TEXT(WEEKNUM(tblData[[#This Row],[Rental Date]]),"00")</f>
        <v>09</v>
      </c>
      <c r="G124" s="1">
        <f>EOMONTH(tblData[[#This Row],[Rental Date]],0)</f>
        <v>46081</v>
      </c>
      <c r="H124" t="s">
        <v>22</v>
      </c>
      <c r="I124" t="s">
        <v>39</v>
      </c>
      <c r="J124" t="s">
        <v>65</v>
      </c>
      <c r="K124" t="s">
        <v>92</v>
      </c>
      <c r="L124">
        <v>1</v>
      </c>
      <c r="M124" s="2">
        <v>43.2</v>
      </c>
      <c r="N124" t="s">
        <v>41</v>
      </c>
      <c r="O124" s="3">
        <v>5</v>
      </c>
      <c r="P124" s="3">
        <v>0</v>
      </c>
      <c r="Q124" s="2">
        <v>48.2</v>
      </c>
      <c r="R124" t="s">
        <v>66</v>
      </c>
      <c r="S124" t="s">
        <v>35</v>
      </c>
      <c r="T124" t="s">
        <v>90</v>
      </c>
      <c r="U124" t="s">
        <v>79</v>
      </c>
    </row>
    <row r="125" spans="1:21" x14ac:dyDescent="0.35">
      <c r="A125" t="s">
        <v>201</v>
      </c>
      <c r="B125" s="1">
        <v>46081</v>
      </c>
      <c r="C125" t="str">
        <f>TEXT(tblData[[#This Row],[Rental Date]],"mmm")</f>
        <v>Feb</v>
      </c>
      <c r="D125" t="str">
        <f>TEXT(tblData[[#This Row],[Rental Date]],"mmmm")</f>
        <v>February</v>
      </c>
      <c r="E125" t="s">
        <v>56</v>
      </c>
      <c r="F125" t="str">
        <f>TEXT(WEEKNUM(tblData[[#This Row],[Rental Date]]),"00")</f>
        <v>09</v>
      </c>
      <c r="G125" s="1">
        <f>EOMONTH(tblData[[#This Row],[Rental Date]],0)</f>
        <v>46081</v>
      </c>
      <c r="H125" t="s">
        <v>22</v>
      </c>
      <c r="I125" t="s">
        <v>48</v>
      </c>
      <c r="J125" t="s">
        <v>111</v>
      </c>
      <c r="K125" t="s">
        <v>25</v>
      </c>
      <c r="L125">
        <v>1</v>
      </c>
      <c r="M125" s="2">
        <v>23.76</v>
      </c>
      <c r="N125" t="s">
        <v>41</v>
      </c>
      <c r="O125" s="3">
        <v>5</v>
      </c>
      <c r="P125" s="3">
        <v>0</v>
      </c>
      <c r="Q125" s="2">
        <v>28.76</v>
      </c>
      <c r="R125" t="s">
        <v>45</v>
      </c>
      <c r="S125" t="s">
        <v>35</v>
      </c>
      <c r="T125" t="s">
        <v>63</v>
      </c>
      <c r="U125" t="s">
        <v>58</v>
      </c>
    </row>
    <row r="126" spans="1:21" x14ac:dyDescent="0.35">
      <c r="A126" t="s">
        <v>202</v>
      </c>
      <c r="B126" s="1">
        <v>46081</v>
      </c>
      <c r="C126" t="str">
        <f>TEXT(tblData[[#This Row],[Rental Date]],"mmm")</f>
        <v>Feb</v>
      </c>
      <c r="D126" t="str">
        <f>TEXT(tblData[[#This Row],[Rental Date]],"mmmm")</f>
        <v>February</v>
      </c>
      <c r="E126" t="s">
        <v>56</v>
      </c>
      <c r="F126" t="str">
        <f>TEXT(WEEKNUM(tblData[[#This Row],[Rental Date]]),"00")</f>
        <v>09</v>
      </c>
      <c r="G126" s="1">
        <f>EOMONTH(tblData[[#This Row],[Rental Date]],0)</f>
        <v>46081</v>
      </c>
      <c r="H126" t="s">
        <v>22</v>
      </c>
      <c r="I126" t="s">
        <v>23</v>
      </c>
      <c r="J126" t="s">
        <v>65</v>
      </c>
      <c r="K126" t="s">
        <v>25</v>
      </c>
      <c r="L126">
        <v>1</v>
      </c>
      <c r="M126" s="2">
        <v>19.440000000000001</v>
      </c>
      <c r="N126" t="s">
        <v>26</v>
      </c>
      <c r="O126" s="3">
        <v>0</v>
      </c>
      <c r="P126" s="3">
        <v>0</v>
      </c>
      <c r="Q126" s="2">
        <v>19.440000000000001</v>
      </c>
      <c r="R126" t="s">
        <v>66</v>
      </c>
      <c r="S126" t="s">
        <v>35</v>
      </c>
      <c r="T126" t="s">
        <v>83</v>
      </c>
      <c r="U126" t="s">
        <v>79</v>
      </c>
    </row>
    <row r="127" spans="1:21" x14ac:dyDescent="0.35">
      <c r="A127" t="s">
        <v>203</v>
      </c>
      <c r="B127" s="1">
        <v>46082</v>
      </c>
      <c r="C127" t="str">
        <f>TEXT(tblData[[#This Row],[Rental Date]],"mmm")</f>
        <v>Mar</v>
      </c>
      <c r="D127" t="str">
        <f>TEXT(tblData[[#This Row],[Rental Date]],"mmmm")</f>
        <v>March</v>
      </c>
      <c r="E127" t="s">
        <v>68</v>
      </c>
      <c r="F127" t="str">
        <f>TEXT(WEEKNUM(tblData[[#This Row],[Rental Date]]),"00")</f>
        <v>10</v>
      </c>
      <c r="G127" s="1">
        <f>EOMONTH(tblData[[#This Row],[Rental Date]],0)</f>
        <v>46112</v>
      </c>
      <c r="H127" t="s">
        <v>204</v>
      </c>
      <c r="I127" t="s">
        <v>39</v>
      </c>
      <c r="J127" t="s">
        <v>78</v>
      </c>
      <c r="K127" t="s">
        <v>25</v>
      </c>
      <c r="L127">
        <v>1</v>
      </c>
      <c r="M127" s="2">
        <v>45.36</v>
      </c>
      <c r="N127" t="s">
        <v>89</v>
      </c>
      <c r="O127" s="3">
        <v>6</v>
      </c>
      <c r="P127" s="3">
        <v>0</v>
      </c>
      <c r="Q127" s="2">
        <v>51.36</v>
      </c>
      <c r="R127" t="s">
        <v>62</v>
      </c>
      <c r="S127" t="s">
        <v>35</v>
      </c>
      <c r="T127" t="s">
        <v>51</v>
      </c>
      <c r="U127" t="s">
        <v>58</v>
      </c>
    </row>
    <row r="128" spans="1:21" x14ac:dyDescent="0.35">
      <c r="A128" t="s">
        <v>205</v>
      </c>
      <c r="B128" s="1">
        <v>46082</v>
      </c>
      <c r="C128" t="str">
        <f>TEXT(tblData[[#This Row],[Rental Date]],"mmm")</f>
        <v>Mar</v>
      </c>
      <c r="D128" t="str">
        <f>TEXT(tblData[[#This Row],[Rental Date]],"mmmm")</f>
        <v>March</v>
      </c>
      <c r="E128" t="s">
        <v>68</v>
      </c>
      <c r="F128" t="str">
        <f>TEXT(WEEKNUM(tblData[[#This Row],[Rental Date]]),"00")</f>
        <v>10</v>
      </c>
      <c r="G128" s="1">
        <f>EOMONTH(tblData[[#This Row],[Rental Date]],0)</f>
        <v>46112</v>
      </c>
      <c r="H128" t="s">
        <v>204</v>
      </c>
      <c r="I128" t="s">
        <v>48</v>
      </c>
      <c r="J128" t="s">
        <v>49</v>
      </c>
      <c r="K128" t="s">
        <v>25</v>
      </c>
      <c r="L128">
        <v>1</v>
      </c>
      <c r="M128" s="2">
        <v>38.880000000000003</v>
      </c>
      <c r="N128" t="s">
        <v>61</v>
      </c>
      <c r="O128" s="3">
        <v>8</v>
      </c>
      <c r="P128" s="3">
        <v>0</v>
      </c>
      <c r="Q128" s="2">
        <v>46.88</v>
      </c>
      <c r="R128" t="s">
        <v>66</v>
      </c>
      <c r="S128" t="s">
        <v>54</v>
      </c>
      <c r="T128" t="s">
        <v>90</v>
      </c>
      <c r="U128" t="s">
        <v>58</v>
      </c>
    </row>
    <row r="129" spans="1:21" x14ac:dyDescent="0.35">
      <c r="A129" t="s">
        <v>206</v>
      </c>
      <c r="B129" s="1">
        <v>46082</v>
      </c>
      <c r="C129" t="str">
        <f>TEXT(tblData[[#This Row],[Rental Date]],"mmm")</f>
        <v>Mar</v>
      </c>
      <c r="D129" t="str">
        <f>TEXT(tblData[[#This Row],[Rental Date]],"mmmm")</f>
        <v>March</v>
      </c>
      <c r="E129" t="s">
        <v>68</v>
      </c>
      <c r="F129" t="str">
        <f>TEXT(WEEKNUM(tblData[[#This Row],[Rental Date]]),"00")</f>
        <v>10</v>
      </c>
      <c r="G129" s="1">
        <f>EOMONTH(tblData[[#This Row],[Rental Date]],0)</f>
        <v>46112</v>
      </c>
      <c r="H129" t="s">
        <v>204</v>
      </c>
      <c r="I129" t="s">
        <v>48</v>
      </c>
      <c r="J129" t="s">
        <v>44</v>
      </c>
      <c r="K129" t="s">
        <v>25</v>
      </c>
      <c r="L129">
        <v>1</v>
      </c>
      <c r="M129" s="2">
        <v>56.16</v>
      </c>
      <c r="N129" t="s">
        <v>26</v>
      </c>
      <c r="O129" s="3">
        <v>0</v>
      </c>
      <c r="P129" s="3">
        <v>0</v>
      </c>
      <c r="Q129" s="2">
        <v>56.16</v>
      </c>
      <c r="R129" t="s">
        <v>66</v>
      </c>
      <c r="S129" t="s">
        <v>50</v>
      </c>
      <c r="T129" t="s">
        <v>90</v>
      </c>
      <c r="U129" t="s">
        <v>79</v>
      </c>
    </row>
    <row r="130" spans="1:21" x14ac:dyDescent="0.35">
      <c r="A130" t="s">
        <v>207</v>
      </c>
      <c r="B130" s="1">
        <v>46082</v>
      </c>
      <c r="C130" t="str">
        <f>TEXT(tblData[[#This Row],[Rental Date]],"mmm")</f>
        <v>Mar</v>
      </c>
      <c r="D130" t="str">
        <f>TEXT(tblData[[#This Row],[Rental Date]],"mmmm")</f>
        <v>March</v>
      </c>
      <c r="E130" t="s">
        <v>68</v>
      </c>
      <c r="F130" t="str">
        <f>TEXT(WEEKNUM(tblData[[#This Row],[Rental Date]]),"00")</f>
        <v>10</v>
      </c>
      <c r="G130" s="1">
        <f>EOMONTH(tblData[[#This Row],[Rental Date]],0)</f>
        <v>46112</v>
      </c>
      <c r="H130" t="s">
        <v>204</v>
      </c>
      <c r="I130" t="s">
        <v>23</v>
      </c>
      <c r="J130" t="s">
        <v>138</v>
      </c>
      <c r="K130" t="s">
        <v>25</v>
      </c>
      <c r="L130">
        <v>1</v>
      </c>
      <c r="M130" s="2">
        <v>51.84</v>
      </c>
      <c r="N130" t="s">
        <v>70</v>
      </c>
      <c r="O130" s="3">
        <v>7</v>
      </c>
      <c r="P130" s="3">
        <v>0</v>
      </c>
      <c r="Q130" s="2">
        <v>58.84</v>
      </c>
      <c r="R130" t="s">
        <v>71</v>
      </c>
      <c r="S130" t="s">
        <v>28</v>
      </c>
      <c r="T130" t="s">
        <v>90</v>
      </c>
      <c r="U130" t="s">
        <v>30</v>
      </c>
    </row>
    <row r="131" spans="1:21" x14ac:dyDescent="0.35">
      <c r="A131" t="s">
        <v>208</v>
      </c>
      <c r="B131" s="1">
        <v>46083</v>
      </c>
      <c r="C131" t="str">
        <f>TEXT(tblData[[#This Row],[Rental Date]],"mmm")</f>
        <v>Mar</v>
      </c>
      <c r="D131" t="str">
        <f>TEXT(tblData[[#This Row],[Rental Date]],"mmmm")</f>
        <v>March</v>
      </c>
      <c r="E131" t="s">
        <v>74</v>
      </c>
      <c r="F131" t="str">
        <f>TEXT(WEEKNUM(tblData[[#This Row],[Rental Date]]),"00")</f>
        <v>10</v>
      </c>
      <c r="G131" s="1">
        <f>EOMONTH(tblData[[#This Row],[Rental Date]],0)</f>
        <v>46112</v>
      </c>
      <c r="H131" t="s">
        <v>204</v>
      </c>
      <c r="I131" t="s">
        <v>48</v>
      </c>
      <c r="J131" t="s">
        <v>78</v>
      </c>
      <c r="K131" t="s">
        <v>25</v>
      </c>
      <c r="L131">
        <v>1</v>
      </c>
      <c r="M131" s="2">
        <v>42</v>
      </c>
      <c r="N131" t="s">
        <v>26</v>
      </c>
      <c r="O131" s="3">
        <v>0</v>
      </c>
      <c r="P131" s="3">
        <v>0</v>
      </c>
      <c r="Q131" s="2">
        <v>42</v>
      </c>
      <c r="R131" t="s">
        <v>76</v>
      </c>
      <c r="S131" t="s">
        <v>46</v>
      </c>
      <c r="T131" t="s">
        <v>51</v>
      </c>
      <c r="U131" t="s">
        <v>30</v>
      </c>
    </row>
    <row r="132" spans="1:21" x14ac:dyDescent="0.35">
      <c r="A132" t="s">
        <v>209</v>
      </c>
      <c r="B132" s="1">
        <v>46084</v>
      </c>
      <c r="C132" t="str">
        <f>TEXT(tblData[[#This Row],[Rental Date]],"mmm")</f>
        <v>Mar</v>
      </c>
      <c r="D132" t="str">
        <f>TEXT(tblData[[#This Row],[Rental Date]],"mmmm")</f>
        <v>March</v>
      </c>
      <c r="E132" t="s">
        <v>102</v>
      </c>
      <c r="F132" t="str">
        <f>TEXT(WEEKNUM(tblData[[#This Row],[Rental Date]]),"00")</f>
        <v>10</v>
      </c>
      <c r="G132" s="1">
        <f>EOMONTH(tblData[[#This Row],[Rental Date]],0)</f>
        <v>46112</v>
      </c>
      <c r="H132" t="s">
        <v>204</v>
      </c>
      <c r="I132" t="s">
        <v>39</v>
      </c>
      <c r="J132" t="s">
        <v>78</v>
      </c>
      <c r="K132" t="s">
        <v>92</v>
      </c>
      <c r="L132">
        <v>1</v>
      </c>
      <c r="M132" s="2">
        <v>88</v>
      </c>
      <c r="N132" t="s">
        <v>26</v>
      </c>
      <c r="O132" s="3">
        <v>0</v>
      </c>
      <c r="P132" s="3">
        <v>0</v>
      </c>
      <c r="Q132" s="2">
        <v>88</v>
      </c>
      <c r="R132" t="s">
        <v>45</v>
      </c>
      <c r="S132" t="s">
        <v>35</v>
      </c>
      <c r="T132" t="s">
        <v>29</v>
      </c>
      <c r="U132" t="s">
        <v>58</v>
      </c>
    </row>
    <row r="133" spans="1:21" x14ac:dyDescent="0.35">
      <c r="A133" t="s">
        <v>210</v>
      </c>
      <c r="B133" s="1">
        <v>46084</v>
      </c>
      <c r="C133" t="str">
        <f>TEXT(tblData[[#This Row],[Rental Date]],"mmm")</f>
        <v>Mar</v>
      </c>
      <c r="D133" t="str">
        <f>TEXT(tblData[[#This Row],[Rental Date]],"mmmm")</f>
        <v>March</v>
      </c>
      <c r="E133" t="s">
        <v>102</v>
      </c>
      <c r="F133" t="str">
        <f>TEXT(WEEKNUM(tblData[[#This Row],[Rental Date]]),"00")</f>
        <v>10</v>
      </c>
      <c r="G133" s="1">
        <f>EOMONTH(tblData[[#This Row],[Rental Date]],0)</f>
        <v>46112</v>
      </c>
      <c r="H133" t="s">
        <v>204</v>
      </c>
      <c r="I133" t="s">
        <v>48</v>
      </c>
      <c r="J133" t="s">
        <v>78</v>
      </c>
      <c r="K133" t="s">
        <v>25</v>
      </c>
      <c r="L133">
        <v>1</v>
      </c>
      <c r="M133" s="2">
        <v>42</v>
      </c>
      <c r="N133" t="s">
        <v>26</v>
      </c>
      <c r="O133" s="3">
        <v>0</v>
      </c>
      <c r="P133" s="3">
        <v>0</v>
      </c>
      <c r="Q133" s="2">
        <v>42</v>
      </c>
      <c r="R133" t="s">
        <v>34</v>
      </c>
      <c r="S133" t="s">
        <v>46</v>
      </c>
      <c r="T133" t="s">
        <v>90</v>
      </c>
      <c r="U133" t="s">
        <v>58</v>
      </c>
    </row>
    <row r="134" spans="1:21" x14ac:dyDescent="0.35">
      <c r="A134" t="s">
        <v>211</v>
      </c>
      <c r="B134" s="1">
        <v>46084</v>
      </c>
      <c r="C134" t="str">
        <f>TEXT(tblData[[#This Row],[Rental Date]],"mmm")</f>
        <v>Mar</v>
      </c>
      <c r="D134" t="str">
        <f>TEXT(tblData[[#This Row],[Rental Date]],"mmmm")</f>
        <v>March</v>
      </c>
      <c r="E134" t="s">
        <v>102</v>
      </c>
      <c r="F134" t="str">
        <f>TEXT(WEEKNUM(tblData[[#This Row],[Rental Date]]),"00")</f>
        <v>10</v>
      </c>
      <c r="G134" s="1">
        <f>EOMONTH(tblData[[#This Row],[Rental Date]],0)</f>
        <v>46112</v>
      </c>
      <c r="H134" t="s">
        <v>204</v>
      </c>
      <c r="I134" t="s">
        <v>48</v>
      </c>
      <c r="J134" t="s">
        <v>24</v>
      </c>
      <c r="K134" t="s">
        <v>25</v>
      </c>
      <c r="L134">
        <v>1</v>
      </c>
      <c r="M134" s="2">
        <v>50</v>
      </c>
      <c r="N134" t="s">
        <v>41</v>
      </c>
      <c r="O134" s="3">
        <v>5</v>
      </c>
      <c r="P134" s="3">
        <v>0</v>
      </c>
      <c r="Q134" s="2">
        <v>55</v>
      </c>
      <c r="R134" t="s">
        <v>57</v>
      </c>
      <c r="S134" t="s">
        <v>46</v>
      </c>
      <c r="T134" t="s">
        <v>90</v>
      </c>
      <c r="U134" t="s">
        <v>79</v>
      </c>
    </row>
    <row r="135" spans="1:21" x14ac:dyDescent="0.35">
      <c r="A135" t="s">
        <v>212</v>
      </c>
      <c r="B135" s="1">
        <v>46084</v>
      </c>
      <c r="C135" t="str">
        <f>TEXT(tblData[[#This Row],[Rental Date]],"mmm")</f>
        <v>Mar</v>
      </c>
      <c r="D135" t="str">
        <f>TEXT(tblData[[#This Row],[Rental Date]],"mmmm")</f>
        <v>March</v>
      </c>
      <c r="E135" t="s">
        <v>102</v>
      </c>
      <c r="F135" t="str">
        <f>TEXT(WEEKNUM(tblData[[#This Row],[Rental Date]]),"00")</f>
        <v>10</v>
      </c>
      <c r="G135" s="1">
        <f>EOMONTH(tblData[[#This Row],[Rental Date]],0)</f>
        <v>46112</v>
      </c>
      <c r="H135" t="s">
        <v>204</v>
      </c>
      <c r="I135" t="s">
        <v>48</v>
      </c>
      <c r="J135" t="s">
        <v>78</v>
      </c>
      <c r="K135" t="s">
        <v>40</v>
      </c>
      <c r="L135">
        <v>1</v>
      </c>
      <c r="M135" s="2">
        <v>62</v>
      </c>
      <c r="N135" t="s">
        <v>26</v>
      </c>
      <c r="O135" s="3">
        <v>0</v>
      </c>
      <c r="P135" s="3">
        <v>0</v>
      </c>
      <c r="Q135" s="2">
        <v>62</v>
      </c>
      <c r="R135" t="s">
        <v>42</v>
      </c>
      <c r="S135" t="s">
        <v>35</v>
      </c>
      <c r="T135" t="s">
        <v>63</v>
      </c>
      <c r="U135" t="s">
        <v>30</v>
      </c>
    </row>
    <row r="136" spans="1:21" x14ac:dyDescent="0.35">
      <c r="A136" t="s">
        <v>213</v>
      </c>
      <c r="B136" s="1">
        <v>46085</v>
      </c>
      <c r="C136" t="str">
        <f>TEXT(tblData[[#This Row],[Rental Date]],"mmm")</f>
        <v>Mar</v>
      </c>
      <c r="D136" t="str">
        <f>TEXT(tblData[[#This Row],[Rental Date]],"mmmm")</f>
        <v>March</v>
      </c>
      <c r="E136" t="s">
        <v>109</v>
      </c>
      <c r="F136" t="str">
        <f>TEXT(WEEKNUM(tblData[[#This Row],[Rental Date]]),"00")</f>
        <v>10</v>
      </c>
      <c r="G136" s="1">
        <f>EOMONTH(tblData[[#This Row],[Rental Date]],0)</f>
        <v>46112</v>
      </c>
      <c r="H136" t="s">
        <v>204</v>
      </c>
      <c r="I136" t="s">
        <v>39</v>
      </c>
      <c r="J136" t="s">
        <v>33</v>
      </c>
      <c r="K136" t="s">
        <v>25</v>
      </c>
      <c r="L136">
        <v>1</v>
      </c>
      <c r="M136" s="2">
        <v>38</v>
      </c>
      <c r="N136" t="s">
        <v>89</v>
      </c>
      <c r="O136" s="3">
        <v>6</v>
      </c>
      <c r="P136" s="3">
        <v>0</v>
      </c>
      <c r="Q136" s="2">
        <v>44</v>
      </c>
      <c r="R136" t="s">
        <v>66</v>
      </c>
      <c r="S136" t="s">
        <v>28</v>
      </c>
      <c r="T136" t="s">
        <v>51</v>
      </c>
      <c r="U136" t="s">
        <v>36</v>
      </c>
    </row>
    <row r="137" spans="1:21" x14ac:dyDescent="0.35">
      <c r="A137" t="s">
        <v>214</v>
      </c>
      <c r="B137" s="1">
        <v>46086</v>
      </c>
      <c r="C137" t="str">
        <f>TEXT(tblData[[#This Row],[Rental Date]],"mmm")</f>
        <v>Mar</v>
      </c>
      <c r="D137" t="str">
        <f>TEXT(tblData[[#This Row],[Rental Date]],"mmmm")</f>
        <v>March</v>
      </c>
      <c r="E137" t="s">
        <v>21</v>
      </c>
      <c r="F137" t="str">
        <f>TEXT(WEEKNUM(tblData[[#This Row],[Rental Date]]),"00")</f>
        <v>10</v>
      </c>
      <c r="G137" s="1">
        <f>EOMONTH(tblData[[#This Row],[Rental Date]],0)</f>
        <v>46112</v>
      </c>
      <c r="H137" t="s">
        <v>204</v>
      </c>
      <c r="I137" t="s">
        <v>48</v>
      </c>
      <c r="J137" t="s">
        <v>24</v>
      </c>
      <c r="K137" t="s">
        <v>60</v>
      </c>
      <c r="L137">
        <v>1</v>
      </c>
      <c r="M137" s="2">
        <v>32</v>
      </c>
      <c r="N137" t="s">
        <v>89</v>
      </c>
      <c r="O137" s="3">
        <v>6</v>
      </c>
      <c r="P137" s="3">
        <v>1.9</v>
      </c>
      <c r="Q137" s="2">
        <v>36.1</v>
      </c>
      <c r="R137" t="s">
        <v>71</v>
      </c>
      <c r="S137" t="s">
        <v>54</v>
      </c>
      <c r="T137" t="s">
        <v>90</v>
      </c>
      <c r="U137" t="s">
        <v>30</v>
      </c>
    </row>
    <row r="138" spans="1:21" x14ac:dyDescent="0.35">
      <c r="A138" t="s">
        <v>215</v>
      </c>
      <c r="B138" s="1">
        <v>46086</v>
      </c>
      <c r="C138" t="str">
        <f>TEXT(tblData[[#This Row],[Rental Date]],"mmm")</f>
        <v>Mar</v>
      </c>
      <c r="D138" t="str">
        <f>TEXT(tblData[[#This Row],[Rental Date]],"mmmm")</f>
        <v>March</v>
      </c>
      <c r="E138" t="s">
        <v>21</v>
      </c>
      <c r="F138" t="str">
        <f>TEXT(WEEKNUM(tblData[[#This Row],[Rental Date]]),"00")</f>
        <v>10</v>
      </c>
      <c r="G138" s="1">
        <f>EOMONTH(tblData[[#This Row],[Rental Date]],0)</f>
        <v>46112</v>
      </c>
      <c r="H138" t="s">
        <v>204</v>
      </c>
      <c r="I138" t="s">
        <v>23</v>
      </c>
      <c r="J138" t="s">
        <v>78</v>
      </c>
      <c r="K138" t="s">
        <v>40</v>
      </c>
      <c r="L138">
        <v>1</v>
      </c>
      <c r="M138" s="2">
        <v>62</v>
      </c>
      <c r="N138" t="s">
        <v>26</v>
      </c>
      <c r="O138" s="3">
        <v>0</v>
      </c>
      <c r="P138" s="3">
        <v>0</v>
      </c>
      <c r="Q138" s="2">
        <v>62</v>
      </c>
      <c r="R138" t="s">
        <v>42</v>
      </c>
      <c r="S138" t="s">
        <v>28</v>
      </c>
      <c r="T138" t="s">
        <v>51</v>
      </c>
      <c r="U138" t="s">
        <v>30</v>
      </c>
    </row>
    <row r="139" spans="1:21" x14ac:dyDescent="0.35">
      <c r="A139" t="s">
        <v>216</v>
      </c>
      <c r="B139" s="1">
        <v>46086</v>
      </c>
      <c r="C139" t="str">
        <f>TEXT(tblData[[#This Row],[Rental Date]],"mmm")</f>
        <v>Mar</v>
      </c>
      <c r="D139" t="str">
        <f>TEXT(tblData[[#This Row],[Rental Date]],"mmmm")</f>
        <v>March</v>
      </c>
      <c r="E139" t="s">
        <v>21</v>
      </c>
      <c r="F139" t="str">
        <f>TEXT(WEEKNUM(tblData[[#This Row],[Rental Date]]),"00")</f>
        <v>10</v>
      </c>
      <c r="G139" s="1">
        <f>EOMONTH(tblData[[#This Row],[Rental Date]],0)</f>
        <v>46112</v>
      </c>
      <c r="H139" t="s">
        <v>204</v>
      </c>
      <c r="I139" t="s">
        <v>48</v>
      </c>
      <c r="J139" t="s">
        <v>44</v>
      </c>
      <c r="K139" t="s">
        <v>25</v>
      </c>
      <c r="L139">
        <v>1</v>
      </c>
      <c r="M139" s="2">
        <v>52</v>
      </c>
      <c r="N139" t="s">
        <v>89</v>
      </c>
      <c r="O139" s="3">
        <v>6</v>
      </c>
      <c r="P139" s="3">
        <v>0</v>
      </c>
      <c r="Q139" s="2">
        <v>58</v>
      </c>
      <c r="R139" t="s">
        <v>34</v>
      </c>
      <c r="S139" t="s">
        <v>46</v>
      </c>
      <c r="T139" t="s">
        <v>29</v>
      </c>
      <c r="U139" t="s">
        <v>36</v>
      </c>
    </row>
    <row r="140" spans="1:21" x14ac:dyDescent="0.35">
      <c r="A140" t="s">
        <v>217</v>
      </c>
      <c r="B140" s="1">
        <v>46087</v>
      </c>
      <c r="C140" t="str">
        <f>TEXT(tblData[[#This Row],[Rental Date]],"mmm")</f>
        <v>Mar</v>
      </c>
      <c r="D140" t="str">
        <f>TEXT(tblData[[#This Row],[Rental Date]],"mmmm")</f>
        <v>March</v>
      </c>
      <c r="E140" t="s">
        <v>38</v>
      </c>
      <c r="F140" t="str">
        <f>TEXT(WEEKNUM(tblData[[#This Row],[Rental Date]]),"00")</f>
        <v>10</v>
      </c>
      <c r="G140" s="1">
        <f>EOMONTH(tblData[[#This Row],[Rental Date]],0)</f>
        <v>46112</v>
      </c>
      <c r="H140" t="s">
        <v>204</v>
      </c>
      <c r="I140" t="s">
        <v>39</v>
      </c>
      <c r="J140" t="s">
        <v>78</v>
      </c>
      <c r="K140" t="s">
        <v>60</v>
      </c>
      <c r="L140">
        <v>1</v>
      </c>
      <c r="M140" s="2">
        <v>26</v>
      </c>
      <c r="N140" t="s">
        <v>26</v>
      </c>
      <c r="O140" s="3">
        <v>0</v>
      </c>
      <c r="P140" s="3">
        <v>0</v>
      </c>
      <c r="Q140" s="2">
        <v>26</v>
      </c>
      <c r="R140" t="s">
        <v>94</v>
      </c>
      <c r="S140" t="s">
        <v>54</v>
      </c>
      <c r="T140" t="s">
        <v>29</v>
      </c>
      <c r="U140" t="s">
        <v>30</v>
      </c>
    </row>
    <row r="141" spans="1:21" x14ac:dyDescent="0.35">
      <c r="A141" t="s">
        <v>218</v>
      </c>
      <c r="B141" s="1">
        <v>46087</v>
      </c>
      <c r="C141" t="str">
        <f>TEXT(tblData[[#This Row],[Rental Date]],"mmm")</f>
        <v>Mar</v>
      </c>
      <c r="D141" t="str">
        <f>TEXT(tblData[[#This Row],[Rental Date]],"mmmm")</f>
        <v>March</v>
      </c>
      <c r="E141" t="s">
        <v>38</v>
      </c>
      <c r="F141" t="str">
        <f>TEXT(WEEKNUM(tblData[[#This Row],[Rental Date]]),"00")</f>
        <v>10</v>
      </c>
      <c r="G141" s="1">
        <f>EOMONTH(tblData[[#This Row],[Rental Date]],0)</f>
        <v>46112</v>
      </c>
      <c r="H141" t="s">
        <v>204</v>
      </c>
      <c r="I141" t="s">
        <v>48</v>
      </c>
      <c r="J141" t="s">
        <v>33</v>
      </c>
      <c r="K141" t="s">
        <v>25</v>
      </c>
      <c r="L141">
        <v>1</v>
      </c>
      <c r="M141" s="2">
        <v>38</v>
      </c>
      <c r="N141" t="s">
        <v>26</v>
      </c>
      <c r="O141" s="3">
        <v>0</v>
      </c>
      <c r="P141" s="3">
        <v>0</v>
      </c>
      <c r="Q141" s="2">
        <v>38</v>
      </c>
      <c r="R141" t="s">
        <v>45</v>
      </c>
      <c r="S141" t="s">
        <v>54</v>
      </c>
      <c r="T141" t="s">
        <v>90</v>
      </c>
      <c r="U141" t="s">
        <v>30</v>
      </c>
    </row>
    <row r="142" spans="1:21" x14ac:dyDescent="0.35">
      <c r="A142" t="s">
        <v>219</v>
      </c>
      <c r="B142" s="1">
        <v>46087</v>
      </c>
      <c r="C142" t="str">
        <f>TEXT(tblData[[#This Row],[Rental Date]],"mmm")</f>
        <v>Mar</v>
      </c>
      <c r="D142" t="str">
        <f>TEXT(tblData[[#This Row],[Rental Date]],"mmmm")</f>
        <v>March</v>
      </c>
      <c r="E142" t="s">
        <v>38</v>
      </c>
      <c r="F142" t="str">
        <f>TEXT(WEEKNUM(tblData[[#This Row],[Rental Date]]),"00")</f>
        <v>10</v>
      </c>
      <c r="G142" s="1">
        <f>EOMONTH(tblData[[#This Row],[Rental Date]],0)</f>
        <v>46112</v>
      </c>
      <c r="H142" t="s">
        <v>204</v>
      </c>
      <c r="I142" t="s">
        <v>39</v>
      </c>
      <c r="J142" t="s">
        <v>138</v>
      </c>
      <c r="K142" t="s">
        <v>40</v>
      </c>
      <c r="L142">
        <v>1</v>
      </c>
      <c r="M142" s="2">
        <v>72</v>
      </c>
      <c r="N142" t="s">
        <v>26</v>
      </c>
      <c r="O142" s="3">
        <v>0</v>
      </c>
      <c r="P142" s="3">
        <v>0</v>
      </c>
      <c r="Q142" s="2">
        <v>72</v>
      </c>
      <c r="R142" t="s">
        <v>57</v>
      </c>
      <c r="S142" t="s">
        <v>50</v>
      </c>
      <c r="T142" t="s">
        <v>51</v>
      </c>
      <c r="U142" t="s">
        <v>30</v>
      </c>
    </row>
    <row r="143" spans="1:21" x14ac:dyDescent="0.35">
      <c r="A143" t="s">
        <v>220</v>
      </c>
      <c r="B143" s="1">
        <v>46087</v>
      </c>
      <c r="C143" t="str">
        <f>TEXT(tblData[[#This Row],[Rental Date]],"mmm")</f>
        <v>Mar</v>
      </c>
      <c r="D143" t="str">
        <f>TEXT(tblData[[#This Row],[Rental Date]],"mmmm")</f>
        <v>March</v>
      </c>
      <c r="E143" t="s">
        <v>38</v>
      </c>
      <c r="F143" t="str">
        <f>TEXT(WEEKNUM(tblData[[#This Row],[Rental Date]]),"00")</f>
        <v>10</v>
      </c>
      <c r="G143" s="1">
        <f>EOMONTH(tblData[[#This Row],[Rental Date]],0)</f>
        <v>46112</v>
      </c>
      <c r="H143" t="s">
        <v>204</v>
      </c>
      <c r="I143" t="s">
        <v>32</v>
      </c>
      <c r="J143" t="s">
        <v>78</v>
      </c>
      <c r="K143" t="s">
        <v>60</v>
      </c>
      <c r="L143">
        <v>1</v>
      </c>
      <c r="M143" s="2">
        <v>26</v>
      </c>
      <c r="N143" t="s">
        <v>26</v>
      </c>
      <c r="O143" s="3">
        <v>0</v>
      </c>
      <c r="P143" s="3">
        <v>0</v>
      </c>
      <c r="Q143" s="2">
        <v>26</v>
      </c>
      <c r="R143" t="s">
        <v>76</v>
      </c>
      <c r="S143" t="s">
        <v>35</v>
      </c>
      <c r="T143" t="s">
        <v>29</v>
      </c>
      <c r="U143" t="s">
        <v>30</v>
      </c>
    </row>
    <row r="144" spans="1:21" x14ac:dyDescent="0.35">
      <c r="A144" t="s">
        <v>221</v>
      </c>
      <c r="B144" s="1">
        <v>46088</v>
      </c>
      <c r="C144" t="str">
        <f>TEXT(tblData[[#This Row],[Rental Date]],"mmm")</f>
        <v>Mar</v>
      </c>
      <c r="D144" t="str">
        <f>TEXT(tblData[[#This Row],[Rental Date]],"mmmm")</f>
        <v>March</v>
      </c>
      <c r="E144" t="s">
        <v>56</v>
      </c>
      <c r="F144" t="str">
        <f>TEXT(WEEKNUM(tblData[[#This Row],[Rental Date]]),"00")</f>
        <v>10</v>
      </c>
      <c r="G144" s="1">
        <f>EOMONTH(tblData[[#This Row],[Rental Date]],0)</f>
        <v>46112</v>
      </c>
      <c r="H144" t="s">
        <v>204</v>
      </c>
      <c r="I144" t="s">
        <v>23</v>
      </c>
      <c r="J144" t="s">
        <v>86</v>
      </c>
      <c r="K144" t="s">
        <v>60</v>
      </c>
      <c r="L144">
        <v>1</v>
      </c>
      <c r="M144" s="2">
        <v>38.880000000000003</v>
      </c>
      <c r="N144" t="s">
        <v>26</v>
      </c>
      <c r="O144" s="3">
        <v>0</v>
      </c>
      <c r="P144" s="3">
        <v>0</v>
      </c>
      <c r="Q144" s="2">
        <v>38.880000000000003</v>
      </c>
      <c r="R144" t="s">
        <v>34</v>
      </c>
      <c r="S144" t="s">
        <v>28</v>
      </c>
      <c r="T144" t="s">
        <v>29</v>
      </c>
      <c r="U144" t="s">
        <v>30</v>
      </c>
    </row>
    <row r="145" spans="1:21" x14ac:dyDescent="0.35">
      <c r="A145" t="s">
        <v>222</v>
      </c>
      <c r="B145" s="1">
        <v>46088</v>
      </c>
      <c r="C145" t="str">
        <f>TEXT(tblData[[#This Row],[Rental Date]],"mmm")</f>
        <v>Mar</v>
      </c>
      <c r="D145" t="str">
        <f>TEXT(tblData[[#This Row],[Rental Date]],"mmmm")</f>
        <v>March</v>
      </c>
      <c r="E145" t="s">
        <v>56</v>
      </c>
      <c r="F145" t="str">
        <f>TEXT(WEEKNUM(tblData[[#This Row],[Rental Date]]),"00")</f>
        <v>10</v>
      </c>
      <c r="G145" s="1">
        <f>EOMONTH(tblData[[#This Row],[Rental Date]],0)</f>
        <v>46112</v>
      </c>
      <c r="H145" t="s">
        <v>204</v>
      </c>
      <c r="I145" t="s">
        <v>39</v>
      </c>
      <c r="J145" t="s">
        <v>78</v>
      </c>
      <c r="K145" t="s">
        <v>40</v>
      </c>
      <c r="L145">
        <v>1</v>
      </c>
      <c r="M145" s="2">
        <v>66.959999999999994</v>
      </c>
      <c r="N145" t="s">
        <v>89</v>
      </c>
      <c r="O145" s="3">
        <v>6</v>
      </c>
      <c r="P145" s="3">
        <v>0</v>
      </c>
      <c r="Q145" s="2">
        <v>72.959999999999994</v>
      </c>
      <c r="R145" t="s">
        <v>42</v>
      </c>
      <c r="S145" t="s">
        <v>28</v>
      </c>
      <c r="T145" t="s">
        <v>29</v>
      </c>
      <c r="U145" t="s">
        <v>58</v>
      </c>
    </row>
    <row r="146" spans="1:21" x14ac:dyDescent="0.35">
      <c r="A146" t="s">
        <v>223</v>
      </c>
      <c r="B146" s="1">
        <v>46088</v>
      </c>
      <c r="C146" t="str">
        <f>TEXT(tblData[[#This Row],[Rental Date]],"mmm")</f>
        <v>Mar</v>
      </c>
      <c r="D146" t="str">
        <f>TEXT(tblData[[#This Row],[Rental Date]],"mmmm")</f>
        <v>March</v>
      </c>
      <c r="E146" t="s">
        <v>56</v>
      </c>
      <c r="F146" t="str">
        <f>TEXT(WEEKNUM(tblData[[#This Row],[Rental Date]]),"00")</f>
        <v>10</v>
      </c>
      <c r="G146" s="1">
        <f>EOMONTH(tblData[[#This Row],[Rental Date]],0)</f>
        <v>46112</v>
      </c>
      <c r="H146" t="s">
        <v>204</v>
      </c>
      <c r="I146" t="s">
        <v>32</v>
      </c>
      <c r="J146" t="s">
        <v>78</v>
      </c>
      <c r="K146" t="s">
        <v>40</v>
      </c>
      <c r="L146">
        <v>1</v>
      </c>
      <c r="M146" s="2">
        <v>66.959999999999994</v>
      </c>
      <c r="N146" t="s">
        <v>26</v>
      </c>
      <c r="O146" s="3">
        <v>0</v>
      </c>
      <c r="P146" s="3">
        <v>3.35</v>
      </c>
      <c r="Q146" s="2">
        <v>63.61</v>
      </c>
      <c r="R146" t="s">
        <v>42</v>
      </c>
      <c r="S146" t="s">
        <v>46</v>
      </c>
      <c r="T146" t="s">
        <v>90</v>
      </c>
      <c r="U146" t="s">
        <v>58</v>
      </c>
    </row>
    <row r="147" spans="1:21" x14ac:dyDescent="0.35">
      <c r="A147" t="s">
        <v>224</v>
      </c>
      <c r="B147" s="1">
        <v>46088</v>
      </c>
      <c r="C147" t="str">
        <f>TEXT(tblData[[#This Row],[Rental Date]],"mmm")</f>
        <v>Mar</v>
      </c>
      <c r="D147" t="str">
        <f>TEXT(tblData[[#This Row],[Rental Date]],"mmmm")</f>
        <v>March</v>
      </c>
      <c r="E147" t="s">
        <v>56</v>
      </c>
      <c r="F147" t="str">
        <f>TEXT(WEEKNUM(tblData[[#This Row],[Rental Date]]),"00")</f>
        <v>10</v>
      </c>
      <c r="G147" s="1">
        <f>EOMONTH(tblData[[#This Row],[Rental Date]],0)</f>
        <v>46112</v>
      </c>
      <c r="H147" t="s">
        <v>204</v>
      </c>
      <c r="I147" t="s">
        <v>39</v>
      </c>
      <c r="J147" t="s">
        <v>24</v>
      </c>
      <c r="K147" t="s">
        <v>25</v>
      </c>
      <c r="L147">
        <v>1</v>
      </c>
      <c r="M147" s="2">
        <v>54</v>
      </c>
      <c r="N147" t="s">
        <v>26</v>
      </c>
      <c r="O147" s="3">
        <v>0</v>
      </c>
      <c r="P147" s="3">
        <v>0</v>
      </c>
      <c r="Q147" s="2">
        <v>54</v>
      </c>
      <c r="R147" t="s">
        <v>62</v>
      </c>
      <c r="S147" t="s">
        <v>28</v>
      </c>
      <c r="T147" t="s">
        <v>29</v>
      </c>
      <c r="U147" t="s">
        <v>30</v>
      </c>
    </row>
    <row r="148" spans="1:21" x14ac:dyDescent="0.35">
      <c r="A148" t="s">
        <v>225</v>
      </c>
      <c r="B148" s="1">
        <v>46088</v>
      </c>
      <c r="C148" t="str">
        <f>TEXT(tblData[[#This Row],[Rental Date]],"mmm")</f>
        <v>Mar</v>
      </c>
      <c r="D148" t="str">
        <f>TEXT(tblData[[#This Row],[Rental Date]],"mmmm")</f>
        <v>March</v>
      </c>
      <c r="E148" t="s">
        <v>56</v>
      </c>
      <c r="F148" t="str">
        <f>TEXT(WEEKNUM(tblData[[#This Row],[Rental Date]]),"00")</f>
        <v>10</v>
      </c>
      <c r="G148" s="1">
        <f>EOMONTH(tblData[[#This Row],[Rental Date]],0)</f>
        <v>46112</v>
      </c>
      <c r="H148" t="s">
        <v>204</v>
      </c>
      <c r="I148" t="s">
        <v>23</v>
      </c>
      <c r="J148" t="s">
        <v>44</v>
      </c>
      <c r="K148" t="s">
        <v>60</v>
      </c>
      <c r="L148">
        <v>1</v>
      </c>
      <c r="M148" s="2">
        <v>36.72</v>
      </c>
      <c r="N148" t="s">
        <v>26</v>
      </c>
      <c r="O148" s="3">
        <v>0</v>
      </c>
      <c r="P148" s="3">
        <v>0</v>
      </c>
      <c r="Q148" s="2">
        <v>36.72</v>
      </c>
      <c r="R148" t="s">
        <v>27</v>
      </c>
      <c r="S148" t="s">
        <v>28</v>
      </c>
      <c r="T148" t="s">
        <v>63</v>
      </c>
      <c r="U148" t="s">
        <v>30</v>
      </c>
    </row>
    <row r="149" spans="1:21" x14ac:dyDescent="0.35">
      <c r="A149" t="s">
        <v>226</v>
      </c>
      <c r="B149" s="1">
        <v>46089</v>
      </c>
      <c r="C149" t="str">
        <f>TEXT(tblData[[#This Row],[Rental Date]],"mmm")</f>
        <v>Mar</v>
      </c>
      <c r="D149" t="str">
        <f>TEXT(tblData[[#This Row],[Rental Date]],"mmmm")</f>
        <v>March</v>
      </c>
      <c r="E149" t="s">
        <v>68</v>
      </c>
      <c r="F149" t="str">
        <f>TEXT(WEEKNUM(tblData[[#This Row],[Rental Date]]),"00")</f>
        <v>11</v>
      </c>
      <c r="G149" s="1">
        <f>EOMONTH(tblData[[#This Row],[Rental Date]],0)</f>
        <v>46112</v>
      </c>
      <c r="H149" t="s">
        <v>204</v>
      </c>
      <c r="I149" t="s">
        <v>32</v>
      </c>
      <c r="J149" t="s">
        <v>78</v>
      </c>
      <c r="K149" t="s">
        <v>60</v>
      </c>
      <c r="L149">
        <v>1</v>
      </c>
      <c r="M149" s="2">
        <v>28.08</v>
      </c>
      <c r="N149" t="s">
        <v>26</v>
      </c>
      <c r="O149" s="3">
        <v>0</v>
      </c>
      <c r="P149" s="3">
        <v>0</v>
      </c>
      <c r="Q149" s="2">
        <v>28.08</v>
      </c>
      <c r="R149" t="s">
        <v>76</v>
      </c>
      <c r="S149" t="s">
        <v>35</v>
      </c>
      <c r="T149" t="s">
        <v>29</v>
      </c>
      <c r="U149" t="s">
        <v>30</v>
      </c>
    </row>
    <row r="150" spans="1:21" x14ac:dyDescent="0.35">
      <c r="A150" t="s">
        <v>227</v>
      </c>
      <c r="B150" s="1">
        <v>46089</v>
      </c>
      <c r="C150" t="str">
        <f>TEXT(tblData[[#This Row],[Rental Date]],"mmm")</f>
        <v>Mar</v>
      </c>
      <c r="D150" t="str">
        <f>TEXT(tblData[[#This Row],[Rental Date]],"mmmm")</f>
        <v>March</v>
      </c>
      <c r="E150" t="s">
        <v>68</v>
      </c>
      <c r="F150" t="str">
        <f>TEXT(WEEKNUM(tblData[[#This Row],[Rental Date]]),"00")</f>
        <v>11</v>
      </c>
      <c r="G150" s="1">
        <f>EOMONTH(tblData[[#This Row],[Rental Date]],0)</f>
        <v>46112</v>
      </c>
      <c r="H150" t="s">
        <v>204</v>
      </c>
      <c r="I150" t="s">
        <v>39</v>
      </c>
      <c r="J150" t="s">
        <v>33</v>
      </c>
      <c r="K150" t="s">
        <v>92</v>
      </c>
      <c r="L150">
        <v>1</v>
      </c>
      <c r="M150" s="2">
        <v>90.72</v>
      </c>
      <c r="N150" t="s">
        <v>26</v>
      </c>
      <c r="O150" s="3">
        <v>0</v>
      </c>
      <c r="P150" s="3">
        <v>0</v>
      </c>
      <c r="Q150" s="2">
        <v>90.72</v>
      </c>
      <c r="R150" t="s">
        <v>42</v>
      </c>
      <c r="S150" t="s">
        <v>35</v>
      </c>
      <c r="T150" t="s">
        <v>29</v>
      </c>
      <c r="U150" t="s">
        <v>58</v>
      </c>
    </row>
    <row r="151" spans="1:21" x14ac:dyDescent="0.35">
      <c r="A151" t="s">
        <v>228</v>
      </c>
      <c r="B151" s="1">
        <v>46089</v>
      </c>
      <c r="C151" t="str">
        <f>TEXT(tblData[[#This Row],[Rental Date]],"mmm")</f>
        <v>Mar</v>
      </c>
      <c r="D151" t="str">
        <f>TEXT(tblData[[#This Row],[Rental Date]],"mmmm")</f>
        <v>March</v>
      </c>
      <c r="E151" t="s">
        <v>68</v>
      </c>
      <c r="F151" t="str">
        <f>TEXT(WEEKNUM(tblData[[#This Row],[Rental Date]]),"00")</f>
        <v>11</v>
      </c>
      <c r="G151" s="1">
        <f>EOMONTH(tblData[[#This Row],[Rental Date]],0)</f>
        <v>46112</v>
      </c>
      <c r="H151" t="s">
        <v>204</v>
      </c>
      <c r="I151" t="s">
        <v>39</v>
      </c>
      <c r="J151" t="s">
        <v>33</v>
      </c>
      <c r="K151" t="s">
        <v>92</v>
      </c>
      <c r="L151">
        <v>1</v>
      </c>
      <c r="M151" s="2">
        <v>90.72</v>
      </c>
      <c r="N151" t="s">
        <v>26</v>
      </c>
      <c r="O151" s="3">
        <v>0</v>
      </c>
      <c r="P151" s="3">
        <v>0</v>
      </c>
      <c r="Q151" s="2">
        <v>90.72</v>
      </c>
      <c r="R151" t="s">
        <v>42</v>
      </c>
      <c r="S151" t="s">
        <v>46</v>
      </c>
      <c r="T151" t="s">
        <v>29</v>
      </c>
      <c r="U151" t="s">
        <v>79</v>
      </c>
    </row>
    <row r="152" spans="1:21" x14ac:dyDescent="0.35">
      <c r="A152" t="s">
        <v>229</v>
      </c>
      <c r="B152" s="1">
        <v>46089</v>
      </c>
      <c r="C152" t="str">
        <f>TEXT(tblData[[#This Row],[Rental Date]],"mmm")</f>
        <v>Mar</v>
      </c>
      <c r="D152" t="str">
        <f>TEXT(tblData[[#This Row],[Rental Date]],"mmmm")</f>
        <v>March</v>
      </c>
      <c r="E152" t="s">
        <v>68</v>
      </c>
      <c r="F152" t="str">
        <f>TEXT(WEEKNUM(tblData[[#This Row],[Rental Date]]),"00")</f>
        <v>11</v>
      </c>
      <c r="G152" s="1">
        <f>EOMONTH(tblData[[#This Row],[Rental Date]],0)</f>
        <v>46112</v>
      </c>
      <c r="H152" t="s">
        <v>204</v>
      </c>
      <c r="I152" t="s">
        <v>32</v>
      </c>
      <c r="J152" t="s">
        <v>33</v>
      </c>
      <c r="K152" t="s">
        <v>25</v>
      </c>
      <c r="L152">
        <v>1</v>
      </c>
      <c r="M152" s="2">
        <v>41.04</v>
      </c>
      <c r="N152" t="s">
        <v>26</v>
      </c>
      <c r="O152" s="3">
        <v>0</v>
      </c>
      <c r="P152" s="3">
        <v>2.0499999999999998</v>
      </c>
      <c r="Q152" s="2">
        <v>38.99</v>
      </c>
      <c r="R152" t="s">
        <v>42</v>
      </c>
      <c r="S152" t="s">
        <v>50</v>
      </c>
      <c r="T152" t="s">
        <v>90</v>
      </c>
      <c r="U152" t="s">
        <v>30</v>
      </c>
    </row>
    <row r="153" spans="1:21" x14ac:dyDescent="0.35">
      <c r="A153" t="s">
        <v>230</v>
      </c>
      <c r="B153" s="1">
        <v>46089</v>
      </c>
      <c r="C153" t="str">
        <f>TEXT(tblData[[#This Row],[Rental Date]],"mmm")</f>
        <v>Mar</v>
      </c>
      <c r="D153" t="str">
        <f>TEXT(tblData[[#This Row],[Rental Date]],"mmmm")</f>
        <v>March</v>
      </c>
      <c r="E153" t="s">
        <v>68</v>
      </c>
      <c r="F153" t="str">
        <f>TEXT(WEEKNUM(tblData[[#This Row],[Rental Date]]),"00")</f>
        <v>11</v>
      </c>
      <c r="G153" s="1">
        <f>EOMONTH(tblData[[#This Row],[Rental Date]],0)</f>
        <v>46112</v>
      </c>
      <c r="H153" t="s">
        <v>204</v>
      </c>
      <c r="I153" t="s">
        <v>39</v>
      </c>
      <c r="J153" t="s">
        <v>33</v>
      </c>
      <c r="K153" t="s">
        <v>92</v>
      </c>
      <c r="L153">
        <v>1</v>
      </c>
      <c r="M153" s="2">
        <v>90.72</v>
      </c>
      <c r="N153" t="s">
        <v>89</v>
      </c>
      <c r="O153" s="3">
        <v>6</v>
      </c>
      <c r="P153" s="3">
        <v>0</v>
      </c>
      <c r="Q153" s="2">
        <v>96.72</v>
      </c>
      <c r="R153" t="s">
        <v>71</v>
      </c>
      <c r="S153" t="s">
        <v>50</v>
      </c>
      <c r="T153" t="s">
        <v>29</v>
      </c>
      <c r="U153" t="s">
        <v>58</v>
      </c>
    </row>
    <row r="154" spans="1:21" x14ac:dyDescent="0.35">
      <c r="A154" t="s">
        <v>231</v>
      </c>
      <c r="B154" s="1">
        <v>46089</v>
      </c>
      <c r="C154" t="str">
        <f>TEXT(tblData[[#This Row],[Rental Date]],"mmm")</f>
        <v>Mar</v>
      </c>
      <c r="D154" t="str">
        <f>TEXT(tblData[[#This Row],[Rental Date]],"mmmm")</f>
        <v>March</v>
      </c>
      <c r="E154" t="s">
        <v>68</v>
      </c>
      <c r="F154" t="str">
        <f>TEXT(WEEKNUM(tblData[[#This Row],[Rental Date]]),"00")</f>
        <v>11</v>
      </c>
      <c r="G154" s="1">
        <f>EOMONTH(tblData[[#This Row],[Rental Date]],0)</f>
        <v>46112</v>
      </c>
      <c r="H154" t="s">
        <v>204</v>
      </c>
      <c r="I154" t="s">
        <v>39</v>
      </c>
      <c r="J154" t="s">
        <v>49</v>
      </c>
      <c r="K154" t="s">
        <v>92</v>
      </c>
      <c r="L154">
        <v>1</v>
      </c>
      <c r="M154" s="2">
        <v>82.08</v>
      </c>
      <c r="N154" t="s">
        <v>26</v>
      </c>
      <c r="O154" s="3">
        <v>0</v>
      </c>
      <c r="P154" s="3">
        <v>0</v>
      </c>
      <c r="Q154" s="2">
        <v>82.08</v>
      </c>
      <c r="R154" t="s">
        <v>45</v>
      </c>
      <c r="S154" t="s">
        <v>54</v>
      </c>
      <c r="T154" t="s">
        <v>29</v>
      </c>
      <c r="U154" t="s">
        <v>30</v>
      </c>
    </row>
    <row r="155" spans="1:21" x14ac:dyDescent="0.35">
      <c r="A155" t="s">
        <v>232</v>
      </c>
      <c r="B155" s="1">
        <v>46090</v>
      </c>
      <c r="C155" t="str">
        <f>TEXT(tblData[[#This Row],[Rental Date]],"mmm")</f>
        <v>Mar</v>
      </c>
      <c r="D155" t="str">
        <f>TEXT(tblData[[#This Row],[Rental Date]],"mmmm")</f>
        <v>March</v>
      </c>
      <c r="E155" t="s">
        <v>74</v>
      </c>
      <c r="F155" t="str">
        <f>TEXT(WEEKNUM(tblData[[#This Row],[Rental Date]]),"00")</f>
        <v>11</v>
      </c>
      <c r="G155" s="1">
        <f>EOMONTH(tblData[[#This Row],[Rental Date]],0)</f>
        <v>46112</v>
      </c>
      <c r="H155" t="s">
        <v>204</v>
      </c>
      <c r="I155" t="s">
        <v>32</v>
      </c>
      <c r="J155" t="s">
        <v>33</v>
      </c>
      <c r="K155" t="s">
        <v>40</v>
      </c>
      <c r="L155">
        <v>1</v>
      </c>
      <c r="M155" s="2">
        <v>58</v>
      </c>
      <c r="N155" t="s">
        <v>26</v>
      </c>
      <c r="O155" s="3">
        <v>0</v>
      </c>
      <c r="P155" s="3">
        <v>2.9</v>
      </c>
      <c r="Q155" s="2">
        <v>55.1</v>
      </c>
      <c r="R155" t="s">
        <v>42</v>
      </c>
      <c r="S155" t="s">
        <v>54</v>
      </c>
      <c r="T155" t="s">
        <v>90</v>
      </c>
      <c r="U155" t="s">
        <v>30</v>
      </c>
    </row>
    <row r="156" spans="1:21" x14ac:dyDescent="0.35">
      <c r="A156" t="s">
        <v>233</v>
      </c>
      <c r="B156" s="1">
        <v>46090</v>
      </c>
      <c r="C156" t="str">
        <f>TEXT(tblData[[#This Row],[Rental Date]],"mmm")</f>
        <v>Mar</v>
      </c>
      <c r="D156" t="str">
        <f>TEXT(tblData[[#This Row],[Rental Date]],"mmmm")</f>
        <v>March</v>
      </c>
      <c r="E156" t="s">
        <v>74</v>
      </c>
      <c r="F156" t="str">
        <f>TEXT(WEEKNUM(tblData[[#This Row],[Rental Date]]),"00")</f>
        <v>11</v>
      </c>
      <c r="G156" s="1">
        <f>EOMONTH(tblData[[#This Row],[Rental Date]],0)</f>
        <v>46112</v>
      </c>
      <c r="H156" t="s">
        <v>204</v>
      </c>
      <c r="I156" t="s">
        <v>48</v>
      </c>
      <c r="J156" t="s">
        <v>33</v>
      </c>
      <c r="K156" t="s">
        <v>25</v>
      </c>
      <c r="L156">
        <v>1</v>
      </c>
      <c r="M156" s="2">
        <v>38</v>
      </c>
      <c r="N156" t="s">
        <v>26</v>
      </c>
      <c r="O156" s="3">
        <v>0</v>
      </c>
      <c r="P156" s="3">
        <v>1.9</v>
      </c>
      <c r="Q156" s="2">
        <v>36.1</v>
      </c>
      <c r="R156" t="s">
        <v>94</v>
      </c>
      <c r="S156" t="s">
        <v>54</v>
      </c>
      <c r="T156" t="s">
        <v>90</v>
      </c>
      <c r="U156" t="s">
        <v>30</v>
      </c>
    </row>
    <row r="157" spans="1:21" x14ac:dyDescent="0.35">
      <c r="A157" t="s">
        <v>234</v>
      </c>
      <c r="B157" s="1">
        <v>46090</v>
      </c>
      <c r="C157" t="str">
        <f>TEXT(tblData[[#This Row],[Rental Date]],"mmm")</f>
        <v>Mar</v>
      </c>
      <c r="D157" t="str">
        <f>TEXT(tblData[[#This Row],[Rental Date]],"mmmm")</f>
        <v>March</v>
      </c>
      <c r="E157" t="s">
        <v>74</v>
      </c>
      <c r="F157" t="str">
        <f>TEXT(WEEKNUM(tblData[[#This Row],[Rental Date]]),"00")</f>
        <v>11</v>
      </c>
      <c r="G157" s="1">
        <f>EOMONTH(tblData[[#This Row],[Rental Date]],0)</f>
        <v>46112</v>
      </c>
      <c r="H157" t="s">
        <v>204</v>
      </c>
      <c r="I157" t="s">
        <v>39</v>
      </c>
      <c r="J157" t="s">
        <v>44</v>
      </c>
      <c r="K157" t="s">
        <v>40</v>
      </c>
      <c r="L157">
        <v>1</v>
      </c>
      <c r="M157" s="2">
        <v>78</v>
      </c>
      <c r="N157" t="s">
        <v>87</v>
      </c>
      <c r="O157" s="3">
        <v>10</v>
      </c>
      <c r="P157" s="3">
        <v>0</v>
      </c>
      <c r="Q157" s="2">
        <v>88</v>
      </c>
      <c r="R157" t="s">
        <v>62</v>
      </c>
      <c r="S157" t="s">
        <v>46</v>
      </c>
      <c r="T157" t="s">
        <v>51</v>
      </c>
      <c r="U157" t="s">
        <v>58</v>
      </c>
    </row>
    <row r="158" spans="1:21" x14ac:dyDescent="0.35">
      <c r="A158" t="s">
        <v>235</v>
      </c>
      <c r="B158" s="1">
        <v>46091</v>
      </c>
      <c r="C158" t="str">
        <f>TEXT(tblData[[#This Row],[Rental Date]],"mmm")</f>
        <v>Mar</v>
      </c>
      <c r="D158" t="str">
        <f>TEXT(tblData[[#This Row],[Rental Date]],"mmmm")</f>
        <v>March</v>
      </c>
      <c r="E158" t="s">
        <v>102</v>
      </c>
      <c r="F158" t="str">
        <f>TEXT(WEEKNUM(tblData[[#This Row],[Rental Date]]),"00")</f>
        <v>11</v>
      </c>
      <c r="G158" s="1">
        <f>EOMONTH(tblData[[#This Row],[Rental Date]],0)</f>
        <v>46112</v>
      </c>
      <c r="H158" t="s">
        <v>204</v>
      </c>
      <c r="I158" t="s">
        <v>48</v>
      </c>
      <c r="J158" t="s">
        <v>111</v>
      </c>
      <c r="K158" t="s">
        <v>40</v>
      </c>
      <c r="L158">
        <v>1</v>
      </c>
      <c r="M158" s="2">
        <v>34</v>
      </c>
      <c r="N158" t="s">
        <v>41</v>
      </c>
      <c r="O158" s="3">
        <v>5</v>
      </c>
      <c r="P158" s="3">
        <v>0</v>
      </c>
      <c r="Q158" s="2">
        <v>39</v>
      </c>
      <c r="R158" t="s">
        <v>45</v>
      </c>
      <c r="S158" t="s">
        <v>46</v>
      </c>
      <c r="T158" t="s">
        <v>90</v>
      </c>
      <c r="U158" t="s">
        <v>30</v>
      </c>
    </row>
    <row r="159" spans="1:21" x14ac:dyDescent="0.35">
      <c r="A159" t="s">
        <v>236</v>
      </c>
      <c r="B159" s="1">
        <v>46091</v>
      </c>
      <c r="C159" t="str">
        <f>TEXT(tblData[[#This Row],[Rental Date]],"mmm")</f>
        <v>Mar</v>
      </c>
      <c r="D159" t="str">
        <f>TEXT(tblData[[#This Row],[Rental Date]],"mmmm")</f>
        <v>March</v>
      </c>
      <c r="E159" t="s">
        <v>102</v>
      </c>
      <c r="F159" t="str">
        <f>TEXT(WEEKNUM(tblData[[#This Row],[Rental Date]]),"00")</f>
        <v>11</v>
      </c>
      <c r="G159" s="1">
        <f>EOMONTH(tblData[[#This Row],[Rental Date]],0)</f>
        <v>46112</v>
      </c>
      <c r="H159" t="s">
        <v>204</v>
      </c>
      <c r="I159" t="s">
        <v>39</v>
      </c>
      <c r="J159" t="s">
        <v>44</v>
      </c>
      <c r="K159" t="s">
        <v>25</v>
      </c>
      <c r="L159">
        <v>1</v>
      </c>
      <c r="M159" s="2">
        <v>52</v>
      </c>
      <c r="N159" t="s">
        <v>26</v>
      </c>
      <c r="O159" s="3">
        <v>0</v>
      </c>
      <c r="P159" s="3">
        <v>0</v>
      </c>
      <c r="Q159" s="2">
        <v>52</v>
      </c>
      <c r="R159" t="s">
        <v>57</v>
      </c>
      <c r="S159" t="s">
        <v>35</v>
      </c>
      <c r="T159" t="s">
        <v>29</v>
      </c>
      <c r="U159" t="s">
        <v>36</v>
      </c>
    </row>
    <row r="160" spans="1:21" x14ac:dyDescent="0.35">
      <c r="A160" t="s">
        <v>237</v>
      </c>
      <c r="B160" s="1">
        <v>46091</v>
      </c>
      <c r="C160" t="str">
        <f>TEXT(tblData[[#This Row],[Rental Date]],"mmm")</f>
        <v>Mar</v>
      </c>
      <c r="D160" t="str">
        <f>TEXT(tblData[[#This Row],[Rental Date]],"mmmm")</f>
        <v>March</v>
      </c>
      <c r="E160" t="s">
        <v>102</v>
      </c>
      <c r="F160" t="str">
        <f>TEXT(WEEKNUM(tblData[[#This Row],[Rental Date]]),"00")</f>
        <v>11</v>
      </c>
      <c r="G160" s="1">
        <f>EOMONTH(tblData[[#This Row],[Rental Date]],0)</f>
        <v>46112</v>
      </c>
      <c r="H160" t="s">
        <v>204</v>
      </c>
      <c r="I160" t="s">
        <v>48</v>
      </c>
      <c r="J160" t="s">
        <v>33</v>
      </c>
      <c r="K160" t="s">
        <v>92</v>
      </c>
      <c r="L160">
        <v>1</v>
      </c>
      <c r="M160" s="2">
        <v>84</v>
      </c>
      <c r="N160" t="s">
        <v>26</v>
      </c>
      <c r="O160" s="3">
        <v>0</v>
      </c>
      <c r="P160" s="3">
        <v>0</v>
      </c>
      <c r="Q160" s="2">
        <v>84</v>
      </c>
      <c r="R160" t="s">
        <v>62</v>
      </c>
      <c r="S160" t="s">
        <v>35</v>
      </c>
      <c r="T160" t="s">
        <v>29</v>
      </c>
      <c r="U160" t="s">
        <v>30</v>
      </c>
    </row>
    <row r="161" spans="1:21" x14ac:dyDescent="0.35">
      <c r="A161" t="s">
        <v>238</v>
      </c>
      <c r="B161" s="1">
        <v>46092</v>
      </c>
      <c r="C161" t="str">
        <f>TEXT(tblData[[#This Row],[Rental Date]],"mmm")</f>
        <v>Mar</v>
      </c>
      <c r="D161" t="str">
        <f>TEXT(tblData[[#This Row],[Rental Date]],"mmmm")</f>
        <v>March</v>
      </c>
      <c r="E161" t="s">
        <v>109</v>
      </c>
      <c r="F161" t="str">
        <f>TEXT(WEEKNUM(tblData[[#This Row],[Rental Date]]),"00")</f>
        <v>11</v>
      </c>
      <c r="G161" s="1">
        <f>EOMONTH(tblData[[#This Row],[Rental Date]],0)</f>
        <v>46112</v>
      </c>
      <c r="H161" t="s">
        <v>204</v>
      </c>
      <c r="I161" t="s">
        <v>23</v>
      </c>
      <c r="J161" t="s">
        <v>78</v>
      </c>
      <c r="K161" t="s">
        <v>60</v>
      </c>
      <c r="L161">
        <v>1</v>
      </c>
      <c r="M161" s="2">
        <v>26</v>
      </c>
      <c r="N161" t="s">
        <v>70</v>
      </c>
      <c r="O161" s="3">
        <v>7</v>
      </c>
      <c r="P161" s="3">
        <v>0</v>
      </c>
      <c r="Q161" s="2">
        <v>33</v>
      </c>
      <c r="R161" t="s">
        <v>71</v>
      </c>
      <c r="S161" t="s">
        <v>28</v>
      </c>
      <c r="T161" t="s">
        <v>29</v>
      </c>
      <c r="U161" t="s">
        <v>58</v>
      </c>
    </row>
    <row r="162" spans="1:21" x14ac:dyDescent="0.35">
      <c r="A162" t="s">
        <v>239</v>
      </c>
      <c r="B162" s="1">
        <v>46092</v>
      </c>
      <c r="C162" t="str">
        <f>TEXT(tblData[[#This Row],[Rental Date]],"mmm")</f>
        <v>Mar</v>
      </c>
      <c r="D162" t="str">
        <f>TEXT(tblData[[#This Row],[Rental Date]],"mmmm")</f>
        <v>March</v>
      </c>
      <c r="E162" t="s">
        <v>109</v>
      </c>
      <c r="F162" t="str">
        <f>TEXT(WEEKNUM(tblData[[#This Row],[Rental Date]]),"00")</f>
        <v>11</v>
      </c>
      <c r="G162" s="1">
        <f>EOMONTH(tblData[[#This Row],[Rental Date]],0)</f>
        <v>46112</v>
      </c>
      <c r="H162" t="s">
        <v>204</v>
      </c>
      <c r="I162" t="s">
        <v>39</v>
      </c>
      <c r="J162" t="s">
        <v>33</v>
      </c>
      <c r="K162" t="s">
        <v>60</v>
      </c>
      <c r="L162">
        <v>1</v>
      </c>
      <c r="M162" s="2">
        <v>24</v>
      </c>
      <c r="N162" t="s">
        <v>89</v>
      </c>
      <c r="O162" s="3">
        <v>6</v>
      </c>
      <c r="P162" s="3">
        <v>0</v>
      </c>
      <c r="Q162" s="2">
        <v>30</v>
      </c>
      <c r="R162" t="s">
        <v>66</v>
      </c>
      <c r="S162" t="s">
        <v>28</v>
      </c>
      <c r="T162" t="s">
        <v>63</v>
      </c>
      <c r="U162" t="s">
        <v>79</v>
      </c>
    </row>
    <row r="163" spans="1:21" x14ac:dyDescent="0.35">
      <c r="A163" t="s">
        <v>240</v>
      </c>
      <c r="B163" s="1">
        <v>46092</v>
      </c>
      <c r="C163" t="str">
        <f>TEXT(tblData[[#This Row],[Rental Date]],"mmm")</f>
        <v>Mar</v>
      </c>
      <c r="D163" t="str">
        <f>TEXT(tblData[[#This Row],[Rental Date]],"mmmm")</f>
        <v>March</v>
      </c>
      <c r="E163" t="s">
        <v>109</v>
      </c>
      <c r="F163" t="str">
        <f>TEXT(WEEKNUM(tblData[[#This Row],[Rental Date]]),"00")</f>
        <v>11</v>
      </c>
      <c r="G163" s="1">
        <f>EOMONTH(tblData[[#This Row],[Rental Date]],0)</f>
        <v>46112</v>
      </c>
      <c r="H163" t="s">
        <v>204</v>
      </c>
      <c r="I163" t="s">
        <v>48</v>
      </c>
      <c r="J163" t="s">
        <v>33</v>
      </c>
      <c r="K163" t="s">
        <v>40</v>
      </c>
      <c r="L163">
        <v>1</v>
      </c>
      <c r="M163" s="2">
        <v>58</v>
      </c>
      <c r="N163" t="s">
        <v>61</v>
      </c>
      <c r="O163" s="3">
        <v>8</v>
      </c>
      <c r="P163" s="3">
        <v>0</v>
      </c>
      <c r="Q163" s="2">
        <v>66</v>
      </c>
      <c r="R163" t="s">
        <v>71</v>
      </c>
      <c r="S163" t="s">
        <v>35</v>
      </c>
      <c r="T163" t="s">
        <v>29</v>
      </c>
      <c r="U163" t="s">
        <v>58</v>
      </c>
    </row>
    <row r="164" spans="1:21" x14ac:dyDescent="0.35">
      <c r="A164" t="s">
        <v>241</v>
      </c>
      <c r="B164" s="1">
        <v>46092</v>
      </c>
      <c r="C164" t="str">
        <f>TEXT(tblData[[#This Row],[Rental Date]],"mmm")</f>
        <v>Mar</v>
      </c>
      <c r="D164" t="str">
        <f>TEXT(tblData[[#This Row],[Rental Date]],"mmmm")</f>
        <v>March</v>
      </c>
      <c r="E164" t="s">
        <v>109</v>
      </c>
      <c r="F164" t="str">
        <f>TEXT(WEEKNUM(tblData[[#This Row],[Rental Date]]),"00")</f>
        <v>11</v>
      </c>
      <c r="G164" s="1">
        <f>EOMONTH(tblData[[#This Row],[Rental Date]],0)</f>
        <v>46112</v>
      </c>
      <c r="H164" t="s">
        <v>204</v>
      </c>
      <c r="I164" t="s">
        <v>48</v>
      </c>
      <c r="J164" t="s">
        <v>33</v>
      </c>
      <c r="K164" t="s">
        <v>25</v>
      </c>
      <c r="L164">
        <v>1</v>
      </c>
      <c r="M164" s="2">
        <v>38</v>
      </c>
      <c r="N164" t="s">
        <v>26</v>
      </c>
      <c r="O164" s="3">
        <v>0</v>
      </c>
      <c r="P164" s="3">
        <v>0</v>
      </c>
      <c r="Q164" s="2">
        <v>38</v>
      </c>
      <c r="R164" t="s">
        <v>66</v>
      </c>
      <c r="S164" t="s">
        <v>46</v>
      </c>
      <c r="T164" t="s">
        <v>51</v>
      </c>
      <c r="U164" t="s">
        <v>30</v>
      </c>
    </row>
    <row r="165" spans="1:21" x14ac:dyDescent="0.35">
      <c r="A165" t="s">
        <v>242</v>
      </c>
      <c r="B165" s="1">
        <v>46093</v>
      </c>
      <c r="C165" t="str">
        <f>TEXT(tblData[[#This Row],[Rental Date]],"mmm")</f>
        <v>Mar</v>
      </c>
      <c r="D165" t="str">
        <f>TEXT(tblData[[#This Row],[Rental Date]],"mmmm")</f>
        <v>March</v>
      </c>
      <c r="E165" t="s">
        <v>21</v>
      </c>
      <c r="F165" t="str">
        <f>TEXT(WEEKNUM(tblData[[#This Row],[Rental Date]]),"00")</f>
        <v>11</v>
      </c>
      <c r="G165" s="1">
        <f>EOMONTH(tblData[[#This Row],[Rental Date]],0)</f>
        <v>46112</v>
      </c>
      <c r="H165" t="s">
        <v>204</v>
      </c>
      <c r="I165" t="s">
        <v>48</v>
      </c>
      <c r="J165" t="s">
        <v>127</v>
      </c>
      <c r="K165" t="s">
        <v>25</v>
      </c>
      <c r="L165">
        <v>1</v>
      </c>
      <c r="M165" s="2">
        <v>16</v>
      </c>
      <c r="N165" t="s">
        <v>41</v>
      </c>
      <c r="O165" s="3">
        <v>5</v>
      </c>
      <c r="P165" s="3">
        <v>0</v>
      </c>
      <c r="Q165" s="2">
        <v>21</v>
      </c>
      <c r="R165" t="s">
        <v>27</v>
      </c>
      <c r="S165" t="s">
        <v>46</v>
      </c>
      <c r="T165" t="s">
        <v>83</v>
      </c>
      <c r="U165" t="s">
        <v>30</v>
      </c>
    </row>
    <row r="166" spans="1:21" x14ac:dyDescent="0.35">
      <c r="A166" t="s">
        <v>243</v>
      </c>
      <c r="B166" s="1">
        <v>46093</v>
      </c>
      <c r="C166" t="str">
        <f>TEXT(tblData[[#This Row],[Rental Date]],"mmm")</f>
        <v>Mar</v>
      </c>
      <c r="D166" t="str">
        <f>TEXT(tblData[[#This Row],[Rental Date]],"mmmm")</f>
        <v>March</v>
      </c>
      <c r="E166" t="s">
        <v>21</v>
      </c>
      <c r="F166" t="str">
        <f>TEXT(WEEKNUM(tblData[[#This Row],[Rental Date]]),"00")</f>
        <v>11</v>
      </c>
      <c r="G166" s="1">
        <f>EOMONTH(tblData[[#This Row],[Rental Date]],0)</f>
        <v>46112</v>
      </c>
      <c r="H166" t="s">
        <v>204</v>
      </c>
      <c r="I166" t="s">
        <v>23</v>
      </c>
      <c r="J166" t="s">
        <v>78</v>
      </c>
      <c r="K166" t="s">
        <v>60</v>
      </c>
      <c r="L166">
        <v>1</v>
      </c>
      <c r="M166" s="2">
        <v>26</v>
      </c>
      <c r="N166" t="s">
        <v>89</v>
      </c>
      <c r="O166" s="3">
        <v>6</v>
      </c>
      <c r="P166" s="3">
        <v>0</v>
      </c>
      <c r="Q166" s="2">
        <v>32</v>
      </c>
      <c r="R166" t="s">
        <v>45</v>
      </c>
      <c r="S166" t="s">
        <v>35</v>
      </c>
      <c r="T166" t="s">
        <v>51</v>
      </c>
      <c r="U166" t="s">
        <v>58</v>
      </c>
    </row>
    <row r="167" spans="1:21" x14ac:dyDescent="0.35">
      <c r="A167" t="s">
        <v>244</v>
      </c>
      <c r="B167" s="1">
        <v>46093</v>
      </c>
      <c r="C167" t="str">
        <f>TEXT(tblData[[#This Row],[Rental Date]],"mmm")</f>
        <v>Mar</v>
      </c>
      <c r="D167" t="str">
        <f>TEXT(tblData[[#This Row],[Rental Date]],"mmmm")</f>
        <v>March</v>
      </c>
      <c r="E167" t="s">
        <v>21</v>
      </c>
      <c r="F167" t="str">
        <f>TEXT(WEEKNUM(tblData[[#This Row],[Rental Date]]),"00")</f>
        <v>11</v>
      </c>
      <c r="G167" s="1">
        <f>EOMONTH(tblData[[#This Row],[Rental Date]],0)</f>
        <v>46112</v>
      </c>
      <c r="H167" t="s">
        <v>204</v>
      </c>
      <c r="I167" t="s">
        <v>23</v>
      </c>
      <c r="J167" t="s">
        <v>65</v>
      </c>
      <c r="K167" t="s">
        <v>60</v>
      </c>
      <c r="L167">
        <v>1</v>
      </c>
      <c r="M167" s="2">
        <v>12</v>
      </c>
      <c r="N167" t="s">
        <v>26</v>
      </c>
      <c r="O167" s="3">
        <v>0</v>
      </c>
      <c r="P167" s="3">
        <v>0</v>
      </c>
      <c r="Q167" s="2">
        <v>12</v>
      </c>
      <c r="R167" t="s">
        <v>76</v>
      </c>
      <c r="S167" t="s">
        <v>28</v>
      </c>
      <c r="T167" t="s">
        <v>90</v>
      </c>
      <c r="U167" t="s">
        <v>36</v>
      </c>
    </row>
    <row r="168" spans="1:21" x14ac:dyDescent="0.35">
      <c r="A168" t="s">
        <v>245</v>
      </c>
      <c r="B168" s="1">
        <v>46093</v>
      </c>
      <c r="C168" t="str">
        <f>TEXT(tblData[[#This Row],[Rental Date]],"mmm")</f>
        <v>Mar</v>
      </c>
      <c r="D168" t="str">
        <f>TEXT(tblData[[#This Row],[Rental Date]],"mmmm")</f>
        <v>March</v>
      </c>
      <c r="E168" t="s">
        <v>21</v>
      </c>
      <c r="F168" t="str">
        <f>TEXT(WEEKNUM(tblData[[#This Row],[Rental Date]]),"00")</f>
        <v>11</v>
      </c>
      <c r="G168" s="1">
        <f>EOMONTH(tblData[[#This Row],[Rental Date]],0)</f>
        <v>46112</v>
      </c>
      <c r="H168" t="s">
        <v>204</v>
      </c>
      <c r="I168" t="s">
        <v>39</v>
      </c>
      <c r="J168" t="s">
        <v>111</v>
      </c>
      <c r="K168" t="s">
        <v>60</v>
      </c>
      <c r="L168">
        <v>1</v>
      </c>
      <c r="M168" s="2">
        <v>14</v>
      </c>
      <c r="N168" t="s">
        <v>41</v>
      </c>
      <c r="O168" s="3">
        <v>5</v>
      </c>
      <c r="P168" s="3">
        <v>0</v>
      </c>
      <c r="Q168" s="2">
        <v>19</v>
      </c>
      <c r="R168" t="s">
        <v>57</v>
      </c>
      <c r="S168" t="s">
        <v>46</v>
      </c>
      <c r="T168" t="s">
        <v>29</v>
      </c>
      <c r="U168" t="s">
        <v>58</v>
      </c>
    </row>
    <row r="169" spans="1:21" x14ac:dyDescent="0.35">
      <c r="A169" t="s">
        <v>246</v>
      </c>
      <c r="B169" s="1">
        <v>46094</v>
      </c>
      <c r="C169" t="str">
        <f>TEXT(tblData[[#This Row],[Rental Date]],"mmm")</f>
        <v>Mar</v>
      </c>
      <c r="D169" t="str">
        <f>TEXT(tblData[[#This Row],[Rental Date]],"mmmm")</f>
        <v>March</v>
      </c>
      <c r="E169" t="s">
        <v>38</v>
      </c>
      <c r="F169" t="str">
        <f>TEXT(WEEKNUM(tblData[[#This Row],[Rental Date]]),"00")</f>
        <v>11</v>
      </c>
      <c r="G169" s="1">
        <f>EOMONTH(tblData[[#This Row],[Rental Date]],0)</f>
        <v>46112</v>
      </c>
      <c r="H169" t="s">
        <v>204</v>
      </c>
      <c r="I169" t="s">
        <v>32</v>
      </c>
      <c r="J169" t="s">
        <v>111</v>
      </c>
      <c r="K169" t="s">
        <v>25</v>
      </c>
      <c r="L169">
        <v>1</v>
      </c>
      <c r="M169" s="2">
        <v>22</v>
      </c>
      <c r="N169" t="s">
        <v>41</v>
      </c>
      <c r="O169" s="3">
        <v>5</v>
      </c>
      <c r="P169" s="3">
        <v>0</v>
      </c>
      <c r="Q169" s="2">
        <v>27</v>
      </c>
      <c r="R169" t="s">
        <v>76</v>
      </c>
      <c r="S169" t="s">
        <v>28</v>
      </c>
      <c r="T169" t="s">
        <v>63</v>
      </c>
      <c r="U169" t="s">
        <v>30</v>
      </c>
    </row>
    <row r="170" spans="1:21" x14ac:dyDescent="0.35">
      <c r="A170" t="s">
        <v>247</v>
      </c>
      <c r="B170" s="1">
        <v>46094</v>
      </c>
      <c r="C170" t="str">
        <f>TEXT(tblData[[#This Row],[Rental Date]],"mmm")</f>
        <v>Mar</v>
      </c>
      <c r="D170" t="str">
        <f>TEXT(tblData[[#This Row],[Rental Date]],"mmmm")</f>
        <v>March</v>
      </c>
      <c r="E170" t="s">
        <v>38</v>
      </c>
      <c r="F170" t="str">
        <f>TEXT(WEEKNUM(tblData[[#This Row],[Rental Date]]),"00")</f>
        <v>11</v>
      </c>
      <c r="G170" s="1">
        <f>EOMONTH(tblData[[#This Row],[Rental Date]],0)</f>
        <v>46112</v>
      </c>
      <c r="H170" t="s">
        <v>204</v>
      </c>
      <c r="I170" t="s">
        <v>39</v>
      </c>
      <c r="J170" t="s">
        <v>33</v>
      </c>
      <c r="K170" t="s">
        <v>40</v>
      </c>
      <c r="L170">
        <v>1</v>
      </c>
      <c r="M170" s="2">
        <v>58</v>
      </c>
      <c r="N170" t="s">
        <v>89</v>
      </c>
      <c r="O170" s="3">
        <v>6</v>
      </c>
      <c r="P170" s="3">
        <v>0</v>
      </c>
      <c r="Q170" s="2">
        <v>64</v>
      </c>
      <c r="R170" t="s">
        <v>34</v>
      </c>
      <c r="S170" t="s">
        <v>50</v>
      </c>
      <c r="T170" t="s">
        <v>29</v>
      </c>
      <c r="U170" t="s">
        <v>58</v>
      </c>
    </row>
    <row r="171" spans="1:21" x14ac:dyDescent="0.35">
      <c r="A171" t="s">
        <v>248</v>
      </c>
      <c r="B171" s="1">
        <v>46094</v>
      </c>
      <c r="C171" t="str">
        <f>TEXT(tblData[[#This Row],[Rental Date]],"mmm")</f>
        <v>Mar</v>
      </c>
      <c r="D171" t="str">
        <f>TEXT(tblData[[#This Row],[Rental Date]],"mmmm")</f>
        <v>March</v>
      </c>
      <c r="E171" t="s">
        <v>38</v>
      </c>
      <c r="F171" t="str">
        <f>TEXT(WEEKNUM(tblData[[#This Row],[Rental Date]]),"00")</f>
        <v>11</v>
      </c>
      <c r="G171" s="1">
        <f>EOMONTH(tblData[[#This Row],[Rental Date]],0)</f>
        <v>46112</v>
      </c>
      <c r="H171" t="s">
        <v>204</v>
      </c>
      <c r="I171" t="s">
        <v>32</v>
      </c>
      <c r="J171" t="s">
        <v>44</v>
      </c>
      <c r="K171" t="s">
        <v>40</v>
      </c>
      <c r="L171">
        <v>1</v>
      </c>
      <c r="M171" s="2">
        <v>78</v>
      </c>
      <c r="N171" t="s">
        <v>89</v>
      </c>
      <c r="O171" s="3">
        <v>6</v>
      </c>
      <c r="P171" s="3">
        <v>0</v>
      </c>
      <c r="Q171" s="2">
        <v>84</v>
      </c>
      <c r="R171" t="s">
        <v>42</v>
      </c>
      <c r="S171" t="s">
        <v>54</v>
      </c>
      <c r="T171" t="s">
        <v>29</v>
      </c>
      <c r="U171" t="s">
        <v>30</v>
      </c>
    </row>
    <row r="172" spans="1:21" x14ac:dyDescent="0.35">
      <c r="A172" t="s">
        <v>249</v>
      </c>
      <c r="B172" s="1">
        <v>46094</v>
      </c>
      <c r="C172" t="str">
        <f>TEXT(tblData[[#This Row],[Rental Date]],"mmm")</f>
        <v>Mar</v>
      </c>
      <c r="D172" t="str">
        <f>TEXT(tblData[[#This Row],[Rental Date]],"mmmm")</f>
        <v>March</v>
      </c>
      <c r="E172" t="s">
        <v>38</v>
      </c>
      <c r="F172" t="str">
        <f>TEXT(WEEKNUM(tblData[[#This Row],[Rental Date]]),"00")</f>
        <v>11</v>
      </c>
      <c r="G172" s="1">
        <f>EOMONTH(tblData[[#This Row],[Rental Date]],0)</f>
        <v>46112</v>
      </c>
      <c r="H172" t="s">
        <v>204</v>
      </c>
      <c r="I172" t="s">
        <v>39</v>
      </c>
      <c r="J172" t="s">
        <v>78</v>
      </c>
      <c r="K172" t="s">
        <v>60</v>
      </c>
      <c r="L172">
        <v>1</v>
      </c>
      <c r="M172" s="2">
        <v>26</v>
      </c>
      <c r="N172" t="s">
        <v>26</v>
      </c>
      <c r="O172" s="3">
        <v>0</v>
      </c>
      <c r="P172" s="3">
        <v>0</v>
      </c>
      <c r="Q172" s="2">
        <v>26</v>
      </c>
      <c r="R172" t="s">
        <v>62</v>
      </c>
      <c r="S172" t="s">
        <v>28</v>
      </c>
      <c r="T172" t="s">
        <v>63</v>
      </c>
      <c r="U172" t="s">
        <v>30</v>
      </c>
    </row>
    <row r="173" spans="1:21" x14ac:dyDescent="0.35">
      <c r="A173" t="s">
        <v>250</v>
      </c>
      <c r="B173" s="1">
        <v>46094</v>
      </c>
      <c r="C173" t="str">
        <f>TEXT(tblData[[#This Row],[Rental Date]],"mmm")</f>
        <v>Mar</v>
      </c>
      <c r="D173" t="str">
        <f>TEXT(tblData[[#This Row],[Rental Date]],"mmmm")</f>
        <v>March</v>
      </c>
      <c r="E173" t="s">
        <v>38</v>
      </c>
      <c r="F173" t="str">
        <f>TEXT(WEEKNUM(tblData[[#This Row],[Rental Date]]),"00")</f>
        <v>11</v>
      </c>
      <c r="G173" s="1">
        <f>EOMONTH(tblData[[#This Row],[Rental Date]],0)</f>
        <v>46112</v>
      </c>
      <c r="H173" t="s">
        <v>204</v>
      </c>
      <c r="I173" t="s">
        <v>39</v>
      </c>
      <c r="J173" t="s">
        <v>65</v>
      </c>
      <c r="K173" t="s">
        <v>25</v>
      </c>
      <c r="L173">
        <v>1</v>
      </c>
      <c r="M173" s="2">
        <v>18</v>
      </c>
      <c r="N173" t="s">
        <v>26</v>
      </c>
      <c r="O173" s="3">
        <v>0</v>
      </c>
      <c r="P173" s="3">
        <v>0</v>
      </c>
      <c r="Q173" s="2">
        <v>18</v>
      </c>
      <c r="R173" t="s">
        <v>42</v>
      </c>
      <c r="S173" t="s">
        <v>50</v>
      </c>
      <c r="T173" t="s">
        <v>29</v>
      </c>
      <c r="U173" t="s">
        <v>30</v>
      </c>
    </row>
    <row r="174" spans="1:21" x14ac:dyDescent="0.35">
      <c r="A174" t="s">
        <v>251</v>
      </c>
      <c r="B174" s="1">
        <v>46094</v>
      </c>
      <c r="C174" t="str">
        <f>TEXT(tblData[[#This Row],[Rental Date]],"mmm")</f>
        <v>Mar</v>
      </c>
      <c r="D174" t="str">
        <f>TEXT(tblData[[#This Row],[Rental Date]],"mmmm")</f>
        <v>March</v>
      </c>
      <c r="E174" t="s">
        <v>38</v>
      </c>
      <c r="F174" t="str">
        <f>TEXT(WEEKNUM(tblData[[#This Row],[Rental Date]]),"00")</f>
        <v>11</v>
      </c>
      <c r="G174" s="1">
        <f>EOMONTH(tblData[[#This Row],[Rental Date]],0)</f>
        <v>46112</v>
      </c>
      <c r="H174" t="s">
        <v>204</v>
      </c>
      <c r="I174" t="s">
        <v>48</v>
      </c>
      <c r="J174" t="s">
        <v>78</v>
      </c>
      <c r="K174" t="s">
        <v>60</v>
      </c>
      <c r="L174">
        <v>1</v>
      </c>
      <c r="M174" s="2">
        <v>26</v>
      </c>
      <c r="N174" t="s">
        <v>41</v>
      </c>
      <c r="O174" s="3">
        <v>5</v>
      </c>
      <c r="P174" s="3">
        <v>1.55</v>
      </c>
      <c r="Q174" s="2">
        <v>29.45</v>
      </c>
      <c r="R174" t="s">
        <v>66</v>
      </c>
      <c r="S174" t="s">
        <v>46</v>
      </c>
      <c r="T174" t="s">
        <v>90</v>
      </c>
      <c r="U174" t="s">
        <v>30</v>
      </c>
    </row>
    <row r="175" spans="1:21" x14ac:dyDescent="0.35">
      <c r="A175" t="s">
        <v>252</v>
      </c>
      <c r="B175" s="1">
        <v>46094</v>
      </c>
      <c r="C175" t="str">
        <f>TEXT(tblData[[#This Row],[Rental Date]],"mmm")</f>
        <v>Mar</v>
      </c>
      <c r="D175" t="str">
        <f>TEXT(tblData[[#This Row],[Rental Date]],"mmmm")</f>
        <v>March</v>
      </c>
      <c r="E175" t="s">
        <v>38</v>
      </c>
      <c r="F175" t="str">
        <f>TEXT(WEEKNUM(tblData[[#This Row],[Rental Date]]),"00")</f>
        <v>11</v>
      </c>
      <c r="G175" s="1">
        <f>EOMONTH(tblData[[#This Row],[Rental Date]],0)</f>
        <v>46112</v>
      </c>
      <c r="H175" t="s">
        <v>204</v>
      </c>
      <c r="I175" t="s">
        <v>39</v>
      </c>
      <c r="J175" t="s">
        <v>78</v>
      </c>
      <c r="K175" t="s">
        <v>60</v>
      </c>
      <c r="L175">
        <v>1</v>
      </c>
      <c r="M175" s="2">
        <v>26</v>
      </c>
      <c r="N175" t="s">
        <v>87</v>
      </c>
      <c r="O175" s="3">
        <v>10</v>
      </c>
      <c r="P175" s="3">
        <v>0</v>
      </c>
      <c r="Q175" s="2">
        <v>36</v>
      </c>
      <c r="R175" t="s">
        <v>42</v>
      </c>
      <c r="S175" t="s">
        <v>50</v>
      </c>
      <c r="T175" t="s">
        <v>29</v>
      </c>
      <c r="U175" t="s">
        <v>30</v>
      </c>
    </row>
    <row r="176" spans="1:21" x14ac:dyDescent="0.35">
      <c r="A176" t="s">
        <v>253</v>
      </c>
      <c r="B176" s="1">
        <v>46095</v>
      </c>
      <c r="C176" t="str">
        <f>TEXT(tblData[[#This Row],[Rental Date]],"mmm")</f>
        <v>Mar</v>
      </c>
      <c r="D176" t="str">
        <f>TEXT(tblData[[#This Row],[Rental Date]],"mmmm")</f>
        <v>March</v>
      </c>
      <c r="E176" t="s">
        <v>56</v>
      </c>
      <c r="F176" t="str">
        <f>TEXT(WEEKNUM(tblData[[#This Row],[Rental Date]]),"00")</f>
        <v>11</v>
      </c>
      <c r="G176" s="1">
        <f>EOMONTH(tblData[[#This Row],[Rental Date]],0)</f>
        <v>46112</v>
      </c>
      <c r="H176" t="s">
        <v>204</v>
      </c>
      <c r="I176" t="s">
        <v>32</v>
      </c>
      <c r="J176" t="s">
        <v>111</v>
      </c>
      <c r="K176" t="s">
        <v>60</v>
      </c>
      <c r="L176">
        <v>1</v>
      </c>
      <c r="M176" s="2">
        <v>15.12</v>
      </c>
      <c r="N176" t="s">
        <v>26</v>
      </c>
      <c r="O176" s="3">
        <v>0</v>
      </c>
      <c r="P176" s="3">
        <v>0.76</v>
      </c>
      <c r="Q176" s="2">
        <v>14.36</v>
      </c>
      <c r="R176" t="s">
        <v>66</v>
      </c>
      <c r="S176" t="s">
        <v>35</v>
      </c>
      <c r="T176" t="s">
        <v>51</v>
      </c>
      <c r="U176" t="s">
        <v>58</v>
      </c>
    </row>
    <row r="177" spans="1:21" x14ac:dyDescent="0.35">
      <c r="A177" t="s">
        <v>254</v>
      </c>
      <c r="B177" s="1">
        <v>46095</v>
      </c>
      <c r="C177" t="str">
        <f>TEXT(tblData[[#This Row],[Rental Date]],"mmm")</f>
        <v>Mar</v>
      </c>
      <c r="D177" t="str">
        <f>TEXT(tblData[[#This Row],[Rental Date]],"mmmm")</f>
        <v>March</v>
      </c>
      <c r="E177" t="s">
        <v>56</v>
      </c>
      <c r="F177" t="str">
        <f>TEXT(WEEKNUM(tblData[[#This Row],[Rental Date]]),"00")</f>
        <v>11</v>
      </c>
      <c r="G177" s="1">
        <f>EOMONTH(tblData[[#This Row],[Rental Date]],0)</f>
        <v>46112</v>
      </c>
      <c r="H177" t="s">
        <v>204</v>
      </c>
      <c r="I177" t="s">
        <v>32</v>
      </c>
      <c r="J177" t="s">
        <v>78</v>
      </c>
      <c r="K177" t="s">
        <v>40</v>
      </c>
      <c r="L177">
        <v>1</v>
      </c>
      <c r="M177" s="2">
        <v>66.959999999999994</v>
      </c>
      <c r="N177" t="s">
        <v>87</v>
      </c>
      <c r="O177" s="3">
        <v>10</v>
      </c>
      <c r="P177" s="3">
        <v>7.7</v>
      </c>
      <c r="Q177" s="2">
        <v>69.260000000000005</v>
      </c>
      <c r="R177" t="s">
        <v>62</v>
      </c>
      <c r="S177" t="s">
        <v>50</v>
      </c>
      <c r="T177" t="s">
        <v>29</v>
      </c>
      <c r="U177" t="s">
        <v>30</v>
      </c>
    </row>
    <row r="178" spans="1:21" x14ac:dyDescent="0.35">
      <c r="A178" t="s">
        <v>255</v>
      </c>
      <c r="B178" s="1">
        <v>46095</v>
      </c>
      <c r="C178" t="str">
        <f>TEXT(tblData[[#This Row],[Rental Date]],"mmm")</f>
        <v>Mar</v>
      </c>
      <c r="D178" t="str">
        <f>TEXT(tblData[[#This Row],[Rental Date]],"mmmm")</f>
        <v>March</v>
      </c>
      <c r="E178" t="s">
        <v>56</v>
      </c>
      <c r="F178" t="str">
        <f>TEXT(WEEKNUM(tblData[[#This Row],[Rental Date]]),"00")</f>
        <v>11</v>
      </c>
      <c r="G178" s="1">
        <f>EOMONTH(tblData[[#This Row],[Rental Date]],0)</f>
        <v>46112</v>
      </c>
      <c r="H178" t="s">
        <v>204</v>
      </c>
      <c r="I178" t="s">
        <v>53</v>
      </c>
      <c r="J178" t="s">
        <v>33</v>
      </c>
      <c r="K178" t="s">
        <v>60</v>
      </c>
      <c r="L178">
        <v>1</v>
      </c>
      <c r="M178" s="2">
        <v>25.92</v>
      </c>
      <c r="N178" t="s">
        <v>70</v>
      </c>
      <c r="O178" s="3">
        <v>7</v>
      </c>
      <c r="P178" s="3">
        <v>3.29</v>
      </c>
      <c r="Q178" s="2">
        <v>29.63</v>
      </c>
      <c r="R178" t="s">
        <v>62</v>
      </c>
      <c r="S178" t="s">
        <v>46</v>
      </c>
      <c r="T178" t="s">
        <v>51</v>
      </c>
      <c r="U178" t="s">
        <v>30</v>
      </c>
    </row>
    <row r="179" spans="1:21" x14ac:dyDescent="0.35">
      <c r="A179" t="s">
        <v>256</v>
      </c>
      <c r="B179" s="1">
        <v>46095</v>
      </c>
      <c r="C179" t="str">
        <f>TEXT(tblData[[#This Row],[Rental Date]],"mmm")</f>
        <v>Mar</v>
      </c>
      <c r="D179" t="str">
        <f>TEXT(tblData[[#This Row],[Rental Date]],"mmmm")</f>
        <v>March</v>
      </c>
      <c r="E179" t="s">
        <v>56</v>
      </c>
      <c r="F179" t="str">
        <f>TEXT(WEEKNUM(tblData[[#This Row],[Rental Date]]),"00")</f>
        <v>11</v>
      </c>
      <c r="G179" s="1">
        <f>EOMONTH(tblData[[#This Row],[Rental Date]],0)</f>
        <v>46112</v>
      </c>
      <c r="H179" t="s">
        <v>204</v>
      </c>
      <c r="I179" t="s">
        <v>39</v>
      </c>
      <c r="J179" t="s">
        <v>49</v>
      </c>
      <c r="K179" t="s">
        <v>60</v>
      </c>
      <c r="L179">
        <v>1</v>
      </c>
      <c r="M179" s="2">
        <v>23.76</v>
      </c>
      <c r="N179" t="s">
        <v>26</v>
      </c>
      <c r="O179" s="3">
        <v>0</v>
      </c>
      <c r="P179" s="3">
        <v>0</v>
      </c>
      <c r="Q179" s="2">
        <v>23.76</v>
      </c>
      <c r="R179" t="s">
        <v>94</v>
      </c>
      <c r="S179" t="s">
        <v>35</v>
      </c>
      <c r="T179" t="s">
        <v>63</v>
      </c>
      <c r="U179" t="s">
        <v>58</v>
      </c>
    </row>
    <row r="180" spans="1:21" x14ac:dyDescent="0.35">
      <c r="A180" t="s">
        <v>257</v>
      </c>
      <c r="B180" s="1">
        <v>46095</v>
      </c>
      <c r="C180" t="str">
        <f>TEXT(tblData[[#This Row],[Rental Date]],"mmm")</f>
        <v>Mar</v>
      </c>
      <c r="D180" t="str">
        <f>TEXT(tblData[[#This Row],[Rental Date]],"mmmm")</f>
        <v>March</v>
      </c>
      <c r="E180" t="s">
        <v>56</v>
      </c>
      <c r="F180" t="str">
        <f>TEXT(WEEKNUM(tblData[[#This Row],[Rental Date]]),"00")</f>
        <v>11</v>
      </c>
      <c r="G180" s="1">
        <f>EOMONTH(tblData[[#This Row],[Rental Date]],0)</f>
        <v>46112</v>
      </c>
      <c r="H180" t="s">
        <v>204</v>
      </c>
      <c r="I180" t="s">
        <v>39</v>
      </c>
      <c r="J180" t="s">
        <v>111</v>
      </c>
      <c r="K180" t="s">
        <v>40</v>
      </c>
      <c r="L180">
        <v>1</v>
      </c>
      <c r="M180" s="2">
        <v>36.72</v>
      </c>
      <c r="N180" t="s">
        <v>26</v>
      </c>
      <c r="O180" s="3">
        <v>0</v>
      </c>
      <c r="P180" s="3">
        <v>0</v>
      </c>
      <c r="Q180" s="2">
        <v>36.72</v>
      </c>
      <c r="R180" t="s">
        <v>34</v>
      </c>
      <c r="S180" t="s">
        <v>50</v>
      </c>
      <c r="T180" t="s">
        <v>29</v>
      </c>
      <c r="U180" t="s">
        <v>30</v>
      </c>
    </row>
    <row r="181" spans="1:21" x14ac:dyDescent="0.35">
      <c r="A181" t="s">
        <v>258</v>
      </c>
      <c r="B181" s="1">
        <v>46095</v>
      </c>
      <c r="C181" t="str">
        <f>TEXT(tblData[[#This Row],[Rental Date]],"mmm")</f>
        <v>Mar</v>
      </c>
      <c r="D181" t="str">
        <f>TEXT(tblData[[#This Row],[Rental Date]],"mmmm")</f>
        <v>March</v>
      </c>
      <c r="E181" t="s">
        <v>56</v>
      </c>
      <c r="F181" t="str">
        <f>TEXT(WEEKNUM(tblData[[#This Row],[Rental Date]]),"00")</f>
        <v>11</v>
      </c>
      <c r="G181" s="1">
        <f>EOMONTH(tblData[[#This Row],[Rental Date]],0)</f>
        <v>46112</v>
      </c>
      <c r="H181" t="s">
        <v>204</v>
      </c>
      <c r="I181" t="s">
        <v>48</v>
      </c>
      <c r="J181" t="s">
        <v>127</v>
      </c>
      <c r="K181" t="s">
        <v>25</v>
      </c>
      <c r="L181">
        <v>1</v>
      </c>
      <c r="M181" s="2">
        <v>17.28</v>
      </c>
      <c r="N181" t="s">
        <v>26</v>
      </c>
      <c r="O181" s="3">
        <v>0</v>
      </c>
      <c r="P181" s="3">
        <v>0</v>
      </c>
      <c r="Q181" s="2">
        <v>17.28</v>
      </c>
      <c r="R181" t="s">
        <v>45</v>
      </c>
      <c r="S181" t="s">
        <v>28</v>
      </c>
      <c r="T181" t="s">
        <v>29</v>
      </c>
      <c r="U181" t="s">
        <v>58</v>
      </c>
    </row>
    <row r="182" spans="1:21" x14ac:dyDescent="0.35">
      <c r="A182" t="s">
        <v>259</v>
      </c>
      <c r="B182" s="1">
        <v>46096</v>
      </c>
      <c r="C182" t="str">
        <f>TEXT(tblData[[#This Row],[Rental Date]],"mmm")</f>
        <v>Mar</v>
      </c>
      <c r="D182" t="str">
        <f>TEXT(tblData[[#This Row],[Rental Date]],"mmmm")</f>
        <v>March</v>
      </c>
      <c r="E182" t="s">
        <v>68</v>
      </c>
      <c r="F182" t="str">
        <f>TEXT(WEEKNUM(tblData[[#This Row],[Rental Date]]),"00")</f>
        <v>12</v>
      </c>
      <c r="G182" s="1">
        <f>EOMONTH(tblData[[#This Row],[Rental Date]],0)</f>
        <v>46112</v>
      </c>
      <c r="H182" t="s">
        <v>204</v>
      </c>
      <c r="I182" t="s">
        <v>48</v>
      </c>
      <c r="J182" t="s">
        <v>86</v>
      </c>
      <c r="K182" t="s">
        <v>60</v>
      </c>
      <c r="L182">
        <v>1</v>
      </c>
      <c r="M182" s="2">
        <v>38.880000000000003</v>
      </c>
      <c r="N182" t="s">
        <v>89</v>
      </c>
      <c r="O182" s="3">
        <v>6</v>
      </c>
      <c r="P182" s="3">
        <v>0</v>
      </c>
      <c r="Q182" s="2">
        <v>44.88</v>
      </c>
      <c r="R182" t="s">
        <v>34</v>
      </c>
      <c r="S182" t="s">
        <v>28</v>
      </c>
      <c r="T182" t="s">
        <v>29</v>
      </c>
      <c r="U182" t="s">
        <v>30</v>
      </c>
    </row>
    <row r="183" spans="1:21" x14ac:dyDescent="0.35">
      <c r="A183" t="s">
        <v>260</v>
      </c>
      <c r="B183" s="1">
        <v>46096</v>
      </c>
      <c r="C183" t="str">
        <f>TEXT(tblData[[#This Row],[Rental Date]],"mmm")</f>
        <v>Mar</v>
      </c>
      <c r="D183" t="str">
        <f>TEXT(tblData[[#This Row],[Rental Date]],"mmmm")</f>
        <v>March</v>
      </c>
      <c r="E183" t="s">
        <v>68</v>
      </c>
      <c r="F183" t="str">
        <f>TEXT(WEEKNUM(tblData[[#This Row],[Rental Date]]),"00")</f>
        <v>12</v>
      </c>
      <c r="G183" s="1">
        <f>EOMONTH(tblData[[#This Row],[Rental Date]],0)</f>
        <v>46112</v>
      </c>
      <c r="H183" t="s">
        <v>204</v>
      </c>
      <c r="I183" t="s">
        <v>48</v>
      </c>
      <c r="J183" t="s">
        <v>127</v>
      </c>
      <c r="K183" t="s">
        <v>60</v>
      </c>
      <c r="L183">
        <v>1</v>
      </c>
      <c r="M183" s="2">
        <v>10.8</v>
      </c>
      <c r="N183" t="s">
        <v>26</v>
      </c>
      <c r="O183" s="3">
        <v>0</v>
      </c>
      <c r="P183" s="3">
        <v>0.54</v>
      </c>
      <c r="Q183" s="2">
        <v>10.26</v>
      </c>
      <c r="R183" t="s">
        <v>57</v>
      </c>
      <c r="S183" t="s">
        <v>28</v>
      </c>
      <c r="T183" t="s">
        <v>29</v>
      </c>
      <c r="U183" t="s">
        <v>36</v>
      </c>
    </row>
    <row r="184" spans="1:21" x14ac:dyDescent="0.35">
      <c r="A184" t="s">
        <v>261</v>
      </c>
      <c r="B184" s="1">
        <v>46096</v>
      </c>
      <c r="C184" t="str">
        <f>TEXT(tblData[[#This Row],[Rental Date]],"mmm")</f>
        <v>Mar</v>
      </c>
      <c r="D184" t="str">
        <f>TEXT(tblData[[#This Row],[Rental Date]],"mmmm")</f>
        <v>March</v>
      </c>
      <c r="E184" t="s">
        <v>68</v>
      </c>
      <c r="F184" t="str">
        <f>TEXT(WEEKNUM(tblData[[#This Row],[Rental Date]]),"00")</f>
        <v>12</v>
      </c>
      <c r="G184" s="1">
        <f>EOMONTH(tblData[[#This Row],[Rental Date]],0)</f>
        <v>46112</v>
      </c>
      <c r="H184" t="s">
        <v>204</v>
      </c>
      <c r="I184" t="s">
        <v>23</v>
      </c>
      <c r="J184" t="s">
        <v>44</v>
      </c>
      <c r="K184" t="s">
        <v>60</v>
      </c>
      <c r="L184">
        <v>1</v>
      </c>
      <c r="M184" s="2">
        <v>36.72</v>
      </c>
      <c r="N184" t="s">
        <v>70</v>
      </c>
      <c r="O184" s="3">
        <v>7</v>
      </c>
      <c r="P184" s="3">
        <v>0</v>
      </c>
      <c r="Q184" s="2">
        <v>43.72</v>
      </c>
      <c r="R184" t="s">
        <v>66</v>
      </c>
      <c r="S184" t="s">
        <v>50</v>
      </c>
      <c r="T184" t="s">
        <v>51</v>
      </c>
      <c r="U184" t="s">
        <v>79</v>
      </c>
    </row>
    <row r="185" spans="1:21" x14ac:dyDescent="0.35">
      <c r="A185" t="s">
        <v>262</v>
      </c>
      <c r="B185" s="1">
        <v>46096</v>
      </c>
      <c r="C185" t="str">
        <f>TEXT(tblData[[#This Row],[Rental Date]],"mmm")</f>
        <v>Mar</v>
      </c>
      <c r="D185" t="str">
        <f>TEXT(tblData[[#This Row],[Rental Date]],"mmmm")</f>
        <v>March</v>
      </c>
      <c r="E185" t="s">
        <v>68</v>
      </c>
      <c r="F185" t="str">
        <f>TEXT(WEEKNUM(tblData[[#This Row],[Rental Date]]),"00")</f>
        <v>12</v>
      </c>
      <c r="G185" s="1">
        <f>EOMONTH(tblData[[#This Row],[Rental Date]],0)</f>
        <v>46112</v>
      </c>
      <c r="H185" t="s">
        <v>204</v>
      </c>
      <c r="I185" t="s">
        <v>48</v>
      </c>
      <c r="J185" t="s">
        <v>33</v>
      </c>
      <c r="K185" t="s">
        <v>60</v>
      </c>
      <c r="L185">
        <v>1</v>
      </c>
      <c r="M185" s="2">
        <v>25.92</v>
      </c>
      <c r="N185" t="s">
        <v>26</v>
      </c>
      <c r="O185" s="3">
        <v>0</v>
      </c>
      <c r="P185" s="3">
        <v>0</v>
      </c>
      <c r="Q185" s="2">
        <v>25.92</v>
      </c>
      <c r="R185" t="s">
        <v>34</v>
      </c>
      <c r="S185" t="s">
        <v>46</v>
      </c>
      <c r="T185" t="s">
        <v>29</v>
      </c>
      <c r="U185" t="s">
        <v>30</v>
      </c>
    </row>
    <row r="186" spans="1:21" x14ac:dyDescent="0.35">
      <c r="A186" t="s">
        <v>263</v>
      </c>
      <c r="B186" s="1">
        <v>46096</v>
      </c>
      <c r="C186" t="str">
        <f>TEXT(tblData[[#This Row],[Rental Date]],"mmm")</f>
        <v>Mar</v>
      </c>
      <c r="D186" t="str">
        <f>TEXT(tblData[[#This Row],[Rental Date]],"mmmm")</f>
        <v>March</v>
      </c>
      <c r="E186" t="s">
        <v>68</v>
      </c>
      <c r="F186" t="str">
        <f>TEXT(WEEKNUM(tblData[[#This Row],[Rental Date]]),"00")</f>
        <v>12</v>
      </c>
      <c r="G186" s="1">
        <f>EOMONTH(tblData[[#This Row],[Rental Date]],0)</f>
        <v>46112</v>
      </c>
      <c r="H186" t="s">
        <v>204</v>
      </c>
      <c r="I186" t="s">
        <v>48</v>
      </c>
      <c r="J186" t="s">
        <v>49</v>
      </c>
      <c r="K186" t="s">
        <v>25</v>
      </c>
      <c r="L186">
        <v>1</v>
      </c>
      <c r="M186" s="2">
        <v>38.880000000000003</v>
      </c>
      <c r="N186" t="s">
        <v>26</v>
      </c>
      <c r="O186" s="3">
        <v>0</v>
      </c>
      <c r="P186" s="3">
        <v>0</v>
      </c>
      <c r="Q186" s="2">
        <v>38.880000000000003</v>
      </c>
      <c r="R186" t="s">
        <v>42</v>
      </c>
      <c r="S186" t="s">
        <v>54</v>
      </c>
      <c r="T186" t="s">
        <v>63</v>
      </c>
      <c r="U186" t="s">
        <v>58</v>
      </c>
    </row>
    <row r="187" spans="1:21" x14ac:dyDescent="0.35">
      <c r="A187" t="s">
        <v>264</v>
      </c>
      <c r="B187" s="1">
        <v>46096</v>
      </c>
      <c r="C187" t="str">
        <f>TEXT(tblData[[#This Row],[Rental Date]],"mmm")</f>
        <v>Mar</v>
      </c>
      <c r="D187" t="str">
        <f>TEXT(tblData[[#This Row],[Rental Date]],"mmmm")</f>
        <v>March</v>
      </c>
      <c r="E187" t="s">
        <v>68</v>
      </c>
      <c r="F187" t="str">
        <f>TEXT(WEEKNUM(tblData[[#This Row],[Rental Date]]),"00")</f>
        <v>12</v>
      </c>
      <c r="G187" s="1">
        <f>EOMONTH(tblData[[#This Row],[Rental Date]],0)</f>
        <v>46112</v>
      </c>
      <c r="H187" t="s">
        <v>204</v>
      </c>
      <c r="I187" t="s">
        <v>39</v>
      </c>
      <c r="J187" t="s">
        <v>49</v>
      </c>
      <c r="K187" t="s">
        <v>92</v>
      </c>
      <c r="L187">
        <v>1</v>
      </c>
      <c r="M187" s="2">
        <v>82.08</v>
      </c>
      <c r="N187" t="s">
        <v>26</v>
      </c>
      <c r="O187" s="3">
        <v>0</v>
      </c>
      <c r="P187" s="3">
        <v>0</v>
      </c>
      <c r="Q187" s="2">
        <v>82.08</v>
      </c>
      <c r="R187" t="s">
        <v>34</v>
      </c>
      <c r="S187" t="s">
        <v>35</v>
      </c>
      <c r="T187" t="s">
        <v>63</v>
      </c>
      <c r="U187" t="s">
        <v>79</v>
      </c>
    </row>
    <row r="188" spans="1:21" x14ac:dyDescent="0.35">
      <c r="A188" t="s">
        <v>265</v>
      </c>
      <c r="B188" s="1">
        <v>46097</v>
      </c>
      <c r="C188" t="str">
        <f>TEXT(tblData[[#This Row],[Rental Date]],"mmm")</f>
        <v>Mar</v>
      </c>
      <c r="D188" t="str">
        <f>TEXT(tblData[[#This Row],[Rental Date]],"mmmm")</f>
        <v>March</v>
      </c>
      <c r="E188" t="s">
        <v>74</v>
      </c>
      <c r="F188" t="str">
        <f>TEXT(WEEKNUM(tblData[[#This Row],[Rental Date]]),"00")</f>
        <v>12</v>
      </c>
      <c r="G188" s="1">
        <f>EOMONTH(tblData[[#This Row],[Rental Date]],0)</f>
        <v>46112</v>
      </c>
      <c r="H188" t="s">
        <v>204</v>
      </c>
      <c r="I188" t="s">
        <v>39</v>
      </c>
      <c r="J188" t="s">
        <v>78</v>
      </c>
      <c r="K188" t="s">
        <v>40</v>
      </c>
      <c r="L188">
        <v>1</v>
      </c>
      <c r="M188" s="2">
        <v>62</v>
      </c>
      <c r="N188" t="s">
        <v>75</v>
      </c>
      <c r="O188" s="3">
        <v>12</v>
      </c>
      <c r="P188" s="3">
        <v>0</v>
      </c>
      <c r="Q188" s="2">
        <v>74</v>
      </c>
      <c r="R188" t="s">
        <v>71</v>
      </c>
      <c r="S188" t="s">
        <v>50</v>
      </c>
      <c r="T188" t="s">
        <v>90</v>
      </c>
      <c r="U188" t="s">
        <v>58</v>
      </c>
    </row>
    <row r="189" spans="1:21" x14ac:dyDescent="0.35">
      <c r="A189" t="s">
        <v>266</v>
      </c>
      <c r="B189" s="1">
        <v>46097</v>
      </c>
      <c r="C189" t="str">
        <f>TEXT(tblData[[#This Row],[Rental Date]],"mmm")</f>
        <v>Mar</v>
      </c>
      <c r="D189" t="str">
        <f>TEXT(tblData[[#This Row],[Rental Date]],"mmmm")</f>
        <v>March</v>
      </c>
      <c r="E189" t="s">
        <v>74</v>
      </c>
      <c r="F189" t="str">
        <f>TEXT(WEEKNUM(tblData[[#This Row],[Rental Date]]),"00")</f>
        <v>12</v>
      </c>
      <c r="G189" s="1">
        <f>EOMONTH(tblData[[#This Row],[Rental Date]],0)</f>
        <v>46112</v>
      </c>
      <c r="H189" t="s">
        <v>204</v>
      </c>
      <c r="I189" t="s">
        <v>39</v>
      </c>
      <c r="J189" t="s">
        <v>111</v>
      </c>
      <c r="K189" t="s">
        <v>60</v>
      </c>
      <c r="L189">
        <v>1</v>
      </c>
      <c r="M189" s="2">
        <v>14</v>
      </c>
      <c r="N189" t="s">
        <v>26</v>
      </c>
      <c r="O189" s="3">
        <v>0</v>
      </c>
      <c r="P189" s="3">
        <v>0</v>
      </c>
      <c r="Q189" s="2">
        <v>14</v>
      </c>
      <c r="R189" t="s">
        <v>45</v>
      </c>
      <c r="S189" t="s">
        <v>46</v>
      </c>
      <c r="T189" t="s">
        <v>29</v>
      </c>
      <c r="U189" t="s">
        <v>58</v>
      </c>
    </row>
    <row r="190" spans="1:21" x14ac:dyDescent="0.35">
      <c r="A190" t="s">
        <v>267</v>
      </c>
      <c r="B190" s="1">
        <v>46097</v>
      </c>
      <c r="C190" t="str">
        <f>TEXT(tblData[[#This Row],[Rental Date]],"mmm")</f>
        <v>Mar</v>
      </c>
      <c r="D190" t="str">
        <f>TEXT(tblData[[#This Row],[Rental Date]],"mmmm")</f>
        <v>March</v>
      </c>
      <c r="E190" t="s">
        <v>74</v>
      </c>
      <c r="F190" t="str">
        <f>TEXT(WEEKNUM(tblData[[#This Row],[Rental Date]]),"00")</f>
        <v>12</v>
      </c>
      <c r="G190" s="1">
        <f>EOMONTH(tblData[[#This Row],[Rental Date]],0)</f>
        <v>46112</v>
      </c>
      <c r="H190" t="s">
        <v>204</v>
      </c>
      <c r="I190" t="s">
        <v>23</v>
      </c>
      <c r="J190" t="s">
        <v>127</v>
      </c>
      <c r="K190" t="s">
        <v>92</v>
      </c>
      <c r="L190">
        <v>1</v>
      </c>
      <c r="M190" s="2">
        <v>34</v>
      </c>
      <c r="N190" t="s">
        <v>89</v>
      </c>
      <c r="O190" s="3">
        <v>6</v>
      </c>
      <c r="P190" s="3">
        <v>0</v>
      </c>
      <c r="Q190" s="2">
        <v>40</v>
      </c>
      <c r="R190" t="s">
        <v>42</v>
      </c>
      <c r="S190" t="s">
        <v>54</v>
      </c>
      <c r="T190" t="s">
        <v>29</v>
      </c>
      <c r="U190" t="s">
        <v>30</v>
      </c>
    </row>
    <row r="191" spans="1:21" x14ac:dyDescent="0.35">
      <c r="A191" t="s">
        <v>268</v>
      </c>
      <c r="B191" s="1">
        <v>46098</v>
      </c>
      <c r="C191" t="str">
        <f>TEXT(tblData[[#This Row],[Rental Date]],"mmm")</f>
        <v>Mar</v>
      </c>
      <c r="D191" t="str">
        <f>TEXT(tblData[[#This Row],[Rental Date]],"mmmm")</f>
        <v>March</v>
      </c>
      <c r="E191" t="s">
        <v>102</v>
      </c>
      <c r="F191" t="str">
        <f>TEXT(WEEKNUM(tblData[[#This Row],[Rental Date]]),"00")</f>
        <v>12</v>
      </c>
      <c r="G191" s="1">
        <f>EOMONTH(tblData[[#This Row],[Rental Date]],0)</f>
        <v>46112</v>
      </c>
      <c r="H191" t="s">
        <v>204</v>
      </c>
      <c r="I191" t="s">
        <v>39</v>
      </c>
      <c r="J191" t="s">
        <v>78</v>
      </c>
      <c r="K191" t="s">
        <v>40</v>
      </c>
      <c r="L191">
        <v>1</v>
      </c>
      <c r="M191" s="2">
        <v>62</v>
      </c>
      <c r="N191" t="s">
        <v>26</v>
      </c>
      <c r="O191" s="3">
        <v>0</v>
      </c>
      <c r="P191" s="3">
        <v>0</v>
      </c>
      <c r="Q191" s="2">
        <v>62</v>
      </c>
      <c r="R191" t="s">
        <v>42</v>
      </c>
      <c r="S191" t="s">
        <v>46</v>
      </c>
      <c r="T191" t="s">
        <v>63</v>
      </c>
      <c r="U191" t="s">
        <v>30</v>
      </c>
    </row>
    <row r="192" spans="1:21" x14ac:dyDescent="0.35">
      <c r="A192" t="s">
        <v>269</v>
      </c>
      <c r="B192" s="1">
        <v>46098</v>
      </c>
      <c r="C192" t="str">
        <f>TEXT(tblData[[#This Row],[Rental Date]],"mmm")</f>
        <v>Mar</v>
      </c>
      <c r="D192" t="str">
        <f>TEXT(tblData[[#This Row],[Rental Date]],"mmmm")</f>
        <v>March</v>
      </c>
      <c r="E192" t="s">
        <v>102</v>
      </c>
      <c r="F192" t="str">
        <f>TEXT(WEEKNUM(tblData[[#This Row],[Rental Date]]),"00")</f>
        <v>12</v>
      </c>
      <c r="G192" s="1">
        <f>EOMONTH(tblData[[#This Row],[Rental Date]],0)</f>
        <v>46112</v>
      </c>
      <c r="H192" t="s">
        <v>204</v>
      </c>
      <c r="I192" t="s">
        <v>39</v>
      </c>
      <c r="J192" t="s">
        <v>44</v>
      </c>
      <c r="K192" t="s">
        <v>25</v>
      </c>
      <c r="L192">
        <v>1</v>
      </c>
      <c r="M192" s="2">
        <v>52</v>
      </c>
      <c r="N192" t="s">
        <v>89</v>
      </c>
      <c r="O192" s="3">
        <v>6</v>
      </c>
      <c r="P192" s="3">
        <v>0</v>
      </c>
      <c r="Q192" s="2">
        <v>58</v>
      </c>
      <c r="R192" t="s">
        <v>42</v>
      </c>
      <c r="S192" t="s">
        <v>46</v>
      </c>
      <c r="T192" t="s">
        <v>29</v>
      </c>
      <c r="U192" t="s">
        <v>58</v>
      </c>
    </row>
    <row r="193" spans="1:21" x14ac:dyDescent="0.35">
      <c r="A193" t="s">
        <v>270</v>
      </c>
      <c r="B193" s="1">
        <v>46098</v>
      </c>
      <c r="C193" t="str">
        <f>TEXT(tblData[[#This Row],[Rental Date]],"mmm")</f>
        <v>Mar</v>
      </c>
      <c r="D193" t="str">
        <f>TEXT(tblData[[#This Row],[Rental Date]],"mmmm")</f>
        <v>March</v>
      </c>
      <c r="E193" t="s">
        <v>102</v>
      </c>
      <c r="F193" t="str">
        <f>TEXT(WEEKNUM(tblData[[#This Row],[Rental Date]]),"00")</f>
        <v>12</v>
      </c>
      <c r="G193" s="1">
        <f>EOMONTH(tblData[[#This Row],[Rental Date]],0)</f>
        <v>46112</v>
      </c>
      <c r="H193" t="s">
        <v>204</v>
      </c>
      <c r="I193" t="s">
        <v>48</v>
      </c>
      <c r="J193" t="s">
        <v>78</v>
      </c>
      <c r="K193" t="s">
        <v>92</v>
      </c>
      <c r="L193">
        <v>1</v>
      </c>
      <c r="M193" s="2">
        <v>88</v>
      </c>
      <c r="N193" t="s">
        <v>41</v>
      </c>
      <c r="O193" s="3">
        <v>5</v>
      </c>
      <c r="P193" s="3">
        <v>0</v>
      </c>
      <c r="Q193" s="2">
        <v>93</v>
      </c>
      <c r="R193" t="s">
        <v>94</v>
      </c>
      <c r="S193" t="s">
        <v>28</v>
      </c>
      <c r="T193" t="s">
        <v>29</v>
      </c>
      <c r="U193" t="s">
        <v>58</v>
      </c>
    </row>
    <row r="194" spans="1:21" x14ac:dyDescent="0.35">
      <c r="A194" t="s">
        <v>271</v>
      </c>
      <c r="B194" s="1">
        <v>46099</v>
      </c>
      <c r="C194" t="str">
        <f>TEXT(tblData[[#This Row],[Rental Date]],"mmm")</f>
        <v>Mar</v>
      </c>
      <c r="D194" t="str">
        <f>TEXT(tblData[[#This Row],[Rental Date]],"mmmm")</f>
        <v>March</v>
      </c>
      <c r="E194" t="s">
        <v>109</v>
      </c>
      <c r="F194" t="str">
        <f>TEXT(WEEKNUM(tblData[[#This Row],[Rental Date]]),"00")</f>
        <v>12</v>
      </c>
      <c r="G194" s="1">
        <f>EOMONTH(tblData[[#This Row],[Rental Date]],0)</f>
        <v>46112</v>
      </c>
      <c r="H194" t="s">
        <v>204</v>
      </c>
      <c r="I194" t="s">
        <v>48</v>
      </c>
      <c r="J194" t="s">
        <v>65</v>
      </c>
      <c r="K194" t="s">
        <v>60</v>
      </c>
      <c r="L194">
        <v>1</v>
      </c>
      <c r="M194" s="2">
        <v>12</v>
      </c>
      <c r="N194" t="s">
        <v>87</v>
      </c>
      <c r="O194" s="3">
        <v>10</v>
      </c>
      <c r="P194" s="3">
        <v>0</v>
      </c>
      <c r="Q194" s="2">
        <v>22</v>
      </c>
      <c r="R194" t="s">
        <v>34</v>
      </c>
      <c r="S194" t="s">
        <v>54</v>
      </c>
      <c r="T194" t="s">
        <v>29</v>
      </c>
      <c r="U194" t="s">
        <v>79</v>
      </c>
    </row>
    <row r="195" spans="1:21" x14ac:dyDescent="0.35">
      <c r="A195" t="s">
        <v>272</v>
      </c>
      <c r="B195" s="1">
        <v>46099</v>
      </c>
      <c r="C195" t="str">
        <f>TEXT(tblData[[#This Row],[Rental Date]],"mmm")</f>
        <v>Mar</v>
      </c>
      <c r="D195" t="str">
        <f>TEXT(tblData[[#This Row],[Rental Date]],"mmmm")</f>
        <v>March</v>
      </c>
      <c r="E195" t="s">
        <v>109</v>
      </c>
      <c r="F195" t="str">
        <f>TEXT(WEEKNUM(tblData[[#This Row],[Rental Date]]),"00")</f>
        <v>12</v>
      </c>
      <c r="G195" s="1">
        <f>EOMONTH(tblData[[#This Row],[Rental Date]],0)</f>
        <v>46112</v>
      </c>
      <c r="H195" t="s">
        <v>204</v>
      </c>
      <c r="I195" t="s">
        <v>23</v>
      </c>
      <c r="J195" t="s">
        <v>44</v>
      </c>
      <c r="K195" t="s">
        <v>25</v>
      </c>
      <c r="L195">
        <v>1</v>
      </c>
      <c r="M195" s="2">
        <v>52</v>
      </c>
      <c r="N195" t="s">
        <v>87</v>
      </c>
      <c r="O195" s="3">
        <v>10</v>
      </c>
      <c r="P195" s="3">
        <v>0</v>
      </c>
      <c r="Q195" s="2">
        <v>62</v>
      </c>
      <c r="R195" t="s">
        <v>62</v>
      </c>
      <c r="S195" t="s">
        <v>50</v>
      </c>
      <c r="T195" t="s">
        <v>90</v>
      </c>
      <c r="U195" t="s">
        <v>79</v>
      </c>
    </row>
    <row r="196" spans="1:21" x14ac:dyDescent="0.35">
      <c r="A196" t="s">
        <v>273</v>
      </c>
      <c r="B196" s="1">
        <v>46099</v>
      </c>
      <c r="C196" t="str">
        <f>TEXT(tblData[[#This Row],[Rental Date]],"mmm")</f>
        <v>Mar</v>
      </c>
      <c r="D196" t="str">
        <f>TEXT(tblData[[#This Row],[Rental Date]],"mmmm")</f>
        <v>March</v>
      </c>
      <c r="E196" t="s">
        <v>109</v>
      </c>
      <c r="F196" t="str">
        <f>TEXT(WEEKNUM(tblData[[#This Row],[Rental Date]]),"00")</f>
        <v>12</v>
      </c>
      <c r="G196" s="1">
        <f>EOMONTH(tblData[[#This Row],[Rental Date]],0)</f>
        <v>46112</v>
      </c>
      <c r="H196" t="s">
        <v>204</v>
      </c>
      <c r="I196" t="s">
        <v>23</v>
      </c>
      <c r="J196" t="s">
        <v>138</v>
      </c>
      <c r="K196" t="s">
        <v>60</v>
      </c>
      <c r="L196">
        <v>1</v>
      </c>
      <c r="M196" s="2">
        <v>30</v>
      </c>
      <c r="N196" t="s">
        <v>26</v>
      </c>
      <c r="O196" s="3">
        <v>0</v>
      </c>
      <c r="P196" s="3">
        <v>0</v>
      </c>
      <c r="Q196" s="2">
        <v>30</v>
      </c>
      <c r="R196" t="s">
        <v>62</v>
      </c>
      <c r="S196" t="s">
        <v>46</v>
      </c>
      <c r="T196" t="s">
        <v>63</v>
      </c>
      <c r="U196" t="s">
        <v>30</v>
      </c>
    </row>
    <row r="197" spans="1:21" x14ac:dyDescent="0.35">
      <c r="A197" t="s">
        <v>274</v>
      </c>
      <c r="B197" s="1">
        <v>46100</v>
      </c>
      <c r="C197" t="str">
        <f>TEXT(tblData[[#This Row],[Rental Date]],"mmm")</f>
        <v>Mar</v>
      </c>
      <c r="D197" t="str">
        <f>TEXT(tblData[[#This Row],[Rental Date]],"mmmm")</f>
        <v>March</v>
      </c>
      <c r="E197" t="s">
        <v>21</v>
      </c>
      <c r="F197" t="str">
        <f>TEXT(WEEKNUM(tblData[[#This Row],[Rental Date]]),"00")</f>
        <v>12</v>
      </c>
      <c r="G197" s="1">
        <f>EOMONTH(tblData[[#This Row],[Rental Date]],0)</f>
        <v>46112</v>
      </c>
      <c r="H197" t="s">
        <v>204</v>
      </c>
      <c r="I197" t="s">
        <v>39</v>
      </c>
      <c r="J197" t="s">
        <v>49</v>
      </c>
      <c r="K197" t="s">
        <v>40</v>
      </c>
      <c r="L197">
        <v>1</v>
      </c>
      <c r="M197" s="2">
        <v>54</v>
      </c>
      <c r="N197" t="s">
        <v>41</v>
      </c>
      <c r="O197" s="3">
        <v>5</v>
      </c>
      <c r="P197" s="3">
        <v>0</v>
      </c>
      <c r="Q197" s="2">
        <v>59</v>
      </c>
      <c r="R197" t="s">
        <v>76</v>
      </c>
      <c r="S197" t="s">
        <v>35</v>
      </c>
      <c r="T197" t="s">
        <v>29</v>
      </c>
      <c r="U197" t="s">
        <v>79</v>
      </c>
    </row>
    <row r="198" spans="1:21" x14ac:dyDescent="0.35">
      <c r="A198" t="s">
        <v>275</v>
      </c>
      <c r="B198" s="1">
        <v>46100</v>
      </c>
      <c r="C198" t="str">
        <f>TEXT(tblData[[#This Row],[Rental Date]],"mmm")</f>
        <v>Mar</v>
      </c>
      <c r="D198" t="str">
        <f>TEXT(tblData[[#This Row],[Rental Date]],"mmmm")</f>
        <v>March</v>
      </c>
      <c r="E198" t="s">
        <v>21</v>
      </c>
      <c r="F198" t="str">
        <f>TEXT(WEEKNUM(tblData[[#This Row],[Rental Date]]),"00")</f>
        <v>12</v>
      </c>
      <c r="G198" s="1">
        <f>EOMONTH(tblData[[#This Row],[Rental Date]],0)</f>
        <v>46112</v>
      </c>
      <c r="H198" t="s">
        <v>204</v>
      </c>
      <c r="I198" t="s">
        <v>48</v>
      </c>
      <c r="J198" t="s">
        <v>49</v>
      </c>
      <c r="K198" t="s">
        <v>60</v>
      </c>
      <c r="L198">
        <v>1</v>
      </c>
      <c r="M198" s="2">
        <v>22</v>
      </c>
      <c r="N198" t="s">
        <v>26</v>
      </c>
      <c r="O198" s="3">
        <v>0</v>
      </c>
      <c r="P198" s="3">
        <v>0</v>
      </c>
      <c r="Q198" s="2">
        <v>22</v>
      </c>
      <c r="R198" t="s">
        <v>45</v>
      </c>
      <c r="S198" t="s">
        <v>54</v>
      </c>
      <c r="T198" t="s">
        <v>51</v>
      </c>
      <c r="U198" t="s">
        <v>30</v>
      </c>
    </row>
    <row r="199" spans="1:21" x14ac:dyDescent="0.35">
      <c r="A199" t="s">
        <v>276</v>
      </c>
      <c r="B199" s="1">
        <v>46101</v>
      </c>
      <c r="C199" t="str">
        <f>TEXT(tblData[[#This Row],[Rental Date]],"mmm")</f>
        <v>Mar</v>
      </c>
      <c r="D199" t="str">
        <f>TEXT(tblData[[#This Row],[Rental Date]],"mmmm")</f>
        <v>March</v>
      </c>
      <c r="E199" t="s">
        <v>38</v>
      </c>
      <c r="F199" t="str">
        <f>TEXT(WEEKNUM(tblData[[#This Row],[Rental Date]]),"00")</f>
        <v>12</v>
      </c>
      <c r="G199" s="1">
        <f>EOMONTH(tblData[[#This Row],[Rental Date]],0)</f>
        <v>46112</v>
      </c>
      <c r="H199" t="s">
        <v>204</v>
      </c>
      <c r="I199" t="s">
        <v>32</v>
      </c>
      <c r="J199" t="s">
        <v>78</v>
      </c>
      <c r="K199" t="s">
        <v>60</v>
      </c>
      <c r="L199">
        <v>1</v>
      </c>
      <c r="M199" s="2">
        <v>26</v>
      </c>
      <c r="N199" t="s">
        <v>41</v>
      </c>
      <c r="O199" s="3">
        <v>5</v>
      </c>
      <c r="P199" s="3">
        <v>0</v>
      </c>
      <c r="Q199" s="2">
        <v>31</v>
      </c>
      <c r="R199" t="s">
        <v>62</v>
      </c>
      <c r="S199" t="s">
        <v>54</v>
      </c>
      <c r="T199" t="s">
        <v>29</v>
      </c>
      <c r="U199" t="s">
        <v>30</v>
      </c>
    </row>
    <row r="200" spans="1:21" x14ac:dyDescent="0.35">
      <c r="A200" t="s">
        <v>277</v>
      </c>
      <c r="B200" s="1">
        <v>46101</v>
      </c>
      <c r="C200" t="str">
        <f>TEXT(tblData[[#This Row],[Rental Date]],"mmm")</f>
        <v>Mar</v>
      </c>
      <c r="D200" t="str">
        <f>TEXT(tblData[[#This Row],[Rental Date]],"mmmm")</f>
        <v>March</v>
      </c>
      <c r="E200" t="s">
        <v>38</v>
      </c>
      <c r="F200" t="str">
        <f>TEXT(WEEKNUM(tblData[[#This Row],[Rental Date]]),"00")</f>
        <v>12</v>
      </c>
      <c r="G200" s="1">
        <f>EOMONTH(tblData[[#This Row],[Rental Date]],0)</f>
        <v>46112</v>
      </c>
      <c r="H200" t="s">
        <v>204</v>
      </c>
      <c r="I200" t="s">
        <v>48</v>
      </c>
      <c r="J200" t="s">
        <v>127</v>
      </c>
      <c r="K200" t="s">
        <v>60</v>
      </c>
      <c r="L200">
        <v>1</v>
      </c>
      <c r="M200" s="2">
        <v>10</v>
      </c>
      <c r="N200" t="s">
        <v>87</v>
      </c>
      <c r="O200" s="3">
        <v>10</v>
      </c>
      <c r="P200" s="3">
        <v>0</v>
      </c>
      <c r="Q200" s="2">
        <v>20</v>
      </c>
      <c r="R200" t="s">
        <v>57</v>
      </c>
      <c r="S200" t="s">
        <v>50</v>
      </c>
      <c r="T200" t="s">
        <v>90</v>
      </c>
      <c r="U200" t="s">
        <v>58</v>
      </c>
    </row>
    <row r="201" spans="1:21" x14ac:dyDescent="0.35">
      <c r="A201" t="s">
        <v>278</v>
      </c>
      <c r="B201" s="1">
        <v>46101</v>
      </c>
      <c r="C201" t="str">
        <f>TEXT(tblData[[#This Row],[Rental Date]],"mmm")</f>
        <v>Mar</v>
      </c>
      <c r="D201" t="str">
        <f>TEXT(tblData[[#This Row],[Rental Date]],"mmmm")</f>
        <v>March</v>
      </c>
      <c r="E201" t="s">
        <v>38</v>
      </c>
      <c r="F201" t="str">
        <f>TEXT(WEEKNUM(tblData[[#This Row],[Rental Date]]),"00")</f>
        <v>12</v>
      </c>
      <c r="G201" s="1">
        <f>EOMONTH(tblData[[#This Row],[Rental Date]],0)</f>
        <v>46112</v>
      </c>
      <c r="H201" t="s">
        <v>204</v>
      </c>
      <c r="I201" t="s">
        <v>32</v>
      </c>
      <c r="J201" t="s">
        <v>65</v>
      </c>
      <c r="K201" t="s">
        <v>60</v>
      </c>
      <c r="L201">
        <v>1</v>
      </c>
      <c r="M201" s="2">
        <v>12</v>
      </c>
      <c r="N201" t="s">
        <v>26</v>
      </c>
      <c r="O201" s="3">
        <v>0</v>
      </c>
      <c r="P201" s="3">
        <v>0.6</v>
      </c>
      <c r="Q201" s="2">
        <v>11.4</v>
      </c>
      <c r="R201" t="s">
        <v>94</v>
      </c>
      <c r="S201" t="s">
        <v>46</v>
      </c>
      <c r="T201" t="s">
        <v>29</v>
      </c>
      <c r="U201" t="s">
        <v>58</v>
      </c>
    </row>
    <row r="202" spans="1:21" x14ac:dyDescent="0.35">
      <c r="A202" t="s">
        <v>279</v>
      </c>
      <c r="B202" s="1">
        <v>46101</v>
      </c>
      <c r="C202" t="str">
        <f>TEXT(tblData[[#This Row],[Rental Date]],"mmm")</f>
        <v>Mar</v>
      </c>
      <c r="D202" t="str">
        <f>TEXT(tblData[[#This Row],[Rental Date]],"mmmm")</f>
        <v>March</v>
      </c>
      <c r="E202" t="s">
        <v>38</v>
      </c>
      <c r="F202" t="str">
        <f>TEXT(WEEKNUM(tblData[[#This Row],[Rental Date]]),"00")</f>
        <v>12</v>
      </c>
      <c r="G202" s="1">
        <f>EOMONTH(tblData[[#This Row],[Rental Date]],0)</f>
        <v>46112</v>
      </c>
      <c r="H202" t="s">
        <v>204</v>
      </c>
      <c r="I202" t="s">
        <v>53</v>
      </c>
      <c r="J202" t="s">
        <v>78</v>
      </c>
      <c r="K202" t="s">
        <v>60</v>
      </c>
      <c r="L202">
        <v>1</v>
      </c>
      <c r="M202" s="2">
        <v>26</v>
      </c>
      <c r="N202" t="s">
        <v>70</v>
      </c>
      <c r="O202" s="3">
        <v>7</v>
      </c>
      <c r="P202" s="3">
        <v>4.95</v>
      </c>
      <c r="Q202" s="2">
        <v>28.05</v>
      </c>
      <c r="R202" t="s">
        <v>71</v>
      </c>
      <c r="S202" t="s">
        <v>28</v>
      </c>
      <c r="T202" t="s">
        <v>90</v>
      </c>
      <c r="U202" t="s">
        <v>79</v>
      </c>
    </row>
    <row r="203" spans="1:21" x14ac:dyDescent="0.35">
      <c r="A203" t="s">
        <v>280</v>
      </c>
      <c r="B203" s="1">
        <v>46101</v>
      </c>
      <c r="C203" t="str">
        <f>TEXT(tblData[[#This Row],[Rental Date]],"mmm")</f>
        <v>Mar</v>
      </c>
      <c r="D203" t="str">
        <f>TEXT(tblData[[#This Row],[Rental Date]],"mmmm")</f>
        <v>March</v>
      </c>
      <c r="E203" t="s">
        <v>38</v>
      </c>
      <c r="F203" t="str">
        <f>TEXT(WEEKNUM(tblData[[#This Row],[Rental Date]]),"00")</f>
        <v>12</v>
      </c>
      <c r="G203" s="1">
        <f>EOMONTH(tblData[[#This Row],[Rental Date]],0)</f>
        <v>46112</v>
      </c>
      <c r="H203" t="s">
        <v>204</v>
      </c>
      <c r="I203" t="s">
        <v>39</v>
      </c>
      <c r="J203" t="s">
        <v>138</v>
      </c>
      <c r="K203" t="s">
        <v>60</v>
      </c>
      <c r="L203">
        <v>1</v>
      </c>
      <c r="M203" s="2">
        <v>30</v>
      </c>
      <c r="N203" t="s">
        <v>26</v>
      </c>
      <c r="O203" s="3">
        <v>0</v>
      </c>
      <c r="P203" s="3">
        <v>0</v>
      </c>
      <c r="Q203" s="2">
        <v>30</v>
      </c>
      <c r="R203" t="s">
        <v>66</v>
      </c>
      <c r="S203" t="s">
        <v>46</v>
      </c>
      <c r="T203" t="s">
        <v>29</v>
      </c>
      <c r="U203" t="s">
        <v>30</v>
      </c>
    </row>
    <row r="204" spans="1:21" x14ac:dyDescent="0.35">
      <c r="A204" t="s">
        <v>281</v>
      </c>
      <c r="B204" s="1">
        <v>46102</v>
      </c>
      <c r="C204" t="str">
        <f>TEXT(tblData[[#This Row],[Rental Date]],"mmm")</f>
        <v>Mar</v>
      </c>
      <c r="D204" t="str">
        <f>TEXT(tblData[[#This Row],[Rental Date]],"mmmm")</f>
        <v>March</v>
      </c>
      <c r="E204" t="s">
        <v>56</v>
      </c>
      <c r="F204" t="str">
        <f>TEXT(WEEKNUM(tblData[[#This Row],[Rental Date]]),"00")</f>
        <v>12</v>
      </c>
      <c r="G204" s="1">
        <f>EOMONTH(tblData[[#This Row],[Rental Date]],0)</f>
        <v>46112</v>
      </c>
      <c r="H204" t="s">
        <v>204</v>
      </c>
      <c r="I204" t="s">
        <v>39</v>
      </c>
      <c r="J204" t="s">
        <v>127</v>
      </c>
      <c r="K204" t="s">
        <v>25</v>
      </c>
      <c r="L204">
        <v>1</v>
      </c>
      <c r="M204" s="2">
        <v>17.28</v>
      </c>
      <c r="N204" t="s">
        <v>26</v>
      </c>
      <c r="O204" s="3">
        <v>0</v>
      </c>
      <c r="P204" s="3">
        <v>0</v>
      </c>
      <c r="Q204" s="2">
        <v>17.28</v>
      </c>
      <c r="R204" t="s">
        <v>57</v>
      </c>
      <c r="S204" t="s">
        <v>28</v>
      </c>
      <c r="T204" t="s">
        <v>90</v>
      </c>
      <c r="U204" t="s">
        <v>30</v>
      </c>
    </row>
    <row r="205" spans="1:21" x14ac:dyDescent="0.35">
      <c r="A205" t="s">
        <v>282</v>
      </c>
      <c r="B205" s="1">
        <v>46102</v>
      </c>
      <c r="C205" t="str">
        <f>TEXT(tblData[[#This Row],[Rental Date]],"mmm")</f>
        <v>Mar</v>
      </c>
      <c r="D205" t="str">
        <f>TEXT(tblData[[#This Row],[Rental Date]],"mmmm")</f>
        <v>March</v>
      </c>
      <c r="E205" t="s">
        <v>56</v>
      </c>
      <c r="F205" t="str">
        <f>TEXT(WEEKNUM(tblData[[#This Row],[Rental Date]]),"00")</f>
        <v>12</v>
      </c>
      <c r="G205" s="1">
        <f>EOMONTH(tblData[[#This Row],[Rental Date]],0)</f>
        <v>46112</v>
      </c>
      <c r="H205" t="s">
        <v>204</v>
      </c>
      <c r="I205" t="s">
        <v>48</v>
      </c>
      <c r="J205" t="s">
        <v>49</v>
      </c>
      <c r="K205" t="s">
        <v>60</v>
      </c>
      <c r="L205">
        <v>1</v>
      </c>
      <c r="M205" s="2">
        <v>23.76</v>
      </c>
      <c r="N205" t="s">
        <v>89</v>
      </c>
      <c r="O205" s="3">
        <v>6</v>
      </c>
      <c r="P205" s="3">
        <v>0</v>
      </c>
      <c r="Q205" s="2">
        <v>29.76</v>
      </c>
      <c r="R205" t="s">
        <v>27</v>
      </c>
      <c r="S205" t="s">
        <v>28</v>
      </c>
      <c r="T205" t="s">
        <v>51</v>
      </c>
      <c r="U205" t="s">
        <v>79</v>
      </c>
    </row>
    <row r="206" spans="1:21" x14ac:dyDescent="0.35">
      <c r="A206" t="s">
        <v>283</v>
      </c>
      <c r="B206" s="1">
        <v>46102</v>
      </c>
      <c r="C206" t="str">
        <f>TEXT(tblData[[#This Row],[Rental Date]],"mmm")</f>
        <v>Mar</v>
      </c>
      <c r="D206" t="str">
        <f>TEXT(tblData[[#This Row],[Rental Date]],"mmmm")</f>
        <v>March</v>
      </c>
      <c r="E206" t="s">
        <v>56</v>
      </c>
      <c r="F206" t="str">
        <f>TEXT(WEEKNUM(tblData[[#This Row],[Rental Date]]),"00")</f>
        <v>12</v>
      </c>
      <c r="G206" s="1">
        <f>EOMONTH(tblData[[#This Row],[Rental Date]],0)</f>
        <v>46112</v>
      </c>
      <c r="H206" t="s">
        <v>204</v>
      </c>
      <c r="I206" t="s">
        <v>32</v>
      </c>
      <c r="J206" t="s">
        <v>24</v>
      </c>
      <c r="K206" t="s">
        <v>25</v>
      </c>
      <c r="L206">
        <v>1</v>
      </c>
      <c r="M206" s="2">
        <v>54</v>
      </c>
      <c r="N206" t="s">
        <v>61</v>
      </c>
      <c r="O206" s="3">
        <v>8</v>
      </c>
      <c r="P206" s="3">
        <v>6.2</v>
      </c>
      <c r="Q206" s="2">
        <v>55.8</v>
      </c>
      <c r="R206" t="s">
        <v>66</v>
      </c>
      <c r="S206" t="s">
        <v>46</v>
      </c>
      <c r="T206" t="s">
        <v>29</v>
      </c>
      <c r="U206" t="s">
        <v>58</v>
      </c>
    </row>
    <row r="207" spans="1:21" x14ac:dyDescent="0.35">
      <c r="A207" t="s">
        <v>284</v>
      </c>
      <c r="B207" s="1">
        <v>46102</v>
      </c>
      <c r="C207" t="str">
        <f>TEXT(tblData[[#This Row],[Rental Date]],"mmm")</f>
        <v>Mar</v>
      </c>
      <c r="D207" t="str">
        <f>TEXT(tblData[[#This Row],[Rental Date]],"mmmm")</f>
        <v>March</v>
      </c>
      <c r="E207" t="s">
        <v>56</v>
      </c>
      <c r="F207" t="str">
        <f>TEXT(WEEKNUM(tblData[[#This Row],[Rental Date]]),"00")</f>
        <v>12</v>
      </c>
      <c r="G207" s="1">
        <f>EOMONTH(tblData[[#This Row],[Rental Date]],0)</f>
        <v>46112</v>
      </c>
      <c r="H207" t="s">
        <v>204</v>
      </c>
      <c r="I207" t="s">
        <v>48</v>
      </c>
      <c r="J207" t="s">
        <v>127</v>
      </c>
      <c r="K207" t="s">
        <v>60</v>
      </c>
      <c r="L207">
        <v>1</v>
      </c>
      <c r="M207" s="2">
        <v>10.8</v>
      </c>
      <c r="N207" t="s">
        <v>87</v>
      </c>
      <c r="O207" s="3">
        <v>10</v>
      </c>
      <c r="P207" s="3">
        <v>0</v>
      </c>
      <c r="Q207" s="2">
        <v>20.8</v>
      </c>
      <c r="R207" t="s">
        <v>71</v>
      </c>
      <c r="S207" t="s">
        <v>54</v>
      </c>
      <c r="T207" t="s">
        <v>90</v>
      </c>
      <c r="U207" t="s">
        <v>30</v>
      </c>
    </row>
    <row r="208" spans="1:21" x14ac:dyDescent="0.35">
      <c r="A208" t="s">
        <v>285</v>
      </c>
      <c r="B208" s="1">
        <v>46102</v>
      </c>
      <c r="C208" t="str">
        <f>TEXT(tblData[[#This Row],[Rental Date]],"mmm")</f>
        <v>Mar</v>
      </c>
      <c r="D208" t="str">
        <f>TEXT(tblData[[#This Row],[Rental Date]],"mmmm")</f>
        <v>March</v>
      </c>
      <c r="E208" t="s">
        <v>56</v>
      </c>
      <c r="F208" t="str">
        <f>TEXT(WEEKNUM(tblData[[#This Row],[Rental Date]]),"00")</f>
        <v>12</v>
      </c>
      <c r="G208" s="1">
        <f>EOMONTH(tblData[[#This Row],[Rental Date]],0)</f>
        <v>46112</v>
      </c>
      <c r="H208" t="s">
        <v>204</v>
      </c>
      <c r="I208" t="s">
        <v>39</v>
      </c>
      <c r="J208" t="s">
        <v>65</v>
      </c>
      <c r="K208" t="s">
        <v>40</v>
      </c>
      <c r="L208">
        <v>1</v>
      </c>
      <c r="M208" s="2">
        <v>30.24</v>
      </c>
      <c r="N208" t="s">
        <v>41</v>
      </c>
      <c r="O208" s="3">
        <v>5</v>
      </c>
      <c r="P208" s="3">
        <v>0</v>
      </c>
      <c r="Q208" s="2">
        <v>35.24</v>
      </c>
      <c r="R208" t="s">
        <v>57</v>
      </c>
      <c r="S208" t="s">
        <v>46</v>
      </c>
      <c r="T208" t="s">
        <v>29</v>
      </c>
      <c r="U208" t="s">
        <v>58</v>
      </c>
    </row>
    <row r="209" spans="1:21" x14ac:dyDescent="0.35">
      <c r="A209" t="s">
        <v>286</v>
      </c>
      <c r="B209" s="1">
        <v>46102</v>
      </c>
      <c r="C209" t="str">
        <f>TEXT(tblData[[#This Row],[Rental Date]],"mmm")</f>
        <v>Mar</v>
      </c>
      <c r="D209" t="str">
        <f>TEXT(tblData[[#This Row],[Rental Date]],"mmmm")</f>
        <v>March</v>
      </c>
      <c r="E209" t="s">
        <v>56</v>
      </c>
      <c r="F209" t="str">
        <f>TEXT(WEEKNUM(tblData[[#This Row],[Rental Date]]),"00")</f>
        <v>12</v>
      </c>
      <c r="G209" s="1">
        <f>EOMONTH(tblData[[#This Row],[Rental Date]],0)</f>
        <v>46112</v>
      </c>
      <c r="H209" t="s">
        <v>204</v>
      </c>
      <c r="I209" t="s">
        <v>39</v>
      </c>
      <c r="J209" t="s">
        <v>111</v>
      </c>
      <c r="K209" t="s">
        <v>60</v>
      </c>
      <c r="L209">
        <v>1</v>
      </c>
      <c r="M209" s="2">
        <v>15.12</v>
      </c>
      <c r="N209" t="s">
        <v>26</v>
      </c>
      <c r="O209" s="3">
        <v>0</v>
      </c>
      <c r="P209" s="3">
        <v>0</v>
      </c>
      <c r="Q209" s="2">
        <v>15.12</v>
      </c>
      <c r="R209" t="s">
        <v>76</v>
      </c>
      <c r="S209" t="s">
        <v>28</v>
      </c>
      <c r="T209" t="s">
        <v>29</v>
      </c>
      <c r="U209" t="s">
        <v>58</v>
      </c>
    </row>
    <row r="210" spans="1:21" x14ac:dyDescent="0.35">
      <c r="A210" t="s">
        <v>287</v>
      </c>
      <c r="B210" s="1">
        <v>46102</v>
      </c>
      <c r="C210" t="str">
        <f>TEXT(tblData[[#This Row],[Rental Date]],"mmm")</f>
        <v>Mar</v>
      </c>
      <c r="D210" t="str">
        <f>TEXT(tblData[[#This Row],[Rental Date]],"mmmm")</f>
        <v>March</v>
      </c>
      <c r="E210" t="s">
        <v>56</v>
      </c>
      <c r="F210" t="str">
        <f>TEXT(WEEKNUM(tblData[[#This Row],[Rental Date]]),"00")</f>
        <v>12</v>
      </c>
      <c r="G210" s="1">
        <f>EOMONTH(tblData[[#This Row],[Rental Date]],0)</f>
        <v>46112</v>
      </c>
      <c r="H210" t="s">
        <v>204</v>
      </c>
      <c r="I210" t="s">
        <v>39</v>
      </c>
      <c r="J210" t="s">
        <v>33</v>
      </c>
      <c r="K210" t="s">
        <v>40</v>
      </c>
      <c r="L210">
        <v>1</v>
      </c>
      <c r="M210" s="2">
        <v>62.64</v>
      </c>
      <c r="N210" t="s">
        <v>41</v>
      </c>
      <c r="O210" s="3">
        <v>5</v>
      </c>
      <c r="P210" s="3">
        <v>0</v>
      </c>
      <c r="Q210" s="2">
        <v>67.64</v>
      </c>
      <c r="R210" t="s">
        <v>94</v>
      </c>
      <c r="S210" t="s">
        <v>54</v>
      </c>
      <c r="T210" t="s">
        <v>29</v>
      </c>
      <c r="U210" t="s">
        <v>30</v>
      </c>
    </row>
    <row r="211" spans="1:21" x14ac:dyDescent="0.35">
      <c r="A211" t="s">
        <v>288</v>
      </c>
      <c r="B211" s="1">
        <v>46102</v>
      </c>
      <c r="C211" t="str">
        <f>TEXT(tblData[[#This Row],[Rental Date]],"mmm")</f>
        <v>Mar</v>
      </c>
      <c r="D211" t="str">
        <f>TEXT(tblData[[#This Row],[Rental Date]],"mmmm")</f>
        <v>March</v>
      </c>
      <c r="E211" t="s">
        <v>56</v>
      </c>
      <c r="F211" t="str">
        <f>TEXT(WEEKNUM(tblData[[#This Row],[Rental Date]]),"00")</f>
        <v>12</v>
      </c>
      <c r="G211" s="1">
        <f>EOMONTH(tblData[[#This Row],[Rental Date]],0)</f>
        <v>46112</v>
      </c>
      <c r="H211" t="s">
        <v>204</v>
      </c>
      <c r="I211" t="s">
        <v>48</v>
      </c>
      <c r="J211" t="s">
        <v>33</v>
      </c>
      <c r="K211" t="s">
        <v>40</v>
      </c>
      <c r="L211">
        <v>1</v>
      </c>
      <c r="M211" s="2">
        <v>62.64</v>
      </c>
      <c r="N211" t="s">
        <v>26</v>
      </c>
      <c r="O211" s="3">
        <v>0</v>
      </c>
      <c r="P211" s="3">
        <v>0</v>
      </c>
      <c r="Q211" s="2">
        <v>62.64</v>
      </c>
      <c r="R211" t="s">
        <v>71</v>
      </c>
      <c r="S211" t="s">
        <v>46</v>
      </c>
      <c r="T211" t="s">
        <v>63</v>
      </c>
      <c r="U211" t="s">
        <v>30</v>
      </c>
    </row>
    <row r="212" spans="1:21" x14ac:dyDescent="0.35">
      <c r="A212" t="s">
        <v>289</v>
      </c>
      <c r="B212" s="1">
        <v>46102</v>
      </c>
      <c r="C212" t="str">
        <f>TEXT(tblData[[#This Row],[Rental Date]],"mmm")</f>
        <v>Mar</v>
      </c>
      <c r="D212" t="str">
        <f>TEXT(tblData[[#This Row],[Rental Date]],"mmmm")</f>
        <v>March</v>
      </c>
      <c r="E212" t="s">
        <v>56</v>
      </c>
      <c r="F212" t="str">
        <f>TEXT(WEEKNUM(tblData[[#This Row],[Rental Date]]),"00")</f>
        <v>12</v>
      </c>
      <c r="G212" s="1">
        <f>EOMONTH(tblData[[#This Row],[Rental Date]],0)</f>
        <v>46112</v>
      </c>
      <c r="H212" t="s">
        <v>204</v>
      </c>
      <c r="I212" t="s">
        <v>32</v>
      </c>
      <c r="J212" t="s">
        <v>24</v>
      </c>
      <c r="K212" t="s">
        <v>92</v>
      </c>
      <c r="L212">
        <v>1</v>
      </c>
      <c r="M212" s="2">
        <v>118.8</v>
      </c>
      <c r="N212" t="s">
        <v>89</v>
      </c>
      <c r="O212" s="3">
        <v>6</v>
      </c>
      <c r="P212" s="3">
        <v>6.24</v>
      </c>
      <c r="Q212" s="2">
        <v>118.56</v>
      </c>
      <c r="R212" t="s">
        <v>27</v>
      </c>
      <c r="S212" t="s">
        <v>46</v>
      </c>
      <c r="T212" t="s">
        <v>29</v>
      </c>
      <c r="U212" t="s">
        <v>58</v>
      </c>
    </row>
    <row r="213" spans="1:21" x14ac:dyDescent="0.35">
      <c r="A213" t="s">
        <v>290</v>
      </c>
      <c r="B213" s="1">
        <v>46102</v>
      </c>
      <c r="C213" t="str">
        <f>TEXT(tblData[[#This Row],[Rental Date]],"mmm")</f>
        <v>Mar</v>
      </c>
      <c r="D213" t="str">
        <f>TEXT(tblData[[#This Row],[Rental Date]],"mmmm")</f>
        <v>March</v>
      </c>
      <c r="E213" t="s">
        <v>56</v>
      </c>
      <c r="F213" t="str">
        <f>TEXT(WEEKNUM(tblData[[#This Row],[Rental Date]]),"00")</f>
        <v>12</v>
      </c>
      <c r="G213" s="1">
        <f>EOMONTH(tblData[[#This Row],[Rental Date]],0)</f>
        <v>46112</v>
      </c>
      <c r="H213" t="s">
        <v>204</v>
      </c>
      <c r="I213" t="s">
        <v>23</v>
      </c>
      <c r="J213" t="s">
        <v>111</v>
      </c>
      <c r="K213" t="s">
        <v>40</v>
      </c>
      <c r="L213">
        <v>1</v>
      </c>
      <c r="M213" s="2">
        <v>36.72</v>
      </c>
      <c r="N213" t="s">
        <v>26</v>
      </c>
      <c r="O213" s="3">
        <v>0</v>
      </c>
      <c r="P213" s="3">
        <v>0</v>
      </c>
      <c r="Q213" s="2">
        <v>36.72</v>
      </c>
      <c r="R213" t="s">
        <v>34</v>
      </c>
      <c r="S213" t="s">
        <v>50</v>
      </c>
      <c r="T213" t="s">
        <v>51</v>
      </c>
      <c r="U213" t="s">
        <v>79</v>
      </c>
    </row>
    <row r="214" spans="1:21" x14ac:dyDescent="0.35">
      <c r="A214" t="s">
        <v>291</v>
      </c>
      <c r="B214" s="1">
        <v>46102</v>
      </c>
      <c r="C214" t="str">
        <f>TEXT(tblData[[#This Row],[Rental Date]],"mmm")</f>
        <v>Mar</v>
      </c>
      <c r="D214" t="str">
        <f>TEXT(tblData[[#This Row],[Rental Date]],"mmmm")</f>
        <v>March</v>
      </c>
      <c r="E214" t="s">
        <v>56</v>
      </c>
      <c r="F214" t="str">
        <f>TEXT(WEEKNUM(tblData[[#This Row],[Rental Date]]),"00")</f>
        <v>12</v>
      </c>
      <c r="G214" s="1">
        <f>EOMONTH(tblData[[#This Row],[Rental Date]],0)</f>
        <v>46112</v>
      </c>
      <c r="H214" t="s">
        <v>204</v>
      </c>
      <c r="I214" t="s">
        <v>39</v>
      </c>
      <c r="J214" t="s">
        <v>138</v>
      </c>
      <c r="K214" t="s">
        <v>25</v>
      </c>
      <c r="L214">
        <v>1</v>
      </c>
      <c r="M214" s="2">
        <v>51.84</v>
      </c>
      <c r="N214" t="s">
        <v>87</v>
      </c>
      <c r="O214" s="3">
        <v>10</v>
      </c>
      <c r="P214" s="3">
        <v>3.09</v>
      </c>
      <c r="Q214" s="2">
        <v>58.75</v>
      </c>
      <c r="R214" t="s">
        <v>66</v>
      </c>
      <c r="S214" t="s">
        <v>50</v>
      </c>
      <c r="T214" t="s">
        <v>51</v>
      </c>
      <c r="U214" t="s">
        <v>36</v>
      </c>
    </row>
    <row r="215" spans="1:21" x14ac:dyDescent="0.35">
      <c r="A215" t="s">
        <v>292</v>
      </c>
      <c r="B215" s="1">
        <v>46103</v>
      </c>
      <c r="C215" t="str">
        <f>TEXT(tblData[[#This Row],[Rental Date]],"mmm")</f>
        <v>Mar</v>
      </c>
      <c r="D215" t="str">
        <f>TEXT(tblData[[#This Row],[Rental Date]],"mmmm")</f>
        <v>March</v>
      </c>
      <c r="E215" t="s">
        <v>68</v>
      </c>
      <c r="F215" t="str">
        <f>TEXT(WEEKNUM(tblData[[#This Row],[Rental Date]]),"00")</f>
        <v>13</v>
      </c>
      <c r="G215" s="1">
        <f>EOMONTH(tblData[[#This Row],[Rental Date]],0)</f>
        <v>46112</v>
      </c>
      <c r="H215" t="s">
        <v>204</v>
      </c>
      <c r="I215" t="s">
        <v>23</v>
      </c>
      <c r="J215" t="s">
        <v>33</v>
      </c>
      <c r="K215" t="s">
        <v>25</v>
      </c>
      <c r="L215">
        <v>1</v>
      </c>
      <c r="M215" s="2">
        <v>41.04</v>
      </c>
      <c r="N215" t="s">
        <v>70</v>
      </c>
      <c r="O215" s="3">
        <v>7</v>
      </c>
      <c r="P215" s="3">
        <v>0</v>
      </c>
      <c r="Q215" s="2">
        <v>48.04</v>
      </c>
      <c r="R215" t="s">
        <v>42</v>
      </c>
      <c r="S215" t="s">
        <v>28</v>
      </c>
      <c r="T215" t="s">
        <v>63</v>
      </c>
      <c r="U215" t="s">
        <v>30</v>
      </c>
    </row>
    <row r="216" spans="1:21" x14ac:dyDescent="0.35">
      <c r="A216" t="s">
        <v>293</v>
      </c>
      <c r="B216" s="1">
        <v>46103</v>
      </c>
      <c r="C216" t="str">
        <f>TEXT(tblData[[#This Row],[Rental Date]],"mmm")</f>
        <v>Mar</v>
      </c>
      <c r="D216" t="str">
        <f>TEXT(tblData[[#This Row],[Rental Date]],"mmmm")</f>
        <v>March</v>
      </c>
      <c r="E216" t="s">
        <v>68</v>
      </c>
      <c r="F216" t="str">
        <f>TEXT(WEEKNUM(tblData[[#This Row],[Rental Date]]),"00")</f>
        <v>13</v>
      </c>
      <c r="G216" s="1">
        <f>EOMONTH(tblData[[#This Row],[Rental Date]],0)</f>
        <v>46112</v>
      </c>
      <c r="H216" t="s">
        <v>204</v>
      </c>
      <c r="I216" t="s">
        <v>32</v>
      </c>
      <c r="J216" t="s">
        <v>33</v>
      </c>
      <c r="K216" t="s">
        <v>60</v>
      </c>
      <c r="L216">
        <v>1</v>
      </c>
      <c r="M216" s="2">
        <v>25.92</v>
      </c>
      <c r="N216" t="s">
        <v>41</v>
      </c>
      <c r="O216" s="3">
        <v>5</v>
      </c>
      <c r="P216" s="3">
        <v>0</v>
      </c>
      <c r="Q216" s="2">
        <v>30.92</v>
      </c>
      <c r="R216" t="s">
        <v>42</v>
      </c>
      <c r="S216" t="s">
        <v>54</v>
      </c>
      <c r="T216" t="s">
        <v>29</v>
      </c>
      <c r="U216" t="s">
        <v>30</v>
      </c>
    </row>
    <row r="217" spans="1:21" x14ac:dyDescent="0.35">
      <c r="A217" t="s">
        <v>294</v>
      </c>
      <c r="B217" s="1">
        <v>46103</v>
      </c>
      <c r="C217" t="str">
        <f>TEXT(tblData[[#This Row],[Rental Date]],"mmm")</f>
        <v>Mar</v>
      </c>
      <c r="D217" t="str">
        <f>TEXT(tblData[[#This Row],[Rental Date]],"mmmm")</f>
        <v>March</v>
      </c>
      <c r="E217" t="s">
        <v>68</v>
      </c>
      <c r="F217" t="str">
        <f>TEXT(WEEKNUM(tblData[[#This Row],[Rental Date]]),"00")</f>
        <v>13</v>
      </c>
      <c r="G217" s="1">
        <f>EOMONTH(tblData[[#This Row],[Rental Date]],0)</f>
        <v>46112</v>
      </c>
      <c r="H217" t="s">
        <v>204</v>
      </c>
      <c r="I217" t="s">
        <v>32</v>
      </c>
      <c r="J217" t="s">
        <v>44</v>
      </c>
      <c r="K217" t="s">
        <v>25</v>
      </c>
      <c r="L217">
        <v>1</v>
      </c>
      <c r="M217" s="2">
        <v>56.16</v>
      </c>
      <c r="N217" t="s">
        <v>89</v>
      </c>
      <c r="O217" s="3">
        <v>6</v>
      </c>
      <c r="P217" s="3">
        <v>3.11</v>
      </c>
      <c r="Q217" s="2">
        <v>59.05</v>
      </c>
      <c r="R217" t="s">
        <v>94</v>
      </c>
      <c r="S217" t="s">
        <v>54</v>
      </c>
      <c r="T217" t="s">
        <v>29</v>
      </c>
      <c r="U217" t="s">
        <v>30</v>
      </c>
    </row>
    <row r="218" spans="1:21" x14ac:dyDescent="0.35">
      <c r="A218" t="s">
        <v>295</v>
      </c>
      <c r="B218" s="1">
        <v>46103</v>
      </c>
      <c r="C218" t="str">
        <f>TEXT(tblData[[#This Row],[Rental Date]],"mmm")</f>
        <v>Mar</v>
      </c>
      <c r="D218" t="str">
        <f>TEXT(tblData[[#This Row],[Rental Date]],"mmmm")</f>
        <v>March</v>
      </c>
      <c r="E218" t="s">
        <v>68</v>
      </c>
      <c r="F218" t="str">
        <f>TEXT(WEEKNUM(tblData[[#This Row],[Rental Date]]),"00")</f>
        <v>13</v>
      </c>
      <c r="G218" s="1">
        <f>EOMONTH(tblData[[#This Row],[Rental Date]],0)</f>
        <v>46112</v>
      </c>
      <c r="H218" t="s">
        <v>204</v>
      </c>
      <c r="I218" t="s">
        <v>32</v>
      </c>
      <c r="J218" t="s">
        <v>24</v>
      </c>
      <c r="K218" t="s">
        <v>92</v>
      </c>
      <c r="L218">
        <v>1</v>
      </c>
      <c r="M218" s="2">
        <v>118.8</v>
      </c>
      <c r="N218" t="s">
        <v>26</v>
      </c>
      <c r="O218" s="3">
        <v>0</v>
      </c>
      <c r="P218" s="3">
        <v>5.94</v>
      </c>
      <c r="Q218" s="2">
        <v>112.86</v>
      </c>
      <c r="R218" t="s">
        <v>76</v>
      </c>
      <c r="S218" t="s">
        <v>46</v>
      </c>
      <c r="T218" t="s">
        <v>63</v>
      </c>
      <c r="U218" t="s">
        <v>30</v>
      </c>
    </row>
    <row r="219" spans="1:21" x14ac:dyDescent="0.35">
      <c r="A219" t="s">
        <v>296</v>
      </c>
      <c r="B219" s="1">
        <v>46103</v>
      </c>
      <c r="C219" t="str">
        <f>TEXT(tblData[[#This Row],[Rental Date]],"mmm")</f>
        <v>Mar</v>
      </c>
      <c r="D219" t="str">
        <f>TEXT(tblData[[#This Row],[Rental Date]],"mmmm")</f>
        <v>March</v>
      </c>
      <c r="E219" t="s">
        <v>68</v>
      </c>
      <c r="F219" t="str">
        <f>TEXT(WEEKNUM(tblData[[#This Row],[Rental Date]]),"00")</f>
        <v>13</v>
      </c>
      <c r="G219" s="1">
        <f>EOMONTH(tblData[[#This Row],[Rental Date]],0)</f>
        <v>46112</v>
      </c>
      <c r="H219" t="s">
        <v>204</v>
      </c>
      <c r="I219" t="s">
        <v>39</v>
      </c>
      <c r="J219" t="s">
        <v>33</v>
      </c>
      <c r="K219" t="s">
        <v>25</v>
      </c>
      <c r="L219">
        <v>1</v>
      </c>
      <c r="M219" s="2">
        <v>41.04</v>
      </c>
      <c r="N219" t="s">
        <v>89</v>
      </c>
      <c r="O219" s="3">
        <v>6</v>
      </c>
      <c r="P219" s="3">
        <v>0</v>
      </c>
      <c r="Q219" s="2">
        <v>47.04</v>
      </c>
      <c r="R219" t="s">
        <v>71</v>
      </c>
      <c r="S219" t="s">
        <v>50</v>
      </c>
      <c r="T219" t="s">
        <v>51</v>
      </c>
      <c r="U219" t="s">
        <v>30</v>
      </c>
    </row>
    <row r="220" spans="1:21" x14ac:dyDescent="0.35">
      <c r="A220" t="s">
        <v>297</v>
      </c>
      <c r="B220" s="1">
        <v>46103</v>
      </c>
      <c r="C220" t="str">
        <f>TEXT(tblData[[#This Row],[Rental Date]],"mmm")</f>
        <v>Mar</v>
      </c>
      <c r="D220" t="str">
        <f>TEXT(tblData[[#This Row],[Rental Date]],"mmmm")</f>
        <v>March</v>
      </c>
      <c r="E220" t="s">
        <v>68</v>
      </c>
      <c r="F220" t="str">
        <f>TEXT(WEEKNUM(tblData[[#This Row],[Rental Date]]),"00")</f>
        <v>13</v>
      </c>
      <c r="G220" s="1">
        <f>EOMONTH(tblData[[#This Row],[Rental Date]],0)</f>
        <v>46112</v>
      </c>
      <c r="H220" t="s">
        <v>204</v>
      </c>
      <c r="I220" t="s">
        <v>48</v>
      </c>
      <c r="J220" t="s">
        <v>49</v>
      </c>
      <c r="K220" t="s">
        <v>60</v>
      </c>
      <c r="L220">
        <v>1</v>
      </c>
      <c r="M220" s="2">
        <v>23.76</v>
      </c>
      <c r="N220" t="s">
        <v>26</v>
      </c>
      <c r="O220" s="3">
        <v>0</v>
      </c>
      <c r="P220" s="3">
        <v>0</v>
      </c>
      <c r="Q220" s="2">
        <v>23.76</v>
      </c>
      <c r="R220" t="s">
        <v>27</v>
      </c>
      <c r="S220" t="s">
        <v>46</v>
      </c>
      <c r="T220" t="s">
        <v>90</v>
      </c>
      <c r="U220" t="s">
        <v>30</v>
      </c>
    </row>
    <row r="221" spans="1:21" x14ac:dyDescent="0.35">
      <c r="A221" t="s">
        <v>298</v>
      </c>
      <c r="B221" s="1">
        <v>46104</v>
      </c>
      <c r="C221" t="str">
        <f>TEXT(tblData[[#This Row],[Rental Date]],"mmm")</f>
        <v>Mar</v>
      </c>
      <c r="D221" t="str">
        <f>TEXT(tblData[[#This Row],[Rental Date]],"mmmm")</f>
        <v>March</v>
      </c>
      <c r="E221" t="s">
        <v>74</v>
      </c>
      <c r="F221" t="str">
        <f>TEXT(WEEKNUM(tblData[[#This Row],[Rental Date]]),"00")</f>
        <v>13</v>
      </c>
      <c r="G221" s="1">
        <f>EOMONTH(tblData[[#This Row],[Rental Date]],0)</f>
        <v>46112</v>
      </c>
      <c r="H221" t="s">
        <v>204</v>
      </c>
      <c r="I221" t="s">
        <v>48</v>
      </c>
      <c r="J221" t="s">
        <v>65</v>
      </c>
      <c r="K221" t="s">
        <v>25</v>
      </c>
      <c r="L221">
        <v>1</v>
      </c>
      <c r="M221" s="2">
        <v>18</v>
      </c>
      <c r="N221" t="s">
        <v>61</v>
      </c>
      <c r="O221" s="3">
        <v>8</v>
      </c>
      <c r="P221" s="3">
        <v>0</v>
      </c>
      <c r="Q221" s="2">
        <v>26</v>
      </c>
      <c r="R221" t="s">
        <v>34</v>
      </c>
      <c r="S221" t="s">
        <v>35</v>
      </c>
      <c r="T221" t="s">
        <v>90</v>
      </c>
      <c r="U221" t="s">
        <v>36</v>
      </c>
    </row>
    <row r="222" spans="1:21" x14ac:dyDescent="0.35">
      <c r="A222" t="s">
        <v>299</v>
      </c>
      <c r="B222" s="1">
        <v>46104</v>
      </c>
      <c r="C222" t="str">
        <f>TEXT(tblData[[#This Row],[Rental Date]],"mmm")</f>
        <v>Mar</v>
      </c>
      <c r="D222" t="str">
        <f>TEXT(tblData[[#This Row],[Rental Date]],"mmmm")</f>
        <v>March</v>
      </c>
      <c r="E222" t="s">
        <v>74</v>
      </c>
      <c r="F222" t="str">
        <f>TEXT(WEEKNUM(tblData[[#This Row],[Rental Date]]),"00")</f>
        <v>13</v>
      </c>
      <c r="G222" s="1">
        <f>EOMONTH(tblData[[#This Row],[Rental Date]],0)</f>
        <v>46112</v>
      </c>
      <c r="H222" t="s">
        <v>204</v>
      </c>
      <c r="I222" t="s">
        <v>48</v>
      </c>
      <c r="J222" t="s">
        <v>33</v>
      </c>
      <c r="K222" t="s">
        <v>40</v>
      </c>
      <c r="L222">
        <v>1</v>
      </c>
      <c r="M222" s="2">
        <v>58</v>
      </c>
      <c r="N222" t="s">
        <v>89</v>
      </c>
      <c r="O222" s="3">
        <v>6</v>
      </c>
      <c r="P222" s="3">
        <v>0</v>
      </c>
      <c r="Q222" s="2">
        <v>64</v>
      </c>
      <c r="R222" t="s">
        <v>71</v>
      </c>
      <c r="S222" t="s">
        <v>50</v>
      </c>
      <c r="T222" t="s">
        <v>90</v>
      </c>
      <c r="U222" t="s">
        <v>30</v>
      </c>
    </row>
    <row r="223" spans="1:21" x14ac:dyDescent="0.35">
      <c r="A223" t="s">
        <v>300</v>
      </c>
      <c r="B223" s="1">
        <v>46104</v>
      </c>
      <c r="C223" t="str">
        <f>TEXT(tblData[[#This Row],[Rental Date]],"mmm")</f>
        <v>Mar</v>
      </c>
      <c r="D223" t="str">
        <f>TEXT(tblData[[#This Row],[Rental Date]],"mmmm")</f>
        <v>March</v>
      </c>
      <c r="E223" t="s">
        <v>74</v>
      </c>
      <c r="F223" t="str">
        <f>TEXT(WEEKNUM(tblData[[#This Row],[Rental Date]]),"00")</f>
        <v>13</v>
      </c>
      <c r="G223" s="1">
        <f>EOMONTH(tblData[[#This Row],[Rental Date]],0)</f>
        <v>46112</v>
      </c>
      <c r="H223" t="s">
        <v>204</v>
      </c>
      <c r="I223" t="s">
        <v>39</v>
      </c>
      <c r="J223" t="s">
        <v>49</v>
      </c>
      <c r="K223" t="s">
        <v>25</v>
      </c>
      <c r="L223">
        <v>1</v>
      </c>
      <c r="M223" s="2">
        <v>36</v>
      </c>
      <c r="N223" t="s">
        <v>26</v>
      </c>
      <c r="O223" s="3">
        <v>0</v>
      </c>
      <c r="P223" s="3">
        <v>0</v>
      </c>
      <c r="Q223" s="2">
        <v>36</v>
      </c>
      <c r="R223" t="s">
        <v>45</v>
      </c>
      <c r="S223" t="s">
        <v>50</v>
      </c>
      <c r="T223" t="s">
        <v>29</v>
      </c>
      <c r="U223" t="s">
        <v>58</v>
      </c>
    </row>
    <row r="224" spans="1:21" x14ac:dyDescent="0.35">
      <c r="A224" t="s">
        <v>301</v>
      </c>
      <c r="B224" s="1">
        <v>46105</v>
      </c>
      <c r="C224" t="str">
        <f>TEXT(tblData[[#This Row],[Rental Date]],"mmm")</f>
        <v>Mar</v>
      </c>
      <c r="D224" t="str">
        <f>TEXT(tblData[[#This Row],[Rental Date]],"mmmm")</f>
        <v>March</v>
      </c>
      <c r="E224" t="s">
        <v>102</v>
      </c>
      <c r="F224" t="str">
        <f>TEXT(WEEKNUM(tblData[[#This Row],[Rental Date]]),"00")</f>
        <v>13</v>
      </c>
      <c r="G224" s="1">
        <f>EOMONTH(tblData[[#This Row],[Rental Date]],0)</f>
        <v>46112</v>
      </c>
      <c r="H224" t="s">
        <v>204</v>
      </c>
      <c r="I224" t="s">
        <v>48</v>
      </c>
      <c r="J224" t="s">
        <v>138</v>
      </c>
      <c r="K224" t="s">
        <v>60</v>
      </c>
      <c r="L224">
        <v>1</v>
      </c>
      <c r="M224" s="2">
        <v>30</v>
      </c>
      <c r="N224" t="s">
        <v>26</v>
      </c>
      <c r="O224" s="3">
        <v>0</v>
      </c>
      <c r="P224" s="3">
        <v>0</v>
      </c>
      <c r="Q224" s="2">
        <v>30</v>
      </c>
      <c r="R224" t="s">
        <v>57</v>
      </c>
      <c r="S224" t="s">
        <v>35</v>
      </c>
      <c r="T224" t="s">
        <v>51</v>
      </c>
      <c r="U224" t="s">
        <v>79</v>
      </c>
    </row>
    <row r="225" spans="1:21" x14ac:dyDescent="0.35">
      <c r="A225" t="s">
        <v>302</v>
      </c>
      <c r="B225" s="1">
        <v>46105</v>
      </c>
      <c r="C225" t="str">
        <f>TEXT(tblData[[#This Row],[Rental Date]],"mmm")</f>
        <v>Mar</v>
      </c>
      <c r="D225" t="str">
        <f>TEXT(tblData[[#This Row],[Rental Date]],"mmmm")</f>
        <v>March</v>
      </c>
      <c r="E225" t="s">
        <v>102</v>
      </c>
      <c r="F225" t="str">
        <f>TEXT(WEEKNUM(tblData[[#This Row],[Rental Date]]),"00")</f>
        <v>13</v>
      </c>
      <c r="G225" s="1">
        <f>EOMONTH(tblData[[#This Row],[Rental Date]],0)</f>
        <v>46112</v>
      </c>
      <c r="H225" t="s">
        <v>204</v>
      </c>
      <c r="I225" t="s">
        <v>48</v>
      </c>
      <c r="J225" t="s">
        <v>44</v>
      </c>
      <c r="K225" t="s">
        <v>92</v>
      </c>
      <c r="L225">
        <v>1</v>
      </c>
      <c r="M225" s="2">
        <v>112</v>
      </c>
      <c r="N225" t="s">
        <v>26</v>
      </c>
      <c r="O225" s="3">
        <v>0</v>
      </c>
      <c r="P225" s="3">
        <v>0</v>
      </c>
      <c r="Q225" s="2">
        <v>112</v>
      </c>
      <c r="R225" t="s">
        <v>76</v>
      </c>
      <c r="S225" t="s">
        <v>50</v>
      </c>
      <c r="T225" t="s">
        <v>51</v>
      </c>
      <c r="U225" t="s">
        <v>58</v>
      </c>
    </row>
    <row r="226" spans="1:21" x14ac:dyDescent="0.35">
      <c r="A226" t="s">
        <v>303</v>
      </c>
      <c r="B226" s="1">
        <v>46105</v>
      </c>
      <c r="C226" t="str">
        <f>TEXT(tblData[[#This Row],[Rental Date]],"mmm")</f>
        <v>Mar</v>
      </c>
      <c r="D226" t="str">
        <f>TEXT(tblData[[#This Row],[Rental Date]],"mmmm")</f>
        <v>March</v>
      </c>
      <c r="E226" t="s">
        <v>102</v>
      </c>
      <c r="F226" t="str">
        <f>TEXT(WEEKNUM(tblData[[#This Row],[Rental Date]]),"00")</f>
        <v>13</v>
      </c>
      <c r="G226" s="1">
        <f>EOMONTH(tblData[[#This Row],[Rental Date]],0)</f>
        <v>46112</v>
      </c>
      <c r="H226" t="s">
        <v>204</v>
      </c>
      <c r="I226" t="s">
        <v>53</v>
      </c>
      <c r="J226" t="s">
        <v>49</v>
      </c>
      <c r="K226" t="s">
        <v>25</v>
      </c>
      <c r="L226">
        <v>1</v>
      </c>
      <c r="M226" s="2">
        <v>36</v>
      </c>
      <c r="N226" t="s">
        <v>61</v>
      </c>
      <c r="O226" s="3">
        <v>8</v>
      </c>
      <c r="P226" s="3">
        <v>6.6</v>
      </c>
      <c r="Q226" s="2">
        <v>37.4</v>
      </c>
      <c r="R226" t="s">
        <v>66</v>
      </c>
      <c r="S226" t="s">
        <v>35</v>
      </c>
      <c r="T226" t="s">
        <v>63</v>
      </c>
      <c r="U226" t="s">
        <v>30</v>
      </c>
    </row>
    <row r="227" spans="1:21" x14ac:dyDescent="0.35">
      <c r="A227" t="s">
        <v>304</v>
      </c>
      <c r="B227" s="1">
        <v>46106</v>
      </c>
      <c r="C227" t="str">
        <f>TEXT(tblData[[#This Row],[Rental Date]],"mmm")</f>
        <v>Mar</v>
      </c>
      <c r="D227" t="str">
        <f>TEXT(tblData[[#This Row],[Rental Date]],"mmmm")</f>
        <v>March</v>
      </c>
      <c r="E227" t="s">
        <v>109</v>
      </c>
      <c r="F227" t="str">
        <f>TEXT(WEEKNUM(tblData[[#This Row],[Rental Date]]),"00")</f>
        <v>13</v>
      </c>
      <c r="G227" s="1">
        <f>EOMONTH(tblData[[#This Row],[Rental Date]],0)</f>
        <v>46112</v>
      </c>
      <c r="H227" t="s">
        <v>204</v>
      </c>
      <c r="I227" t="s">
        <v>23</v>
      </c>
      <c r="J227" t="s">
        <v>24</v>
      </c>
      <c r="K227" t="s">
        <v>40</v>
      </c>
      <c r="L227">
        <v>1</v>
      </c>
      <c r="M227" s="2">
        <v>76</v>
      </c>
      <c r="N227" t="s">
        <v>87</v>
      </c>
      <c r="O227" s="3">
        <v>10</v>
      </c>
      <c r="P227" s="3">
        <v>0</v>
      </c>
      <c r="Q227" s="2">
        <v>86</v>
      </c>
      <c r="R227" t="s">
        <v>42</v>
      </c>
      <c r="S227" t="s">
        <v>35</v>
      </c>
      <c r="T227" t="s">
        <v>51</v>
      </c>
      <c r="U227" t="s">
        <v>30</v>
      </c>
    </row>
    <row r="228" spans="1:21" x14ac:dyDescent="0.35">
      <c r="A228" t="s">
        <v>305</v>
      </c>
      <c r="B228" s="1">
        <v>46106</v>
      </c>
      <c r="C228" t="str">
        <f>TEXT(tblData[[#This Row],[Rental Date]],"mmm")</f>
        <v>Mar</v>
      </c>
      <c r="D228" t="str">
        <f>TEXT(tblData[[#This Row],[Rental Date]],"mmmm")</f>
        <v>March</v>
      </c>
      <c r="E228" t="s">
        <v>109</v>
      </c>
      <c r="F228" t="str">
        <f>TEXT(WEEKNUM(tblData[[#This Row],[Rental Date]]),"00")</f>
        <v>13</v>
      </c>
      <c r="G228" s="1">
        <f>EOMONTH(tblData[[#This Row],[Rental Date]],0)</f>
        <v>46112</v>
      </c>
      <c r="H228" t="s">
        <v>204</v>
      </c>
      <c r="I228" t="s">
        <v>23</v>
      </c>
      <c r="J228" t="s">
        <v>49</v>
      </c>
      <c r="K228" t="s">
        <v>25</v>
      </c>
      <c r="L228">
        <v>1</v>
      </c>
      <c r="M228" s="2">
        <v>36</v>
      </c>
      <c r="N228" t="s">
        <v>89</v>
      </c>
      <c r="O228" s="3">
        <v>6</v>
      </c>
      <c r="P228" s="3">
        <v>0</v>
      </c>
      <c r="Q228" s="2">
        <v>42</v>
      </c>
      <c r="R228" t="s">
        <v>76</v>
      </c>
      <c r="S228" t="s">
        <v>50</v>
      </c>
      <c r="T228" t="s">
        <v>83</v>
      </c>
      <c r="U228" t="s">
        <v>30</v>
      </c>
    </row>
    <row r="229" spans="1:21" x14ac:dyDescent="0.35">
      <c r="A229" t="s">
        <v>306</v>
      </c>
      <c r="B229" s="1">
        <v>46106</v>
      </c>
      <c r="C229" t="str">
        <f>TEXT(tblData[[#This Row],[Rental Date]],"mmm")</f>
        <v>Mar</v>
      </c>
      <c r="D229" t="str">
        <f>TEXT(tblData[[#This Row],[Rental Date]],"mmmm")</f>
        <v>March</v>
      </c>
      <c r="E229" t="s">
        <v>109</v>
      </c>
      <c r="F229" t="str">
        <f>TEXT(WEEKNUM(tblData[[#This Row],[Rental Date]]),"00")</f>
        <v>13</v>
      </c>
      <c r="G229" s="1">
        <f>EOMONTH(tblData[[#This Row],[Rental Date]],0)</f>
        <v>46112</v>
      </c>
      <c r="H229" t="s">
        <v>204</v>
      </c>
      <c r="I229" t="s">
        <v>53</v>
      </c>
      <c r="J229" t="s">
        <v>65</v>
      </c>
      <c r="K229" t="s">
        <v>92</v>
      </c>
      <c r="L229">
        <v>1</v>
      </c>
      <c r="M229" s="2">
        <v>40</v>
      </c>
      <c r="N229" t="s">
        <v>26</v>
      </c>
      <c r="O229" s="3">
        <v>0</v>
      </c>
      <c r="P229" s="3">
        <v>6</v>
      </c>
      <c r="Q229" s="2">
        <v>34</v>
      </c>
      <c r="R229" t="s">
        <v>45</v>
      </c>
      <c r="S229" t="s">
        <v>50</v>
      </c>
      <c r="T229" t="s">
        <v>83</v>
      </c>
      <c r="U229" t="s">
        <v>30</v>
      </c>
    </row>
    <row r="230" spans="1:21" x14ac:dyDescent="0.35">
      <c r="A230" t="s">
        <v>307</v>
      </c>
      <c r="B230" s="1">
        <v>46106</v>
      </c>
      <c r="C230" t="str">
        <f>TEXT(tblData[[#This Row],[Rental Date]],"mmm")</f>
        <v>Mar</v>
      </c>
      <c r="D230" t="str">
        <f>TEXT(tblData[[#This Row],[Rental Date]],"mmmm")</f>
        <v>March</v>
      </c>
      <c r="E230" t="s">
        <v>109</v>
      </c>
      <c r="F230" t="str">
        <f>TEXT(WEEKNUM(tblData[[#This Row],[Rental Date]]),"00")</f>
        <v>13</v>
      </c>
      <c r="G230" s="1">
        <f>EOMONTH(tblData[[#This Row],[Rental Date]],0)</f>
        <v>46112</v>
      </c>
      <c r="H230" t="s">
        <v>204</v>
      </c>
      <c r="I230" t="s">
        <v>39</v>
      </c>
      <c r="J230" t="s">
        <v>33</v>
      </c>
      <c r="K230" t="s">
        <v>25</v>
      </c>
      <c r="L230">
        <v>1</v>
      </c>
      <c r="M230" s="2">
        <v>38</v>
      </c>
      <c r="N230" t="s">
        <v>41</v>
      </c>
      <c r="O230" s="3">
        <v>5</v>
      </c>
      <c r="P230" s="3">
        <v>0</v>
      </c>
      <c r="Q230" s="2">
        <v>43</v>
      </c>
      <c r="R230" t="s">
        <v>57</v>
      </c>
      <c r="S230" t="s">
        <v>50</v>
      </c>
      <c r="T230" t="s">
        <v>29</v>
      </c>
      <c r="U230" t="s">
        <v>30</v>
      </c>
    </row>
    <row r="231" spans="1:21" x14ac:dyDescent="0.35">
      <c r="A231" t="s">
        <v>308</v>
      </c>
      <c r="B231" s="1">
        <v>46107</v>
      </c>
      <c r="C231" t="str">
        <f>TEXT(tblData[[#This Row],[Rental Date]],"mmm")</f>
        <v>Mar</v>
      </c>
      <c r="D231" t="str">
        <f>TEXT(tblData[[#This Row],[Rental Date]],"mmmm")</f>
        <v>March</v>
      </c>
      <c r="E231" t="s">
        <v>21</v>
      </c>
      <c r="F231" t="str">
        <f>TEXT(WEEKNUM(tblData[[#This Row],[Rental Date]]),"00")</f>
        <v>13</v>
      </c>
      <c r="G231" s="1">
        <f>EOMONTH(tblData[[#This Row],[Rental Date]],0)</f>
        <v>46112</v>
      </c>
      <c r="H231" t="s">
        <v>204</v>
      </c>
      <c r="I231" t="s">
        <v>39</v>
      </c>
      <c r="J231" t="s">
        <v>44</v>
      </c>
      <c r="K231" t="s">
        <v>60</v>
      </c>
      <c r="L231">
        <v>1</v>
      </c>
      <c r="M231" s="2">
        <v>34</v>
      </c>
      <c r="N231" t="s">
        <v>61</v>
      </c>
      <c r="O231" s="3">
        <v>8</v>
      </c>
      <c r="P231" s="3">
        <v>0</v>
      </c>
      <c r="Q231" s="2">
        <v>42</v>
      </c>
      <c r="R231" t="s">
        <v>57</v>
      </c>
      <c r="S231" t="s">
        <v>50</v>
      </c>
      <c r="T231" t="s">
        <v>83</v>
      </c>
      <c r="U231" t="s">
        <v>30</v>
      </c>
    </row>
    <row r="232" spans="1:21" x14ac:dyDescent="0.35">
      <c r="A232" t="s">
        <v>309</v>
      </c>
      <c r="B232" s="1">
        <v>46108</v>
      </c>
      <c r="C232" t="str">
        <f>TEXT(tblData[[#This Row],[Rental Date]],"mmm")</f>
        <v>Mar</v>
      </c>
      <c r="D232" t="str">
        <f>TEXT(tblData[[#This Row],[Rental Date]],"mmmm")</f>
        <v>March</v>
      </c>
      <c r="E232" t="s">
        <v>38</v>
      </c>
      <c r="F232" t="str">
        <f>TEXT(WEEKNUM(tblData[[#This Row],[Rental Date]]),"00")</f>
        <v>13</v>
      </c>
      <c r="G232" s="1">
        <f>EOMONTH(tblData[[#This Row],[Rental Date]],0)</f>
        <v>46112</v>
      </c>
      <c r="H232" t="s">
        <v>204</v>
      </c>
      <c r="I232" t="s">
        <v>39</v>
      </c>
      <c r="J232" t="s">
        <v>78</v>
      </c>
      <c r="K232" t="s">
        <v>25</v>
      </c>
      <c r="L232">
        <v>1</v>
      </c>
      <c r="M232" s="2">
        <v>42</v>
      </c>
      <c r="N232" t="s">
        <v>26</v>
      </c>
      <c r="O232" s="3">
        <v>0</v>
      </c>
      <c r="P232" s="3">
        <v>0</v>
      </c>
      <c r="Q232" s="2">
        <v>42</v>
      </c>
      <c r="R232" t="s">
        <v>45</v>
      </c>
      <c r="S232" t="s">
        <v>35</v>
      </c>
      <c r="T232" t="s">
        <v>29</v>
      </c>
      <c r="U232" t="s">
        <v>30</v>
      </c>
    </row>
    <row r="233" spans="1:21" x14ac:dyDescent="0.35">
      <c r="A233" t="s">
        <v>310</v>
      </c>
      <c r="B233" s="1">
        <v>46108</v>
      </c>
      <c r="C233" t="str">
        <f>TEXT(tblData[[#This Row],[Rental Date]],"mmm")</f>
        <v>Mar</v>
      </c>
      <c r="D233" t="str">
        <f>TEXT(tblData[[#This Row],[Rental Date]],"mmmm")</f>
        <v>March</v>
      </c>
      <c r="E233" t="s">
        <v>38</v>
      </c>
      <c r="F233" t="str">
        <f>TEXT(WEEKNUM(tblData[[#This Row],[Rental Date]]),"00")</f>
        <v>13</v>
      </c>
      <c r="G233" s="1">
        <f>EOMONTH(tblData[[#This Row],[Rental Date]],0)</f>
        <v>46112</v>
      </c>
      <c r="H233" t="s">
        <v>204</v>
      </c>
      <c r="I233" t="s">
        <v>23</v>
      </c>
      <c r="J233" t="s">
        <v>78</v>
      </c>
      <c r="K233" t="s">
        <v>60</v>
      </c>
      <c r="L233">
        <v>1</v>
      </c>
      <c r="M233" s="2">
        <v>26</v>
      </c>
      <c r="N233" t="s">
        <v>26</v>
      </c>
      <c r="O233" s="3">
        <v>0</v>
      </c>
      <c r="P233" s="3">
        <v>0</v>
      </c>
      <c r="Q233" s="2">
        <v>26</v>
      </c>
      <c r="R233" t="s">
        <v>34</v>
      </c>
      <c r="S233" t="s">
        <v>35</v>
      </c>
      <c r="T233" t="s">
        <v>90</v>
      </c>
      <c r="U233" t="s">
        <v>30</v>
      </c>
    </row>
    <row r="234" spans="1:21" x14ac:dyDescent="0.35">
      <c r="A234" t="s">
        <v>311</v>
      </c>
      <c r="B234" s="1">
        <v>46108</v>
      </c>
      <c r="C234" t="str">
        <f>TEXT(tblData[[#This Row],[Rental Date]],"mmm")</f>
        <v>Mar</v>
      </c>
      <c r="D234" t="str">
        <f>TEXT(tblData[[#This Row],[Rental Date]],"mmmm")</f>
        <v>March</v>
      </c>
      <c r="E234" t="s">
        <v>38</v>
      </c>
      <c r="F234" t="str">
        <f>TEXT(WEEKNUM(tblData[[#This Row],[Rental Date]]),"00")</f>
        <v>13</v>
      </c>
      <c r="G234" s="1">
        <f>EOMONTH(tblData[[#This Row],[Rental Date]],0)</f>
        <v>46112</v>
      </c>
      <c r="H234" t="s">
        <v>204</v>
      </c>
      <c r="I234" t="s">
        <v>39</v>
      </c>
      <c r="J234" t="s">
        <v>86</v>
      </c>
      <c r="K234" t="s">
        <v>92</v>
      </c>
      <c r="L234">
        <v>1</v>
      </c>
      <c r="M234" s="2">
        <v>124</v>
      </c>
      <c r="N234" t="s">
        <v>26</v>
      </c>
      <c r="O234" s="3">
        <v>0</v>
      </c>
      <c r="P234" s="3">
        <v>6.2</v>
      </c>
      <c r="Q234" s="2">
        <v>117.8</v>
      </c>
      <c r="R234" t="s">
        <v>57</v>
      </c>
      <c r="S234" t="s">
        <v>46</v>
      </c>
      <c r="T234" t="s">
        <v>51</v>
      </c>
      <c r="U234" t="s">
        <v>79</v>
      </c>
    </row>
    <row r="235" spans="1:21" x14ac:dyDescent="0.35">
      <c r="A235" t="s">
        <v>312</v>
      </c>
      <c r="B235" s="1">
        <v>46108</v>
      </c>
      <c r="C235" t="str">
        <f>TEXT(tblData[[#This Row],[Rental Date]],"mmm")</f>
        <v>Mar</v>
      </c>
      <c r="D235" t="str">
        <f>TEXT(tblData[[#This Row],[Rental Date]],"mmmm")</f>
        <v>March</v>
      </c>
      <c r="E235" t="s">
        <v>38</v>
      </c>
      <c r="F235" t="str">
        <f>TEXT(WEEKNUM(tblData[[#This Row],[Rental Date]]),"00")</f>
        <v>13</v>
      </c>
      <c r="G235" s="1">
        <f>EOMONTH(tblData[[#This Row],[Rental Date]],0)</f>
        <v>46112</v>
      </c>
      <c r="H235" t="s">
        <v>204</v>
      </c>
      <c r="I235" t="s">
        <v>23</v>
      </c>
      <c r="J235" t="s">
        <v>49</v>
      </c>
      <c r="K235" t="s">
        <v>25</v>
      </c>
      <c r="L235">
        <v>1</v>
      </c>
      <c r="M235" s="2">
        <v>36</v>
      </c>
      <c r="N235" t="s">
        <v>26</v>
      </c>
      <c r="O235" s="3">
        <v>0</v>
      </c>
      <c r="P235" s="3">
        <v>0</v>
      </c>
      <c r="Q235" s="2">
        <v>36</v>
      </c>
      <c r="R235" t="s">
        <v>27</v>
      </c>
      <c r="S235" t="s">
        <v>28</v>
      </c>
      <c r="T235" t="s">
        <v>51</v>
      </c>
      <c r="U235" t="s">
        <v>58</v>
      </c>
    </row>
    <row r="236" spans="1:21" x14ac:dyDescent="0.35">
      <c r="A236" t="s">
        <v>313</v>
      </c>
      <c r="B236" s="1">
        <v>46108</v>
      </c>
      <c r="C236" t="str">
        <f>TEXT(tblData[[#This Row],[Rental Date]],"mmm")</f>
        <v>Mar</v>
      </c>
      <c r="D236" t="str">
        <f>TEXT(tblData[[#This Row],[Rental Date]],"mmmm")</f>
        <v>March</v>
      </c>
      <c r="E236" t="s">
        <v>38</v>
      </c>
      <c r="F236" t="str">
        <f>TEXT(WEEKNUM(tblData[[#This Row],[Rental Date]]),"00")</f>
        <v>13</v>
      </c>
      <c r="G236" s="1">
        <f>EOMONTH(tblData[[#This Row],[Rental Date]],0)</f>
        <v>46112</v>
      </c>
      <c r="H236" t="s">
        <v>204</v>
      </c>
      <c r="I236" t="s">
        <v>39</v>
      </c>
      <c r="J236" t="s">
        <v>49</v>
      </c>
      <c r="K236" t="s">
        <v>60</v>
      </c>
      <c r="L236">
        <v>1</v>
      </c>
      <c r="M236" s="2">
        <v>22</v>
      </c>
      <c r="N236" t="s">
        <v>26</v>
      </c>
      <c r="O236" s="3">
        <v>0</v>
      </c>
      <c r="P236" s="3">
        <v>0</v>
      </c>
      <c r="Q236" s="2">
        <v>22</v>
      </c>
      <c r="R236" t="s">
        <v>71</v>
      </c>
      <c r="S236" t="s">
        <v>35</v>
      </c>
      <c r="T236" t="s">
        <v>90</v>
      </c>
      <c r="U236" t="s">
        <v>30</v>
      </c>
    </row>
    <row r="237" spans="1:21" x14ac:dyDescent="0.35">
      <c r="A237" t="s">
        <v>314</v>
      </c>
      <c r="B237" s="1">
        <v>46109</v>
      </c>
      <c r="C237" t="str">
        <f>TEXT(tblData[[#This Row],[Rental Date]],"mmm")</f>
        <v>Mar</v>
      </c>
      <c r="D237" t="str">
        <f>TEXT(tblData[[#This Row],[Rental Date]],"mmmm")</f>
        <v>March</v>
      </c>
      <c r="E237" t="s">
        <v>56</v>
      </c>
      <c r="F237" t="str">
        <f>TEXT(WEEKNUM(tblData[[#This Row],[Rental Date]]),"00")</f>
        <v>13</v>
      </c>
      <c r="G237" s="1">
        <f>EOMONTH(tblData[[#This Row],[Rental Date]],0)</f>
        <v>46112</v>
      </c>
      <c r="H237" t="s">
        <v>204</v>
      </c>
      <c r="I237" t="s">
        <v>39</v>
      </c>
      <c r="J237" t="s">
        <v>33</v>
      </c>
      <c r="K237" t="s">
        <v>92</v>
      </c>
      <c r="L237">
        <v>1</v>
      </c>
      <c r="M237" s="2">
        <v>90.72</v>
      </c>
      <c r="N237" t="s">
        <v>87</v>
      </c>
      <c r="O237" s="3">
        <v>10</v>
      </c>
      <c r="P237" s="3">
        <v>0</v>
      </c>
      <c r="Q237" s="2">
        <v>100.72</v>
      </c>
      <c r="R237" t="s">
        <v>94</v>
      </c>
      <c r="S237" t="s">
        <v>50</v>
      </c>
      <c r="T237" t="s">
        <v>29</v>
      </c>
      <c r="U237" t="s">
        <v>58</v>
      </c>
    </row>
    <row r="238" spans="1:21" x14ac:dyDescent="0.35">
      <c r="A238" t="s">
        <v>315</v>
      </c>
      <c r="B238" s="1">
        <v>46109</v>
      </c>
      <c r="C238" t="str">
        <f>TEXT(tblData[[#This Row],[Rental Date]],"mmm")</f>
        <v>Mar</v>
      </c>
      <c r="D238" t="str">
        <f>TEXT(tblData[[#This Row],[Rental Date]],"mmmm")</f>
        <v>March</v>
      </c>
      <c r="E238" t="s">
        <v>56</v>
      </c>
      <c r="F238" t="str">
        <f>TEXT(WEEKNUM(tblData[[#This Row],[Rental Date]]),"00")</f>
        <v>13</v>
      </c>
      <c r="G238" s="1">
        <f>EOMONTH(tblData[[#This Row],[Rental Date]],0)</f>
        <v>46112</v>
      </c>
      <c r="H238" t="s">
        <v>204</v>
      </c>
      <c r="I238" t="s">
        <v>23</v>
      </c>
      <c r="J238" t="s">
        <v>44</v>
      </c>
      <c r="K238" t="s">
        <v>40</v>
      </c>
      <c r="L238">
        <v>1</v>
      </c>
      <c r="M238" s="2">
        <v>84.24</v>
      </c>
      <c r="N238" t="s">
        <v>26</v>
      </c>
      <c r="O238" s="3">
        <v>0</v>
      </c>
      <c r="P238" s="3">
        <v>0</v>
      </c>
      <c r="Q238" s="2">
        <v>84.24</v>
      </c>
      <c r="R238" t="s">
        <v>27</v>
      </c>
      <c r="S238" t="s">
        <v>28</v>
      </c>
      <c r="T238" t="s">
        <v>29</v>
      </c>
      <c r="U238" t="s">
        <v>36</v>
      </c>
    </row>
    <row r="239" spans="1:21" x14ac:dyDescent="0.35">
      <c r="A239" t="s">
        <v>316</v>
      </c>
      <c r="B239" s="1">
        <v>46109</v>
      </c>
      <c r="C239" t="str">
        <f>TEXT(tblData[[#This Row],[Rental Date]],"mmm")</f>
        <v>Mar</v>
      </c>
      <c r="D239" t="str">
        <f>TEXT(tblData[[#This Row],[Rental Date]],"mmmm")</f>
        <v>March</v>
      </c>
      <c r="E239" t="s">
        <v>56</v>
      </c>
      <c r="F239" t="str">
        <f>TEXT(WEEKNUM(tblData[[#This Row],[Rental Date]]),"00")</f>
        <v>13</v>
      </c>
      <c r="G239" s="1">
        <f>EOMONTH(tblData[[#This Row],[Rental Date]],0)</f>
        <v>46112</v>
      </c>
      <c r="H239" t="s">
        <v>204</v>
      </c>
      <c r="I239" t="s">
        <v>48</v>
      </c>
      <c r="J239" t="s">
        <v>44</v>
      </c>
      <c r="K239" t="s">
        <v>60</v>
      </c>
      <c r="L239">
        <v>1</v>
      </c>
      <c r="M239" s="2">
        <v>36.72</v>
      </c>
      <c r="N239" t="s">
        <v>61</v>
      </c>
      <c r="O239" s="3">
        <v>8</v>
      </c>
      <c r="P239" s="3">
        <v>0</v>
      </c>
      <c r="Q239" s="2">
        <v>44.72</v>
      </c>
      <c r="R239" t="s">
        <v>66</v>
      </c>
      <c r="S239" t="s">
        <v>54</v>
      </c>
      <c r="T239" t="s">
        <v>51</v>
      </c>
      <c r="U239" t="s">
        <v>58</v>
      </c>
    </row>
    <row r="240" spans="1:21" x14ac:dyDescent="0.35">
      <c r="A240" t="s">
        <v>317</v>
      </c>
      <c r="B240" s="1">
        <v>46109</v>
      </c>
      <c r="C240" t="str">
        <f>TEXT(tblData[[#This Row],[Rental Date]],"mmm")</f>
        <v>Mar</v>
      </c>
      <c r="D240" t="str">
        <f>TEXT(tblData[[#This Row],[Rental Date]],"mmmm")</f>
        <v>March</v>
      </c>
      <c r="E240" t="s">
        <v>56</v>
      </c>
      <c r="F240" t="str">
        <f>TEXT(WEEKNUM(tblData[[#This Row],[Rental Date]]),"00")</f>
        <v>13</v>
      </c>
      <c r="G240" s="1">
        <f>EOMONTH(tblData[[#This Row],[Rental Date]],0)</f>
        <v>46112</v>
      </c>
      <c r="H240" t="s">
        <v>204</v>
      </c>
      <c r="I240" t="s">
        <v>48</v>
      </c>
      <c r="J240" t="s">
        <v>24</v>
      </c>
      <c r="K240" t="s">
        <v>60</v>
      </c>
      <c r="L240">
        <v>1</v>
      </c>
      <c r="M240" s="2">
        <v>34.56</v>
      </c>
      <c r="N240" t="s">
        <v>89</v>
      </c>
      <c r="O240" s="3">
        <v>6</v>
      </c>
      <c r="P240" s="3">
        <v>0</v>
      </c>
      <c r="Q240" s="2">
        <v>40.56</v>
      </c>
      <c r="R240" t="s">
        <v>45</v>
      </c>
      <c r="S240" t="s">
        <v>28</v>
      </c>
      <c r="T240" t="s">
        <v>29</v>
      </c>
      <c r="U240" t="s">
        <v>79</v>
      </c>
    </row>
    <row r="241" spans="1:21" x14ac:dyDescent="0.35">
      <c r="A241" t="s">
        <v>318</v>
      </c>
      <c r="B241" s="1">
        <v>46109</v>
      </c>
      <c r="C241" t="str">
        <f>TEXT(tblData[[#This Row],[Rental Date]],"mmm")</f>
        <v>Mar</v>
      </c>
      <c r="D241" t="str">
        <f>TEXT(tblData[[#This Row],[Rental Date]],"mmmm")</f>
        <v>March</v>
      </c>
      <c r="E241" t="s">
        <v>56</v>
      </c>
      <c r="F241" t="str">
        <f>TEXT(WEEKNUM(tblData[[#This Row],[Rental Date]]),"00")</f>
        <v>13</v>
      </c>
      <c r="G241" s="1">
        <f>EOMONTH(tblData[[#This Row],[Rental Date]],0)</f>
        <v>46112</v>
      </c>
      <c r="H241" t="s">
        <v>204</v>
      </c>
      <c r="I241" t="s">
        <v>23</v>
      </c>
      <c r="J241" t="s">
        <v>86</v>
      </c>
      <c r="K241" t="s">
        <v>92</v>
      </c>
      <c r="L241">
        <v>1</v>
      </c>
      <c r="M241" s="2">
        <v>133.91999999999999</v>
      </c>
      <c r="N241" t="s">
        <v>26</v>
      </c>
      <c r="O241" s="3">
        <v>0</v>
      </c>
      <c r="P241" s="3">
        <v>0</v>
      </c>
      <c r="Q241" s="2">
        <v>133.91999999999999</v>
      </c>
      <c r="R241" t="s">
        <v>42</v>
      </c>
      <c r="S241" t="s">
        <v>50</v>
      </c>
      <c r="T241" t="s">
        <v>29</v>
      </c>
      <c r="U241" t="s">
        <v>30</v>
      </c>
    </row>
    <row r="242" spans="1:21" x14ac:dyDescent="0.35">
      <c r="A242" t="s">
        <v>319</v>
      </c>
      <c r="B242" s="1">
        <v>46109</v>
      </c>
      <c r="C242" t="str">
        <f>TEXT(tblData[[#This Row],[Rental Date]],"mmm")</f>
        <v>Mar</v>
      </c>
      <c r="D242" t="str">
        <f>TEXT(tblData[[#This Row],[Rental Date]],"mmmm")</f>
        <v>March</v>
      </c>
      <c r="E242" t="s">
        <v>56</v>
      </c>
      <c r="F242" t="str">
        <f>TEXT(WEEKNUM(tblData[[#This Row],[Rental Date]]),"00")</f>
        <v>13</v>
      </c>
      <c r="G242" s="1">
        <f>EOMONTH(tblData[[#This Row],[Rental Date]],0)</f>
        <v>46112</v>
      </c>
      <c r="H242" t="s">
        <v>204</v>
      </c>
      <c r="I242" t="s">
        <v>32</v>
      </c>
      <c r="J242" t="s">
        <v>33</v>
      </c>
      <c r="K242" t="s">
        <v>40</v>
      </c>
      <c r="L242">
        <v>1</v>
      </c>
      <c r="M242" s="2">
        <v>62.64</v>
      </c>
      <c r="N242" t="s">
        <v>26</v>
      </c>
      <c r="O242" s="3">
        <v>0</v>
      </c>
      <c r="P242" s="3">
        <v>0</v>
      </c>
      <c r="Q242" s="2">
        <v>62.64</v>
      </c>
      <c r="R242" t="s">
        <v>62</v>
      </c>
      <c r="S242" t="s">
        <v>28</v>
      </c>
      <c r="T242" t="s">
        <v>29</v>
      </c>
      <c r="U242" t="s">
        <v>58</v>
      </c>
    </row>
    <row r="243" spans="1:21" x14ac:dyDescent="0.35">
      <c r="A243" t="s">
        <v>320</v>
      </c>
      <c r="B243" s="1">
        <v>46109</v>
      </c>
      <c r="C243" t="str">
        <f>TEXT(tblData[[#This Row],[Rental Date]],"mmm")</f>
        <v>Mar</v>
      </c>
      <c r="D243" t="str">
        <f>TEXT(tblData[[#This Row],[Rental Date]],"mmmm")</f>
        <v>March</v>
      </c>
      <c r="E243" t="s">
        <v>56</v>
      </c>
      <c r="F243" t="str">
        <f>TEXT(WEEKNUM(tblData[[#This Row],[Rental Date]]),"00")</f>
        <v>13</v>
      </c>
      <c r="G243" s="1">
        <f>EOMONTH(tblData[[#This Row],[Rental Date]],0)</f>
        <v>46112</v>
      </c>
      <c r="H243" t="s">
        <v>204</v>
      </c>
      <c r="I243" t="s">
        <v>48</v>
      </c>
      <c r="J243" t="s">
        <v>111</v>
      </c>
      <c r="K243" t="s">
        <v>60</v>
      </c>
      <c r="L243">
        <v>1</v>
      </c>
      <c r="M243" s="2">
        <v>15.12</v>
      </c>
      <c r="N243" t="s">
        <v>26</v>
      </c>
      <c r="O243" s="3">
        <v>0</v>
      </c>
      <c r="P243" s="3">
        <v>0</v>
      </c>
      <c r="Q243" s="2">
        <v>15.12</v>
      </c>
      <c r="R243" t="s">
        <v>71</v>
      </c>
      <c r="S243" t="s">
        <v>35</v>
      </c>
      <c r="T243" t="s">
        <v>29</v>
      </c>
      <c r="U243" t="s">
        <v>30</v>
      </c>
    </row>
    <row r="244" spans="1:21" x14ac:dyDescent="0.35">
      <c r="A244" t="s">
        <v>321</v>
      </c>
      <c r="B244" s="1">
        <v>46110</v>
      </c>
      <c r="C244" t="str">
        <f>TEXT(tblData[[#This Row],[Rental Date]],"mmm")</f>
        <v>Mar</v>
      </c>
      <c r="D244" t="str">
        <f>TEXT(tblData[[#This Row],[Rental Date]],"mmmm")</f>
        <v>March</v>
      </c>
      <c r="E244" t="s">
        <v>68</v>
      </c>
      <c r="F244" t="str">
        <f>TEXT(WEEKNUM(tblData[[#This Row],[Rental Date]]),"00")</f>
        <v>14</v>
      </c>
      <c r="G244" s="1">
        <f>EOMONTH(tblData[[#This Row],[Rental Date]],0)</f>
        <v>46112</v>
      </c>
      <c r="H244" t="s">
        <v>204</v>
      </c>
      <c r="I244" t="s">
        <v>39</v>
      </c>
      <c r="J244" t="s">
        <v>33</v>
      </c>
      <c r="K244" t="s">
        <v>92</v>
      </c>
      <c r="L244">
        <v>1</v>
      </c>
      <c r="M244" s="2">
        <v>90.72</v>
      </c>
      <c r="N244" t="s">
        <v>26</v>
      </c>
      <c r="O244" s="3">
        <v>0</v>
      </c>
      <c r="P244" s="3">
        <v>0</v>
      </c>
      <c r="Q244" s="2">
        <v>90.72</v>
      </c>
      <c r="R244" t="s">
        <v>34</v>
      </c>
      <c r="S244" t="s">
        <v>28</v>
      </c>
      <c r="T244" t="s">
        <v>29</v>
      </c>
      <c r="U244" t="s">
        <v>58</v>
      </c>
    </row>
    <row r="245" spans="1:21" x14ac:dyDescent="0.35">
      <c r="A245" t="s">
        <v>322</v>
      </c>
      <c r="B245" s="1">
        <v>46110</v>
      </c>
      <c r="C245" t="str">
        <f>TEXT(tblData[[#This Row],[Rental Date]],"mmm")</f>
        <v>Mar</v>
      </c>
      <c r="D245" t="str">
        <f>TEXT(tblData[[#This Row],[Rental Date]],"mmmm")</f>
        <v>March</v>
      </c>
      <c r="E245" t="s">
        <v>68</v>
      </c>
      <c r="F245" t="str">
        <f>TEXT(WEEKNUM(tblData[[#This Row],[Rental Date]]),"00")</f>
        <v>14</v>
      </c>
      <c r="G245" s="1">
        <f>EOMONTH(tblData[[#This Row],[Rental Date]],0)</f>
        <v>46112</v>
      </c>
      <c r="H245" t="s">
        <v>204</v>
      </c>
      <c r="I245" t="s">
        <v>48</v>
      </c>
      <c r="J245" t="s">
        <v>44</v>
      </c>
      <c r="K245" t="s">
        <v>60</v>
      </c>
      <c r="L245">
        <v>1</v>
      </c>
      <c r="M245" s="2">
        <v>36.72</v>
      </c>
      <c r="N245" t="s">
        <v>89</v>
      </c>
      <c r="O245" s="3">
        <v>6</v>
      </c>
      <c r="P245" s="3">
        <v>0</v>
      </c>
      <c r="Q245" s="2">
        <v>42.72</v>
      </c>
      <c r="R245" t="s">
        <v>42</v>
      </c>
      <c r="S245" t="s">
        <v>46</v>
      </c>
      <c r="T245" t="s">
        <v>29</v>
      </c>
      <c r="U245" t="s">
        <v>79</v>
      </c>
    </row>
    <row r="246" spans="1:21" x14ac:dyDescent="0.35">
      <c r="A246" t="s">
        <v>323</v>
      </c>
      <c r="B246" s="1">
        <v>46110</v>
      </c>
      <c r="C246" t="str">
        <f>TEXT(tblData[[#This Row],[Rental Date]],"mmm")</f>
        <v>Mar</v>
      </c>
      <c r="D246" t="str">
        <f>TEXT(tblData[[#This Row],[Rental Date]],"mmmm")</f>
        <v>March</v>
      </c>
      <c r="E246" t="s">
        <v>68</v>
      </c>
      <c r="F246" t="str">
        <f>TEXT(WEEKNUM(tblData[[#This Row],[Rental Date]]),"00")</f>
        <v>14</v>
      </c>
      <c r="G246" s="1">
        <f>EOMONTH(tblData[[#This Row],[Rental Date]],0)</f>
        <v>46112</v>
      </c>
      <c r="H246" t="s">
        <v>204</v>
      </c>
      <c r="I246" t="s">
        <v>48</v>
      </c>
      <c r="J246" t="s">
        <v>33</v>
      </c>
      <c r="K246" t="s">
        <v>25</v>
      </c>
      <c r="L246">
        <v>1</v>
      </c>
      <c r="M246" s="2">
        <v>41.04</v>
      </c>
      <c r="N246" t="s">
        <v>26</v>
      </c>
      <c r="O246" s="3">
        <v>0</v>
      </c>
      <c r="P246" s="3">
        <v>0</v>
      </c>
      <c r="Q246" s="2">
        <v>41.04</v>
      </c>
      <c r="R246" t="s">
        <v>27</v>
      </c>
      <c r="S246" t="s">
        <v>54</v>
      </c>
      <c r="T246" t="s">
        <v>51</v>
      </c>
      <c r="U246" t="s">
        <v>30</v>
      </c>
    </row>
    <row r="247" spans="1:21" x14ac:dyDescent="0.35">
      <c r="A247" t="s">
        <v>324</v>
      </c>
      <c r="B247" s="1">
        <v>46110</v>
      </c>
      <c r="C247" t="str">
        <f>TEXT(tblData[[#This Row],[Rental Date]],"mmm")</f>
        <v>Mar</v>
      </c>
      <c r="D247" t="str">
        <f>TEXT(tblData[[#This Row],[Rental Date]],"mmmm")</f>
        <v>March</v>
      </c>
      <c r="E247" t="s">
        <v>68</v>
      </c>
      <c r="F247" t="str">
        <f>TEXT(WEEKNUM(tblData[[#This Row],[Rental Date]]),"00")</f>
        <v>14</v>
      </c>
      <c r="G247" s="1">
        <f>EOMONTH(tblData[[#This Row],[Rental Date]],0)</f>
        <v>46112</v>
      </c>
      <c r="H247" t="s">
        <v>204</v>
      </c>
      <c r="I247" t="s">
        <v>23</v>
      </c>
      <c r="J247" t="s">
        <v>138</v>
      </c>
      <c r="K247" t="s">
        <v>40</v>
      </c>
      <c r="L247">
        <v>1</v>
      </c>
      <c r="M247" s="2">
        <v>77.760000000000005</v>
      </c>
      <c r="N247" t="s">
        <v>89</v>
      </c>
      <c r="O247" s="3">
        <v>6</v>
      </c>
      <c r="P247" s="3">
        <v>0</v>
      </c>
      <c r="Q247" s="2">
        <v>83.76</v>
      </c>
      <c r="R247" t="s">
        <v>71</v>
      </c>
      <c r="S247" t="s">
        <v>54</v>
      </c>
      <c r="T247" t="s">
        <v>51</v>
      </c>
      <c r="U247" t="s">
        <v>30</v>
      </c>
    </row>
    <row r="248" spans="1:21" x14ac:dyDescent="0.35">
      <c r="A248" t="s">
        <v>325</v>
      </c>
      <c r="B248" s="1">
        <v>46110</v>
      </c>
      <c r="C248" t="str">
        <f>TEXT(tblData[[#This Row],[Rental Date]],"mmm")</f>
        <v>Mar</v>
      </c>
      <c r="D248" t="str">
        <f>TEXT(tblData[[#This Row],[Rental Date]],"mmmm")</f>
        <v>March</v>
      </c>
      <c r="E248" t="s">
        <v>68</v>
      </c>
      <c r="F248" t="str">
        <f>TEXT(WEEKNUM(tblData[[#This Row],[Rental Date]]),"00")</f>
        <v>14</v>
      </c>
      <c r="G248" s="1">
        <f>EOMONTH(tblData[[#This Row],[Rental Date]],0)</f>
        <v>46112</v>
      </c>
      <c r="H248" t="s">
        <v>204</v>
      </c>
      <c r="I248" t="s">
        <v>48</v>
      </c>
      <c r="J248" t="s">
        <v>138</v>
      </c>
      <c r="K248" t="s">
        <v>40</v>
      </c>
      <c r="L248">
        <v>1</v>
      </c>
      <c r="M248" s="2">
        <v>77.760000000000005</v>
      </c>
      <c r="N248" t="s">
        <v>26</v>
      </c>
      <c r="O248" s="3">
        <v>0</v>
      </c>
      <c r="P248" s="3">
        <v>0</v>
      </c>
      <c r="Q248" s="2">
        <v>77.760000000000005</v>
      </c>
      <c r="R248" t="s">
        <v>71</v>
      </c>
      <c r="S248" t="s">
        <v>54</v>
      </c>
      <c r="T248" t="s">
        <v>29</v>
      </c>
      <c r="U248" t="s">
        <v>30</v>
      </c>
    </row>
    <row r="249" spans="1:21" x14ac:dyDescent="0.35">
      <c r="A249" t="s">
        <v>326</v>
      </c>
      <c r="B249" s="1">
        <v>46110</v>
      </c>
      <c r="C249" t="str">
        <f>TEXT(tblData[[#This Row],[Rental Date]],"mmm")</f>
        <v>Mar</v>
      </c>
      <c r="D249" t="str">
        <f>TEXT(tblData[[#This Row],[Rental Date]],"mmmm")</f>
        <v>March</v>
      </c>
      <c r="E249" t="s">
        <v>68</v>
      </c>
      <c r="F249" t="str">
        <f>TEXT(WEEKNUM(tblData[[#This Row],[Rental Date]]),"00")</f>
        <v>14</v>
      </c>
      <c r="G249" s="1">
        <f>EOMONTH(tblData[[#This Row],[Rental Date]],0)</f>
        <v>46112</v>
      </c>
      <c r="H249" t="s">
        <v>204</v>
      </c>
      <c r="I249" t="s">
        <v>32</v>
      </c>
      <c r="J249" t="s">
        <v>86</v>
      </c>
      <c r="K249" t="s">
        <v>25</v>
      </c>
      <c r="L249">
        <v>1</v>
      </c>
      <c r="M249" s="2">
        <v>62.64</v>
      </c>
      <c r="N249" t="s">
        <v>26</v>
      </c>
      <c r="O249" s="3">
        <v>0</v>
      </c>
      <c r="P249" s="3">
        <v>6.26</v>
      </c>
      <c r="Q249" s="2">
        <v>56.38</v>
      </c>
      <c r="R249" t="s">
        <v>66</v>
      </c>
      <c r="S249" t="s">
        <v>28</v>
      </c>
      <c r="T249" t="s">
        <v>63</v>
      </c>
      <c r="U249" t="s">
        <v>79</v>
      </c>
    </row>
    <row r="250" spans="1:21" x14ac:dyDescent="0.35">
      <c r="A250" t="s">
        <v>327</v>
      </c>
      <c r="B250" s="1">
        <v>46110</v>
      </c>
      <c r="C250" t="str">
        <f>TEXT(tblData[[#This Row],[Rental Date]],"mmm")</f>
        <v>Mar</v>
      </c>
      <c r="D250" t="str">
        <f>TEXT(tblData[[#This Row],[Rental Date]],"mmmm")</f>
        <v>March</v>
      </c>
      <c r="E250" t="s">
        <v>68</v>
      </c>
      <c r="F250" t="str">
        <f>TEXT(WEEKNUM(tblData[[#This Row],[Rental Date]]),"00")</f>
        <v>14</v>
      </c>
      <c r="G250" s="1">
        <f>EOMONTH(tblData[[#This Row],[Rental Date]],0)</f>
        <v>46112</v>
      </c>
      <c r="H250" t="s">
        <v>204</v>
      </c>
      <c r="I250" t="s">
        <v>39</v>
      </c>
      <c r="J250" t="s">
        <v>78</v>
      </c>
      <c r="K250" t="s">
        <v>60</v>
      </c>
      <c r="L250">
        <v>1</v>
      </c>
      <c r="M250" s="2">
        <v>28.08</v>
      </c>
      <c r="N250" t="s">
        <v>26</v>
      </c>
      <c r="O250" s="3">
        <v>0</v>
      </c>
      <c r="P250" s="3">
        <v>0</v>
      </c>
      <c r="Q250" s="2">
        <v>28.08</v>
      </c>
      <c r="R250" t="s">
        <v>57</v>
      </c>
      <c r="S250" t="s">
        <v>28</v>
      </c>
      <c r="T250" t="s">
        <v>51</v>
      </c>
      <c r="U250" t="s">
        <v>30</v>
      </c>
    </row>
    <row r="251" spans="1:21" x14ac:dyDescent="0.35">
      <c r="A251" t="s">
        <v>328</v>
      </c>
      <c r="B251" s="1">
        <v>46110</v>
      </c>
      <c r="C251" t="str">
        <f>TEXT(tblData[[#This Row],[Rental Date]],"mmm")</f>
        <v>Mar</v>
      </c>
      <c r="D251" t="str">
        <f>TEXT(tblData[[#This Row],[Rental Date]],"mmmm")</f>
        <v>March</v>
      </c>
      <c r="E251" t="s">
        <v>68</v>
      </c>
      <c r="F251" t="str">
        <f>TEXT(WEEKNUM(tblData[[#This Row],[Rental Date]]),"00")</f>
        <v>14</v>
      </c>
      <c r="G251" s="1">
        <f>EOMONTH(tblData[[#This Row],[Rental Date]],0)</f>
        <v>46112</v>
      </c>
      <c r="H251" t="s">
        <v>204</v>
      </c>
      <c r="I251" t="s">
        <v>23</v>
      </c>
      <c r="J251" t="s">
        <v>33</v>
      </c>
      <c r="K251" t="s">
        <v>40</v>
      </c>
      <c r="L251">
        <v>1</v>
      </c>
      <c r="M251" s="2">
        <v>62.64</v>
      </c>
      <c r="N251" t="s">
        <v>26</v>
      </c>
      <c r="O251" s="3">
        <v>0</v>
      </c>
      <c r="P251" s="3">
        <v>0</v>
      </c>
      <c r="Q251" s="2">
        <v>62.64</v>
      </c>
      <c r="R251" t="s">
        <v>71</v>
      </c>
      <c r="S251" t="s">
        <v>50</v>
      </c>
      <c r="T251" t="s">
        <v>51</v>
      </c>
      <c r="U251" t="s">
        <v>58</v>
      </c>
    </row>
    <row r="252" spans="1:21" x14ac:dyDescent="0.35">
      <c r="A252" t="s">
        <v>329</v>
      </c>
      <c r="B252" s="1">
        <v>46110</v>
      </c>
      <c r="C252" t="str">
        <f>TEXT(tblData[[#This Row],[Rental Date]],"mmm")</f>
        <v>Mar</v>
      </c>
      <c r="D252" t="str">
        <f>TEXT(tblData[[#This Row],[Rental Date]],"mmmm")</f>
        <v>March</v>
      </c>
      <c r="E252" t="s">
        <v>68</v>
      </c>
      <c r="F252" t="str">
        <f>TEXT(WEEKNUM(tblData[[#This Row],[Rental Date]]),"00")</f>
        <v>14</v>
      </c>
      <c r="G252" s="1">
        <f>EOMONTH(tblData[[#This Row],[Rental Date]],0)</f>
        <v>46112</v>
      </c>
      <c r="H252" t="s">
        <v>204</v>
      </c>
      <c r="I252" t="s">
        <v>48</v>
      </c>
      <c r="J252" t="s">
        <v>44</v>
      </c>
      <c r="K252" t="s">
        <v>60</v>
      </c>
      <c r="L252">
        <v>1</v>
      </c>
      <c r="M252" s="2">
        <v>36.72</v>
      </c>
      <c r="N252" t="s">
        <v>89</v>
      </c>
      <c r="O252" s="3">
        <v>6</v>
      </c>
      <c r="P252" s="3">
        <v>0</v>
      </c>
      <c r="Q252" s="2">
        <v>42.72</v>
      </c>
      <c r="R252" t="s">
        <v>57</v>
      </c>
      <c r="S252" t="s">
        <v>50</v>
      </c>
      <c r="T252" t="s">
        <v>29</v>
      </c>
      <c r="U252" t="s">
        <v>36</v>
      </c>
    </row>
    <row r="253" spans="1:21" x14ac:dyDescent="0.35">
      <c r="A253" t="s">
        <v>330</v>
      </c>
      <c r="B253" s="1">
        <v>46110</v>
      </c>
      <c r="C253" t="str">
        <f>TEXT(tblData[[#This Row],[Rental Date]],"mmm")</f>
        <v>Mar</v>
      </c>
      <c r="D253" t="str">
        <f>TEXT(tblData[[#This Row],[Rental Date]],"mmmm")</f>
        <v>March</v>
      </c>
      <c r="E253" t="s">
        <v>68</v>
      </c>
      <c r="F253" t="str">
        <f>TEXT(WEEKNUM(tblData[[#This Row],[Rental Date]]),"00")</f>
        <v>14</v>
      </c>
      <c r="G253" s="1">
        <f>EOMONTH(tblData[[#This Row],[Rental Date]],0)</f>
        <v>46112</v>
      </c>
      <c r="H253" t="s">
        <v>204</v>
      </c>
      <c r="I253" t="s">
        <v>23</v>
      </c>
      <c r="J253" t="s">
        <v>49</v>
      </c>
      <c r="K253" t="s">
        <v>25</v>
      </c>
      <c r="L253">
        <v>1</v>
      </c>
      <c r="M253" s="2">
        <v>38.880000000000003</v>
      </c>
      <c r="N253" t="s">
        <v>26</v>
      </c>
      <c r="O253" s="3">
        <v>0</v>
      </c>
      <c r="P253" s="3">
        <v>0</v>
      </c>
      <c r="Q253" s="2">
        <v>38.880000000000003</v>
      </c>
      <c r="R253" t="s">
        <v>71</v>
      </c>
      <c r="S253" t="s">
        <v>50</v>
      </c>
      <c r="T253" t="s">
        <v>90</v>
      </c>
      <c r="U253" t="s">
        <v>30</v>
      </c>
    </row>
    <row r="254" spans="1:21" x14ac:dyDescent="0.35">
      <c r="A254" t="s">
        <v>331</v>
      </c>
      <c r="B254" s="1">
        <v>46111</v>
      </c>
      <c r="C254" t="str">
        <f>TEXT(tblData[[#This Row],[Rental Date]],"mmm")</f>
        <v>Mar</v>
      </c>
      <c r="D254" t="str">
        <f>TEXT(tblData[[#This Row],[Rental Date]],"mmmm")</f>
        <v>March</v>
      </c>
      <c r="E254" t="s">
        <v>74</v>
      </c>
      <c r="F254" t="str">
        <f>TEXT(WEEKNUM(tblData[[#This Row],[Rental Date]]),"00")</f>
        <v>14</v>
      </c>
      <c r="G254" s="1">
        <f>EOMONTH(tblData[[#This Row],[Rental Date]],0)</f>
        <v>46112</v>
      </c>
      <c r="H254" t="s">
        <v>204</v>
      </c>
      <c r="I254" t="s">
        <v>48</v>
      </c>
      <c r="J254" t="s">
        <v>49</v>
      </c>
      <c r="K254" t="s">
        <v>60</v>
      </c>
      <c r="L254">
        <v>1</v>
      </c>
      <c r="M254" s="2">
        <v>22</v>
      </c>
      <c r="N254" t="s">
        <v>26</v>
      </c>
      <c r="O254" s="3">
        <v>0</v>
      </c>
      <c r="P254" s="3">
        <v>0</v>
      </c>
      <c r="Q254" s="2">
        <v>22</v>
      </c>
      <c r="R254" t="s">
        <v>94</v>
      </c>
      <c r="S254" t="s">
        <v>50</v>
      </c>
      <c r="T254" t="s">
        <v>29</v>
      </c>
      <c r="U254" t="s">
        <v>79</v>
      </c>
    </row>
    <row r="255" spans="1:21" x14ac:dyDescent="0.35">
      <c r="A255" t="s">
        <v>332</v>
      </c>
      <c r="B255" s="1">
        <v>46112</v>
      </c>
      <c r="C255" t="str">
        <f>TEXT(tblData[[#This Row],[Rental Date]],"mmm")</f>
        <v>Mar</v>
      </c>
      <c r="D255" t="str">
        <f>TEXT(tblData[[#This Row],[Rental Date]],"mmmm")</f>
        <v>March</v>
      </c>
      <c r="E255" t="s">
        <v>102</v>
      </c>
      <c r="F255" t="str">
        <f>TEXT(WEEKNUM(tblData[[#This Row],[Rental Date]]),"00")</f>
        <v>14</v>
      </c>
      <c r="G255" s="1">
        <f>EOMONTH(tblData[[#This Row],[Rental Date]],0)</f>
        <v>46112</v>
      </c>
      <c r="H255" t="s">
        <v>204</v>
      </c>
      <c r="I255" t="s">
        <v>39</v>
      </c>
      <c r="J255" t="s">
        <v>65</v>
      </c>
      <c r="K255" t="s">
        <v>25</v>
      </c>
      <c r="L255">
        <v>1</v>
      </c>
      <c r="M255" s="2">
        <v>18</v>
      </c>
      <c r="N255" t="s">
        <v>41</v>
      </c>
      <c r="O255" s="3">
        <v>5</v>
      </c>
      <c r="P255" s="3">
        <v>0</v>
      </c>
      <c r="Q255" s="2">
        <v>23</v>
      </c>
      <c r="R255" t="s">
        <v>27</v>
      </c>
      <c r="S255" t="s">
        <v>50</v>
      </c>
      <c r="T255" t="s">
        <v>90</v>
      </c>
      <c r="U255" t="s">
        <v>58</v>
      </c>
    </row>
    <row r="256" spans="1:21" x14ac:dyDescent="0.35">
      <c r="A256" t="s">
        <v>333</v>
      </c>
      <c r="B256" s="1">
        <v>46112</v>
      </c>
      <c r="C256" t="str">
        <f>TEXT(tblData[[#This Row],[Rental Date]],"mmm")</f>
        <v>Mar</v>
      </c>
      <c r="D256" t="str">
        <f>TEXT(tblData[[#This Row],[Rental Date]],"mmmm")</f>
        <v>March</v>
      </c>
      <c r="E256" t="s">
        <v>102</v>
      </c>
      <c r="F256" t="str">
        <f>TEXT(WEEKNUM(tblData[[#This Row],[Rental Date]]),"00")</f>
        <v>14</v>
      </c>
      <c r="G256" s="1">
        <f>EOMONTH(tblData[[#This Row],[Rental Date]],0)</f>
        <v>46112</v>
      </c>
      <c r="H256" t="s">
        <v>204</v>
      </c>
      <c r="I256" t="s">
        <v>48</v>
      </c>
      <c r="J256" t="s">
        <v>33</v>
      </c>
      <c r="K256" t="s">
        <v>60</v>
      </c>
      <c r="L256">
        <v>1</v>
      </c>
      <c r="M256" s="2">
        <v>24</v>
      </c>
      <c r="N256" t="s">
        <v>89</v>
      </c>
      <c r="O256" s="3">
        <v>6</v>
      </c>
      <c r="P256" s="3">
        <v>0</v>
      </c>
      <c r="Q256" s="2">
        <v>30</v>
      </c>
      <c r="R256" t="s">
        <v>34</v>
      </c>
      <c r="S256" t="s">
        <v>46</v>
      </c>
      <c r="T256" t="s">
        <v>29</v>
      </c>
      <c r="U256" t="s">
        <v>79</v>
      </c>
    </row>
    <row r="257" spans="1:21" x14ac:dyDescent="0.35">
      <c r="A257" t="s">
        <v>334</v>
      </c>
      <c r="B257" s="1">
        <v>46113</v>
      </c>
      <c r="C257" t="str">
        <f>TEXT(tblData[[#This Row],[Rental Date]],"mmm")</f>
        <v>Apr</v>
      </c>
      <c r="D257" t="str">
        <f>TEXT(tblData[[#This Row],[Rental Date]],"mmmm")</f>
        <v>April</v>
      </c>
      <c r="E257" t="s">
        <v>109</v>
      </c>
      <c r="F257" t="str">
        <f>TEXT(WEEKNUM(tblData[[#This Row],[Rental Date]]),"00")</f>
        <v>14</v>
      </c>
      <c r="G257" s="1">
        <f>EOMONTH(tblData[[#This Row],[Rental Date]],0)</f>
        <v>46142</v>
      </c>
      <c r="H257" t="s">
        <v>204</v>
      </c>
      <c r="I257" t="s">
        <v>39</v>
      </c>
      <c r="J257" t="s">
        <v>44</v>
      </c>
      <c r="K257" t="s">
        <v>40</v>
      </c>
      <c r="L257">
        <v>1</v>
      </c>
      <c r="M257" s="2">
        <v>78</v>
      </c>
      <c r="N257" t="s">
        <v>75</v>
      </c>
      <c r="O257" s="3">
        <v>12</v>
      </c>
      <c r="P257" s="3">
        <v>0</v>
      </c>
      <c r="Q257" s="2">
        <v>90</v>
      </c>
      <c r="R257" t="s">
        <v>76</v>
      </c>
      <c r="S257" t="s">
        <v>28</v>
      </c>
      <c r="T257" t="s">
        <v>83</v>
      </c>
      <c r="U257" t="s">
        <v>58</v>
      </c>
    </row>
    <row r="258" spans="1:21" x14ac:dyDescent="0.35">
      <c r="A258" t="s">
        <v>335</v>
      </c>
      <c r="B258" s="1">
        <v>46113</v>
      </c>
      <c r="C258" t="str">
        <f>TEXT(tblData[[#This Row],[Rental Date]],"mmm")</f>
        <v>Apr</v>
      </c>
      <c r="D258" t="str">
        <f>TEXT(tblData[[#This Row],[Rental Date]],"mmmm")</f>
        <v>April</v>
      </c>
      <c r="E258" t="s">
        <v>109</v>
      </c>
      <c r="F258" t="str">
        <f>TEXT(WEEKNUM(tblData[[#This Row],[Rental Date]]),"00")</f>
        <v>14</v>
      </c>
      <c r="G258" s="1">
        <f>EOMONTH(tblData[[#This Row],[Rental Date]],0)</f>
        <v>46142</v>
      </c>
      <c r="H258" t="s">
        <v>204</v>
      </c>
      <c r="I258" t="s">
        <v>32</v>
      </c>
      <c r="J258" t="s">
        <v>111</v>
      </c>
      <c r="K258" t="s">
        <v>25</v>
      </c>
      <c r="L258">
        <v>1</v>
      </c>
      <c r="M258" s="2">
        <v>22</v>
      </c>
      <c r="N258" t="s">
        <v>87</v>
      </c>
      <c r="O258" s="3">
        <v>10</v>
      </c>
      <c r="P258" s="3">
        <v>0</v>
      </c>
      <c r="Q258" s="2">
        <v>32</v>
      </c>
      <c r="R258" t="s">
        <v>94</v>
      </c>
      <c r="S258" t="s">
        <v>50</v>
      </c>
      <c r="T258" t="s">
        <v>90</v>
      </c>
      <c r="U258" t="s">
        <v>30</v>
      </c>
    </row>
    <row r="259" spans="1:21" x14ac:dyDescent="0.35">
      <c r="A259" t="s">
        <v>336</v>
      </c>
      <c r="B259" s="1">
        <v>46113</v>
      </c>
      <c r="C259" t="str">
        <f>TEXT(tblData[[#This Row],[Rental Date]],"mmm")</f>
        <v>Apr</v>
      </c>
      <c r="D259" t="str">
        <f>TEXT(tblData[[#This Row],[Rental Date]],"mmmm")</f>
        <v>April</v>
      </c>
      <c r="E259" t="s">
        <v>109</v>
      </c>
      <c r="F259" t="str">
        <f>TEXT(WEEKNUM(tblData[[#This Row],[Rental Date]]),"00")</f>
        <v>14</v>
      </c>
      <c r="G259" s="1">
        <f>EOMONTH(tblData[[#This Row],[Rental Date]],0)</f>
        <v>46142</v>
      </c>
      <c r="H259" t="s">
        <v>204</v>
      </c>
      <c r="I259" t="s">
        <v>48</v>
      </c>
      <c r="J259" t="s">
        <v>49</v>
      </c>
      <c r="K259" t="s">
        <v>92</v>
      </c>
      <c r="L259">
        <v>1</v>
      </c>
      <c r="M259" s="2">
        <v>76</v>
      </c>
      <c r="N259" t="s">
        <v>26</v>
      </c>
      <c r="O259" s="3">
        <v>0</v>
      </c>
      <c r="P259" s="3">
        <v>3.8</v>
      </c>
      <c r="Q259" s="2">
        <v>72.2</v>
      </c>
      <c r="R259" t="s">
        <v>42</v>
      </c>
      <c r="S259" t="s">
        <v>50</v>
      </c>
      <c r="T259" t="s">
        <v>29</v>
      </c>
      <c r="U259" t="s">
        <v>30</v>
      </c>
    </row>
    <row r="260" spans="1:21" x14ac:dyDescent="0.35">
      <c r="A260" t="s">
        <v>337</v>
      </c>
      <c r="B260" s="1">
        <v>46114</v>
      </c>
      <c r="C260" t="str">
        <f>TEXT(tblData[[#This Row],[Rental Date]],"mmm")</f>
        <v>Apr</v>
      </c>
      <c r="D260" t="str">
        <f>TEXT(tblData[[#This Row],[Rental Date]],"mmmm")</f>
        <v>April</v>
      </c>
      <c r="E260" t="s">
        <v>21</v>
      </c>
      <c r="F260" t="str">
        <f>TEXT(WEEKNUM(tblData[[#This Row],[Rental Date]]),"00")</f>
        <v>14</v>
      </c>
      <c r="G260" s="1">
        <f>EOMONTH(tblData[[#This Row],[Rental Date]],0)</f>
        <v>46142</v>
      </c>
      <c r="H260" t="s">
        <v>204</v>
      </c>
      <c r="I260" t="s">
        <v>39</v>
      </c>
      <c r="J260" t="s">
        <v>78</v>
      </c>
      <c r="K260" t="s">
        <v>25</v>
      </c>
      <c r="L260">
        <v>1</v>
      </c>
      <c r="M260" s="2">
        <v>42</v>
      </c>
      <c r="N260" t="s">
        <v>41</v>
      </c>
      <c r="O260" s="3">
        <v>5</v>
      </c>
      <c r="P260" s="3">
        <v>0</v>
      </c>
      <c r="Q260" s="2">
        <v>47</v>
      </c>
      <c r="R260" t="s">
        <v>57</v>
      </c>
      <c r="S260" t="s">
        <v>54</v>
      </c>
      <c r="T260" t="s">
        <v>90</v>
      </c>
      <c r="U260" t="s">
        <v>30</v>
      </c>
    </row>
    <row r="261" spans="1:21" x14ac:dyDescent="0.35">
      <c r="A261" t="s">
        <v>338</v>
      </c>
      <c r="B261" s="1">
        <v>46114</v>
      </c>
      <c r="C261" t="str">
        <f>TEXT(tblData[[#This Row],[Rental Date]],"mmm")</f>
        <v>Apr</v>
      </c>
      <c r="D261" t="str">
        <f>TEXT(tblData[[#This Row],[Rental Date]],"mmmm")</f>
        <v>April</v>
      </c>
      <c r="E261" t="s">
        <v>21</v>
      </c>
      <c r="F261" t="str">
        <f>TEXT(WEEKNUM(tblData[[#This Row],[Rental Date]]),"00")</f>
        <v>14</v>
      </c>
      <c r="G261" s="1">
        <f>EOMONTH(tblData[[#This Row],[Rental Date]],0)</f>
        <v>46142</v>
      </c>
      <c r="H261" t="s">
        <v>204</v>
      </c>
      <c r="I261" t="s">
        <v>32</v>
      </c>
      <c r="J261" t="s">
        <v>78</v>
      </c>
      <c r="K261" t="s">
        <v>60</v>
      </c>
      <c r="L261">
        <v>1</v>
      </c>
      <c r="M261" s="2">
        <v>26</v>
      </c>
      <c r="N261" t="s">
        <v>26</v>
      </c>
      <c r="O261" s="3">
        <v>0</v>
      </c>
      <c r="P261" s="3">
        <v>0</v>
      </c>
      <c r="Q261" s="2">
        <v>26</v>
      </c>
      <c r="R261" t="s">
        <v>62</v>
      </c>
      <c r="S261" t="s">
        <v>35</v>
      </c>
      <c r="T261" t="s">
        <v>29</v>
      </c>
      <c r="U261" t="s">
        <v>79</v>
      </c>
    </row>
    <row r="262" spans="1:21" x14ac:dyDescent="0.35">
      <c r="A262" t="s">
        <v>339</v>
      </c>
      <c r="B262" s="1">
        <v>46114</v>
      </c>
      <c r="C262" t="str">
        <f>TEXT(tblData[[#This Row],[Rental Date]],"mmm")</f>
        <v>Apr</v>
      </c>
      <c r="D262" t="str">
        <f>TEXT(tblData[[#This Row],[Rental Date]],"mmmm")</f>
        <v>April</v>
      </c>
      <c r="E262" t="s">
        <v>21</v>
      </c>
      <c r="F262" t="str">
        <f>TEXT(WEEKNUM(tblData[[#This Row],[Rental Date]]),"00")</f>
        <v>14</v>
      </c>
      <c r="G262" s="1">
        <f>EOMONTH(tblData[[#This Row],[Rental Date]],0)</f>
        <v>46142</v>
      </c>
      <c r="H262" t="s">
        <v>204</v>
      </c>
      <c r="I262" t="s">
        <v>48</v>
      </c>
      <c r="J262" t="s">
        <v>111</v>
      </c>
      <c r="K262" t="s">
        <v>92</v>
      </c>
      <c r="L262">
        <v>1</v>
      </c>
      <c r="M262" s="2">
        <v>48</v>
      </c>
      <c r="N262" t="s">
        <v>26</v>
      </c>
      <c r="O262" s="3">
        <v>0</v>
      </c>
      <c r="P262" s="3">
        <v>0</v>
      </c>
      <c r="Q262" s="2">
        <v>48</v>
      </c>
      <c r="R262" t="s">
        <v>27</v>
      </c>
      <c r="S262" t="s">
        <v>50</v>
      </c>
      <c r="T262" t="s">
        <v>90</v>
      </c>
      <c r="U262" t="s">
        <v>58</v>
      </c>
    </row>
    <row r="263" spans="1:21" x14ac:dyDescent="0.35">
      <c r="A263" t="s">
        <v>340</v>
      </c>
      <c r="B263" s="1">
        <v>46114</v>
      </c>
      <c r="C263" t="str">
        <f>TEXT(tblData[[#This Row],[Rental Date]],"mmm")</f>
        <v>Apr</v>
      </c>
      <c r="D263" t="str">
        <f>TEXT(tblData[[#This Row],[Rental Date]],"mmmm")</f>
        <v>April</v>
      </c>
      <c r="E263" t="s">
        <v>21</v>
      </c>
      <c r="F263" t="str">
        <f>TEXT(WEEKNUM(tblData[[#This Row],[Rental Date]]),"00")</f>
        <v>14</v>
      </c>
      <c r="G263" s="1">
        <f>EOMONTH(tblData[[#This Row],[Rental Date]],0)</f>
        <v>46142</v>
      </c>
      <c r="H263" t="s">
        <v>204</v>
      </c>
      <c r="I263" t="s">
        <v>23</v>
      </c>
      <c r="J263" t="s">
        <v>78</v>
      </c>
      <c r="K263" t="s">
        <v>25</v>
      </c>
      <c r="L263">
        <v>1</v>
      </c>
      <c r="M263" s="2">
        <v>42</v>
      </c>
      <c r="N263" t="s">
        <v>26</v>
      </c>
      <c r="O263" s="3">
        <v>0</v>
      </c>
      <c r="P263" s="3">
        <v>0</v>
      </c>
      <c r="Q263" s="2">
        <v>42</v>
      </c>
      <c r="R263" t="s">
        <v>94</v>
      </c>
      <c r="S263" t="s">
        <v>35</v>
      </c>
      <c r="T263" t="s">
        <v>51</v>
      </c>
      <c r="U263" t="s">
        <v>79</v>
      </c>
    </row>
    <row r="264" spans="1:21" x14ac:dyDescent="0.35">
      <c r="A264" t="s">
        <v>341</v>
      </c>
      <c r="B264" s="1">
        <v>46114</v>
      </c>
      <c r="C264" t="str">
        <f>TEXT(tblData[[#This Row],[Rental Date]],"mmm")</f>
        <v>Apr</v>
      </c>
      <c r="D264" t="str">
        <f>TEXT(tblData[[#This Row],[Rental Date]],"mmmm")</f>
        <v>April</v>
      </c>
      <c r="E264" t="s">
        <v>21</v>
      </c>
      <c r="F264" t="str">
        <f>TEXT(WEEKNUM(tblData[[#This Row],[Rental Date]]),"00")</f>
        <v>14</v>
      </c>
      <c r="G264" s="1">
        <f>EOMONTH(tblData[[#This Row],[Rental Date]],0)</f>
        <v>46142</v>
      </c>
      <c r="H264" t="s">
        <v>204</v>
      </c>
      <c r="I264" t="s">
        <v>39</v>
      </c>
      <c r="J264" t="s">
        <v>44</v>
      </c>
      <c r="K264" t="s">
        <v>25</v>
      </c>
      <c r="L264">
        <v>1</v>
      </c>
      <c r="M264" s="2">
        <v>52</v>
      </c>
      <c r="N264" t="s">
        <v>89</v>
      </c>
      <c r="O264" s="3">
        <v>6</v>
      </c>
      <c r="P264" s="3">
        <v>0</v>
      </c>
      <c r="Q264" s="2">
        <v>58</v>
      </c>
      <c r="R264" t="s">
        <v>66</v>
      </c>
      <c r="S264" t="s">
        <v>50</v>
      </c>
      <c r="T264" t="s">
        <v>51</v>
      </c>
      <c r="U264" t="s">
        <v>30</v>
      </c>
    </row>
    <row r="265" spans="1:21" x14ac:dyDescent="0.35">
      <c r="A265" t="s">
        <v>342</v>
      </c>
      <c r="B265" s="1">
        <v>46115</v>
      </c>
      <c r="C265" t="str">
        <f>TEXT(tblData[[#This Row],[Rental Date]],"mmm")</f>
        <v>Apr</v>
      </c>
      <c r="D265" t="str">
        <f>TEXT(tblData[[#This Row],[Rental Date]],"mmmm")</f>
        <v>April</v>
      </c>
      <c r="E265" t="s">
        <v>38</v>
      </c>
      <c r="F265" t="str">
        <f>TEXT(WEEKNUM(tblData[[#This Row],[Rental Date]]),"00")</f>
        <v>14</v>
      </c>
      <c r="G265" s="1">
        <f>EOMONTH(tblData[[#This Row],[Rental Date]],0)</f>
        <v>46142</v>
      </c>
      <c r="H265" t="s">
        <v>204</v>
      </c>
      <c r="I265" t="s">
        <v>48</v>
      </c>
      <c r="J265" t="s">
        <v>49</v>
      </c>
      <c r="K265" t="s">
        <v>92</v>
      </c>
      <c r="L265">
        <v>1</v>
      </c>
      <c r="M265" s="2">
        <v>76</v>
      </c>
      <c r="N265" t="s">
        <v>41</v>
      </c>
      <c r="O265" s="3">
        <v>5</v>
      </c>
      <c r="P265" s="3">
        <v>0</v>
      </c>
      <c r="Q265" s="2">
        <v>81</v>
      </c>
      <c r="R265" t="s">
        <v>27</v>
      </c>
      <c r="S265" t="s">
        <v>28</v>
      </c>
      <c r="T265" t="s">
        <v>51</v>
      </c>
      <c r="U265" t="s">
        <v>30</v>
      </c>
    </row>
    <row r="266" spans="1:21" x14ac:dyDescent="0.35">
      <c r="A266" t="s">
        <v>343</v>
      </c>
      <c r="B266" s="1">
        <v>46115</v>
      </c>
      <c r="C266" t="str">
        <f>TEXT(tblData[[#This Row],[Rental Date]],"mmm")</f>
        <v>Apr</v>
      </c>
      <c r="D266" t="str">
        <f>TEXT(tblData[[#This Row],[Rental Date]],"mmmm")</f>
        <v>April</v>
      </c>
      <c r="E266" t="s">
        <v>38</v>
      </c>
      <c r="F266" t="str">
        <f>TEXT(WEEKNUM(tblData[[#This Row],[Rental Date]]),"00")</f>
        <v>14</v>
      </c>
      <c r="G266" s="1">
        <f>EOMONTH(tblData[[#This Row],[Rental Date]],0)</f>
        <v>46142</v>
      </c>
      <c r="H266" t="s">
        <v>204</v>
      </c>
      <c r="I266" t="s">
        <v>39</v>
      </c>
      <c r="J266" t="s">
        <v>24</v>
      </c>
      <c r="K266" t="s">
        <v>60</v>
      </c>
      <c r="L266">
        <v>1</v>
      </c>
      <c r="M266" s="2">
        <v>32</v>
      </c>
      <c r="N266" t="s">
        <v>61</v>
      </c>
      <c r="O266" s="3">
        <v>8</v>
      </c>
      <c r="P266" s="3">
        <v>0</v>
      </c>
      <c r="Q266" s="2">
        <v>40</v>
      </c>
      <c r="R266" t="s">
        <v>62</v>
      </c>
      <c r="S266" t="s">
        <v>50</v>
      </c>
      <c r="T266" t="s">
        <v>63</v>
      </c>
      <c r="U266" t="s">
        <v>30</v>
      </c>
    </row>
    <row r="267" spans="1:21" x14ac:dyDescent="0.35">
      <c r="A267" t="s">
        <v>344</v>
      </c>
      <c r="B267" s="1">
        <v>46115</v>
      </c>
      <c r="C267" t="str">
        <f>TEXT(tblData[[#This Row],[Rental Date]],"mmm")</f>
        <v>Apr</v>
      </c>
      <c r="D267" t="str">
        <f>TEXT(tblData[[#This Row],[Rental Date]],"mmmm")</f>
        <v>April</v>
      </c>
      <c r="E267" t="s">
        <v>38</v>
      </c>
      <c r="F267" t="str">
        <f>TEXT(WEEKNUM(tblData[[#This Row],[Rental Date]]),"00")</f>
        <v>14</v>
      </c>
      <c r="G267" s="1">
        <f>EOMONTH(tblData[[#This Row],[Rental Date]],0)</f>
        <v>46142</v>
      </c>
      <c r="H267" t="s">
        <v>204</v>
      </c>
      <c r="I267" t="s">
        <v>23</v>
      </c>
      <c r="J267" t="s">
        <v>33</v>
      </c>
      <c r="K267" t="s">
        <v>25</v>
      </c>
      <c r="L267">
        <v>1</v>
      </c>
      <c r="M267" s="2">
        <v>38</v>
      </c>
      <c r="N267" t="s">
        <v>26</v>
      </c>
      <c r="O267" s="3">
        <v>0</v>
      </c>
      <c r="P267" s="3">
        <v>0</v>
      </c>
      <c r="Q267" s="2">
        <v>38</v>
      </c>
      <c r="R267" t="s">
        <v>42</v>
      </c>
      <c r="S267" t="s">
        <v>28</v>
      </c>
      <c r="T267" t="s">
        <v>29</v>
      </c>
      <c r="U267" t="s">
        <v>36</v>
      </c>
    </row>
    <row r="268" spans="1:21" x14ac:dyDescent="0.35">
      <c r="A268" t="s">
        <v>345</v>
      </c>
      <c r="B268" s="1">
        <v>46115</v>
      </c>
      <c r="C268" t="str">
        <f>TEXT(tblData[[#This Row],[Rental Date]],"mmm")</f>
        <v>Apr</v>
      </c>
      <c r="D268" t="str">
        <f>TEXT(tblData[[#This Row],[Rental Date]],"mmmm")</f>
        <v>April</v>
      </c>
      <c r="E268" t="s">
        <v>38</v>
      </c>
      <c r="F268" t="str">
        <f>TEXT(WEEKNUM(tblData[[#This Row],[Rental Date]]),"00")</f>
        <v>14</v>
      </c>
      <c r="G268" s="1">
        <f>EOMONTH(tblData[[#This Row],[Rental Date]],0)</f>
        <v>46142</v>
      </c>
      <c r="H268" t="s">
        <v>204</v>
      </c>
      <c r="I268" t="s">
        <v>48</v>
      </c>
      <c r="J268" t="s">
        <v>138</v>
      </c>
      <c r="K268" t="s">
        <v>60</v>
      </c>
      <c r="L268">
        <v>1</v>
      </c>
      <c r="M268" s="2">
        <v>30</v>
      </c>
      <c r="N268" t="s">
        <v>75</v>
      </c>
      <c r="O268" s="3">
        <v>12</v>
      </c>
      <c r="P268" s="3">
        <v>0</v>
      </c>
      <c r="Q268" s="2">
        <v>42</v>
      </c>
      <c r="R268" t="s">
        <v>76</v>
      </c>
      <c r="S268" t="s">
        <v>50</v>
      </c>
      <c r="T268" t="s">
        <v>29</v>
      </c>
      <c r="U268" t="s">
        <v>58</v>
      </c>
    </row>
    <row r="269" spans="1:21" x14ac:dyDescent="0.35">
      <c r="A269" t="s">
        <v>346</v>
      </c>
      <c r="B269" s="1">
        <v>46115</v>
      </c>
      <c r="C269" t="str">
        <f>TEXT(tblData[[#This Row],[Rental Date]],"mmm")</f>
        <v>Apr</v>
      </c>
      <c r="D269" t="str">
        <f>TEXT(tblData[[#This Row],[Rental Date]],"mmmm")</f>
        <v>April</v>
      </c>
      <c r="E269" t="s">
        <v>38</v>
      </c>
      <c r="F269" t="str">
        <f>TEXT(WEEKNUM(tblData[[#This Row],[Rental Date]]),"00")</f>
        <v>14</v>
      </c>
      <c r="G269" s="1">
        <f>EOMONTH(tblData[[#This Row],[Rental Date]],0)</f>
        <v>46142</v>
      </c>
      <c r="H269" t="s">
        <v>204</v>
      </c>
      <c r="I269" t="s">
        <v>39</v>
      </c>
      <c r="J269" t="s">
        <v>49</v>
      </c>
      <c r="K269" t="s">
        <v>25</v>
      </c>
      <c r="L269">
        <v>1</v>
      </c>
      <c r="M269" s="2">
        <v>36</v>
      </c>
      <c r="N269" t="s">
        <v>26</v>
      </c>
      <c r="O269" s="3">
        <v>0</v>
      </c>
      <c r="P269" s="3">
        <v>0</v>
      </c>
      <c r="Q269" s="2">
        <v>36</v>
      </c>
      <c r="R269" t="s">
        <v>62</v>
      </c>
      <c r="S269" t="s">
        <v>54</v>
      </c>
      <c r="T269" t="s">
        <v>29</v>
      </c>
      <c r="U269" t="s">
        <v>30</v>
      </c>
    </row>
    <row r="270" spans="1:21" x14ac:dyDescent="0.35">
      <c r="A270" t="s">
        <v>347</v>
      </c>
      <c r="B270" s="1">
        <v>46115</v>
      </c>
      <c r="C270" t="str">
        <f>TEXT(tblData[[#This Row],[Rental Date]],"mmm")</f>
        <v>Apr</v>
      </c>
      <c r="D270" t="str">
        <f>TEXT(tblData[[#This Row],[Rental Date]],"mmmm")</f>
        <v>April</v>
      </c>
      <c r="E270" t="s">
        <v>38</v>
      </c>
      <c r="F270" t="str">
        <f>TEXT(WEEKNUM(tblData[[#This Row],[Rental Date]]),"00")</f>
        <v>14</v>
      </c>
      <c r="G270" s="1">
        <f>EOMONTH(tblData[[#This Row],[Rental Date]],0)</f>
        <v>46142</v>
      </c>
      <c r="H270" t="s">
        <v>204</v>
      </c>
      <c r="I270" t="s">
        <v>48</v>
      </c>
      <c r="J270" t="s">
        <v>86</v>
      </c>
      <c r="K270" t="s">
        <v>60</v>
      </c>
      <c r="L270">
        <v>1</v>
      </c>
      <c r="M270" s="2">
        <v>36</v>
      </c>
      <c r="N270" t="s">
        <v>26</v>
      </c>
      <c r="O270" s="3">
        <v>0</v>
      </c>
      <c r="P270" s="3">
        <v>0</v>
      </c>
      <c r="Q270" s="2">
        <v>36</v>
      </c>
      <c r="R270" t="s">
        <v>62</v>
      </c>
      <c r="S270" t="s">
        <v>35</v>
      </c>
      <c r="T270" t="s">
        <v>51</v>
      </c>
      <c r="U270" t="s">
        <v>79</v>
      </c>
    </row>
    <row r="271" spans="1:21" x14ac:dyDescent="0.35">
      <c r="A271" t="s">
        <v>348</v>
      </c>
      <c r="B271" s="1">
        <v>46115</v>
      </c>
      <c r="C271" t="str">
        <f>TEXT(tblData[[#This Row],[Rental Date]],"mmm")</f>
        <v>Apr</v>
      </c>
      <c r="D271" t="str">
        <f>TEXT(tblData[[#This Row],[Rental Date]],"mmmm")</f>
        <v>April</v>
      </c>
      <c r="E271" t="s">
        <v>38</v>
      </c>
      <c r="F271" t="str">
        <f>TEXT(WEEKNUM(tblData[[#This Row],[Rental Date]]),"00")</f>
        <v>14</v>
      </c>
      <c r="G271" s="1">
        <f>EOMONTH(tblData[[#This Row],[Rental Date]],0)</f>
        <v>46142</v>
      </c>
      <c r="H271" t="s">
        <v>204</v>
      </c>
      <c r="I271" t="s">
        <v>48</v>
      </c>
      <c r="J271" t="s">
        <v>65</v>
      </c>
      <c r="K271" t="s">
        <v>25</v>
      </c>
      <c r="L271">
        <v>1</v>
      </c>
      <c r="M271" s="2">
        <v>18</v>
      </c>
      <c r="N271" t="s">
        <v>26</v>
      </c>
      <c r="O271" s="3">
        <v>0</v>
      </c>
      <c r="P271" s="3">
        <v>0</v>
      </c>
      <c r="Q271" s="2">
        <v>18</v>
      </c>
      <c r="R271" t="s">
        <v>45</v>
      </c>
      <c r="S271" t="s">
        <v>46</v>
      </c>
      <c r="T271" t="s">
        <v>63</v>
      </c>
      <c r="U271" t="s">
        <v>79</v>
      </c>
    </row>
    <row r="272" spans="1:21" x14ac:dyDescent="0.35">
      <c r="A272" t="s">
        <v>349</v>
      </c>
      <c r="B272" s="1">
        <v>46115</v>
      </c>
      <c r="C272" t="str">
        <f>TEXT(tblData[[#This Row],[Rental Date]],"mmm")</f>
        <v>Apr</v>
      </c>
      <c r="D272" t="str">
        <f>TEXT(tblData[[#This Row],[Rental Date]],"mmmm")</f>
        <v>April</v>
      </c>
      <c r="E272" t="s">
        <v>38</v>
      </c>
      <c r="F272" t="str">
        <f>TEXT(WEEKNUM(tblData[[#This Row],[Rental Date]]),"00")</f>
        <v>14</v>
      </c>
      <c r="G272" s="1">
        <f>EOMONTH(tblData[[#This Row],[Rental Date]],0)</f>
        <v>46142</v>
      </c>
      <c r="H272" t="s">
        <v>204</v>
      </c>
      <c r="I272" t="s">
        <v>48</v>
      </c>
      <c r="J272" t="s">
        <v>78</v>
      </c>
      <c r="K272" t="s">
        <v>60</v>
      </c>
      <c r="L272">
        <v>1</v>
      </c>
      <c r="M272" s="2">
        <v>26</v>
      </c>
      <c r="N272" t="s">
        <v>75</v>
      </c>
      <c r="O272" s="3">
        <v>12</v>
      </c>
      <c r="P272" s="3">
        <v>0</v>
      </c>
      <c r="Q272" s="2">
        <v>38</v>
      </c>
      <c r="R272" t="s">
        <v>42</v>
      </c>
      <c r="S272" t="s">
        <v>54</v>
      </c>
      <c r="T272" t="s">
        <v>63</v>
      </c>
      <c r="U272" t="s">
        <v>30</v>
      </c>
    </row>
    <row r="273" spans="1:21" x14ac:dyDescent="0.35">
      <c r="A273" t="s">
        <v>350</v>
      </c>
      <c r="B273" s="1">
        <v>46115</v>
      </c>
      <c r="C273" t="str">
        <f>TEXT(tblData[[#This Row],[Rental Date]],"mmm")</f>
        <v>Apr</v>
      </c>
      <c r="D273" t="str">
        <f>TEXT(tblData[[#This Row],[Rental Date]],"mmmm")</f>
        <v>April</v>
      </c>
      <c r="E273" t="s">
        <v>38</v>
      </c>
      <c r="F273" t="str">
        <f>TEXT(WEEKNUM(tblData[[#This Row],[Rental Date]]),"00")</f>
        <v>14</v>
      </c>
      <c r="G273" s="1">
        <f>EOMONTH(tblData[[#This Row],[Rental Date]],0)</f>
        <v>46142</v>
      </c>
      <c r="H273" t="s">
        <v>204</v>
      </c>
      <c r="I273" t="s">
        <v>48</v>
      </c>
      <c r="J273" t="s">
        <v>78</v>
      </c>
      <c r="K273" t="s">
        <v>25</v>
      </c>
      <c r="L273">
        <v>1</v>
      </c>
      <c r="M273" s="2">
        <v>42</v>
      </c>
      <c r="N273" t="s">
        <v>41</v>
      </c>
      <c r="O273" s="3">
        <v>5</v>
      </c>
      <c r="P273" s="3">
        <v>0</v>
      </c>
      <c r="Q273" s="2">
        <v>47</v>
      </c>
      <c r="R273" t="s">
        <v>76</v>
      </c>
      <c r="S273" t="s">
        <v>35</v>
      </c>
      <c r="T273" t="s">
        <v>29</v>
      </c>
      <c r="U273" t="s">
        <v>30</v>
      </c>
    </row>
    <row r="274" spans="1:21" x14ac:dyDescent="0.35">
      <c r="A274" t="s">
        <v>351</v>
      </c>
      <c r="B274" s="1">
        <v>46115</v>
      </c>
      <c r="C274" t="str">
        <f>TEXT(tblData[[#This Row],[Rental Date]],"mmm")</f>
        <v>Apr</v>
      </c>
      <c r="D274" t="str">
        <f>TEXT(tblData[[#This Row],[Rental Date]],"mmmm")</f>
        <v>April</v>
      </c>
      <c r="E274" t="s">
        <v>38</v>
      </c>
      <c r="F274" t="str">
        <f>TEXT(WEEKNUM(tblData[[#This Row],[Rental Date]]),"00")</f>
        <v>14</v>
      </c>
      <c r="G274" s="1">
        <f>EOMONTH(tblData[[#This Row],[Rental Date]],0)</f>
        <v>46142</v>
      </c>
      <c r="H274" t="s">
        <v>204</v>
      </c>
      <c r="I274" t="s">
        <v>53</v>
      </c>
      <c r="J274" t="s">
        <v>78</v>
      </c>
      <c r="K274" t="s">
        <v>25</v>
      </c>
      <c r="L274">
        <v>1</v>
      </c>
      <c r="M274" s="2">
        <v>42</v>
      </c>
      <c r="N274" t="s">
        <v>75</v>
      </c>
      <c r="O274" s="3">
        <v>12</v>
      </c>
      <c r="P274" s="3">
        <v>5.4</v>
      </c>
      <c r="Q274" s="2">
        <v>48.6</v>
      </c>
      <c r="R274" t="s">
        <v>94</v>
      </c>
      <c r="S274" t="s">
        <v>54</v>
      </c>
      <c r="T274" t="s">
        <v>51</v>
      </c>
      <c r="U274" t="s">
        <v>30</v>
      </c>
    </row>
    <row r="275" spans="1:21" x14ac:dyDescent="0.35">
      <c r="A275" t="s">
        <v>352</v>
      </c>
      <c r="B275" s="1">
        <v>46116</v>
      </c>
      <c r="C275" t="str">
        <f>TEXT(tblData[[#This Row],[Rental Date]],"mmm")</f>
        <v>Apr</v>
      </c>
      <c r="D275" t="str">
        <f>TEXT(tblData[[#This Row],[Rental Date]],"mmmm")</f>
        <v>April</v>
      </c>
      <c r="E275" t="s">
        <v>56</v>
      </c>
      <c r="F275" t="str">
        <f>TEXT(WEEKNUM(tblData[[#This Row],[Rental Date]]),"00")</f>
        <v>14</v>
      </c>
      <c r="G275" s="1">
        <f>EOMONTH(tblData[[#This Row],[Rental Date]],0)</f>
        <v>46142</v>
      </c>
      <c r="H275" t="s">
        <v>204</v>
      </c>
      <c r="I275" t="s">
        <v>32</v>
      </c>
      <c r="J275" t="s">
        <v>24</v>
      </c>
      <c r="K275" t="s">
        <v>60</v>
      </c>
      <c r="L275">
        <v>1</v>
      </c>
      <c r="M275" s="2">
        <v>34.56</v>
      </c>
      <c r="N275" t="s">
        <v>26</v>
      </c>
      <c r="O275" s="3">
        <v>0</v>
      </c>
      <c r="P275" s="3">
        <v>3.46</v>
      </c>
      <c r="Q275" s="2">
        <v>31.1</v>
      </c>
      <c r="R275" t="s">
        <v>45</v>
      </c>
      <c r="S275" t="s">
        <v>50</v>
      </c>
      <c r="T275" t="s">
        <v>51</v>
      </c>
      <c r="U275" t="s">
        <v>30</v>
      </c>
    </row>
    <row r="276" spans="1:21" x14ac:dyDescent="0.35">
      <c r="A276" t="s">
        <v>353</v>
      </c>
      <c r="B276" s="1">
        <v>46116</v>
      </c>
      <c r="C276" t="str">
        <f>TEXT(tblData[[#This Row],[Rental Date]],"mmm")</f>
        <v>Apr</v>
      </c>
      <c r="D276" t="str">
        <f>TEXT(tblData[[#This Row],[Rental Date]],"mmmm")</f>
        <v>April</v>
      </c>
      <c r="E276" t="s">
        <v>56</v>
      </c>
      <c r="F276" t="str">
        <f>TEXT(WEEKNUM(tblData[[#This Row],[Rental Date]]),"00")</f>
        <v>14</v>
      </c>
      <c r="G276" s="1">
        <f>EOMONTH(tblData[[#This Row],[Rental Date]],0)</f>
        <v>46142</v>
      </c>
      <c r="H276" t="s">
        <v>204</v>
      </c>
      <c r="I276" t="s">
        <v>53</v>
      </c>
      <c r="J276" t="s">
        <v>24</v>
      </c>
      <c r="K276" t="s">
        <v>25</v>
      </c>
      <c r="L276">
        <v>1</v>
      </c>
      <c r="M276" s="2">
        <v>54</v>
      </c>
      <c r="N276" t="s">
        <v>26</v>
      </c>
      <c r="O276" s="3">
        <v>0</v>
      </c>
      <c r="P276" s="3">
        <v>8.1</v>
      </c>
      <c r="Q276" s="2">
        <v>45.9</v>
      </c>
      <c r="R276" t="s">
        <v>45</v>
      </c>
      <c r="S276" t="s">
        <v>28</v>
      </c>
      <c r="T276" t="s">
        <v>63</v>
      </c>
      <c r="U276" t="s">
        <v>30</v>
      </c>
    </row>
    <row r="277" spans="1:21" x14ac:dyDescent="0.35">
      <c r="A277" t="s">
        <v>354</v>
      </c>
      <c r="B277" s="1">
        <v>46116</v>
      </c>
      <c r="C277" t="str">
        <f>TEXT(tblData[[#This Row],[Rental Date]],"mmm")</f>
        <v>Apr</v>
      </c>
      <c r="D277" t="str">
        <f>TEXT(tblData[[#This Row],[Rental Date]],"mmmm")</f>
        <v>April</v>
      </c>
      <c r="E277" t="s">
        <v>56</v>
      </c>
      <c r="F277" t="str">
        <f>TEXT(WEEKNUM(tblData[[#This Row],[Rental Date]]),"00")</f>
        <v>14</v>
      </c>
      <c r="G277" s="1">
        <f>EOMONTH(tblData[[#This Row],[Rental Date]],0)</f>
        <v>46142</v>
      </c>
      <c r="H277" t="s">
        <v>204</v>
      </c>
      <c r="I277" t="s">
        <v>23</v>
      </c>
      <c r="J277" t="s">
        <v>49</v>
      </c>
      <c r="K277" t="s">
        <v>25</v>
      </c>
      <c r="L277">
        <v>1</v>
      </c>
      <c r="M277" s="2">
        <v>38.880000000000003</v>
      </c>
      <c r="N277" t="s">
        <v>26</v>
      </c>
      <c r="O277" s="3">
        <v>0</v>
      </c>
      <c r="P277" s="3">
        <v>0</v>
      </c>
      <c r="Q277" s="2">
        <v>38.880000000000003</v>
      </c>
      <c r="R277" t="s">
        <v>71</v>
      </c>
      <c r="S277" t="s">
        <v>50</v>
      </c>
      <c r="T277" t="s">
        <v>29</v>
      </c>
      <c r="U277" t="s">
        <v>58</v>
      </c>
    </row>
    <row r="278" spans="1:21" x14ac:dyDescent="0.35">
      <c r="A278" t="s">
        <v>355</v>
      </c>
      <c r="B278" s="1">
        <v>46116</v>
      </c>
      <c r="C278" t="str">
        <f>TEXT(tblData[[#This Row],[Rental Date]],"mmm")</f>
        <v>Apr</v>
      </c>
      <c r="D278" t="str">
        <f>TEXT(tblData[[#This Row],[Rental Date]],"mmmm")</f>
        <v>April</v>
      </c>
      <c r="E278" t="s">
        <v>56</v>
      </c>
      <c r="F278" t="str">
        <f>TEXT(WEEKNUM(tblData[[#This Row],[Rental Date]]),"00")</f>
        <v>14</v>
      </c>
      <c r="G278" s="1">
        <f>EOMONTH(tblData[[#This Row],[Rental Date]],0)</f>
        <v>46142</v>
      </c>
      <c r="H278" t="s">
        <v>204</v>
      </c>
      <c r="I278" t="s">
        <v>23</v>
      </c>
      <c r="J278" t="s">
        <v>44</v>
      </c>
      <c r="K278" t="s">
        <v>25</v>
      </c>
      <c r="L278">
        <v>1</v>
      </c>
      <c r="M278" s="2">
        <v>56.16</v>
      </c>
      <c r="N278" t="s">
        <v>87</v>
      </c>
      <c r="O278" s="3">
        <v>10</v>
      </c>
      <c r="P278" s="3">
        <v>3.31</v>
      </c>
      <c r="Q278" s="2">
        <v>62.85</v>
      </c>
      <c r="R278" t="s">
        <v>62</v>
      </c>
      <c r="S278" t="s">
        <v>35</v>
      </c>
      <c r="T278" t="s">
        <v>51</v>
      </c>
      <c r="U278" t="s">
        <v>30</v>
      </c>
    </row>
    <row r="279" spans="1:21" x14ac:dyDescent="0.35">
      <c r="A279" t="s">
        <v>356</v>
      </c>
      <c r="B279" s="1">
        <v>46116</v>
      </c>
      <c r="C279" t="str">
        <f>TEXT(tblData[[#This Row],[Rental Date]],"mmm")</f>
        <v>Apr</v>
      </c>
      <c r="D279" t="str">
        <f>TEXT(tblData[[#This Row],[Rental Date]],"mmmm")</f>
        <v>April</v>
      </c>
      <c r="E279" t="s">
        <v>56</v>
      </c>
      <c r="F279" t="str">
        <f>TEXT(WEEKNUM(tblData[[#This Row],[Rental Date]]),"00")</f>
        <v>14</v>
      </c>
      <c r="G279" s="1">
        <f>EOMONTH(tblData[[#This Row],[Rental Date]],0)</f>
        <v>46142</v>
      </c>
      <c r="H279" t="s">
        <v>204</v>
      </c>
      <c r="I279" t="s">
        <v>48</v>
      </c>
      <c r="J279" t="s">
        <v>65</v>
      </c>
      <c r="K279" t="s">
        <v>60</v>
      </c>
      <c r="L279">
        <v>1</v>
      </c>
      <c r="M279" s="2">
        <v>12.96</v>
      </c>
      <c r="N279" t="s">
        <v>89</v>
      </c>
      <c r="O279" s="3">
        <v>6</v>
      </c>
      <c r="P279" s="3">
        <v>0.95</v>
      </c>
      <c r="Q279" s="2">
        <v>18.010000000000002</v>
      </c>
      <c r="R279" t="s">
        <v>34</v>
      </c>
      <c r="S279" t="s">
        <v>46</v>
      </c>
      <c r="T279" t="s">
        <v>90</v>
      </c>
      <c r="U279" t="s">
        <v>58</v>
      </c>
    </row>
    <row r="280" spans="1:21" x14ac:dyDescent="0.35">
      <c r="A280" t="s">
        <v>357</v>
      </c>
      <c r="B280" s="1">
        <v>46116</v>
      </c>
      <c r="C280" t="str">
        <f>TEXT(tblData[[#This Row],[Rental Date]],"mmm")</f>
        <v>Apr</v>
      </c>
      <c r="D280" t="str">
        <f>TEXT(tblData[[#This Row],[Rental Date]],"mmmm")</f>
        <v>April</v>
      </c>
      <c r="E280" t="s">
        <v>56</v>
      </c>
      <c r="F280" t="str">
        <f>TEXT(WEEKNUM(tblData[[#This Row],[Rental Date]]),"00")</f>
        <v>14</v>
      </c>
      <c r="G280" s="1">
        <f>EOMONTH(tblData[[#This Row],[Rental Date]],0)</f>
        <v>46142</v>
      </c>
      <c r="H280" t="s">
        <v>204</v>
      </c>
      <c r="I280" t="s">
        <v>32</v>
      </c>
      <c r="J280" t="s">
        <v>65</v>
      </c>
      <c r="K280" t="s">
        <v>60</v>
      </c>
      <c r="L280">
        <v>1</v>
      </c>
      <c r="M280" s="2">
        <v>12.96</v>
      </c>
      <c r="N280" t="s">
        <v>26</v>
      </c>
      <c r="O280" s="3">
        <v>0</v>
      </c>
      <c r="P280" s="3">
        <v>1.3</v>
      </c>
      <c r="Q280" s="2">
        <v>11.66</v>
      </c>
      <c r="R280" t="s">
        <v>71</v>
      </c>
      <c r="S280" t="s">
        <v>50</v>
      </c>
      <c r="T280" t="s">
        <v>63</v>
      </c>
      <c r="U280" t="s">
        <v>30</v>
      </c>
    </row>
    <row r="281" spans="1:21" x14ac:dyDescent="0.35">
      <c r="A281" t="s">
        <v>358</v>
      </c>
      <c r="B281" s="1">
        <v>46116</v>
      </c>
      <c r="C281" t="str">
        <f>TEXT(tblData[[#This Row],[Rental Date]],"mmm")</f>
        <v>Apr</v>
      </c>
      <c r="D281" t="str">
        <f>TEXT(tblData[[#This Row],[Rental Date]],"mmmm")</f>
        <v>April</v>
      </c>
      <c r="E281" t="s">
        <v>56</v>
      </c>
      <c r="F281" t="str">
        <f>TEXT(WEEKNUM(tblData[[#This Row],[Rental Date]]),"00")</f>
        <v>14</v>
      </c>
      <c r="G281" s="1">
        <f>EOMONTH(tblData[[#This Row],[Rental Date]],0)</f>
        <v>46142</v>
      </c>
      <c r="H281" t="s">
        <v>204</v>
      </c>
      <c r="I281" t="s">
        <v>48</v>
      </c>
      <c r="J281" t="s">
        <v>33</v>
      </c>
      <c r="K281" t="s">
        <v>60</v>
      </c>
      <c r="L281">
        <v>1</v>
      </c>
      <c r="M281" s="2">
        <v>25.92</v>
      </c>
      <c r="N281" t="s">
        <v>41</v>
      </c>
      <c r="O281" s="3">
        <v>5</v>
      </c>
      <c r="P281" s="3">
        <v>0</v>
      </c>
      <c r="Q281" s="2">
        <v>30.92</v>
      </c>
      <c r="R281" t="s">
        <v>42</v>
      </c>
      <c r="S281" t="s">
        <v>28</v>
      </c>
      <c r="T281" t="s">
        <v>63</v>
      </c>
      <c r="U281" t="s">
        <v>58</v>
      </c>
    </row>
    <row r="282" spans="1:21" x14ac:dyDescent="0.35">
      <c r="A282" t="s">
        <v>359</v>
      </c>
      <c r="B282" s="1">
        <v>46116</v>
      </c>
      <c r="C282" t="str">
        <f>TEXT(tblData[[#This Row],[Rental Date]],"mmm")</f>
        <v>Apr</v>
      </c>
      <c r="D282" t="str">
        <f>TEXT(tblData[[#This Row],[Rental Date]],"mmmm")</f>
        <v>April</v>
      </c>
      <c r="E282" t="s">
        <v>56</v>
      </c>
      <c r="F282" t="str">
        <f>TEXT(WEEKNUM(tblData[[#This Row],[Rental Date]]),"00")</f>
        <v>14</v>
      </c>
      <c r="G282" s="1">
        <f>EOMONTH(tblData[[#This Row],[Rental Date]],0)</f>
        <v>46142</v>
      </c>
      <c r="H282" t="s">
        <v>204</v>
      </c>
      <c r="I282" t="s">
        <v>48</v>
      </c>
      <c r="J282" t="s">
        <v>111</v>
      </c>
      <c r="K282" t="s">
        <v>40</v>
      </c>
      <c r="L282">
        <v>1</v>
      </c>
      <c r="M282" s="2">
        <v>36.72</v>
      </c>
      <c r="N282" t="s">
        <v>61</v>
      </c>
      <c r="O282" s="3">
        <v>8</v>
      </c>
      <c r="P282" s="3">
        <v>0</v>
      </c>
      <c r="Q282" s="2">
        <v>44.72</v>
      </c>
      <c r="R282" t="s">
        <v>62</v>
      </c>
      <c r="S282" t="s">
        <v>54</v>
      </c>
      <c r="T282" t="s">
        <v>29</v>
      </c>
      <c r="U282" t="s">
        <v>30</v>
      </c>
    </row>
    <row r="283" spans="1:21" x14ac:dyDescent="0.35">
      <c r="A283" t="s">
        <v>360</v>
      </c>
      <c r="B283" s="1">
        <v>46116</v>
      </c>
      <c r="C283" t="str">
        <f>TEXT(tblData[[#This Row],[Rental Date]],"mmm")</f>
        <v>Apr</v>
      </c>
      <c r="D283" t="str">
        <f>TEXT(tblData[[#This Row],[Rental Date]],"mmmm")</f>
        <v>April</v>
      </c>
      <c r="E283" t="s">
        <v>56</v>
      </c>
      <c r="F283" t="str">
        <f>TEXT(WEEKNUM(tblData[[#This Row],[Rental Date]]),"00")</f>
        <v>14</v>
      </c>
      <c r="G283" s="1">
        <f>EOMONTH(tblData[[#This Row],[Rental Date]],0)</f>
        <v>46142</v>
      </c>
      <c r="H283" t="s">
        <v>204</v>
      </c>
      <c r="I283" t="s">
        <v>39</v>
      </c>
      <c r="J283" t="s">
        <v>127</v>
      </c>
      <c r="K283" t="s">
        <v>60</v>
      </c>
      <c r="L283">
        <v>1</v>
      </c>
      <c r="M283" s="2">
        <v>10.8</v>
      </c>
      <c r="N283" t="s">
        <v>89</v>
      </c>
      <c r="O283" s="3">
        <v>6</v>
      </c>
      <c r="P283" s="3">
        <v>0</v>
      </c>
      <c r="Q283" s="2">
        <v>16.8</v>
      </c>
      <c r="R283" t="s">
        <v>34</v>
      </c>
      <c r="S283" t="s">
        <v>46</v>
      </c>
      <c r="T283" t="s">
        <v>51</v>
      </c>
      <c r="U283" t="s">
        <v>30</v>
      </c>
    </row>
    <row r="284" spans="1:21" x14ac:dyDescent="0.35">
      <c r="A284" t="s">
        <v>361</v>
      </c>
      <c r="B284" s="1">
        <v>46117</v>
      </c>
      <c r="C284" t="str">
        <f>TEXT(tblData[[#This Row],[Rental Date]],"mmm")</f>
        <v>Apr</v>
      </c>
      <c r="D284" t="str">
        <f>TEXT(tblData[[#This Row],[Rental Date]],"mmmm")</f>
        <v>April</v>
      </c>
      <c r="E284" t="s">
        <v>68</v>
      </c>
      <c r="F284" t="str">
        <f>TEXT(WEEKNUM(tblData[[#This Row],[Rental Date]]),"00")</f>
        <v>15</v>
      </c>
      <c r="G284" s="1">
        <f>EOMONTH(tblData[[#This Row],[Rental Date]],0)</f>
        <v>46142</v>
      </c>
      <c r="H284" t="s">
        <v>204</v>
      </c>
      <c r="I284" t="s">
        <v>39</v>
      </c>
      <c r="J284" t="s">
        <v>49</v>
      </c>
      <c r="K284" t="s">
        <v>25</v>
      </c>
      <c r="L284">
        <v>1</v>
      </c>
      <c r="M284" s="2">
        <v>38.880000000000003</v>
      </c>
      <c r="N284" t="s">
        <v>26</v>
      </c>
      <c r="O284" s="3">
        <v>0</v>
      </c>
      <c r="P284" s="3">
        <v>0</v>
      </c>
      <c r="Q284" s="2">
        <v>38.880000000000003</v>
      </c>
      <c r="R284" t="s">
        <v>45</v>
      </c>
      <c r="S284" t="s">
        <v>35</v>
      </c>
      <c r="T284" t="s">
        <v>29</v>
      </c>
      <c r="U284" t="s">
        <v>58</v>
      </c>
    </row>
    <row r="285" spans="1:21" x14ac:dyDescent="0.35">
      <c r="A285" t="s">
        <v>362</v>
      </c>
      <c r="B285" s="1">
        <v>46117</v>
      </c>
      <c r="C285" t="str">
        <f>TEXT(tblData[[#This Row],[Rental Date]],"mmm")</f>
        <v>Apr</v>
      </c>
      <c r="D285" t="str">
        <f>TEXT(tblData[[#This Row],[Rental Date]],"mmmm")</f>
        <v>April</v>
      </c>
      <c r="E285" t="s">
        <v>68</v>
      </c>
      <c r="F285" t="str">
        <f>TEXT(WEEKNUM(tblData[[#This Row],[Rental Date]]),"00")</f>
        <v>15</v>
      </c>
      <c r="G285" s="1">
        <f>EOMONTH(tblData[[#This Row],[Rental Date]],0)</f>
        <v>46142</v>
      </c>
      <c r="H285" t="s">
        <v>204</v>
      </c>
      <c r="I285" t="s">
        <v>32</v>
      </c>
      <c r="J285" t="s">
        <v>44</v>
      </c>
      <c r="K285" t="s">
        <v>25</v>
      </c>
      <c r="L285">
        <v>1</v>
      </c>
      <c r="M285" s="2">
        <v>56.16</v>
      </c>
      <c r="N285" t="s">
        <v>26</v>
      </c>
      <c r="O285" s="3">
        <v>0</v>
      </c>
      <c r="P285" s="3">
        <v>5.62</v>
      </c>
      <c r="Q285" s="2">
        <v>50.54</v>
      </c>
      <c r="R285" t="s">
        <v>62</v>
      </c>
      <c r="S285" t="s">
        <v>35</v>
      </c>
      <c r="T285" t="s">
        <v>51</v>
      </c>
      <c r="U285" t="s">
        <v>30</v>
      </c>
    </row>
    <row r="286" spans="1:21" x14ac:dyDescent="0.35">
      <c r="A286" t="s">
        <v>363</v>
      </c>
      <c r="B286" s="1">
        <v>46117</v>
      </c>
      <c r="C286" t="str">
        <f>TEXT(tblData[[#This Row],[Rental Date]],"mmm")</f>
        <v>Apr</v>
      </c>
      <c r="D286" t="str">
        <f>TEXT(tblData[[#This Row],[Rental Date]],"mmmm")</f>
        <v>April</v>
      </c>
      <c r="E286" t="s">
        <v>68</v>
      </c>
      <c r="F286" t="str">
        <f>TEXT(WEEKNUM(tblData[[#This Row],[Rental Date]]),"00")</f>
        <v>15</v>
      </c>
      <c r="G286" s="1">
        <f>EOMONTH(tblData[[#This Row],[Rental Date]],0)</f>
        <v>46142</v>
      </c>
      <c r="H286" t="s">
        <v>204</v>
      </c>
      <c r="I286" t="s">
        <v>39</v>
      </c>
      <c r="J286" t="s">
        <v>65</v>
      </c>
      <c r="K286" t="s">
        <v>92</v>
      </c>
      <c r="L286">
        <v>1</v>
      </c>
      <c r="M286" s="2">
        <v>43.2</v>
      </c>
      <c r="N286" t="s">
        <v>89</v>
      </c>
      <c r="O286" s="3">
        <v>6</v>
      </c>
      <c r="P286" s="3">
        <v>0</v>
      </c>
      <c r="Q286" s="2">
        <v>49.2</v>
      </c>
      <c r="R286" t="s">
        <v>42</v>
      </c>
      <c r="S286" t="s">
        <v>54</v>
      </c>
      <c r="T286" t="s">
        <v>29</v>
      </c>
      <c r="U286" t="s">
        <v>58</v>
      </c>
    </row>
    <row r="287" spans="1:21" x14ac:dyDescent="0.35">
      <c r="A287" t="s">
        <v>364</v>
      </c>
      <c r="B287" s="1">
        <v>46117</v>
      </c>
      <c r="C287" t="str">
        <f>TEXT(tblData[[#This Row],[Rental Date]],"mmm")</f>
        <v>Apr</v>
      </c>
      <c r="D287" t="str">
        <f>TEXT(tblData[[#This Row],[Rental Date]],"mmmm")</f>
        <v>April</v>
      </c>
      <c r="E287" t="s">
        <v>68</v>
      </c>
      <c r="F287" t="str">
        <f>TEXT(WEEKNUM(tblData[[#This Row],[Rental Date]]),"00")</f>
        <v>15</v>
      </c>
      <c r="G287" s="1">
        <f>EOMONTH(tblData[[#This Row],[Rental Date]],0)</f>
        <v>46142</v>
      </c>
      <c r="H287" t="s">
        <v>204</v>
      </c>
      <c r="I287" t="s">
        <v>48</v>
      </c>
      <c r="J287" t="s">
        <v>138</v>
      </c>
      <c r="K287" t="s">
        <v>60</v>
      </c>
      <c r="L287">
        <v>1</v>
      </c>
      <c r="M287" s="2">
        <v>32.4</v>
      </c>
      <c r="N287" t="s">
        <v>26</v>
      </c>
      <c r="O287" s="3">
        <v>0</v>
      </c>
      <c r="P287" s="3">
        <v>0</v>
      </c>
      <c r="Q287" s="2">
        <v>32.4</v>
      </c>
      <c r="R287" t="s">
        <v>71</v>
      </c>
      <c r="S287" t="s">
        <v>35</v>
      </c>
      <c r="T287" t="s">
        <v>51</v>
      </c>
      <c r="U287" t="s">
        <v>79</v>
      </c>
    </row>
    <row r="288" spans="1:21" x14ac:dyDescent="0.35">
      <c r="A288" t="s">
        <v>365</v>
      </c>
      <c r="B288" s="1">
        <v>46117</v>
      </c>
      <c r="C288" t="str">
        <f>TEXT(tblData[[#This Row],[Rental Date]],"mmm")</f>
        <v>Apr</v>
      </c>
      <c r="D288" t="str">
        <f>TEXT(tblData[[#This Row],[Rental Date]],"mmmm")</f>
        <v>April</v>
      </c>
      <c r="E288" t="s">
        <v>68</v>
      </c>
      <c r="F288" t="str">
        <f>TEXT(WEEKNUM(tblData[[#This Row],[Rental Date]]),"00")</f>
        <v>15</v>
      </c>
      <c r="G288" s="1">
        <f>EOMONTH(tblData[[#This Row],[Rental Date]],0)</f>
        <v>46142</v>
      </c>
      <c r="H288" t="s">
        <v>204</v>
      </c>
      <c r="I288" t="s">
        <v>39</v>
      </c>
      <c r="J288" t="s">
        <v>78</v>
      </c>
      <c r="K288" t="s">
        <v>40</v>
      </c>
      <c r="L288">
        <v>1</v>
      </c>
      <c r="M288" s="2">
        <v>66.959999999999994</v>
      </c>
      <c r="N288" t="s">
        <v>41</v>
      </c>
      <c r="O288" s="3">
        <v>5</v>
      </c>
      <c r="P288" s="3">
        <v>0</v>
      </c>
      <c r="Q288" s="2">
        <v>71.959999999999994</v>
      </c>
      <c r="R288" t="s">
        <v>62</v>
      </c>
      <c r="S288" t="s">
        <v>50</v>
      </c>
      <c r="T288" t="s">
        <v>90</v>
      </c>
      <c r="U288" t="s">
        <v>30</v>
      </c>
    </row>
    <row r="289" spans="1:21" x14ac:dyDescent="0.35">
      <c r="A289" t="s">
        <v>366</v>
      </c>
      <c r="B289" s="1">
        <v>46117</v>
      </c>
      <c r="C289" t="str">
        <f>TEXT(tblData[[#This Row],[Rental Date]],"mmm")</f>
        <v>Apr</v>
      </c>
      <c r="D289" t="str">
        <f>TEXT(tblData[[#This Row],[Rental Date]],"mmmm")</f>
        <v>April</v>
      </c>
      <c r="E289" t="s">
        <v>68</v>
      </c>
      <c r="F289" t="str">
        <f>TEXT(WEEKNUM(tblData[[#This Row],[Rental Date]]),"00")</f>
        <v>15</v>
      </c>
      <c r="G289" s="1">
        <f>EOMONTH(tblData[[#This Row],[Rental Date]],0)</f>
        <v>46142</v>
      </c>
      <c r="H289" t="s">
        <v>204</v>
      </c>
      <c r="I289" t="s">
        <v>48</v>
      </c>
      <c r="J289" t="s">
        <v>86</v>
      </c>
      <c r="K289" t="s">
        <v>40</v>
      </c>
      <c r="L289">
        <v>1</v>
      </c>
      <c r="M289" s="2">
        <v>92.88</v>
      </c>
      <c r="N289" t="s">
        <v>26</v>
      </c>
      <c r="O289" s="3">
        <v>0</v>
      </c>
      <c r="P289" s="3">
        <v>0</v>
      </c>
      <c r="Q289" s="2">
        <v>92.88</v>
      </c>
      <c r="R289" t="s">
        <v>66</v>
      </c>
      <c r="S289" t="s">
        <v>46</v>
      </c>
      <c r="T289" t="s">
        <v>29</v>
      </c>
      <c r="U289" t="s">
        <v>30</v>
      </c>
    </row>
    <row r="290" spans="1:21" x14ac:dyDescent="0.35">
      <c r="A290" t="s">
        <v>367</v>
      </c>
      <c r="B290" s="1">
        <v>46117</v>
      </c>
      <c r="C290" t="str">
        <f>TEXT(tblData[[#This Row],[Rental Date]],"mmm")</f>
        <v>Apr</v>
      </c>
      <c r="D290" t="str">
        <f>TEXT(tblData[[#This Row],[Rental Date]],"mmmm")</f>
        <v>April</v>
      </c>
      <c r="E290" t="s">
        <v>68</v>
      </c>
      <c r="F290" t="str">
        <f>TEXT(WEEKNUM(tblData[[#This Row],[Rental Date]]),"00")</f>
        <v>15</v>
      </c>
      <c r="G290" s="1">
        <f>EOMONTH(tblData[[#This Row],[Rental Date]],0)</f>
        <v>46142</v>
      </c>
      <c r="H290" t="s">
        <v>204</v>
      </c>
      <c r="I290" t="s">
        <v>39</v>
      </c>
      <c r="J290" t="s">
        <v>33</v>
      </c>
      <c r="K290" t="s">
        <v>40</v>
      </c>
      <c r="L290">
        <v>1</v>
      </c>
      <c r="M290" s="2">
        <v>62.64</v>
      </c>
      <c r="N290" t="s">
        <v>87</v>
      </c>
      <c r="O290" s="3">
        <v>10</v>
      </c>
      <c r="P290" s="3">
        <v>0</v>
      </c>
      <c r="Q290" s="2">
        <v>72.64</v>
      </c>
      <c r="R290" t="s">
        <v>57</v>
      </c>
      <c r="S290" t="s">
        <v>35</v>
      </c>
      <c r="T290" t="s">
        <v>29</v>
      </c>
      <c r="U290" t="s">
        <v>58</v>
      </c>
    </row>
    <row r="291" spans="1:21" x14ac:dyDescent="0.35">
      <c r="A291" t="s">
        <v>368</v>
      </c>
      <c r="B291" s="1">
        <v>46117</v>
      </c>
      <c r="C291" t="str">
        <f>TEXT(tblData[[#This Row],[Rental Date]],"mmm")</f>
        <v>Apr</v>
      </c>
      <c r="D291" t="str">
        <f>TEXT(tblData[[#This Row],[Rental Date]],"mmmm")</f>
        <v>April</v>
      </c>
      <c r="E291" t="s">
        <v>68</v>
      </c>
      <c r="F291" t="str">
        <f>TEXT(WEEKNUM(tblData[[#This Row],[Rental Date]]),"00")</f>
        <v>15</v>
      </c>
      <c r="G291" s="1">
        <f>EOMONTH(tblData[[#This Row],[Rental Date]],0)</f>
        <v>46142</v>
      </c>
      <c r="H291" t="s">
        <v>204</v>
      </c>
      <c r="I291" t="s">
        <v>48</v>
      </c>
      <c r="J291" t="s">
        <v>49</v>
      </c>
      <c r="K291" t="s">
        <v>25</v>
      </c>
      <c r="L291">
        <v>1</v>
      </c>
      <c r="M291" s="2">
        <v>38.880000000000003</v>
      </c>
      <c r="N291" t="s">
        <v>89</v>
      </c>
      <c r="O291" s="3">
        <v>6</v>
      </c>
      <c r="P291" s="3">
        <v>0</v>
      </c>
      <c r="Q291" s="2">
        <v>44.88</v>
      </c>
      <c r="R291" t="s">
        <v>42</v>
      </c>
      <c r="S291" t="s">
        <v>54</v>
      </c>
      <c r="T291" t="s">
        <v>90</v>
      </c>
      <c r="U291" t="s">
        <v>30</v>
      </c>
    </row>
    <row r="292" spans="1:21" x14ac:dyDescent="0.35">
      <c r="A292" t="s">
        <v>369</v>
      </c>
      <c r="B292" s="1">
        <v>46118</v>
      </c>
      <c r="C292" t="str">
        <f>TEXT(tblData[[#This Row],[Rental Date]],"mmm")</f>
        <v>Apr</v>
      </c>
      <c r="D292" t="str">
        <f>TEXT(tblData[[#This Row],[Rental Date]],"mmmm")</f>
        <v>April</v>
      </c>
      <c r="E292" t="s">
        <v>74</v>
      </c>
      <c r="F292" t="str">
        <f>TEXT(WEEKNUM(tblData[[#This Row],[Rental Date]]),"00")</f>
        <v>15</v>
      </c>
      <c r="G292" s="1">
        <f>EOMONTH(tblData[[#This Row],[Rental Date]],0)</f>
        <v>46142</v>
      </c>
      <c r="H292" t="s">
        <v>204</v>
      </c>
      <c r="I292" t="s">
        <v>23</v>
      </c>
      <c r="J292" t="s">
        <v>78</v>
      </c>
      <c r="K292" t="s">
        <v>25</v>
      </c>
      <c r="L292">
        <v>1</v>
      </c>
      <c r="M292" s="2">
        <v>42</v>
      </c>
      <c r="N292" t="s">
        <v>26</v>
      </c>
      <c r="O292" s="3">
        <v>0</v>
      </c>
      <c r="P292" s="3">
        <v>0</v>
      </c>
      <c r="Q292" s="2">
        <v>42</v>
      </c>
      <c r="R292" t="s">
        <v>76</v>
      </c>
      <c r="S292" t="s">
        <v>50</v>
      </c>
      <c r="T292" t="s">
        <v>29</v>
      </c>
      <c r="U292" t="s">
        <v>58</v>
      </c>
    </row>
    <row r="293" spans="1:21" x14ac:dyDescent="0.35">
      <c r="A293" t="s">
        <v>370</v>
      </c>
      <c r="B293" s="1">
        <v>46118</v>
      </c>
      <c r="C293" t="str">
        <f>TEXT(tblData[[#This Row],[Rental Date]],"mmm")</f>
        <v>Apr</v>
      </c>
      <c r="D293" t="str">
        <f>TEXT(tblData[[#This Row],[Rental Date]],"mmmm")</f>
        <v>April</v>
      </c>
      <c r="E293" t="s">
        <v>74</v>
      </c>
      <c r="F293" t="str">
        <f>TEXT(WEEKNUM(tblData[[#This Row],[Rental Date]]),"00")</f>
        <v>15</v>
      </c>
      <c r="G293" s="1">
        <f>EOMONTH(tblData[[#This Row],[Rental Date]],0)</f>
        <v>46142</v>
      </c>
      <c r="H293" t="s">
        <v>204</v>
      </c>
      <c r="I293" t="s">
        <v>39</v>
      </c>
      <c r="J293" t="s">
        <v>24</v>
      </c>
      <c r="K293" t="s">
        <v>60</v>
      </c>
      <c r="L293">
        <v>1</v>
      </c>
      <c r="M293" s="2">
        <v>32</v>
      </c>
      <c r="N293" t="s">
        <v>75</v>
      </c>
      <c r="O293" s="3">
        <v>12</v>
      </c>
      <c r="P293" s="3">
        <v>2.2000000000000002</v>
      </c>
      <c r="Q293" s="2">
        <v>41.8</v>
      </c>
      <c r="R293" t="s">
        <v>57</v>
      </c>
      <c r="S293" t="s">
        <v>35</v>
      </c>
      <c r="T293" t="s">
        <v>51</v>
      </c>
      <c r="U293" t="s">
        <v>79</v>
      </c>
    </row>
    <row r="294" spans="1:21" x14ac:dyDescent="0.35">
      <c r="A294" t="s">
        <v>371</v>
      </c>
      <c r="B294" s="1">
        <v>46118</v>
      </c>
      <c r="C294" t="str">
        <f>TEXT(tblData[[#This Row],[Rental Date]],"mmm")</f>
        <v>Apr</v>
      </c>
      <c r="D294" t="str">
        <f>TEXT(tblData[[#This Row],[Rental Date]],"mmmm")</f>
        <v>April</v>
      </c>
      <c r="E294" t="s">
        <v>74</v>
      </c>
      <c r="F294" t="str">
        <f>TEXT(WEEKNUM(tblData[[#This Row],[Rental Date]]),"00")</f>
        <v>15</v>
      </c>
      <c r="G294" s="1">
        <f>EOMONTH(tblData[[#This Row],[Rental Date]],0)</f>
        <v>46142</v>
      </c>
      <c r="H294" t="s">
        <v>204</v>
      </c>
      <c r="I294" t="s">
        <v>48</v>
      </c>
      <c r="J294" t="s">
        <v>33</v>
      </c>
      <c r="K294" t="s">
        <v>40</v>
      </c>
      <c r="L294">
        <v>1</v>
      </c>
      <c r="M294" s="2">
        <v>58</v>
      </c>
      <c r="N294" t="s">
        <v>26</v>
      </c>
      <c r="O294" s="3">
        <v>0</v>
      </c>
      <c r="P294" s="3">
        <v>2.9</v>
      </c>
      <c r="Q294" s="2">
        <v>55.1</v>
      </c>
      <c r="R294" t="s">
        <v>45</v>
      </c>
      <c r="S294" t="s">
        <v>35</v>
      </c>
      <c r="T294" t="s">
        <v>29</v>
      </c>
      <c r="U294" t="s">
        <v>30</v>
      </c>
    </row>
    <row r="295" spans="1:21" x14ac:dyDescent="0.35">
      <c r="A295" t="s">
        <v>372</v>
      </c>
      <c r="B295" s="1">
        <v>46118</v>
      </c>
      <c r="C295" t="str">
        <f>TEXT(tblData[[#This Row],[Rental Date]],"mmm")</f>
        <v>Apr</v>
      </c>
      <c r="D295" t="str">
        <f>TEXT(tblData[[#This Row],[Rental Date]],"mmmm")</f>
        <v>April</v>
      </c>
      <c r="E295" t="s">
        <v>74</v>
      </c>
      <c r="F295" t="str">
        <f>TEXT(WEEKNUM(tblData[[#This Row],[Rental Date]]),"00")</f>
        <v>15</v>
      </c>
      <c r="G295" s="1">
        <f>EOMONTH(tblData[[#This Row],[Rental Date]],0)</f>
        <v>46142</v>
      </c>
      <c r="H295" t="s">
        <v>204</v>
      </c>
      <c r="I295" t="s">
        <v>48</v>
      </c>
      <c r="J295" t="s">
        <v>49</v>
      </c>
      <c r="K295" t="s">
        <v>40</v>
      </c>
      <c r="L295">
        <v>1</v>
      </c>
      <c r="M295" s="2">
        <v>54</v>
      </c>
      <c r="N295" t="s">
        <v>89</v>
      </c>
      <c r="O295" s="3">
        <v>6</v>
      </c>
      <c r="P295" s="3">
        <v>0</v>
      </c>
      <c r="Q295" s="2">
        <v>60</v>
      </c>
      <c r="R295" t="s">
        <v>45</v>
      </c>
      <c r="S295" t="s">
        <v>46</v>
      </c>
      <c r="T295" t="s">
        <v>29</v>
      </c>
      <c r="U295" t="s">
        <v>79</v>
      </c>
    </row>
    <row r="296" spans="1:21" x14ac:dyDescent="0.35">
      <c r="A296" t="s">
        <v>373</v>
      </c>
      <c r="B296" s="1">
        <v>46118</v>
      </c>
      <c r="C296" t="str">
        <f>TEXT(tblData[[#This Row],[Rental Date]],"mmm")</f>
        <v>Apr</v>
      </c>
      <c r="D296" t="str">
        <f>TEXT(tblData[[#This Row],[Rental Date]],"mmmm")</f>
        <v>April</v>
      </c>
      <c r="E296" t="s">
        <v>74</v>
      </c>
      <c r="F296" t="str">
        <f>TEXT(WEEKNUM(tblData[[#This Row],[Rental Date]]),"00")</f>
        <v>15</v>
      </c>
      <c r="G296" s="1">
        <f>EOMONTH(tblData[[#This Row],[Rental Date]],0)</f>
        <v>46142</v>
      </c>
      <c r="H296" t="s">
        <v>204</v>
      </c>
      <c r="I296" t="s">
        <v>48</v>
      </c>
      <c r="J296" t="s">
        <v>127</v>
      </c>
      <c r="K296" t="s">
        <v>40</v>
      </c>
      <c r="L296">
        <v>1</v>
      </c>
      <c r="M296" s="2">
        <v>24</v>
      </c>
      <c r="N296" t="s">
        <v>70</v>
      </c>
      <c r="O296" s="3">
        <v>7</v>
      </c>
      <c r="P296" s="3">
        <v>0</v>
      </c>
      <c r="Q296" s="2">
        <v>31</v>
      </c>
      <c r="R296" t="s">
        <v>57</v>
      </c>
      <c r="S296" t="s">
        <v>46</v>
      </c>
      <c r="T296" t="s">
        <v>63</v>
      </c>
      <c r="U296" t="s">
        <v>58</v>
      </c>
    </row>
    <row r="297" spans="1:21" x14ac:dyDescent="0.35">
      <c r="A297" t="s">
        <v>374</v>
      </c>
      <c r="B297" s="1">
        <v>46118</v>
      </c>
      <c r="C297" t="str">
        <f>TEXT(tblData[[#This Row],[Rental Date]],"mmm")</f>
        <v>Apr</v>
      </c>
      <c r="D297" t="str">
        <f>TEXT(tblData[[#This Row],[Rental Date]],"mmmm")</f>
        <v>April</v>
      </c>
      <c r="E297" t="s">
        <v>74</v>
      </c>
      <c r="F297" t="str">
        <f>TEXT(WEEKNUM(tblData[[#This Row],[Rental Date]]),"00")</f>
        <v>15</v>
      </c>
      <c r="G297" s="1">
        <f>EOMONTH(tblData[[#This Row],[Rental Date]],0)</f>
        <v>46142</v>
      </c>
      <c r="H297" t="s">
        <v>204</v>
      </c>
      <c r="I297" t="s">
        <v>48</v>
      </c>
      <c r="J297" t="s">
        <v>78</v>
      </c>
      <c r="K297" t="s">
        <v>60</v>
      </c>
      <c r="L297">
        <v>1</v>
      </c>
      <c r="M297" s="2">
        <v>26</v>
      </c>
      <c r="N297" t="s">
        <v>26</v>
      </c>
      <c r="O297" s="3">
        <v>0</v>
      </c>
      <c r="P297" s="3">
        <v>0</v>
      </c>
      <c r="Q297" s="2">
        <v>26</v>
      </c>
      <c r="R297" t="s">
        <v>34</v>
      </c>
      <c r="S297" t="s">
        <v>54</v>
      </c>
      <c r="T297" t="s">
        <v>29</v>
      </c>
      <c r="U297" t="s">
        <v>58</v>
      </c>
    </row>
    <row r="298" spans="1:21" x14ac:dyDescent="0.35">
      <c r="A298" t="s">
        <v>375</v>
      </c>
      <c r="B298" s="1">
        <v>46119</v>
      </c>
      <c r="C298" t="str">
        <f>TEXT(tblData[[#This Row],[Rental Date]],"mmm")</f>
        <v>Apr</v>
      </c>
      <c r="D298" t="str">
        <f>TEXT(tblData[[#This Row],[Rental Date]],"mmmm")</f>
        <v>April</v>
      </c>
      <c r="E298" t="s">
        <v>102</v>
      </c>
      <c r="F298" t="str">
        <f>TEXT(WEEKNUM(tblData[[#This Row],[Rental Date]]),"00")</f>
        <v>15</v>
      </c>
      <c r="G298" s="1">
        <f>EOMONTH(tblData[[#This Row],[Rental Date]],0)</f>
        <v>46142</v>
      </c>
      <c r="H298" t="s">
        <v>204</v>
      </c>
      <c r="I298" t="s">
        <v>39</v>
      </c>
      <c r="J298" t="s">
        <v>33</v>
      </c>
      <c r="K298" t="s">
        <v>40</v>
      </c>
      <c r="L298">
        <v>1</v>
      </c>
      <c r="M298" s="2">
        <v>58</v>
      </c>
      <c r="N298" t="s">
        <v>26</v>
      </c>
      <c r="O298" s="3">
        <v>0</v>
      </c>
      <c r="P298" s="3">
        <v>0</v>
      </c>
      <c r="Q298" s="2">
        <v>58</v>
      </c>
      <c r="R298" t="s">
        <v>27</v>
      </c>
      <c r="S298" t="s">
        <v>35</v>
      </c>
      <c r="T298" t="s">
        <v>29</v>
      </c>
      <c r="U298" t="s">
        <v>30</v>
      </c>
    </row>
    <row r="299" spans="1:21" x14ac:dyDescent="0.35">
      <c r="A299" t="s">
        <v>376</v>
      </c>
      <c r="B299" s="1">
        <v>46119</v>
      </c>
      <c r="C299" t="str">
        <f>TEXT(tblData[[#This Row],[Rental Date]],"mmm")</f>
        <v>Apr</v>
      </c>
      <c r="D299" t="str">
        <f>TEXT(tblData[[#This Row],[Rental Date]],"mmmm")</f>
        <v>April</v>
      </c>
      <c r="E299" t="s">
        <v>102</v>
      </c>
      <c r="F299" t="str">
        <f>TEXT(WEEKNUM(tblData[[#This Row],[Rental Date]]),"00")</f>
        <v>15</v>
      </c>
      <c r="G299" s="1">
        <f>EOMONTH(tblData[[#This Row],[Rental Date]],0)</f>
        <v>46142</v>
      </c>
      <c r="H299" t="s">
        <v>204</v>
      </c>
      <c r="I299" t="s">
        <v>32</v>
      </c>
      <c r="J299" t="s">
        <v>33</v>
      </c>
      <c r="K299" t="s">
        <v>25</v>
      </c>
      <c r="L299">
        <v>1</v>
      </c>
      <c r="M299" s="2">
        <v>38</v>
      </c>
      <c r="N299" t="s">
        <v>26</v>
      </c>
      <c r="O299" s="3">
        <v>0</v>
      </c>
      <c r="P299" s="3">
        <v>1.9</v>
      </c>
      <c r="Q299" s="2">
        <v>36.1</v>
      </c>
      <c r="R299" t="s">
        <v>76</v>
      </c>
      <c r="S299" t="s">
        <v>46</v>
      </c>
      <c r="T299" t="s">
        <v>29</v>
      </c>
      <c r="U299" t="s">
        <v>30</v>
      </c>
    </row>
    <row r="300" spans="1:21" x14ac:dyDescent="0.35">
      <c r="A300" t="s">
        <v>377</v>
      </c>
      <c r="B300" s="1">
        <v>46119</v>
      </c>
      <c r="C300" t="str">
        <f>TEXT(tblData[[#This Row],[Rental Date]],"mmm")</f>
        <v>Apr</v>
      </c>
      <c r="D300" t="str">
        <f>TEXT(tblData[[#This Row],[Rental Date]],"mmmm")</f>
        <v>April</v>
      </c>
      <c r="E300" t="s">
        <v>102</v>
      </c>
      <c r="F300" t="str">
        <f>TEXT(WEEKNUM(tblData[[#This Row],[Rental Date]]),"00")</f>
        <v>15</v>
      </c>
      <c r="G300" s="1">
        <f>EOMONTH(tblData[[#This Row],[Rental Date]],0)</f>
        <v>46142</v>
      </c>
      <c r="H300" t="s">
        <v>204</v>
      </c>
      <c r="I300" t="s">
        <v>48</v>
      </c>
      <c r="J300" t="s">
        <v>78</v>
      </c>
      <c r="K300" t="s">
        <v>60</v>
      </c>
      <c r="L300">
        <v>1</v>
      </c>
      <c r="M300" s="2">
        <v>26</v>
      </c>
      <c r="N300" t="s">
        <v>41</v>
      </c>
      <c r="O300" s="3">
        <v>5</v>
      </c>
      <c r="P300" s="3">
        <v>0</v>
      </c>
      <c r="Q300" s="2">
        <v>31</v>
      </c>
      <c r="R300" t="s">
        <v>76</v>
      </c>
      <c r="S300" t="s">
        <v>50</v>
      </c>
      <c r="T300" t="s">
        <v>90</v>
      </c>
      <c r="U300" t="s">
        <v>58</v>
      </c>
    </row>
    <row r="301" spans="1:21" x14ac:dyDescent="0.35">
      <c r="A301" t="s">
        <v>378</v>
      </c>
      <c r="B301" s="1">
        <v>46119</v>
      </c>
      <c r="C301" t="str">
        <f>TEXT(tblData[[#This Row],[Rental Date]],"mmm")</f>
        <v>Apr</v>
      </c>
      <c r="D301" t="str">
        <f>TEXT(tblData[[#This Row],[Rental Date]],"mmmm")</f>
        <v>April</v>
      </c>
      <c r="E301" t="s">
        <v>102</v>
      </c>
      <c r="F301" t="str">
        <f>TEXT(WEEKNUM(tblData[[#This Row],[Rental Date]]),"00")</f>
        <v>15</v>
      </c>
      <c r="G301" s="1">
        <f>EOMONTH(tblData[[#This Row],[Rental Date]],0)</f>
        <v>46142</v>
      </c>
      <c r="H301" t="s">
        <v>204</v>
      </c>
      <c r="I301" t="s">
        <v>48</v>
      </c>
      <c r="J301" t="s">
        <v>138</v>
      </c>
      <c r="K301" t="s">
        <v>25</v>
      </c>
      <c r="L301">
        <v>1</v>
      </c>
      <c r="M301" s="2">
        <v>48</v>
      </c>
      <c r="N301" t="s">
        <v>26</v>
      </c>
      <c r="O301" s="3">
        <v>0</v>
      </c>
      <c r="P301" s="3">
        <v>0</v>
      </c>
      <c r="Q301" s="2">
        <v>48</v>
      </c>
      <c r="R301" t="s">
        <v>42</v>
      </c>
      <c r="S301" t="s">
        <v>35</v>
      </c>
      <c r="T301" t="s">
        <v>51</v>
      </c>
      <c r="U301" t="s">
        <v>79</v>
      </c>
    </row>
    <row r="302" spans="1:21" x14ac:dyDescent="0.35">
      <c r="A302" t="s">
        <v>379</v>
      </c>
      <c r="B302" s="1">
        <v>46119</v>
      </c>
      <c r="C302" t="str">
        <f>TEXT(tblData[[#This Row],[Rental Date]],"mmm")</f>
        <v>Apr</v>
      </c>
      <c r="D302" t="str">
        <f>TEXT(tblData[[#This Row],[Rental Date]],"mmmm")</f>
        <v>April</v>
      </c>
      <c r="E302" t="s">
        <v>102</v>
      </c>
      <c r="F302" t="str">
        <f>TEXT(WEEKNUM(tblData[[#This Row],[Rental Date]]),"00")</f>
        <v>15</v>
      </c>
      <c r="G302" s="1">
        <f>EOMONTH(tblData[[#This Row],[Rental Date]],0)</f>
        <v>46142</v>
      </c>
      <c r="H302" t="s">
        <v>204</v>
      </c>
      <c r="I302" t="s">
        <v>39</v>
      </c>
      <c r="J302" t="s">
        <v>127</v>
      </c>
      <c r="K302" t="s">
        <v>25</v>
      </c>
      <c r="L302">
        <v>1</v>
      </c>
      <c r="M302" s="2">
        <v>16</v>
      </c>
      <c r="N302" t="s">
        <v>41</v>
      </c>
      <c r="O302" s="3">
        <v>5</v>
      </c>
      <c r="P302" s="3">
        <v>0</v>
      </c>
      <c r="Q302" s="2">
        <v>21</v>
      </c>
      <c r="R302" t="s">
        <v>62</v>
      </c>
      <c r="S302" t="s">
        <v>35</v>
      </c>
      <c r="T302" t="s">
        <v>63</v>
      </c>
      <c r="U302" t="s">
        <v>58</v>
      </c>
    </row>
    <row r="303" spans="1:21" x14ac:dyDescent="0.35">
      <c r="A303" t="s">
        <v>380</v>
      </c>
      <c r="B303" s="1">
        <v>46119</v>
      </c>
      <c r="C303" t="str">
        <f>TEXT(tblData[[#This Row],[Rental Date]],"mmm")</f>
        <v>Apr</v>
      </c>
      <c r="D303" t="str">
        <f>TEXT(tblData[[#This Row],[Rental Date]],"mmmm")</f>
        <v>April</v>
      </c>
      <c r="E303" t="s">
        <v>102</v>
      </c>
      <c r="F303" t="str">
        <f>TEXT(WEEKNUM(tblData[[#This Row],[Rental Date]]),"00")</f>
        <v>15</v>
      </c>
      <c r="G303" s="1">
        <f>EOMONTH(tblData[[#This Row],[Rental Date]],0)</f>
        <v>46142</v>
      </c>
      <c r="H303" t="s">
        <v>204</v>
      </c>
      <c r="I303" t="s">
        <v>48</v>
      </c>
      <c r="J303" t="s">
        <v>127</v>
      </c>
      <c r="K303" t="s">
        <v>25</v>
      </c>
      <c r="L303">
        <v>1</v>
      </c>
      <c r="M303" s="2">
        <v>16</v>
      </c>
      <c r="N303" t="s">
        <v>41</v>
      </c>
      <c r="O303" s="3">
        <v>5</v>
      </c>
      <c r="P303" s="3">
        <v>1.05</v>
      </c>
      <c r="Q303" s="2">
        <v>19.95</v>
      </c>
      <c r="R303" t="s">
        <v>76</v>
      </c>
      <c r="S303" t="s">
        <v>28</v>
      </c>
      <c r="T303" t="s">
        <v>29</v>
      </c>
      <c r="U303" t="s">
        <v>30</v>
      </c>
    </row>
    <row r="304" spans="1:21" x14ac:dyDescent="0.35">
      <c r="A304" t="s">
        <v>381</v>
      </c>
      <c r="B304" s="1">
        <v>46120</v>
      </c>
      <c r="C304" t="str">
        <f>TEXT(tblData[[#This Row],[Rental Date]],"mmm")</f>
        <v>Apr</v>
      </c>
      <c r="D304" t="str">
        <f>TEXT(tblData[[#This Row],[Rental Date]],"mmmm")</f>
        <v>April</v>
      </c>
      <c r="E304" t="s">
        <v>109</v>
      </c>
      <c r="F304" t="str">
        <f>TEXT(WEEKNUM(tblData[[#This Row],[Rental Date]]),"00")</f>
        <v>15</v>
      </c>
      <c r="G304" s="1">
        <f>EOMONTH(tblData[[#This Row],[Rental Date]],0)</f>
        <v>46142</v>
      </c>
      <c r="H304" t="s">
        <v>204</v>
      </c>
      <c r="I304" t="s">
        <v>39</v>
      </c>
      <c r="J304" t="s">
        <v>111</v>
      </c>
      <c r="K304" t="s">
        <v>92</v>
      </c>
      <c r="L304">
        <v>1</v>
      </c>
      <c r="M304" s="2">
        <v>48</v>
      </c>
      <c r="N304" t="s">
        <v>26</v>
      </c>
      <c r="O304" s="3">
        <v>0</v>
      </c>
      <c r="P304" s="3">
        <v>2.4</v>
      </c>
      <c r="Q304" s="2">
        <v>45.6</v>
      </c>
      <c r="R304" t="s">
        <v>42</v>
      </c>
      <c r="S304" t="s">
        <v>46</v>
      </c>
      <c r="T304" t="s">
        <v>63</v>
      </c>
      <c r="U304" t="s">
        <v>30</v>
      </c>
    </row>
    <row r="305" spans="1:21" x14ac:dyDescent="0.35">
      <c r="A305" t="s">
        <v>382</v>
      </c>
      <c r="B305" s="1">
        <v>46120</v>
      </c>
      <c r="C305" t="str">
        <f>TEXT(tblData[[#This Row],[Rental Date]],"mmm")</f>
        <v>Apr</v>
      </c>
      <c r="D305" t="str">
        <f>TEXT(tblData[[#This Row],[Rental Date]],"mmmm")</f>
        <v>April</v>
      </c>
      <c r="E305" t="s">
        <v>109</v>
      </c>
      <c r="F305" t="str">
        <f>TEXT(WEEKNUM(tblData[[#This Row],[Rental Date]]),"00")</f>
        <v>15</v>
      </c>
      <c r="G305" s="1">
        <f>EOMONTH(tblData[[#This Row],[Rental Date]],0)</f>
        <v>46142</v>
      </c>
      <c r="H305" t="s">
        <v>204</v>
      </c>
      <c r="I305" t="s">
        <v>23</v>
      </c>
      <c r="J305" t="s">
        <v>33</v>
      </c>
      <c r="K305" t="s">
        <v>92</v>
      </c>
      <c r="L305">
        <v>1</v>
      </c>
      <c r="M305" s="2">
        <v>84</v>
      </c>
      <c r="N305" t="s">
        <v>89</v>
      </c>
      <c r="O305" s="3">
        <v>6</v>
      </c>
      <c r="P305" s="3">
        <v>0</v>
      </c>
      <c r="Q305" s="2">
        <v>90</v>
      </c>
      <c r="R305" t="s">
        <v>57</v>
      </c>
      <c r="S305" t="s">
        <v>28</v>
      </c>
      <c r="T305" t="s">
        <v>29</v>
      </c>
      <c r="U305" t="s">
        <v>30</v>
      </c>
    </row>
    <row r="306" spans="1:21" x14ac:dyDescent="0.35">
      <c r="A306" t="s">
        <v>383</v>
      </c>
      <c r="B306" s="1">
        <v>46120</v>
      </c>
      <c r="C306" t="str">
        <f>TEXT(tblData[[#This Row],[Rental Date]],"mmm")</f>
        <v>Apr</v>
      </c>
      <c r="D306" t="str">
        <f>TEXT(tblData[[#This Row],[Rental Date]],"mmmm")</f>
        <v>April</v>
      </c>
      <c r="E306" t="s">
        <v>109</v>
      </c>
      <c r="F306" t="str">
        <f>TEXT(WEEKNUM(tblData[[#This Row],[Rental Date]]),"00")</f>
        <v>15</v>
      </c>
      <c r="G306" s="1">
        <f>EOMONTH(tblData[[#This Row],[Rental Date]],0)</f>
        <v>46142</v>
      </c>
      <c r="H306" t="s">
        <v>204</v>
      </c>
      <c r="I306" t="s">
        <v>39</v>
      </c>
      <c r="J306" t="s">
        <v>44</v>
      </c>
      <c r="K306" t="s">
        <v>60</v>
      </c>
      <c r="L306">
        <v>1</v>
      </c>
      <c r="M306" s="2">
        <v>34</v>
      </c>
      <c r="N306" t="s">
        <v>26</v>
      </c>
      <c r="O306" s="3">
        <v>0</v>
      </c>
      <c r="P306" s="3">
        <v>0</v>
      </c>
      <c r="Q306" s="2">
        <v>34</v>
      </c>
      <c r="R306" t="s">
        <v>62</v>
      </c>
      <c r="S306" t="s">
        <v>50</v>
      </c>
      <c r="T306" t="s">
        <v>51</v>
      </c>
      <c r="U306" t="s">
        <v>79</v>
      </c>
    </row>
    <row r="307" spans="1:21" x14ac:dyDescent="0.35">
      <c r="A307" t="s">
        <v>384</v>
      </c>
      <c r="B307" s="1">
        <v>46120</v>
      </c>
      <c r="C307" t="str">
        <f>TEXT(tblData[[#This Row],[Rental Date]],"mmm")</f>
        <v>Apr</v>
      </c>
      <c r="D307" t="str">
        <f>TEXT(tblData[[#This Row],[Rental Date]],"mmmm")</f>
        <v>April</v>
      </c>
      <c r="E307" t="s">
        <v>109</v>
      </c>
      <c r="F307" t="str">
        <f>TEXT(WEEKNUM(tblData[[#This Row],[Rental Date]]),"00")</f>
        <v>15</v>
      </c>
      <c r="G307" s="1">
        <f>EOMONTH(tblData[[#This Row],[Rental Date]],0)</f>
        <v>46142</v>
      </c>
      <c r="H307" t="s">
        <v>204</v>
      </c>
      <c r="I307" t="s">
        <v>39</v>
      </c>
      <c r="J307" t="s">
        <v>33</v>
      </c>
      <c r="K307" t="s">
        <v>92</v>
      </c>
      <c r="L307">
        <v>1</v>
      </c>
      <c r="M307" s="2">
        <v>84</v>
      </c>
      <c r="N307" t="s">
        <v>26</v>
      </c>
      <c r="O307" s="3">
        <v>0</v>
      </c>
      <c r="P307" s="3">
        <v>0</v>
      </c>
      <c r="Q307" s="2">
        <v>84</v>
      </c>
      <c r="R307" t="s">
        <v>76</v>
      </c>
      <c r="S307" t="s">
        <v>28</v>
      </c>
      <c r="T307" t="s">
        <v>83</v>
      </c>
      <c r="U307" t="s">
        <v>30</v>
      </c>
    </row>
    <row r="308" spans="1:21" x14ac:dyDescent="0.35">
      <c r="A308" t="s">
        <v>385</v>
      </c>
      <c r="B308" s="1">
        <v>46120</v>
      </c>
      <c r="C308" t="str">
        <f>TEXT(tblData[[#This Row],[Rental Date]],"mmm")</f>
        <v>Apr</v>
      </c>
      <c r="D308" t="str">
        <f>TEXT(tblData[[#This Row],[Rental Date]],"mmmm")</f>
        <v>April</v>
      </c>
      <c r="E308" t="s">
        <v>109</v>
      </c>
      <c r="F308" t="str">
        <f>TEXT(WEEKNUM(tblData[[#This Row],[Rental Date]]),"00")</f>
        <v>15</v>
      </c>
      <c r="G308" s="1">
        <f>EOMONTH(tblData[[#This Row],[Rental Date]],0)</f>
        <v>46142</v>
      </c>
      <c r="H308" t="s">
        <v>204</v>
      </c>
      <c r="I308" t="s">
        <v>48</v>
      </c>
      <c r="J308" t="s">
        <v>33</v>
      </c>
      <c r="K308" t="s">
        <v>40</v>
      </c>
      <c r="L308">
        <v>1</v>
      </c>
      <c r="M308" s="2">
        <v>58</v>
      </c>
      <c r="N308" t="s">
        <v>26</v>
      </c>
      <c r="O308" s="3">
        <v>0</v>
      </c>
      <c r="P308" s="3">
        <v>0</v>
      </c>
      <c r="Q308" s="2">
        <v>58</v>
      </c>
      <c r="R308" t="s">
        <v>42</v>
      </c>
      <c r="S308" t="s">
        <v>46</v>
      </c>
      <c r="T308" t="s">
        <v>63</v>
      </c>
      <c r="U308" t="s">
        <v>30</v>
      </c>
    </row>
    <row r="309" spans="1:21" x14ac:dyDescent="0.35">
      <c r="A309" t="s">
        <v>386</v>
      </c>
      <c r="B309" s="1">
        <v>46120</v>
      </c>
      <c r="C309" t="str">
        <f>TEXT(tblData[[#This Row],[Rental Date]],"mmm")</f>
        <v>Apr</v>
      </c>
      <c r="D309" t="str">
        <f>TEXT(tblData[[#This Row],[Rental Date]],"mmmm")</f>
        <v>April</v>
      </c>
      <c r="E309" t="s">
        <v>109</v>
      </c>
      <c r="F309" t="str">
        <f>TEXT(WEEKNUM(tblData[[#This Row],[Rental Date]]),"00")</f>
        <v>15</v>
      </c>
      <c r="G309" s="1">
        <f>EOMONTH(tblData[[#This Row],[Rental Date]],0)</f>
        <v>46142</v>
      </c>
      <c r="H309" t="s">
        <v>204</v>
      </c>
      <c r="I309" t="s">
        <v>23</v>
      </c>
      <c r="J309" t="s">
        <v>44</v>
      </c>
      <c r="K309" t="s">
        <v>60</v>
      </c>
      <c r="L309">
        <v>1</v>
      </c>
      <c r="M309" s="2">
        <v>34</v>
      </c>
      <c r="N309" t="s">
        <v>70</v>
      </c>
      <c r="O309" s="3">
        <v>7</v>
      </c>
      <c r="P309" s="3">
        <v>0</v>
      </c>
      <c r="Q309" s="2">
        <v>41</v>
      </c>
      <c r="R309" t="s">
        <v>34</v>
      </c>
      <c r="S309" t="s">
        <v>50</v>
      </c>
      <c r="T309" t="s">
        <v>90</v>
      </c>
      <c r="U309" t="s">
        <v>30</v>
      </c>
    </row>
    <row r="310" spans="1:21" x14ac:dyDescent="0.35">
      <c r="A310" t="s">
        <v>387</v>
      </c>
      <c r="B310" s="1">
        <v>46121</v>
      </c>
      <c r="C310" t="str">
        <f>TEXT(tblData[[#This Row],[Rental Date]],"mmm")</f>
        <v>Apr</v>
      </c>
      <c r="D310" t="str">
        <f>TEXT(tblData[[#This Row],[Rental Date]],"mmmm")</f>
        <v>April</v>
      </c>
      <c r="E310" t="s">
        <v>21</v>
      </c>
      <c r="F310" t="str">
        <f>TEXT(WEEKNUM(tblData[[#This Row],[Rental Date]]),"00")</f>
        <v>15</v>
      </c>
      <c r="G310" s="1">
        <f>EOMONTH(tblData[[#This Row],[Rental Date]],0)</f>
        <v>46142</v>
      </c>
      <c r="H310" t="s">
        <v>204</v>
      </c>
      <c r="I310" t="s">
        <v>53</v>
      </c>
      <c r="J310" t="s">
        <v>86</v>
      </c>
      <c r="K310" t="s">
        <v>25</v>
      </c>
      <c r="L310">
        <v>1</v>
      </c>
      <c r="M310" s="2">
        <v>58</v>
      </c>
      <c r="N310" t="s">
        <v>89</v>
      </c>
      <c r="O310" s="3">
        <v>6</v>
      </c>
      <c r="P310" s="3">
        <v>9.6</v>
      </c>
      <c r="Q310" s="2">
        <v>54.4</v>
      </c>
      <c r="R310" t="s">
        <v>45</v>
      </c>
      <c r="S310" t="s">
        <v>54</v>
      </c>
      <c r="T310" t="s">
        <v>63</v>
      </c>
      <c r="U310" t="s">
        <v>30</v>
      </c>
    </row>
    <row r="311" spans="1:21" x14ac:dyDescent="0.35">
      <c r="A311" t="s">
        <v>388</v>
      </c>
      <c r="B311" s="1">
        <v>46121</v>
      </c>
      <c r="C311" t="str">
        <f>TEXT(tblData[[#This Row],[Rental Date]],"mmm")</f>
        <v>Apr</v>
      </c>
      <c r="D311" t="str">
        <f>TEXT(tblData[[#This Row],[Rental Date]],"mmmm")</f>
        <v>April</v>
      </c>
      <c r="E311" t="s">
        <v>21</v>
      </c>
      <c r="F311" t="str">
        <f>TEXT(WEEKNUM(tblData[[#This Row],[Rental Date]]),"00")</f>
        <v>15</v>
      </c>
      <c r="G311" s="1">
        <f>EOMONTH(tblData[[#This Row],[Rental Date]],0)</f>
        <v>46142</v>
      </c>
      <c r="H311" t="s">
        <v>204</v>
      </c>
      <c r="I311" t="s">
        <v>32</v>
      </c>
      <c r="J311" t="s">
        <v>78</v>
      </c>
      <c r="K311" t="s">
        <v>25</v>
      </c>
      <c r="L311">
        <v>1</v>
      </c>
      <c r="M311" s="2">
        <v>42</v>
      </c>
      <c r="N311" t="s">
        <v>89</v>
      </c>
      <c r="O311" s="3">
        <v>6</v>
      </c>
      <c r="P311" s="3">
        <v>0</v>
      </c>
      <c r="Q311" s="2">
        <v>48</v>
      </c>
      <c r="R311" t="s">
        <v>66</v>
      </c>
      <c r="S311" t="s">
        <v>35</v>
      </c>
      <c r="T311" t="s">
        <v>29</v>
      </c>
      <c r="U311" t="s">
        <v>30</v>
      </c>
    </row>
    <row r="312" spans="1:21" x14ac:dyDescent="0.35">
      <c r="A312" t="s">
        <v>389</v>
      </c>
      <c r="B312" s="1">
        <v>46122</v>
      </c>
      <c r="C312" t="str">
        <f>TEXT(tblData[[#This Row],[Rental Date]],"mmm")</f>
        <v>Apr</v>
      </c>
      <c r="D312" t="str">
        <f>TEXT(tblData[[#This Row],[Rental Date]],"mmmm")</f>
        <v>April</v>
      </c>
      <c r="E312" t="s">
        <v>38</v>
      </c>
      <c r="F312" t="str">
        <f>TEXT(WEEKNUM(tblData[[#This Row],[Rental Date]]),"00")</f>
        <v>15</v>
      </c>
      <c r="G312" s="1">
        <f>EOMONTH(tblData[[#This Row],[Rental Date]],0)</f>
        <v>46142</v>
      </c>
      <c r="H312" t="s">
        <v>204</v>
      </c>
      <c r="I312" t="s">
        <v>39</v>
      </c>
      <c r="J312" t="s">
        <v>127</v>
      </c>
      <c r="K312" t="s">
        <v>40</v>
      </c>
      <c r="L312">
        <v>1</v>
      </c>
      <c r="M312" s="2">
        <v>24</v>
      </c>
      <c r="N312" t="s">
        <v>26</v>
      </c>
      <c r="O312" s="3">
        <v>0</v>
      </c>
      <c r="P312" s="3">
        <v>0</v>
      </c>
      <c r="Q312" s="2">
        <v>24</v>
      </c>
      <c r="R312" t="s">
        <v>71</v>
      </c>
      <c r="S312" t="s">
        <v>35</v>
      </c>
      <c r="T312" t="s">
        <v>29</v>
      </c>
      <c r="U312" t="s">
        <v>30</v>
      </c>
    </row>
    <row r="313" spans="1:21" x14ac:dyDescent="0.35">
      <c r="A313" t="s">
        <v>390</v>
      </c>
      <c r="B313" s="1">
        <v>46122</v>
      </c>
      <c r="C313" t="str">
        <f>TEXT(tblData[[#This Row],[Rental Date]],"mmm")</f>
        <v>Apr</v>
      </c>
      <c r="D313" t="str">
        <f>TEXT(tblData[[#This Row],[Rental Date]],"mmmm")</f>
        <v>April</v>
      </c>
      <c r="E313" t="s">
        <v>38</v>
      </c>
      <c r="F313" t="str">
        <f>TEXT(WEEKNUM(tblData[[#This Row],[Rental Date]]),"00")</f>
        <v>15</v>
      </c>
      <c r="G313" s="1">
        <f>EOMONTH(tblData[[#This Row],[Rental Date]],0)</f>
        <v>46142</v>
      </c>
      <c r="H313" t="s">
        <v>204</v>
      </c>
      <c r="I313" t="s">
        <v>23</v>
      </c>
      <c r="J313" t="s">
        <v>49</v>
      </c>
      <c r="K313" t="s">
        <v>60</v>
      </c>
      <c r="L313">
        <v>1</v>
      </c>
      <c r="M313" s="2">
        <v>22</v>
      </c>
      <c r="N313" t="s">
        <v>70</v>
      </c>
      <c r="O313" s="3">
        <v>7</v>
      </c>
      <c r="P313" s="3">
        <v>0</v>
      </c>
      <c r="Q313" s="2">
        <v>29</v>
      </c>
      <c r="R313" t="s">
        <v>45</v>
      </c>
      <c r="S313" t="s">
        <v>35</v>
      </c>
      <c r="T313" t="s">
        <v>29</v>
      </c>
      <c r="U313" t="s">
        <v>58</v>
      </c>
    </row>
    <row r="314" spans="1:21" x14ac:dyDescent="0.35">
      <c r="A314" t="s">
        <v>391</v>
      </c>
      <c r="B314" s="1">
        <v>46122</v>
      </c>
      <c r="C314" t="str">
        <f>TEXT(tblData[[#This Row],[Rental Date]],"mmm")</f>
        <v>Apr</v>
      </c>
      <c r="D314" t="str">
        <f>TEXT(tblData[[#This Row],[Rental Date]],"mmmm")</f>
        <v>April</v>
      </c>
      <c r="E314" t="s">
        <v>38</v>
      </c>
      <c r="F314" t="str">
        <f>TEXT(WEEKNUM(tblData[[#This Row],[Rental Date]]),"00")</f>
        <v>15</v>
      </c>
      <c r="G314" s="1">
        <f>EOMONTH(tblData[[#This Row],[Rental Date]],0)</f>
        <v>46142</v>
      </c>
      <c r="H314" t="s">
        <v>204</v>
      </c>
      <c r="I314" t="s">
        <v>39</v>
      </c>
      <c r="J314" t="s">
        <v>33</v>
      </c>
      <c r="K314" t="s">
        <v>25</v>
      </c>
      <c r="L314">
        <v>1</v>
      </c>
      <c r="M314" s="2">
        <v>38</v>
      </c>
      <c r="N314" t="s">
        <v>89</v>
      </c>
      <c r="O314" s="3">
        <v>6</v>
      </c>
      <c r="P314" s="3">
        <v>0</v>
      </c>
      <c r="Q314" s="2">
        <v>44</v>
      </c>
      <c r="R314" t="s">
        <v>42</v>
      </c>
      <c r="S314" t="s">
        <v>46</v>
      </c>
      <c r="T314" t="s">
        <v>90</v>
      </c>
      <c r="U314" t="s">
        <v>30</v>
      </c>
    </row>
    <row r="315" spans="1:21" x14ac:dyDescent="0.35">
      <c r="A315" t="s">
        <v>392</v>
      </c>
      <c r="B315" s="1">
        <v>46122</v>
      </c>
      <c r="C315" t="str">
        <f>TEXT(tblData[[#This Row],[Rental Date]],"mmm")</f>
        <v>Apr</v>
      </c>
      <c r="D315" t="str">
        <f>TEXT(tblData[[#This Row],[Rental Date]],"mmmm")</f>
        <v>April</v>
      </c>
      <c r="E315" t="s">
        <v>38</v>
      </c>
      <c r="F315" t="str">
        <f>TEXT(WEEKNUM(tblData[[#This Row],[Rental Date]]),"00")</f>
        <v>15</v>
      </c>
      <c r="G315" s="1">
        <f>EOMONTH(tblData[[#This Row],[Rental Date]],0)</f>
        <v>46142</v>
      </c>
      <c r="H315" t="s">
        <v>204</v>
      </c>
      <c r="I315" t="s">
        <v>39</v>
      </c>
      <c r="J315" t="s">
        <v>138</v>
      </c>
      <c r="K315" t="s">
        <v>25</v>
      </c>
      <c r="L315">
        <v>1</v>
      </c>
      <c r="M315" s="2">
        <v>48</v>
      </c>
      <c r="N315" t="s">
        <v>41</v>
      </c>
      <c r="O315" s="3">
        <v>5</v>
      </c>
      <c r="P315" s="3">
        <v>0</v>
      </c>
      <c r="Q315" s="2">
        <v>53</v>
      </c>
      <c r="R315" t="s">
        <v>62</v>
      </c>
      <c r="S315" t="s">
        <v>28</v>
      </c>
      <c r="T315" t="s">
        <v>51</v>
      </c>
      <c r="U315" t="s">
        <v>30</v>
      </c>
    </row>
    <row r="316" spans="1:21" x14ac:dyDescent="0.35">
      <c r="A316" t="s">
        <v>393</v>
      </c>
      <c r="B316" s="1">
        <v>46122</v>
      </c>
      <c r="C316" t="str">
        <f>TEXT(tblData[[#This Row],[Rental Date]],"mmm")</f>
        <v>Apr</v>
      </c>
      <c r="D316" t="str">
        <f>TEXT(tblData[[#This Row],[Rental Date]],"mmmm")</f>
        <v>April</v>
      </c>
      <c r="E316" t="s">
        <v>38</v>
      </c>
      <c r="F316" t="str">
        <f>TEXT(WEEKNUM(tblData[[#This Row],[Rental Date]]),"00")</f>
        <v>15</v>
      </c>
      <c r="G316" s="1">
        <f>EOMONTH(tblData[[#This Row],[Rental Date]],0)</f>
        <v>46142</v>
      </c>
      <c r="H316" t="s">
        <v>204</v>
      </c>
      <c r="I316" t="s">
        <v>39</v>
      </c>
      <c r="J316" t="s">
        <v>65</v>
      </c>
      <c r="K316" t="s">
        <v>40</v>
      </c>
      <c r="L316">
        <v>1</v>
      </c>
      <c r="M316" s="2">
        <v>28</v>
      </c>
      <c r="N316" t="s">
        <v>89</v>
      </c>
      <c r="O316" s="3">
        <v>6</v>
      </c>
      <c r="P316" s="3">
        <v>0</v>
      </c>
      <c r="Q316" s="2">
        <v>34</v>
      </c>
      <c r="R316" t="s">
        <v>76</v>
      </c>
      <c r="S316" t="s">
        <v>50</v>
      </c>
      <c r="T316" t="s">
        <v>90</v>
      </c>
      <c r="U316" t="s">
        <v>58</v>
      </c>
    </row>
    <row r="317" spans="1:21" x14ac:dyDescent="0.35">
      <c r="A317" t="s">
        <v>394</v>
      </c>
      <c r="B317" s="1">
        <v>46122</v>
      </c>
      <c r="C317" t="str">
        <f>TEXT(tblData[[#This Row],[Rental Date]],"mmm")</f>
        <v>Apr</v>
      </c>
      <c r="D317" t="str">
        <f>TEXT(tblData[[#This Row],[Rental Date]],"mmmm")</f>
        <v>April</v>
      </c>
      <c r="E317" t="s">
        <v>38</v>
      </c>
      <c r="F317" t="str">
        <f>TEXT(WEEKNUM(tblData[[#This Row],[Rental Date]]),"00")</f>
        <v>15</v>
      </c>
      <c r="G317" s="1">
        <f>EOMONTH(tblData[[#This Row],[Rental Date]],0)</f>
        <v>46142</v>
      </c>
      <c r="H317" t="s">
        <v>204</v>
      </c>
      <c r="I317" t="s">
        <v>39</v>
      </c>
      <c r="J317" t="s">
        <v>33</v>
      </c>
      <c r="K317" t="s">
        <v>92</v>
      </c>
      <c r="L317">
        <v>1</v>
      </c>
      <c r="M317" s="2">
        <v>84</v>
      </c>
      <c r="N317" t="s">
        <v>87</v>
      </c>
      <c r="O317" s="3">
        <v>10</v>
      </c>
      <c r="P317" s="3">
        <v>0</v>
      </c>
      <c r="Q317" s="2">
        <v>94</v>
      </c>
      <c r="R317" t="s">
        <v>94</v>
      </c>
      <c r="S317" t="s">
        <v>50</v>
      </c>
      <c r="T317" t="s">
        <v>29</v>
      </c>
      <c r="U317" t="s">
        <v>30</v>
      </c>
    </row>
    <row r="318" spans="1:21" x14ac:dyDescent="0.35">
      <c r="A318" t="s">
        <v>395</v>
      </c>
      <c r="B318" s="1">
        <v>46122</v>
      </c>
      <c r="C318" t="str">
        <f>TEXT(tblData[[#This Row],[Rental Date]],"mmm")</f>
        <v>Apr</v>
      </c>
      <c r="D318" t="str">
        <f>TEXT(tblData[[#This Row],[Rental Date]],"mmmm")</f>
        <v>April</v>
      </c>
      <c r="E318" t="s">
        <v>38</v>
      </c>
      <c r="F318" t="str">
        <f>TEXT(WEEKNUM(tblData[[#This Row],[Rental Date]]),"00")</f>
        <v>15</v>
      </c>
      <c r="G318" s="1">
        <f>EOMONTH(tblData[[#This Row],[Rental Date]],0)</f>
        <v>46142</v>
      </c>
      <c r="H318" t="s">
        <v>204</v>
      </c>
      <c r="I318" t="s">
        <v>39</v>
      </c>
      <c r="J318" t="s">
        <v>111</v>
      </c>
      <c r="K318" t="s">
        <v>40</v>
      </c>
      <c r="L318">
        <v>1</v>
      </c>
      <c r="M318" s="2">
        <v>34</v>
      </c>
      <c r="N318" t="s">
        <v>61</v>
      </c>
      <c r="O318" s="3">
        <v>8</v>
      </c>
      <c r="P318" s="3">
        <v>0</v>
      </c>
      <c r="Q318" s="2">
        <v>42</v>
      </c>
      <c r="R318" t="s">
        <v>45</v>
      </c>
      <c r="S318" t="s">
        <v>50</v>
      </c>
      <c r="T318" t="s">
        <v>29</v>
      </c>
      <c r="U318" t="s">
        <v>30</v>
      </c>
    </row>
    <row r="319" spans="1:21" x14ac:dyDescent="0.35">
      <c r="A319" t="s">
        <v>396</v>
      </c>
      <c r="B319" s="1">
        <v>46123</v>
      </c>
      <c r="C319" t="str">
        <f>TEXT(tblData[[#This Row],[Rental Date]],"mmm")</f>
        <v>Apr</v>
      </c>
      <c r="D319" t="str">
        <f>TEXT(tblData[[#This Row],[Rental Date]],"mmmm")</f>
        <v>April</v>
      </c>
      <c r="E319" t="s">
        <v>56</v>
      </c>
      <c r="F319" t="str">
        <f>TEXT(WEEKNUM(tblData[[#This Row],[Rental Date]]),"00")</f>
        <v>15</v>
      </c>
      <c r="G319" s="1">
        <f>EOMONTH(tblData[[#This Row],[Rental Date]],0)</f>
        <v>46142</v>
      </c>
      <c r="H319" t="s">
        <v>204</v>
      </c>
      <c r="I319" t="s">
        <v>53</v>
      </c>
      <c r="J319" t="s">
        <v>127</v>
      </c>
      <c r="K319" t="s">
        <v>25</v>
      </c>
      <c r="L319">
        <v>1</v>
      </c>
      <c r="M319" s="2">
        <v>17.28</v>
      </c>
      <c r="N319" t="s">
        <v>26</v>
      </c>
      <c r="O319" s="3">
        <v>0</v>
      </c>
      <c r="P319" s="3">
        <v>1.73</v>
      </c>
      <c r="Q319" s="2">
        <v>15.55</v>
      </c>
      <c r="R319" t="s">
        <v>45</v>
      </c>
      <c r="S319" t="s">
        <v>28</v>
      </c>
      <c r="T319" t="s">
        <v>51</v>
      </c>
      <c r="U319" t="s">
        <v>30</v>
      </c>
    </row>
    <row r="320" spans="1:21" x14ac:dyDescent="0.35">
      <c r="A320" t="s">
        <v>397</v>
      </c>
      <c r="B320" s="1">
        <v>46123</v>
      </c>
      <c r="C320" t="str">
        <f>TEXT(tblData[[#This Row],[Rental Date]],"mmm")</f>
        <v>Apr</v>
      </c>
      <c r="D320" t="str">
        <f>TEXT(tblData[[#This Row],[Rental Date]],"mmmm")</f>
        <v>April</v>
      </c>
      <c r="E320" t="s">
        <v>56</v>
      </c>
      <c r="F320" t="str">
        <f>TEXT(WEEKNUM(tblData[[#This Row],[Rental Date]]),"00")</f>
        <v>15</v>
      </c>
      <c r="G320" s="1">
        <f>EOMONTH(tblData[[#This Row],[Rental Date]],0)</f>
        <v>46142</v>
      </c>
      <c r="H320" t="s">
        <v>204</v>
      </c>
      <c r="I320" t="s">
        <v>39</v>
      </c>
      <c r="J320" t="s">
        <v>33</v>
      </c>
      <c r="K320" t="s">
        <v>25</v>
      </c>
      <c r="L320">
        <v>1</v>
      </c>
      <c r="M320" s="2">
        <v>41.04</v>
      </c>
      <c r="N320" t="s">
        <v>89</v>
      </c>
      <c r="O320" s="3">
        <v>6</v>
      </c>
      <c r="P320" s="3">
        <v>0</v>
      </c>
      <c r="Q320" s="2">
        <v>47.04</v>
      </c>
      <c r="R320" t="s">
        <v>42</v>
      </c>
      <c r="S320" t="s">
        <v>50</v>
      </c>
      <c r="T320" t="s">
        <v>51</v>
      </c>
      <c r="U320" t="s">
        <v>30</v>
      </c>
    </row>
    <row r="321" spans="1:21" x14ac:dyDescent="0.35">
      <c r="A321" t="s">
        <v>398</v>
      </c>
      <c r="B321" s="1">
        <v>46123</v>
      </c>
      <c r="C321" t="str">
        <f>TEXT(tblData[[#This Row],[Rental Date]],"mmm")</f>
        <v>Apr</v>
      </c>
      <c r="D321" t="str">
        <f>TEXT(tblData[[#This Row],[Rental Date]],"mmmm")</f>
        <v>April</v>
      </c>
      <c r="E321" t="s">
        <v>56</v>
      </c>
      <c r="F321" t="str">
        <f>TEXT(WEEKNUM(tblData[[#This Row],[Rental Date]]),"00")</f>
        <v>15</v>
      </c>
      <c r="G321" s="1">
        <f>EOMONTH(tblData[[#This Row],[Rental Date]],0)</f>
        <v>46142</v>
      </c>
      <c r="H321" t="s">
        <v>204</v>
      </c>
      <c r="I321" t="s">
        <v>23</v>
      </c>
      <c r="J321" t="s">
        <v>44</v>
      </c>
      <c r="K321" t="s">
        <v>25</v>
      </c>
      <c r="L321">
        <v>1</v>
      </c>
      <c r="M321" s="2">
        <v>56.16</v>
      </c>
      <c r="N321" t="s">
        <v>70</v>
      </c>
      <c r="O321" s="3">
        <v>7</v>
      </c>
      <c r="P321" s="3">
        <v>0</v>
      </c>
      <c r="Q321" s="2">
        <v>63.16</v>
      </c>
      <c r="R321" t="s">
        <v>66</v>
      </c>
      <c r="S321" t="s">
        <v>35</v>
      </c>
      <c r="T321" t="s">
        <v>29</v>
      </c>
      <c r="U321" t="s">
        <v>79</v>
      </c>
    </row>
    <row r="322" spans="1:21" x14ac:dyDescent="0.35">
      <c r="A322" t="s">
        <v>399</v>
      </c>
      <c r="B322" s="1">
        <v>46123</v>
      </c>
      <c r="C322" t="str">
        <f>TEXT(tblData[[#This Row],[Rental Date]],"mmm")</f>
        <v>Apr</v>
      </c>
      <c r="D322" t="str">
        <f>TEXT(tblData[[#This Row],[Rental Date]],"mmmm")</f>
        <v>April</v>
      </c>
      <c r="E322" t="s">
        <v>56</v>
      </c>
      <c r="F322" t="str">
        <f>TEXT(WEEKNUM(tblData[[#This Row],[Rental Date]]),"00")</f>
        <v>15</v>
      </c>
      <c r="G322" s="1">
        <f>EOMONTH(tblData[[#This Row],[Rental Date]],0)</f>
        <v>46142</v>
      </c>
      <c r="H322" t="s">
        <v>204</v>
      </c>
      <c r="I322" t="s">
        <v>48</v>
      </c>
      <c r="J322" t="s">
        <v>33</v>
      </c>
      <c r="K322" t="s">
        <v>25</v>
      </c>
      <c r="L322">
        <v>1</v>
      </c>
      <c r="M322" s="2">
        <v>41.04</v>
      </c>
      <c r="N322" t="s">
        <v>70</v>
      </c>
      <c r="O322" s="3">
        <v>7</v>
      </c>
      <c r="P322" s="3">
        <v>0</v>
      </c>
      <c r="Q322" s="2">
        <v>48.04</v>
      </c>
      <c r="R322" t="s">
        <v>57</v>
      </c>
      <c r="S322" t="s">
        <v>35</v>
      </c>
      <c r="T322" t="s">
        <v>51</v>
      </c>
      <c r="U322" t="s">
        <v>30</v>
      </c>
    </row>
    <row r="323" spans="1:21" x14ac:dyDescent="0.35">
      <c r="A323" t="s">
        <v>400</v>
      </c>
      <c r="B323" s="1">
        <v>46123</v>
      </c>
      <c r="C323" t="str">
        <f>TEXT(tblData[[#This Row],[Rental Date]],"mmm")</f>
        <v>Apr</v>
      </c>
      <c r="D323" t="str">
        <f>TEXT(tblData[[#This Row],[Rental Date]],"mmmm")</f>
        <v>April</v>
      </c>
      <c r="E323" t="s">
        <v>56</v>
      </c>
      <c r="F323" t="str">
        <f>TEXT(WEEKNUM(tblData[[#This Row],[Rental Date]]),"00")</f>
        <v>15</v>
      </c>
      <c r="G323" s="1">
        <f>EOMONTH(tblData[[#This Row],[Rental Date]],0)</f>
        <v>46142</v>
      </c>
      <c r="H323" t="s">
        <v>204</v>
      </c>
      <c r="I323" t="s">
        <v>39</v>
      </c>
      <c r="J323" t="s">
        <v>24</v>
      </c>
      <c r="K323" t="s">
        <v>25</v>
      </c>
      <c r="L323">
        <v>1</v>
      </c>
      <c r="M323" s="2">
        <v>54</v>
      </c>
      <c r="N323" t="s">
        <v>26</v>
      </c>
      <c r="O323" s="3">
        <v>0</v>
      </c>
      <c r="P323" s="3">
        <v>0</v>
      </c>
      <c r="Q323" s="2">
        <v>54</v>
      </c>
      <c r="R323" t="s">
        <v>34</v>
      </c>
      <c r="S323" t="s">
        <v>46</v>
      </c>
      <c r="T323" t="s">
        <v>51</v>
      </c>
      <c r="U323" t="s">
        <v>30</v>
      </c>
    </row>
    <row r="324" spans="1:21" x14ac:dyDescent="0.35">
      <c r="A324" t="s">
        <v>401</v>
      </c>
      <c r="B324" s="1">
        <v>46123</v>
      </c>
      <c r="C324" t="str">
        <f>TEXT(tblData[[#This Row],[Rental Date]],"mmm")</f>
        <v>Apr</v>
      </c>
      <c r="D324" t="str">
        <f>TEXT(tblData[[#This Row],[Rental Date]],"mmmm")</f>
        <v>April</v>
      </c>
      <c r="E324" t="s">
        <v>56</v>
      </c>
      <c r="F324" t="str">
        <f>TEXT(WEEKNUM(tblData[[#This Row],[Rental Date]]),"00")</f>
        <v>15</v>
      </c>
      <c r="G324" s="1">
        <f>EOMONTH(tblData[[#This Row],[Rental Date]],0)</f>
        <v>46142</v>
      </c>
      <c r="H324" t="s">
        <v>204</v>
      </c>
      <c r="I324" t="s">
        <v>48</v>
      </c>
      <c r="J324" t="s">
        <v>65</v>
      </c>
      <c r="K324" t="s">
        <v>60</v>
      </c>
      <c r="L324">
        <v>1</v>
      </c>
      <c r="M324" s="2">
        <v>12.96</v>
      </c>
      <c r="N324" t="s">
        <v>26</v>
      </c>
      <c r="O324" s="3">
        <v>0</v>
      </c>
      <c r="P324" s="3">
        <v>0</v>
      </c>
      <c r="Q324" s="2">
        <v>12.96</v>
      </c>
      <c r="R324" t="s">
        <v>27</v>
      </c>
      <c r="S324" t="s">
        <v>50</v>
      </c>
      <c r="T324" t="s">
        <v>51</v>
      </c>
      <c r="U324" t="s">
        <v>30</v>
      </c>
    </row>
    <row r="325" spans="1:21" x14ac:dyDescent="0.35">
      <c r="A325" t="s">
        <v>402</v>
      </c>
      <c r="B325" s="1">
        <v>46123</v>
      </c>
      <c r="C325" t="str">
        <f>TEXT(tblData[[#This Row],[Rental Date]],"mmm")</f>
        <v>Apr</v>
      </c>
      <c r="D325" t="str">
        <f>TEXT(tblData[[#This Row],[Rental Date]],"mmmm")</f>
        <v>April</v>
      </c>
      <c r="E325" t="s">
        <v>56</v>
      </c>
      <c r="F325" t="str">
        <f>TEXT(WEEKNUM(tblData[[#This Row],[Rental Date]]),"00")</f>
        <v>15</v>
      </c>
      <c r="G325" s="1">
        <f>EOMONTH(tblData[[#This Row],[Rental Date]],0)</f>
        <v>46142</v>
      </c>
      <c r="H325" t="s">
        <v>204</v>
      </c>
      <c r="I325" t="s">
        <v>48</v>
      </c>
      <c r="J325" t="s">
        <v>78</v>
      </c>
      <c r="K325" t="s">
        <v>25</v>
      </c>
      <c r="L325">
        <v>1</v>
      </c>
      <c r="M325" s="2">
        <v>45.36</v>
      </c>
      <c r="N325" t="s">
        <v>89</v>
      </c>
      <c r="O325" s="3">
        <v>6</v>
      </c>
      <c r="P325" s="3">
        <v>0</v>
      </c>
      <c r="Q325" s="2">
        <v>51.36</v>
      </c>
      <c r="R325" t="s">
        <v>27</v>
      </c>
      <c r="S325" t="s">
        <v>54</v>
      </c>
      <c r="T325" t="s">
        <v>29</v>
      </c>
      <c r="U325" t="s">
        <v>58</v>
      </c>
    </row>
    <row r="326" spans="1:21" x14ac:dyDescent="0.35">
      <c r="A326" t="s">
        <v>403</v>
      </c>
      <c r="B326" s="1">
        <v>46123</v>
      </c>
      <c r="C326" t="str">
        <f>TEXT(tblData[[#This Row],[Rental Date]],"mmm")</f>
        <v>Apr</v>
      </c>
      <c r="D326" t="str">
        <f>TEXT(tblData[[#This Row],[Rental Date]],"mmmm")</f>
        <v>April</v>
      </c>
      <c r="E326" t="s">
        <v>56</v>
      </c>
      <c r="F326" t="str">
        <f>TEXT(WEEKNUM(tblData[[#This Row],[Rental Date]]),"00")</f>
        <v>15</v>
      </c>
      <c r="G326" s="1">
        <f>EOMONTH(tblData[[#This Row],[Rental Date]],0)</f>
        <v>46142</v>
      </c>
      <c r="H326" t="s">
        <v>204</v>
      </c>
      <c r="I326" t="s">
        <v>23</v>
      </c>
      <c r="J326" t="s">
        <v>24</v>
      </c>
      <c r="K326" t="s">
        <v>60</v>
      </c>
      <c r="L326">
        <v>1</v>
      </c>
      <c r="M326" s="2">
        <v>34.56</v>
      </c>
      <c r="N326" t="s">
        <v>26</v>
      </c>
      <c r="O326" s="3">
        <v>0</v>
      </c>
      <c r="P326" s="3">
        <v>0</v>
      </c>
      <c r="Q326" s="2">
        <v>34.56</v>
      </c>
      <c r="R326" t="s">
        <v>45</v>
      </c>
      <c r="S326" t="s">
        <v>35</v>
      </c>
      <c r="T326" t="s">
        <v>29</v>
      </c>
      <c r="U326" t="s">
        <v>30</v>
      </c>
    </row>
    <row r="327" spans="1:21" x14ac:dyDescent="0.35">
      <c r="A327" t="s">
        <v>404</v>
      </c>
      <c r="B327" s="1">
        <v>46123</v>
      </c>
      <c r="C327" t="str">
        <f>TEXT(tblData[[#This Row],[Rental Date]],"mmm")</f>
        <v>Apr</v>
      </c>
      <c r="D327" t="str">
        <f>TEXT(tblData[[#This Row],[Rental Date]],"mmmm")</f>
        <v>April</v>
      </c>
      <c r="E327" t="s">
        <v>56</v>
      </c>
      <c r="F327" t="str">
        <f>TEXT(WEEKNUM(tblData[[#This Row],[Rental Date]]),"00")</f>
        <v>15</v>
      </c>
      <c r="G327" s="1">
        <f>EOMONTH(tblData[[#This Row],[Rental Date]],0)</f>
        <v>46142</v>
      </c>
      <c r="H327" t="s">
        <v>204</v>
      </c>
      <c r="I327" t="s">
        <v>48</v>
      </c>
      <c r="J327" t="s">
        <v>127</v>
      </c>
      <c r="K327" t="s">
        <v>25</v>
      </c>
      <c r="L327">
        <v>1</v>
      </c>
      <c r="M327" s="2">
        <v>17.28</v>
      </c>
      <c r="N327" t="s">
        <v>89</v>
      </c>
      <c r="O327" s="3">
        <v>6</v>
      </c>
      <c r="P327" s="3">
        <v>0</v>
      </c>
      <c r="Q327" s="2">
        <v>23.28</v>
      </c>
      <c r="R327" t="s">
        <v>57</v>
      </c>
      <c r="S327" t="s">
        <v>46</v>
      </c>
      <c r="T327" t="s">
        <v>29</v>
      </c>
      <c r="U327" t="s">
        <v>30</v>
      </c>
    </row>
    <row r="328" spans="1:21" x14ac:dyDescent="0.35">
      <c r="A328" t="s">
        <v>405</v>
      </c>
      <c r="B328" s="1">
        <v>46124</v>
      </c>
      <c r="C328" t="str">
        <f>TEXT(tblData[[#This Row],[Rental Date]],"mmm")</f>
        <v>Apr</v>
      </c>
      <c r="D328" t="str">
        <f>TEXT(tblData[[#This Row],[Rental Date]],"mmmm")</f>
        <v>April</v>
      </c>
      <c r="E328" t="s">
        <v>68</v>
      </c>
      <c r="F328" t="str">
        <f>TEXT(WEEKNUM(tblData[[#This Row],[Rental Date]]),"00")</f>
        <v>16</v>
      </c>
      <c r="G328" s="1">
        <f>EOMONTH(tblData[[#This Row],[Rental Date]],0)</f>
        <v>46142</v>
      </c>
      <c r="H328" t="s">
        <v>204</v>
      </c>
      <c r="I328" t="s">
        <v>39</v>
      </c>
      <c r="J328" t="s">
        <v>127</v>
      </c>
      <c r="K328" t="s">
        <v>25</v>
      </c>
      <c r="L328">
        <v>1</v>
      </c>
      <c r="M328" s="2">
        <v>17.28</v>
      </c>
      <c r="N328" t="s">
        <v>26</v>
      </c>
      <c r="O328" s="3">
        <v>0</v>
      </c>
      <c r="P328" s="3">
        <v>0</v>
      </c>
      <c r="Q328" s="2">
        <v>17.28</v>
      </c>
      <c r="R328" t="s">
        <v>76</v>
      </c>
      <c r="S328" t="s">
        <v>28</v>
      </c>
      <c r="T328" t="s">
        <v>83</v>
      </c>
      <c r="U328" t="s">
        <v>30</v>
      </c>
    </row>
    <row r="329" spans="1:21" x14ac:dyDescent="0.35">
      <c r="A329" t="s">
        <v>406</v>
      </c>
      <c r="B329" s="1">
        <v>46124</v>
      </c>
      <c r="C329" t="str">
        <f>TEXT(tblData[[#This Row],[Rental Date]],"mmm")</f>
        <v>Apr</v>
      </c>
      <c r="D329" t="str">
        <f>TEXT(tblData[[#This Row],[Rental Date]],"mmmm")</f>
        <v>April</v>
      </c>
      <c r="E329" t="s">
        <v>68</v>
      </c>
      <c r="F329" t="str">
        <f>TEXT(WEEKNUM(tblData[[#This Row],[Rental Date]]),"00")</f>
        <v>16</v>
      </c>
      <c r="G329" s="1">
        <f>EOMONTH(tblData[[#This Row],[Rental Date]],0)</f>
        <v>46142</v>
      </c>
      <c r="H329" t="s">
        <v>204</v>
      </c>
      <c r="I329" t="s">
        <v>39</v>
      </c>
      <c r="J329" t="s">
        <v>78</v>
      </c>
      <c r="K329" t="s">
        <v>92</v>
      </c>
      <c r="L329">
        <v>1</v>
      </c>
      <c r="M329" s="2">
        <v>95.04</v>
      </c>
      <c r="N329" t="s">
        <v>26</v>
      </c>
      <c r="O329" s="3">
        <v>0</v>
      </c>
      <c r="P329" s="3">
        <v>4.75</v>
      </c>
      <c r="Q329" s="2">
        <v>90.29</v>
      </c>
      <c r="R329" t="s">
        <v>66</v>
      </c>
      <c r="S329" t="s">
        <v>46</v>
      </c>
      <c r="T329" t="s">
        <v>90</v>
      </c>
      <c r="U329" t="s">
        <v>79</v>
      </c>
    </row>
    <row r="330" spans="1:21" x14ac:dyDescent="0.35">
      <c r="A330" t="s">
        <v>407</v>
      </c>
      <c r="B330" s="1">
        <v>46124</v>
      </c>
      <c r="C330" t="str">
        <f>TEXT(tblData[[#This Row],[Rental Date]],"mmm")</f>
        <v>Apr</v>
      </c>
      <c r="D330" t="str">
        <f>TEXT(tblData[[#This Row],[Rental Date]],"mmmm")</f>
        <v>April</v>
      </c>
      <c r="E330" t="s">
        <v>68</v>
      </c>
      <c r="F330" t="str">
        <f>TEXT(WEEKNUM(tblData[[#This Row],[Rental Date]]),"00")</f>
        <v>16</v>
      </c>
      <c r="G330" s="1">
        <f>EOMONTH(tblData[[#This Row],[Rental Date]],0)</f>
        <v>46142</v>
      </c>
      <c r="H330" t="s">
        <v>204</v>
      </c>
      <c r="I330" t="s">
        <v>39</v>
      </c>
      <c r="J330" t="s">
        <v>33</v>
      </c>
      <c r="K330" t="s">
        <v>92</v>
      </c>
      <c r="L330">
        <v>1</v>
      </c>
      <c r="M330" s="2">
        <v>90.72</v>
      </c>
      <c r="N330" t="s">
        <v>89</v>
      </c>
      <c r="O330" s="3">
        <v>6</v>
      </c>
      <c r="P330" s="3">
        <v>0</v>
      </c>
      <c r="Q330" s="2">
        <v>96.72</v>
      </c>
      <c r="R330" t="s">
        <v>45</v>
      </c>
      <c r="S330" t="s">
        <v>28</v>
      </c>
      <c r="T330" t="s">
        <v>90</v>
      </c>
      <c r="U330" t="s">
        <v>58</v>
      </c>
    </row>
    <row r="331" spans="1:21" x14ac:dyDescent="0.35">
      <c r="A331" t="s">
        <v>408</v>
      </c>
      <c r="B331" s="1">
        <v>46124</v>
      </c>
      <c r="C331" t="str">
        <f>TEXT(tblData[[#This Row],[Rental Date]],"mmm")</f>
        <v>Apr</v>
      </c>
      <c r="D331" t="str">
        <f>TEXT(tblData[[#This Row],[Rental Date]],"mmmm")</f>
        <v>April</v>
      </c>
      <c r="E331" t="s">
        <v>68</v>
      </c>
      <c r="F331" t="str">
        <f>TEXT(WEEKNUM(tblData[[#This Row],[Rental Date]]),"00")</f>
        <v>16</v>
      </c>
      <c r="G331" s="1">
        <f>EOMONTH(tblData[[#This Row],[Rental Date]],0)</f>
        <v>46142</v>
      </c>
      <c r="H331" t="s">
        <v>204</v>
      </c>
      <c r="I331" t="s">
        <v>23</v>
      </c>
      <c r="J331" t="s">
        <v>127</v>
      </c>
      <c r="K331" t="s">
        <v>25</v>
      </c>
      <c r="L331">
        <v>1</v>
      </c>
      <c r="M331" s="2">
        <v>17.28</v>
      </c>
      <c r="N331" t="s">
        <v>41</v>
      </c>
      <c r="O331" s="3">
        <v>5</v>
      </c>
      <c r="P331" s="3">
        <v>0</v>
      </c>
      <c r="Q331" s="2">
        <v>22.28</v>
      </c>
      <c r="R331" t="s">
        <v>94</v>
      </c>
      <c r="S331" t="s">
        <v>35</v>
      </c>
      <c r="T331" t="s">
        <v>63</v>
      </c>
      <c r="U331" t="s">
        <v>79</v>
      </c>
    </row>
    <row r="332" spans="1:21" x14ac:dyDescent="0.35">
      <c r="A332" t="s">
        <v>409</v>
      </c>
      <c r="B332" s="1">
        <v>46124</v>
      </c>
      <c r="C332" t="str">
        <f>TEXT(tblData[[#This Row],[Rental Date]],"mmm")</f>
        <v>Apr</v>
      </c>
      <c r="D332" t="str">
        <f>TEXT(tblData[[#This Row],[Rental Date]],"mmmm")</f>
        <v>April</v>
      </c>
      <c r="E332" t="s">
        <v>68</v>
      </c>
      <c r="F332" t="str">
        <f>TEXT(WEEKNUM(tblData[[#This Row],[Rental Date]]),"00")</f>
        <v>16</v>
      </c>
      <c r="G332" s="1">
        <f>EOMONTH(tblData[[#This Row],[Rental Date]],0)</f>
        <v>46142</v>
      </c>
      <c r="H332" t="s">
        <v>204</v>
      </c>
      <c r="I332" t="s">
        <v>48</v>
      </c>
      <c r="J332" t="s">
        <v>33</v>
      </c>
      <c r="K332" t="s">
        <v>25</v>
      </c>
      <c r="L332">
        <v>1</v>
      </c>
      <c r="M332" s="2">
        <v>41.04</v>
      </c>
      <c r="N332" t="s">
        <v>26</v>
      </c>
      <c r="O332" s="3">
        <v>0</v>
      </c>
      <c r="P332" s="3">
        <v>0</v>
      </c>
      <c r="Q332" s="2">
        <v>41.04</v>
      </c>
      <c r="R332" t="s">
        <v>42</v>
      </c>
      <c r="S332" t="s">
        <v>35</v>
      </c>
      <c r="T332" t="s">
        <v>29</v>
      </c>
      <c r="U332" t="s">
        <v>58</v>
      </c>
    </row>
    <row r="333" spans="1:21" x14ac:dyDescent="0.35">
      <c r="A333" t="s">
        <v>410</v>
      </c>
      <c r="B333" s="1">
        <v>46124</v>
      </c>
      <c r="C333" t="str">
        <f>TEXT(tblData[[#This Row],[Rental Date]],"mmm")</f>
        <v>Apr</v>
      </c>
      <c r="D333" t="str">
        <f>TEXT(tblData[[#This Row],[Rental Date]],"mmmm")</f>
        <v>April</v>
      </c>
      <c r="E333" t="s">
        <v>68</v>
      </c>
      <c r="F333" t="str">
        <f>TEXT(WEEKNUM(tblData[[#This Row],[Rental Date]]),"00")</f>
        <v>16</v>
      </c>
      <c r="G333" s="1">
        <f>EOMONTH(tblData[[#This Row],[Rental Date]],0)</f>
        <v>46142</v>
      </c>
      <c r="H333" t="s">
        <v>204</v>
      </c>
      <c r="I333" t="s">
        <v>23</v>
      </c>
      <c r="J333" t="s">
        <v>44</v>
      </c>
      <c r="K333" t="s">
        <v>25</v>
      </c>
      <c r="L333">
        <v>1</v>
      </c>
      <c r="M333" s="2">
        <v>56.16</v>
      </c>
      <c r="N333" t="s">
        <v>61</v>
      </c>
      <c r="O333" s="3">
        <v>8</v>
      </c>
      <c r="P333" s="3">
        <v>0</v>
      </c>
      <c r="Q333" s="2">
        <v>64.16</v>
      </c>
      <c r="R333" t="s">
        <v>62</v>
      </c>
      <c r="S333" t="s">
        <v>54</v>
      </c>
      <c r="T333" t="s">
        <v>51</v>
      </c>
      <c r="U333" t="s">
        <v>36</v>
      </c>
    </row>
    <row r="334" spans="1:21" x14ac:dyDescent="0.35">
      <c r="A334" t="s">
        <v>411</v>
      </c>
      <c r="B334" s="1">
        <v>46125</v>
      </c>
      <c r="C334" t="str">
        <f>TEXT(tblData[[#This Row],[Rental Date]],"mmm")</f>
        <v>Apr</v>
      </c>
      <c r="D334" t="str">
        <f>TEXT(tblData[[#This Row],[Rental Date]],"mmmm")</f>
        <v>April</v>
      </c>
      <c r="E334" t="s">
        <v>74</v>
      </c>
      <c r="F334" t="str">
        <f>TEXT(WEEKNUM(tblData[[#This Row],[Rental Date]]),"00")</f>
        <v>16</v>
      </c>
      <c r="G334" s="1">
        <f>EOMONTH(tblData[[#This Row],[Rental Date]],0)</f>
        <v>46142</v>
      </c>
      <c r="H334" t="s">
        <v>204</v>
      </c>
      <c r="I334" t="s">
        <v>39</v>
      </c>
      <c r="J334" t="s">
        <v>127</v>
      </c>
      <c r="K334" t="s">
        <v>25</v>
      </c>
      <c r="L334">
        <v>1</v>
      </c>
      <c r="M334" s="2">
        <v>16</v>
      </c>
      <c r="N334" t="s">
        <v>89</v>
      </c>
      <c r="O334" s="3">
        <v>6</v>
      </c>
      <c r="P334" s="3">
        <v>0</v>
      </c>
      <c r="Q334" s="2">
        <v>22</v>
      </c>
      <c r="R334" t="s">
        <v>62</v>
      </c>
      <c r="S334" t="s">
        <v>28</v>
      </c>
      <c r="T334" t="s">
        <v>29</v>
      </c>
      <c r="U334" t="s">
        <v>58</v>
      </c>
    </row>
    <row r="335" spans="1:21" x14ac:dyDescent="0.35">
      <c r="A335" t="s">
        <v>412</v>
      </c>
      <c r="B335" s="1">
        <v>46125</v>
      </c>
      <c r="C335" t="str">
        <f>TEXT(tblData[[#This Row],[Rental Date]],"mmm")</f>
        <v>Apr</v>
      </c>
      <c r="D335" t="str">
        <f>TEXT(tblData[[#This Row],[Rental Date]],"mmmm")</f>
        <v>April</v>
      </c>
      <c r="E335" t="s">
        <v>74</v>
      </c>
      <c r="F335" t="str">
        <f>TEXT(WEEKNUM(tblData[[#This Row],[Rental Date]]),"00")</f>
        <v>16</v>
      </c>
      <c r="G335" s="1">
        <f>EOMONTH(tblData[[#This Row],[Rental Date]],0)</f>
        <v>46142</v>
      </c>
      <c r="H335" t="s">
        <v>204</v>
      </c>
      <c r="I335" t="s">
        <v>48</v>
      </c>
      <c r="J335" t="s">
        <v>78</v>
      </c>
      <c r="K335" t="s">
        <v>25</v>
      </c>
      <c r="L335">
        <v>1</v>
      </c>
      <c r="M335" s="2">
        <v>42</v>
      </c>
      <c r="N335" t="s">
        <v>26</v>
      </c>
      <c r="O335" s="3">
        <v>0</v>
      </c>
      <c r="P335" s="3">
        <v>0</v>
      </c>
      <c r="Q335" s="2">
        <v>42</v>
      </c>
      <c r="R335" t="s">
        <v>42</v>
      </c>
      <c r="S335" t="s">
        <v>50</v>
      </c>
      <c r="T335" t="s">
        <v>29</v>
      </c>
      <c r="U335" t="s">
        <v>58</v>
      </c>
    </row>
    <row r="336" spans="1:21" x14ac:dyDescent="0.35">
      <c r="A336" t="s">
        <v>413</v>
      </c>
      <c r="B336" s="1">
        <v>46125</v>
      </c>
      <c r="C336" t="str">
        <f>TEXT(tblData[[#This Row],[Rental Date]],"mmm")</f>
        <v>Apr</v>
      </c>
      <c r="D336" t="str">
        <f>TEXT(tblData[[#This Row],[Rental Date]],"mmmm")</f>
        <v>April</v>
      </c>
      <c r="E336" t="s">
        <v>74</v>
      </c>
      <c r="F336" t="str">
        <f>TEXT(WEEKNUM(tblData[[#This Row],[Rental Date]]),"00")</f>
        <v>16</v>
      </c>
      <c r="G336" s="1">
        <f>EOMONTH(tblData[[#This Row],[Rental Date]],0)</f>
        <v>46142</v>
      </c>
      <c r="H336" t="s">
        <v>204</v>
      </c>
      <c r="I336" t="s">
        <v>23</v>
      </c>
      <c r="J336" t="s">
        <v>78</v>
      </c>
      <c r="K336" t="s">
        <v>92</v>
      </c>
      <c r="L336">
        <v>1</v>
      </c>
      <c r="M336" s="2">
        <v>88</v>
      </c>
      <c r="N336" t="s">
        <v>26</v>
      </c>
      <c r="O336" s="3">
        <v>0</v>
      </c>
      <c r="P336" s="3">
        <v>0</v>
      </c>
      <c r="Q336" s="2">
        <v>88</v>
      </c>
      <c r="R336" t="s">
        <v>66</v>
      </c>
      <c r="S336" t="s">
        <v>54</v>
      </c>
      <c r="T336" t="s">
        <v>63</v>
      </c>
      <c r="U336" t="s">
        <v>30</v>
      </c>
    </row>
    <row r="337" spans="1:21" x14ac:dyDescent="0.35">
      <c r="A337" t="s">
        <v>414</v>
      </c>
      <c r="B337" s="1">
        <v>46125</v>
      </c>
      <c r="C337" t="str">
        <f>TEXT(tblData[[#This Row],[Rental Date]],"mmm")</f>
        <v>Apr</v>
      </c>
      <c r="D337" t="str">
        <f>TEXT(tblData[[#This Row],[Rental Date]],"mmmm")</f>
        <v>April</v>
      </c>
      <c r="E337" t="s">
        <v>74</v>
      </c>
      <c r="F337" t="str">
        <f>TEXT(WEEKNUM(tblData[[#This Row],[Rental Date]]),"00")</f>
        <v>16</v>
      </c>
      <c r="G337" s="1">
        <f>EOMONTH(tblData[[#This Row],[Rental Date]],0)</f>
        <v>46142</v>
      </c>
      <c r="H337" t="s">
        <v>204</v>
      </c>
      <c r="I337" t="s">
        <v>48</v>
      </c>
      <c r="J337" t="s">
        <v>86</v>
      </c>
      <c r="K337" t="s">
        <v>25</v>
      </c>
      <c r="L337">
        <v>1</v>
      </c>
      <c r="M337" s="2">
        <v>58</v>
      </c>
      <c r="N337" t="s">
        <v>26</v>
      </c>
      <c r="O337" s="3">
        <v>0</v>
      </c>
      <c r="P337" s="3">
        <v>0</v>
      </c>
      <c r="Q337" s="2">
        <v>58</v>
      </c>
      <c r="R337" t="s">
        <v>42</v>
      </c>
      <c r="S337" t="s">
        <v>28</v>
      </c>
      <c r="T337" t="s">
        <v>29</v>
      </c>
      <c r="U337" t="s">
        <v>36</v>
      </c>
    </row>
    <row r="338" spans="1:21" x14ac:dyDescent="0.35">
      <c r="A338" t="s">
        <v>415</v>
      </c>
      <c r="B338" s="1">
        <v>46125</v>
      </c>
      <c r="C338" t="str">
        <f>TEXT(tblData[[#This Row],[Rental Date]],"mmm")</f>
        <v>Apr</v>
      </c>
      <c r="D338" t="str">
        <f>TEXT(tblData[[#This Row],[Rental Date]],"mmmm")</f>
        <v>April</v>
      </c>
      <c r="E338" t="s">
        <v>74</v>
      </c>
      <c r="F338" t="str">
        <f>TEXT(WEEKNUM(tblData[[#This Row],[Rental Date]]),"00")</f>
        <v>16</v>
      </c>
      <c r="G338" s="1">
        <f>EOMONTH(tblData[[#This Row],[Rental Date]],0)</f>
        <v>46142</v>
      </c>
      <c r="H338" t="s">
        <v>204</v>
      </c>
      <c r="I338" t="s">
        <v>39</v>
      </c>
      <c r="J338" t="s">
        <v>65</v>
      </c>
      <c r="K338" t="s">
        <v>60</v>
      </c>
      <c r="L338">
        <v>1</v>
      </c>
      <c r="M338" s="2">
        <v>12</v>
      </c>
      <c r="N338" t="s">
        <v>75</v>
      </c>
      <c r="O338" s="3">
        <v>12</v>
      </c>
      <c r="P338" s="3">
        <v>0</v>
      </c>
      <c r="Q338" s="2">
        <v>24</v>
      </c>
      <c r="R338" t="s">
        <v>34</v>
      </c>
      <c r="S338" t="s">
        <v>50</v>
      </c>
      <c r="T338" t="s">
        <v>63</v>
      </c>
      <c r="U338" t="s">
        <v>30</v>
      </c>
    </row>
    <row r="339" spans="1:21" x14ac:dyDescent="0.35">
      <c r="A339" t="s">
        <v>416</v>
      </c>
      <c r="B339" s="1">
        <v>46125</v>
      </c>
      <c r="C339" t="str">
        <f>TEXT(tblData[[#This Row],[Rental Date]],"mmm")</f>
        <v>Apr</v>
      </c>
      <c r="D339" t="str">
        <f>TEXT(tblData[[#This Row],[Rental Date]],"mmmm")</f>
        <v>April</v>
      </c>
      <c r="E339" t="s">
        <v>74</v>
      </c>
      <c r="F339" t="str">
        <f>TEXT(WEEKNUM(tblData[[#This Row],[Rental Date]]),"00")</f>
        <v>16</v>
      </c>
      <c r="G339" s="1">
        <f>EOMONTH(tblData[[#This Row],[Rental Date]],0)</f>
        <v>46142</v>
      </c>
      <c r="H339" t="s">
        <v>204</v>
      </c>
      <c r="I339" t="s">
        <v>39</v>
      </c>
      <c r="J339" t="s">
        <v>44</v>
      </c>
      <c r="K339" t="s">
        <v>25</v>
      </c>
      <c r="L339">
        <v>1</v>
      </c>
      <c r="M339" s="2">
        <v>52</v>
      </c>
      <c r="N339" t="s">
        <v>26</v>
      </c>
      <c r="O339" s="3">
        <v>0</v>
      </c>
      <c r="P339" s="3">
        <v>0</v>
      </c>
      <c r="Q339" s="2">
        <v>52</v>
      </c>
      <c r="R339" t="s">
        <v>27</v>
      </c>
      <c r="S339" t="s">
        <v>28</v>
      </c>
      <c r="T339" t="s">
        <v>51</v>
      </c>
      <c r="U339" t="s">
        <v>58</v>
      </c>
    </row>
    <row r="340" spans="1:21" x14ac:dyDescent="0.35">
      <c r="A340" t="s">
        <v>417</v>
      </c>
      <c r="B340" s="1">
        <v>46126</v>
      </c>
      <c r="C340" t="str">
        <f>TEXT(tblData[[#This Row],[Rental Date]],"mmm")</f>
        <v>Apr</v>
      </c>
      <c r="D340" t="str">
        <f>TEXT(tblData[[#This Row],[Rental Date]],"mmmm")</f>
        <v>April</v>
      </c>
      <c r="E340" t="s">
        <v>102</v>
      </c>
      <c r="F340" t="str">
        <f>TEXT(WEEKNUM(tblData[[#This Row],[Rental Date]]),"00")</f>
        <v>16</v>
      </c>
      <c r="G340" s="1">
        <f>EOMONTH(tblData[[#This Row],[Rental Date]],0)</f>
        <v>46142</v>
      </c>
      <c r="H340" t="s">
        <v>204</v>
      </c>
      <c r="I340" t="s">
        <v>48</v>
      </c>
      <c r="J340" t="s">
        <v>44</v>
      </c>
      <c r="K340" t="s">
        <v>40</v>
      </c>
      <c r="L340">
        <v>1</v>
      </c>
      <c r="M340" s="2">
        <v>78</v>
      </c>
      <c r="N340" t="s">
        <v>26</v>
      </c>
      <c r="O340" s="3">
        <v>0</v>
      </c>
      <c r="P340" s="3">
        <v>0</v>
      </c>
      <c r="Q340" s="2">
        <v>78</v>
      </c>
      <c r="R340" t="s">
        <v>76</v>
      </c>
      <c r="S340" t="s">
        <v>35</v>
      </c>
      <c r="T340" t="s">
        <v>51</v>
      </c>
      <c r="U340" t="s">
        <v>79</v>
      </c>
    </row>
    <row r="341" spans="1:21" x14ac:dyDescent="0.35">
      <c r="A341" t="s">
        <v>418</v>
      </c>
      <c r="B341" s="1">
        <v>46126</v>
      </c>
      <c r="C341" t="str">
        <f>TEXT(tblData[[#This Row],[Rental Date]],"mmm")</f>
        <v>Apr</v>
      </c>
      <c r="D341" t="str">
        <f>TEXT(tblData[[#This Row],[Rental Date]],"mmmm")</f>
        <v>April</v>
      </c>
      <c r="E341" t="s">
        <v>102</v>
      </c>
      <c r="F341" t="str">
        <f>TEXT(WEEKNUM(tblData[[#This Row],[Rental Date]]),"00")</f>
        <v>16</v>
      </c>
      <c r="G341" s="1">
        <f>EOMONTH(tblData[[#This Row],[Rental Date]],0)</f>
        <v>46142</v>
      </c>
      <c r="H341" t="s">
        <v>204</v>
      </c>
      <c r="I341" t="s">
        <v>23</v>
      </c>
      <c r="J341" t="s">
        <v>78</v>
      </c>
      <c r="K341" t="s">
        <v>25</v>
      </c>
      <c r="L341">
        <v>1</v>
      </c>
      <c r="M341" s="2">
        <v>42</v>
      </c>
      <c r="N341" t="s">
        <v>26</v>
      </c>
      <c r="O341" s="3">
        <v>0</v>
      </c>
      <c r="P341" s="3">
        <v>0</v>
      </c>
      <c r="Q341" s="2">
        <v>42</v>
      </c>
      <c r="R341" t="s">
        <v>45</v>
      </c>
      <c r="S341" t="s">
        <v>35</v>
      </c>
      <c r="T341" t="s">
        <v>51</v>
      </c>
      <c r="U341" t="s">
        <v>30</v>
      </c>
    </row>
    <row r="342" spans="1:21" x14ac:dyDescent="0.35">
      <c r="A342" t="s">
        <v>419</v>
      </c>
      <c r="B342" s="1">
        <v>46126</v>
      </c>
      <c r="C342" t="str">
        <f>TEXT(tblData[[#This Row],[Rental Date]],"mmm")</f>
        <v>Apr</v>
      </c>
      <c r="D342" t="str">
        <f>TEXT(tblData[[#This Row],[Rental Date]],"mmmm")</f>
        <v>April</v>
      </c>
      <c r="E342" t="s">
        <v>102</v>
      </c>
      <c r="F342" t="str">
        <f>TEXT(WEEKNUM(tblData[[#This Row],[Rental Date]]),"00")</f>
        <v>16</v>
      </c>
      <c r="G342" s="1">
        <f>EOMONTH(tblData[[#This Row],[Rental Date]],0)</f>
        <v>46142</v>
      </c>
      <c r="H342" t="s">
        <v>204</v>
      </c>
      <c r="I342" t="s">
        <v>48</v>
      </c>
      <c r="J342" t="s">
        <v>78</v>
      </c>
      <c r="K342" t="s">
        <v>25</v>
      </c>
      <c r="L342">
        <v>1</v>
      </c>
      <c r="M342" s="2">
        <v>42</v>
      </c>
      <c r="N342" t="s">
        <v>41</v>
      </c>
      <c r="O342" s="3">
        <v>5</v>
      </c>
      <c r="P342" s="3">
        <v>0</v>
      </c>
      <c r="Q342" s="2">
        <v>47</v>
      </c>
      <c r="R342" t="s">
        <v>27</v>
      </c>
      <c r="S342" t="s">
        <v>28</v>
      </c>
      <c r="T342" t="s">
        <v>51</v>
      </c>
      <c r="U342" t="s">
        <v>58</v>
      </c>
    </row>
    <row r="343" spans="1:21" x14ac:dyDescent="0.35">
      <c r="A343" t="s">
        <v>420</v>
      </c>
      <c r="B343" s="1">
        <v>46126</v>
      </c>
      <c r="C343" t="str">
        <f>TEXT(tblData[[#This Row],[Rental Date]],"mmm")</f>
        <v>Apr</v>
      </c>
      <c r="D343" t="str">
        <f>TEXT(tblData[[#This Row],[Rental Date]],"mmmm")</f>
        <v>April</v>
      </c>
      <c r="E343" t="s">
        <v>102</v>
      </c>
      <c r="F343" t="str">
        <f>TEXT(WEEKNUM(tblData[[#This Row],[Rental Date]]),"00")</f>
        <v>16</v>
      </c>
      <c r="G343" s="1">
        <f>EOMONTH(tblData[[#This Row],[Rental Date]],0)</f>
        <v>46142</v>
      </c>
      <c r="H343" t="s">
        <v>204</v>
      </c>
      <c r="I343" t="s">
        <v>48</v>
      </c>
      <c r="J343" t="s">
        <v>86</v>
      </c>
      <c r="K343" t="s">
        <v>60</v>
      </c>
      <c r="L343">
        <v>1</v>
      </c>
      <c r="M343" s="2">
        <v>36</v>
      </c>
      <c r="N343" t="s">
        <v>26</v>
      </c>
      <c r="O343" s="3">
        <v>0</v>
      </c>
      <c r="P343" s="3">
        <v>0</v>
      </c>
      <c r="Q343" s="2">
        <v>36</v>
      </c>
      <c r="R343" t="s">
        <v>57</v>
      </c>
      <c r="S343" t="s">
        <v>46</v>
      </c>
      <c r="T343" t="s">
        <v>29</v>
      </c>
      <c r="U343" t="s">
        <v>30</v>
      </c>
    </row>
    <row r="344" spans="1:21" x14ac:dyDescent="0.35">
      <c r="A344" t="s">
        <v>421</v>
      </c>
      <c r="B344" s="1">
        <v>46126</v>
      </c>
      <c r="C344" t="str">
        <f>TEXT(tblData[[#This Row],[Rental Date]],"mmm")</f>
        <v>Apr</v>
      </c>
      <c r="D344" t="str">
        <f>TEXT(tblData[[#This Row],[Rental Date]],"mmmm")</f>
        <v>April</v>
      </c>
      <c r="E344" t="s">
        <v>102</v>
      </c>
      <c r="F344" t="str">
        <f>TEXT(WEEKNUM(tblData[[#This Row],[Rental Date]]),"00")</f>
        <v>16</v>
      </c>
      <c r="G344" s="1">
        <f>EOMONTH(tblData[[#This Row],[Rental Date]],0)</f>
        <v>46142</v>
      </c>
      <c r="H344" t="s">
        <v>204</v>
      </c>
      <c r="I344" t="s">
        <v>48</v>
      </c>
      <c r="J344" t="s">
        <v>111</v>
      </c>
      <c r="K344" t="s">
        <v>92</v>
      </c>
      <c r="L344">
        <v>1</v>
      </c>
      <c r="M344" s="2">
        <v>48</v>
      </c>
      <c r="N344" t="s">
        <v>26</v>
      </c>
      <c r="O344" s="3">
        <v>0</v>
      </c>
      <c r="P344" s="3">
        <v>0</v>
      </c>
      <c r="Q344" s="2">
        <v>48</v>
      </c>
      <c r="R344" t="s">
        <v>62</v>
      </c>
      <c r="S344" t="s">
        <v>46</v>
      </c>
      <c r="T344" t="s">
        <v>63</v>
      </c>
      <c r="U344" t="s">
        <v>30</v>
      </c>
    </row>
    <row r="345" spans="1:21" x14ac:dyDescent="0.35">
      <c r="A345" t="s">
        <v>422</v>
      </c>
      <c r="B345" s="1">
        <v>46126</v>
      </c>
      <c r="C345" t="str">
        <f>TEXT(tblData[[#This Row],[Rental Date]],"mmm")</f>
        <v>Apr</v>
      </c>
      <c r="D345" t="str">
        <f>TEXT(tblData[[#This Row],[Rental Date]],"mmmm")</f>
        <v>April</v>
      </c>
      <c r="E345" t="s">
        <v>102</v>
      </c>
      <c r="F345" t="str">
        <f>TEXT(WEEKNUM(tblData[[#This Row],[Rental Date]]),"00")</f>
        <v>16</v>
      </c>
      <c r="G345" s="1">
        <f>EOMONTH(tblData[[#This Row],[Rental Date]],0)</f>
        <v>46142</v>
      </c>
      <c r="H345" t="s">
        <v>204</v>
      </c>
      <c r="I345" t="s">
        <v>39</v>
      </c>
      <c r="J345" t="s">
        <v>33</v>
      </c>
      <c r="K345" t="s">
        <v>40</v>
      </c>
      <c r="L345">
        <v>1</v>
      </c>
      <c r="M345" s="2">
        <v>58</v>
      </c>
      <c r="N345" t="s">
        <v>87</v>
      </c>
      <c r="O345" s="3">
        <v>10</v>
      </c>
      <c r="P345" s="3">
        <v>0</v>
      </c>
      <c r="Q345" s="2">
        <v>68</v>
      </c>
      <c r="R345" t="s">
        <v>76</v>
      </c>
      <c r="S345" t="s">
        <v>28</v>
      </c>
      <c r="T345" t="s">
        <v>29</v>
      </c>
      <c r="U345" t="s">
        <v>58</v>
      </c>
    </row>
    <row r="346" spans="1:21" x14ac:dyDescent="0.35">
      <c r="A346" t="s">
        <v>423</v>
      </c>
      <c r="B346" s="1">
        <v>46127</v>
      </c>
      <c r="C346" t="str">
        <f>TEXT(tblData[[#This Row],[Rental Date]],"mmm")</f>
        <v>Apr</v>
      </c>
      <c r="D346" t="str">
        <f>TEXT(tblData[[#This Row],[Rental Date]],"mmmm")</f>
        <v>April</v>
      </c>
      <c r="E346" t="s">
        <v>109</v>
      </c>
      <c r="F346" t="str">
        <f>TEXT(WEEKNUM(tblData[[#This Row],[Rental Date]]),"00")</f>
        <v>16</v>
      </c>
      <c r="G346" s="1">
        <f>EOMONTH(tblData[[#This Row],[Rental Date]],0)</f>
        <v>46142</v>
      </c>
      <c r="H346" t="s">
        <v>204</v>
      </c>
      <c r="I346" t="s">
        <v>48</v>
      </c>
      <c r="J346" t="s">
        <v>78</v>
      </c>
      <c r="K346" t="s">
        <v>25</v>
      </c>
      <c r="L346">
        <v>1</v>
      </c>
      <c r="M346" s="2">
        <v>42</v>
      </c>
      <c r="N346" t="s">
        <v>26</v>
      </c>
      <c r="O346" s="3">
        <v>0</v>
      </c>
      <c r="P346" s="3">
        <v>0</v>
      </c>
      <c r="Q346" s="2">
        <v>42</v>
      </c>
      <c r="R346" t="s">
        <v>45</v>
      </c>
      <c r="S346" t="s">
        <v>54</v>
      </c>
      <c r="T346" t="s">
        <v>29</v>
      </c>
      <c r="U346" t="s">
        <v>79</v>
      </c>
    </row>
    <row r="347" spans="1:21" x14ac:dyDescent="0.35">
      <c r="A347" t="s">
        <v>424</v>
      </c>
      <c r="B347" s="1">
        <v>46127</v>
      </c>
      <c r="C347" t="str">
        <f>TEXT(tblData[[#This Row],[Rental Date]],"mmm")</f>
        <v>Apr</v>
      </c>
      <c r="D347" t="str">
        <f>TEXT(tblData[[#This Row],[Rental Date]],"mmmm")</f>
        <v>April</v>
      </c>
      <c r="E347" t="s">
        <v>109</v>
      </c>
      <c r="F347" t="str">
        <f>TEXT(WEEKNUM(tblData[[#This Row],[Rental Date]]),"00")</f>
        <v>16</v>
      </c>
      <c r="G347" s="1">
        <f>EOMONTH(tblData[[#This Row],[Rental Date]],0)</f>
        <v>46142</v>
      </c>
      <c r="H347" t="s">
        <v>204</v>
      </c>
      <c r="I347" t="s">
        <v>39</v>
      </c>
      <c r="J347" t="s">
        <v>33</v>
      </c>
      <c r="K347" t="s">
        <v>60</v>
      </c>
      <c r="L347">
        <v>1</v>
      </c>
      <c r="M347" s="2">
        <v>24</v>
      </c>
      <c r="N347" t="s">
        <v>87</v>
      </c>
      <c r="O347" s="3">
        <v>10</v>
      </c>
      <c r="P347" s="3">
        <v>0</v>
      </c>
      <c r="Q347" s="2">
        <v>34</v>
      </c>
      <c r="R347" t="s">
        <v>34</v>
      </c>
      <c r="S347" t="s">
        <v>50</v>
      </c>
      <c r="T347" t="s">
        <v>90</v>
      </c>
      <c r="U347" t="s">
        <v>58</v>
      </c>
    </row>
    <row r="348" spans="1:21" x14ac:dyDescent="0.35">
      <c r="A348" t="s">
        <v>425</v>
      </c>
      <c r="B348" s="1">
        <v>46128</v>
      </c>
      <c r="C348" t="str">
        <f>TEXT(tblData[[#This Row],[Rental Date]],"mmm")</f>
        <v>Apr</v>
      </c>
      <c r="D348" t="str">
        <f>TEXT(tblData[[#This Row],[Rental Date]],"mmmm")</f>
        <v>April</v>
      </c>
      <c r="E348" t="s">
        <v>21</v>
      </c>
      <c r="F348" t="str">
        <f>TEXT(WEEKNUM(tblData[[#This Row],[Rental Date]]),"00")</f>
        <v>16</v>
      </c>
      <c r="G348" s="1">
        <f>EOMONTH(tblData[[#This Row],[Rental Date]],0)</f>
        <v>46142</v>
      </c>
      <c r="H348" t="s">
        <v>204</v>
      </c>
      <c r="I348" t="s">
        <v>39</v>
      </c>
      <c r="J348" t="s">
        <v>65</v>
      </c>
      <c r="K348" t="s">
        <v>40</v>
      </c>
      <c r="L348">
        <v>1</v>
      </c>
      <c r="M348" s="2">
        <v>28</v>
      </c>
      <c r="N348" t="s">
        <v>75</v>
      </c>
      <c r="O348" s="3">
        <v>12</v>
      </c>
      <c r="P348" s="3">
        <v>0</v>
      </c>
      <c r="Q348" s="2">
        <v>40</v>
      </c>
      <c r="R348" t="s">
        <v>57</v>
      </c>
      <c r="S348" t="s">
        <v>35</v>
      </c>
      <c r="T348" t="s">
        <v>51</v>
      </c>
      <c r="U348" t="s">
        <v>30</v>
      </c>
    </row>
    <row r="349" spans="1:21" x14ac:dyDescent="0.35">
      <c r="A349" t="s">
        <v>426</v>
      </c>
      <c r="B349" s="1">
        <v>46128</v>
      </c>
      <c r="C349" t="str">
        <f>TEXT(tblData[[#This Row],[Rental Date]],"mmm")</f>
        <v>Apr</v>
      </c>
      <c r="D349" t="str">
        <f>TEXT(tblData[[#This Row],[Rental Date]],"mmmm")</f>
        <v>April</v>
      </c>
      <c r="E349" t="s">
        <v>21</v>
      </c>
      <c r="F349" t="str">
        <f>TEXT(WEEKNUM(tblData[[#This Row],[Rental Date]]),"00")</f>
        <v>16</v>
      </c>
      <c r="G349" s="1">
        <f>EOMONTH(tblData[[#This Row],[Rental Date]],0)</f>
        <v>46142</v>
      </c>
      <c r="H349" t="s">
        <v>204</v>
      </c>
      <c r="I349" t="s">
        <v>32</v>
      </c>
      <c r="J349" t="s">
        <v>78</v>
      </c>
      <c r="K349" t="s">
        <v>40</v>
      </c>
      <c r="L349">
        <v>1</v>
      </c>
      <c r="M349" s="2">
        <v>62</v>
      </c>
      <c r="N349" t="s">
        <v>89</v>
      </c>
      <c r="O349" s="3">
        <v>6</v>
      </c>
      <c r="P349" s="3">
        <v>3.4</v>
      </c>
      <c r="Q349" s="2">
        <v>64.599999999999994</v>
      </c>
      <c r="R349" t="s">
        <v>57</v>
      </c>
      <c r="S349" t="s">
        <v>28</v>
      </c>
      <c r="T349" t="s">
        <v>29</v>
      </c>
      <c r="U349" t="s">
        <v>79</v>
      </c>
    </row>
    <row r="350" spans="1:21" x14ac:dyDescent="0.35">
      <c r="A350" t="s">
        <v>427</v>
      </c>
      <c r="B350" s="1">
        <v>46128</v>
      </c>
      <c r="C350" t="str">
        <f>TEXT(tblData[[#This Row],[Rental Date]],"mmm")</f>
        <v>Apr</v>
      </c>
      <c r="D350" t="str">
        <f>TEXT(tblData[[#This Row],[Rental Date]],"mmmm")</f>
        <v>April</v>
      </c>
      <c r="E350" t="s">
        <v>21</v>
      </c>
      <c r="F350" t="str">
        <f>TEXT(WEEKNUM(tblData[[#This Row],[Rental Date]]),"00")</f>
        <v>16</v>
      </c>
      <c r="G350" s="1">
        <f>EOMONTH(tblData[[#This Row],[Rental Date]],0)</f>
        <v>46142</v>
      </c>
      <c r="H350" t="s">
        <v>204</v>
      </c>
      <c r="I350" t="s">
        <v>48</v>
      </c>
      <c r="J350" t="s">
        <v>44</v>
      </c>
      <c r="K350" t="s">
        <v>40</v>
      </c>
      <c r="L350">
        <v>1</v>
      </c>
      <c r="M350" s="2">
        <v>78</v>
      </c>
      <c r="N350" t="s">
        <v>26</v>
      </c>
      <c r="O350" s="3">
        <v>0</v>
      </c>
      <c r="P350" s="3">
        <v>0</v>
      </c>
      <c r="Q350" s="2">
        <v>78</v>
      </c>
      <c r="R350" t="s">
        <v>57</v>
      </c>
      <c r="S350" t="s">
        <v>35</v>
      </c>
      <c r="T350" t="s">
        <v>29</v>
      </c>
      <c r="U350" t="s">
        <v>58</v>
      </c>
    </row>
    <row r="351" spans="1:21" x14ac:dyDescent="0.35">
      <c r="A351" t="s">
        <v>428</v>
      </c>
      <c r="B351" s="1">
        <v>46128</v>
      </c>
      <c r="C351" t="str">
        <f>TEXT(tblData[[#This Row],[Rental Date]],"mmm")</f>
        <v>Apr</v>
      </c>
      <c r="D351" t="str">
        <f>TEXT(tblData[[#This Row],[Rental Date]],"mmmm")</f>
        <v>April</v>
      </c>
      <c r="E351" t="s">
        <v>21</v>
      </c>
      <c r="F351" t="str">
        <f>TEXT(WEEKNUM(tblData[[#This Row],[Rental Date]]),"00")</f>
        <v>16</v>
      </c>
      <c r="G351" s="1">
        <f>EOMONTH(tblData[[#This Row],[Rental Date]],0)</f>
        <v>46142</v>
      </c>
      <c r="H351" t="s">
        <v>204</v>
      </c>
      <c r="I351" t="s">
        <v>39</v>
      </c>
      <c r="J351" t="s">
        <v>33</v>
      </c>
      <c r="K351" t="s">
        <v>60</v>
      </c>
      <c r="L351">
        <v>1</v>
      </c>
      <c r="M351" s="2">
        <v>24</v>
      </c>
      <c r="N351" t="s">
        <v>26</v>
      </c>
      <c r="O351" s="3">
        <v>0</v>
      </c>
      <c r="P351" s="3">
        <v>0</v>
      </c>
      <c r="Q351" s="2">
        <v>24</v>
      </c>
      <c r="R351" t="s">
        <v>62</v>
      </c>
      <c r="S351" t="s">
        <v>50</v>
      </c>
      <c r="T351" t="s">
        <v>51</v>
      </c>
      <c r="U351" t="s">
        <v>30</v>
      </c>
    </row>
    <row r="352" spans="1:21" x14ac:dyDescent="0.35">
      <c r="A352" t="s">
        <v>429</v>
      </c>
      <c r="B352" s="1">
        <v>46128</v>
      </c>
      <c r="C352" t="str">
        <f>TEXT(tblData[[#This Row],[Rental Date]],"mmm")</f>
        <v>Apr</v>
      </c>
      <c r="D352" t="str">
        <f>TEXT(tblData[[#This Row],[Rental Date]],"mmmm")</f>
        <v>April</v>
      </c>
      <c r="E352" t="s">
        <v>21</v>
      </c>
      <c r="F352" t="str">
        <f>TEXT(WEEKNUM(tblData[[#This Row],[Rental Date]]),"00")</f>
        <v>16</v>
      </c>
      <c r="G352" s="1">
        <f>EOMONTH(tblData[[#This Row],[Rental Date]],0)</f>
        <v>46142</v>
      </c>
      <c r="H352" t="s">
        <v>204</v>
      </c>
      <c r="I352" t="s">
        <v>48</v>
      </c>
      <c r="J352" t="s">
        <v>24</v>
      </c>
      <c r="K352" t="s">
        <v>60</v>
      </c>
      <c r="L352">
        <v>1</v>
      </c>
      <c r="M352" s="2">
        <v>32</v>
      </c>
      <c r="N352" t="s">
        <v>26</v>
      </c>
      <c r="O352" s="3">
        <v>0</v>
      </c>
      <c r="P352" s="3">
        <v>0</v>
      </c>
      <c r="Q352" s="2">
        <v>32</v>
      </c>
      <c r="R352" t="s">
        <v>57</v>
      </c>
      <c r="S352" t="s">
        <v>50</v>
      </c>
      <c r="T352" t="s">
        <v>29</v>
      </c>
      <c r="U352" t="s">
        <v>79</v>
      </c>
    </row>
    <row r="353" spans="1:21" x14ac:dyDescent="0.35">
      <c r="A353" t="s">
        <v>430</v>
      </c>
      <c r="B353" s="1">
        <v>46128</v>
      </c>
      <c r="C353" t="str">
        <f>TEXT(tblData[[#This Row],[Rental Date]],"mmm")</f>
        <v>Apr</v>
      </c>
      <c r="D353" t="str">
        <f>TEXT(tblData[[#This Row],[Rental Date]],"mmmm")</f>
        <v>April</v>
      </c>
      <c r="E353" t="s">
        <v>21</v>
      </c>
      <c r="F353" t="str">
        <f>TEXT(WEEKNUM(tblData[[#This Row],[Rental Date]]),"00")</f>
        <v>16</v>
      </c>
      <c r="G353" s="1">
        <f>EOMONTH(tblData[[#This Row],[Rental Date]],0)</f>
        <v>46142</v>
      </c>
      <c r="H353" t="s">
        <v>204</v>
      </c>
      <c r="I353" t="s">
        <v>48</v>
      </c>
      <c r="J353" t="s">
        <v>44</v>
      </c>
      <c r="K353" t="s">
        <v>25</v>
      </c>
      <c r="L353">
        <v>1</v>
      </c>
      <c r="M353" s="2">
        <v>52</v>
      </c>
      <c r="N353" t="s">
        <v>87</v>
      </c>
      <c r="O353" s="3">
        <v>10</v>
      </c>
      <c r="P353" s="3">
        <v>0</v>
      </c>
      <c r="Q353" s="2">
        <v>62</v>
      </c>
      <c r="R353" t="s">
        <v>66</v>
      </c>
      <c r="S353" t="s">
        <v>28</v>
      </c>
      <c r="T353" t="s">
        <v>29</v>
      </c>
      <c r="U353" t="s">
        <v>79</v>
      </c>
    </row>
    <row r="354" spans="1:21" x14ac:dyDescent="0.35">
      <c r="A354" t="s">
        <v>431</v>
      </c>
      <c r="B354" s="1">
        <v>46129</v>
      </c>
      <c r="C354" t="str">
        <f>TEXT(tblData[[#This Row],[Rental Date]],"mmm")</f>
        <v>Apr</v>
      </c>
      <c r="D354" t="str">
        <f>TEXT(tblData[[#This Row],[Rental Date]],"mmmm")</f>
        <v>April</v>
      </c>
      <c r="E354" t="s">
        <v>38</v>
      </c>
      <c r="F354" t="str">
        <f>TEXT(WEEKNUM(tblData[[#This Row],[Rental Date]]),"00")</f>
        <v>16</v>
      </c>
      <c r="G354" s="1">
        <f>EOMONTH(tblData[[#This Row],[Rental Date]],0)</f>
        <v>46142</v>
      </c>
      <c r="H354" t="s">
        <v>204</v>
      </c>
      <c r="I354" t="s">
        <v>39</v>
      </c>
      <c r="J354" t="s">
        <v>138</v>
      </c>
      <c r="K354" t="s">
        <v>25</v>
      </c>
      <c r="L354">
        <v>1</v>
      </c>
      <c r="M354" s="2">
        <v>48</v>
      </c>
      <c r="N354" t="s">
        <v>26</v>
      </c>
      <c r="O354" s="3">
        <v>0</v>
      </c>
      <c r="P354" s="3">
        <v>0</v>
      </c>
      <c r="Q354" s="2">
        <v>48</v>
      </c>
      <c r="R354" t="s">
        <v>71</v>
      </c>
      <c r="S354" t="s">
        <v>50</v>
      </c>
      <c r="T354" t="s">
        <v>29</v>
      </c>
      <c r="U354" t="s">
        <v>30</v>
      </c>
    </row>
    <row r="355" spans="1:21" x14ac:dyDescent="0.35">
      <c r="A355" t="s">
        <v>432</v>
      </c>
      <c r="B355" s="1">
        <v>46129</v>
      </c>
      <c r="C355" t="str">
        <f>TEXT(tblData[[#This Row],[Rental Date]],"mmm")</f>
        <v>Apr</v>
      </c>
      <c r="D355" t="str">
        <f>TEXT(tblData[[#This Row],[Rental Date]],"mmmm")</f>
        <v>April</v>
      </c>
      <c r="E355" t="s">
        <v>38</v>
      </c>
      <c r="F355" t="str">
        <f>TEXT(WEEKNUM(tblData[[#This Row],[Rental Date]]),"00")</f>
        <v>16</v>
      </c>
      <c r="G355" s="1">
        <f>EOMONTH(tblData[[#This Row],[Rental Date]],0)</f>
        <v>46142</v>
      </c>
      <c r="H355" t="s">
        <v>204</v>
      </c>
      <c r="I355" t="s">
        <v>39</v>
      </c>
      <c r="J355" t="s">
        <v>44</v>
      </c>
      <c r="K355" t="s">
        <v>92</v>
      </c>
      <c r="L355">
        <v>1</v>
      </c>
      <c r="M355" s="2">
        <v>112</v>
      </c>
      <c r="N355" t="s">
        <v>70</v>
      </c>
      <c r="O355" s="3">
        <v>7</v>
      </c>
      <c r="P355" s="3">
        <v>0</v>
      </c>
      <c r="Q355" s="2">
        <v>119</v>
      </c>
      <c r="R355" t="s">
        <v>57</v>
      </c>
      <c r="S355" t="s">
        <v>50</v>
      </c>
      <c r="T355" t="s">
        <v>90</v>
      </c>
      <c r="U355" t="s">
        <v>30</v>
      </c>
    </row>
    <row r="356" spans="1:21" x14ac:dyDescent="0.35">
      <c r="A356" t="s">
        <v>433</v>
      </c>
      <c r="B356" s="1">
        <v>46129</v>
      </c>
      <c r="C356" t="str">
        <f>TEXT(tblData[[#This Row],[Rental Date]],"mmm")</f>
        <v>Apr</v>
      </c>
      <c r="D356" t="str">
        <f>TEXT(tblData[[#This Row],[Rental Date]],"mmmm")</f>
        <v>April</v>
      </c>
      <c r="E356" t="s">
        <v>38</v>
      </c>
      <c r="F356" t="str">
        <f>TEXT(WEEKNUM(tblData[[#This Row],[Rental Date]]),"00")</f>
        <v>16</v>
      </c>
      <c r="G356" s="1">
        <f>EOMONTH(tblData[[#This Row],[Rental Date]],0)</f>
        <v>46142</v>
      </c>
      <c r="H356" t="s">
        <v>204</v>
      </c>
      <c r="I356" t="s">
        <v>39</v>
      </c>
      <c r="J356" t="s">
        <v>65</v>
      </c>
      <c r="K356" t="s">
        <v>60</v>
      </c>
      <c r="L356">
        <v>1</v>
      </c>
      <c r="M356" s="2">
        <v>12</v>
      </c>
      <c r="N356" t="s">
        <v>26</v>
      </c>
      <c r="O356" s="3">
        <v>0</v>
      </c>
      <c r="P356" s="3">
        <v>0</v>
      </c>
      <c r="Q356" s="2">
        <v>12</v>
      </c>
      <c r="R356" t="s">
        <v>66</v>
      </c>
      <c r="S356" t="s">
        <v>54</v>
      </c>
      <c r="T356" t="s">
        <v>29</v>
      </c>
      <c r="U356" t="s">
        <v>30</v>
      </c>
    </row>
    <row r="357" spans="1:21" x14ac:dyDescent="0.35">
      <c r="A357" t="s">
        <v>434</v>
      </c>
      <c r="B357" s="1">
        <v>46129</v>
      </c>
      <c r="C357" t="str">
        <f>TEXT(tblData[[#This Row],[Rental Date]],"mmm")</f>
        <v>Apr</v>
      </c>
      <c r="D357" t="str">
        <f>TEXT(tblData[[#This Row],[Rental Date]],"mmmm")</f>
        <v>April</v>
      </c>
      <c r="E357" t="s">
        <v>38</v>
      </c>
      <c r="F357" t="str">
        <f>TEXT(WEEKNUM(tblData[[#This Row],[Rental Date]]),"00")</f>
        <v>16</v>
      </c>
      <c r="G357" s="1">
        <f>EOMONTH(tblData[[#This Row],[Rental Date]],0)</f>
        <v>46142</v>
      </c>
      <c r="H357" t="s">
        <v>204</v>
      </c>
      <c r="I357" t="s">
        <v>48</v>
      </c>
      <c r="J357" t="s">
        <v>33</v>
      </c>
      <c r="K357" t="s">
        <v>92</v>
      </c>
      <c r="L357">
        <v>1</v>
      </c>
      <c r="M357" s="2">
        <v>84</v>
      </c>
      <c r="N357" t="s">
        <v>26</v>
      </c>
      <c r="O357" s="3">
        <v>0</v>
      </c>
      <c r="P357" s="3">
        <v>0</v>
      </c>
      <c r="Q357" s="2">
        <v>84</v>
      </c>
      <c r="R357" t="s">
        <v>71</v>
      </c>
      <c r="S357" t="s">
        <v>28</v>
      </c>
      <c r="T357" t="s">
        <v>51</v>
      </c>
      <c r="U357" t="s">
        <v>30</v>
      </c>
    </row>
    <row r="358" spans="1:21" x14ac:dyDescent="0.35">
      <c r="A358" t="s">
        <v>435</v>
      </c>
      <c r="B358" s="1">
        <v>46129</v>
      </c>
      <c r="C358" t="str">
        <f>TEXT(tblData[[#This Row],[Rental Date]],"mmm")</f>
        <v>Apr</v>
      </c>
      <c r="D358" t="str">
        <f>TEXT(tblData[[#This Row],[Rental Date]],"mmmm")</f>
        <v>April</v>
      </c>
      <c r="E358" t="s">
        <v>38</v>
      </c>
      <c r="F358" t="str">
        <f>TEXT(WEEKNUM(tblData[[#This Row],[Rental Date]]),"00")</f>
        <v>16</v>
      </c>
      <c r="G358" s="1">
        <f>EOMONTH(tblData[[#This Row],[Rental Date]],0)</f>
        <v>46142</v>
      </c>
      <c r="H358" t="s">
        <v>204</v>
      </c>
      <c r="I358" t="s">
        <v>48</v>
      </c>
      <c r="J358" t="s">
        <v>78</v>
      </c>
      <c r="K358" t="s">
        <v>60</v>
      </c>
      <c r="L358">
        <v>1</v>
      </c>
      <c r="M358" s="2">
        <v>26</v>
      </c>
      <c r="N358" t="s">
        <v>89</v>
      </c>
      <c r="O358" s="3">
        <v>6</v>
      </c>
      <c r="P358" s="3">
        <v>0</v>
      </c>
      <c r="Q358" s="2">
        <v>32</v>
      </c>
      <c r="R358" t="s">
        <v>66</v>
      </c>
      <c r="S358" t="s">
        <v>54</v>
      </c>
      <c r="T358" t="s">
        <v>29</v>
      </c>
      <c r="U358" t="s">
        <v>30</v>
      </c>
    </row>
    <row r="359" spans="1:21" x14ac:dyDescent="0.35">
      <c r="A359" t="s">
        <v>436</v>
      </c>
      <c r="B359" s="1">
        <v>46130</v>
      </c>
      <c r="C359" t="str">
        <f>TEXT(tblData[[#This Row],[Rental Date]],"mmm")</f>
        <v>Apr</v>
      </c>
      <c r="D359" t="str">
        <f>TEXT(tblData[[#This Row],[Rental Date]],"mmmm")</f>
        <v>April</v>
      </c>
      <c r="E359" t="s">
        <v>56</v>
      </c>
      <c r="F359" t="str">
        <f>TEXT(WEEKNUM(tblData[[#This Row],[Rental Date]]),"00")</f>
        <v>16</v>
      </c>
      <c r="G359" s="1">
        <f>EOMONTH(tblData[[#This Row],[Rental Date]],0)</f>
        <v>46142</v>
      </c>
      <c r="H359" t="s">
        <v>204</v>
      </c>
      <c r="I359" t="s">
        <v>32</v>
      </c>
      <c r="J359" t="s">
        <v>127</v>
      </c>
      <c r="K359" t="s">
        <v>25</v>
      </c>
      <c r="L359">
        <v>1</v>
      </c>
      <c r="M359" s="2">
        <v>17.28</v>
      </c>
      <c r="N359" t="s">
        <v>87</v>
      </c>
      <c r="O359" s="3">
        <v>10</v>
      </c>
      <c r="P359" s="3">
        <v>1.36</v>
      </c>
      <c r="Q359" s="2">
        <v>25.92</v>
      </c>
      <c r="R359" t="s">
        <v>66</v>
      </c>
      <c r="S359" t="s">
        <v>28</v>
      </c>
      <c r="T359" t="s">
        <v>29</v>
      </c>
      <c r="U359" t="s">
        <v>36</v>
      </c>
    </row>
    <row r="360" spans="1:21" x14ac:dyDescent="0.35">
      <c r="A360" t="s">
        <v>437</v>
      </c>
      <c r="B360" s="1">
        <v>46130</v>
      </c>
      <c r="C360" t="str">
        <f>TEXT(tblData[[#This Row],[Rental Date]],"mmm")</f>
        <v>Apr</v>
      </c>
      <c r="D360" t="str">
        <f>TEXT(tblData[[#This Row],[Rental Date]],"mmmm")</f>
        <v>April</v>
      </c>
      <c r="E360" t="s">
        <v>56</v>
      </c>
      <c r="F360" t="str">
        <f>TEXT(WEEKNUM(tblData[[#This Row],[Rental Date]]),"00")</f>
        <v>16</v>
      </c>
      <c r="G360" s="1">
        <f>EOMONTH(tblData[[#This Row],[Rental Date]],0)</f>
        <v>46142</v>
      </c>
      <c r="H360" t="s">
        <v>204</v>
      </c>
      <c r="I360" t="s">
        <v>39</v>
      </c>
      <c r="J360" t="s">
        <v>78</v>
      </c>
      <c r="K360" t="s">
        <v>60</v>
      </c>
      <c r="L360">
        <v>1</v>
      </c>
      <c r="M360" s="2">
        <v>28.08</v>
      </c>
      <c r="N360" t="s">
        <v>41</v>
      </c>
      <c r="O360" s="3">
        <v>5</v>
      </c>
      <c r="P360" s="3">
        <v>0</v>
      </c>
      <c r="Q360" s="2">
        <v>33.08</v>
      </c>
      <c r="R360" t="s">
        <v>57</v>
      </c>
      <c r="S360" t="s">
        <v>54</v>
      </c>
      <c r="T360" t="s">
        <v>51</v>
      </c>
      <c r="U360" t="s">
        <v>36</v>
      </c>
    </row>
    <row r="361" spans="1:21" x14ac:dyDescent="0.35">
      <c r="A361" t="s">
        <v>438</v>
      </c>
      <c r="B361" s="1">
        <v>46130</v>
      </c>
      <c r="C361" t="str">
        <f>TEXT(tblData[[#This Row],[Rental Date]],"mmm")</f>
        <v>Apr</v>
      </c>
      <c r="D361" t="str">
        <f>TEXT(tblData[[#This Row],[Rental Date]],"mmmm")</f>
        <v>April</v>
      </c>
      <c r="E361" t="s">
        <v>56</v>
      </c>
      <c r="F361" t="str">
        <f>TEXT(WEEKNUM(tblData[[#This Row],[Rental Date]]),"00")</f>
        <v>16</v>
      </c>
      <c r="G361" s="1">
        <f>EOMONTH(tblData[[#This Row],[Rental Date]],0)</f>
        <v>46142</v>
      </c>
      <c r="H361" t="s">
        <v>204</v>
      </c>
      <c r="I361" t="s">
        <v>48</v>
      </c>
      <c r="J361" t="s">
        <v>65</v>
      </c>
      <c r="K361" t="s">
        <v>92</v>
      </c>
      <c r="L361">
        <v>1</v>
      </c>
      <c r="M361" s="2">
        <v>43.2</v>
      </c>
      <c r="N361" t="s">
        <v>26</v>
      </c>
      <c r="O361" s="3">
        <v>0</v>
      </c>
      <c r="P361" s="3">
        <v>0</v>
      </c>
      <c r="Q361" s="2">
        <v>43.2</v>
      </c>
      <c r="R361" t="s">
        <v>57</v>
      </c>
      <c r="S361" t="s">
        <v>54</v>
      </c>
      <c r="T361" t="s">
        <v>29</v>
      </c>
      <c r="U361" t="s">
        <v>79</v>
      </c>
    </row>
    <row r="362" spans="1:21" x14ac:dyDescent="0.35">
      <c r="A362" t="s">
        <v>439</v>
      </c>
      <c r="B362" s="1">
        <v>46130</v>
      </c>
      <c r="C362" t="str">
        <f>TEXT(tblData[[#This Row],[Rental Date]],"mmm")</f>
        <v>Apr</v>
      </c>
      <c r="D362" t="str">
        <f>TEXT(tblData[[#This Row],[Rental Date]],"mmmm")</f>
        <v>April</v>
      </c>
      <c r="E362" t="s">
        <v>56</v>
      </c>
      <c r="F362" t="str">
        <f>TEXT(WEEKNUM(tblData[[#This Row],[Rental Date]]),"00")</f>
        <v>16</v>
      </c>
      <c r="G362" s="1">
        <f>EOMONTH(tblData[[#This Row],[Rental Date]],0)</f>
        <v>46142</v>
      </c>
      <c r="H362" t="s">
        <v>204</v>
      </c>
      <c r="I362" t="s">
        <v>23</v>
      </c>
      <c r="J362" t="s">
        <v>65</v>
      </c>
      <c r="K362" t="s">
        <v>60</v>
      </c>
      <c r="L362">
        <v>1</v>
      </c>
      <c r="M362" s="2">
        <v>12.96</v>
      </c>
      <c r="N362" t="s">
        <v>89</v>
      </c>
      <c r="O362" s="3">
        <v>6</v>
      </c>
      <c r="P362" s="3">
        <v>0</v>
      </c>
      <c r="Q362" s="2">
        <v>18.96</v>
      </c>
      <c r="R362" t="s">
        <v>71</v>
      </c>
      <c r="S362" t="s">
        <v>54</v>
      </c>
      <c r="T362" t="s">
        <v>29</v>
      </c>
      <c r="U362" t="s">
        <v>58</v>
      </c>
    </row>
    <row r="363" spans="1:21" x14ac:dyDescent="0.35">
      <c r="A363" t="s">
        <v>440</v>
      </c>
      <c r="B363" s="1">
        <v>46130</v>
      </c>
      <c r="C363" t="str">
        <f>TEXT(tblData[[#This Row],[Rental Date]],"mmm")</f>
        <v>Apr</v>
      </c>
      <c r="D363" t="str">
        <f>TEXT(tblData[[#This Row],[Rental Date]],"mmmm")</f>
        <v>April</v>
      </c>
      <c r="E363" t="s">
        <v>56</v>
      </c>
      <c r="F363" t="str">
        <f>TEXT(WEEKNUM(tblData[[#This Row],[Rental Date]]),"00")</f>
        <v>16</v>
      </c>
      <c r="G363" s="1">
        <f>EOMONTH(tblData[[#This Row],[Rental Date]],0)</f>
        <v>46142</v>
      </c>
      <c r="H363" t="s">
        <v>204</v>
      </c>
      <c r="I363" t="s">
        <v>39</v>
      </c>
      <c r="J363" t="s">
        <v>127</v>
      </c>
      <c r="K363" t="s">
        <v>92</v>
      </c>
      <c r="L363">
        <v>1</v>
      </c>
      <c r="M363" s="2">
        <v>36.72</v>
      </c>
      <c r="N363" t="s">
        <v>26</v>
      </c>
      <c r="O363" s="3">
        <v>0</v>
      </c>
      <c r="P363" s="3">
        <v>0</v>
      </c>
      <c r="Q363" s="2">
        <v>36.72</v>
      </c>
      <c r="R363" t="s">
        <v>57</v>
      </c>
      <c r="S363" t="s">
        <v>54</v>
      </c>
      <c r="T363" t="s">
        <v>51</v>
      </c>
      <c r="U363" t="s">
        <v>58</v>
      </c>
    </row>
    <row r="364" spans="1:21" x14ac:dyDescent="0.35">
      <c r="A364" t="s">
        <v>441</v>
      </c>
      <c r="B364" s="1">
        <v>46130</v>
      </c>
      <c r="C364" t="str">
        <f>TEXT(tblData[[#This Row],[Rental Date]],"mmm")</f>
        <v>Apr</v>
      </c>
      <c r="D364" t="str">
        <f>TEXT(tblData[[#This Row],[Rental Date]],"mmmm")</f>
        <v>April</v>
      </c>
      <c r="E364" t="s">
        <v>56</v>
      </c>
      <c r="F364" t="str">
        <f>TEXT(WEEKNUM(tblData[[#This Row],[Rental Date]]),"00")</f>
        <v>16</v>
      </c>
      <c r="G364" s="1">
        <f>EOMONTH(tblData[[#This Row],[Rental Date]],0)</f>
        <v>46142</v>
      </c>
      <c r="H364" t="s">
        <v>204</v>
      </c>
      <c r="I364" t="s">
        <v>48</v>
      </c>
      <c r="J364" t="s">
        <v>33</v>
      </c>
      <c r="K364" t="s">
        <v>60</v>
      </c>
      <c r="L364">
        <v>1</v>
      </c>
      <c r="M364" s="2">
        <v>25.92</v>
      </c>
      <c r="N364" t="s">
        <v>26</v>
      </c>
      <c r="O364" s="3">
        <v>0</v>
      </c>
      <c r="P364" s="3">
        <v>0</v>
      </c>
      <c r="Q364" s="2">
        <v>25.92</v>
      </c>
      <c r="R364" t="s">
        <v>66</v>
      </c>
      <c r="S364" t="s">
        <v>54</v>
      </c>
      <c r="T364" t="s">
        <v>51</v>
      </c>
      <c r="U364" t="s">
        <v>30</v>
      </c>
    </row>
    <row r="365" spans="1:21" x14ac:dyDescent="0.35">
      <c r="A365" t="s">
        <v>442</v>
      </c>
      <c r="B365" s="1">
        <v>46130</v>
      </c>
      <c r="C365" t="str">
        <f>TEXT(tblData[[#This Row],[Rental Date]],"mmm")</f>
        <v>Apr</v>
      </c>
      <c r="D365" t="str">
        <f>TEXT(tblData[[#This Row],[Rental Date]],"mmmm")</f>
        <v>April</v>
      </c>
      <c r="E365" t="s">
        <v>56</v>
      </c>
      <c r="F365" t="str">
        <f>TEXT(WEEKNUM(tblData[[#This Row],[Rental Date]]),"00")</f>
        <v>16</v>
      </c>
      <c r="G365" s="1">
        <f>EOMONTH(tblData[[#This Row],[Rental Date]],0)</f>
        <v>46142</v>
      </c>
      <c r="H365" t="s">
        <v>204</v>
      </c>
      <c r="I365" t="s">
        <v>23</v>
      </c>
      <c r="J365" t="s">
        <v>44</v>
      </c>
      <c r="K365" t="s">
        <v>25</v>
      </c>
      <c r="L365">
        <v>1</v>
      </c>
      <c r="M365" s="2">
        <v>56.16</v>
      </c>
      <c r="N365" t="s">
        <v>41</v>
      </c>
      <c r="O365" s="3">
        <v>5</v>
      </c>
      <c r="P365" s="3">
        <v>0</v>
      </c>
      <c r="Q365" s="2">
        <v>61.16</v>
      </c>
      <c r="R365" t="s">
        <v>42</v>
      </c>
      <c r="S365" t="s">
        <v>54</v>
      </c>
      <c r="T365" t="s">
        <v>29</v>
      </c>
      <c r="U365" t="s">
        <v>58</v>
      </c>
    </row>
    <row r="366" spans="1:21" x14ac:dyDescent="0.35">
      <c r="A366" t="s">
        <v>443</v>
      </c>
      <c r="B366" s="1">
        <v>46130</v>
      </c>
      <c r="C366" t="str">
        <f>TEXT(tblData[[#This Row],[Rental Date]],"mmm")</f>
        <v>Apr</v>
      </c>
      <c r="D366" t="str">
        <f>TEXT(tblData[[#This Row],[Rental Date]],"mmmm")</f>
        <v>April</v>
      </c>
      <c r="E366" t="s">
        <v>56</v>
      </c>
      <c r="F366" t="str">
        <f>TEXT(WEEKNUM(tblData[[#This Row],[Rental Date]]),"00")</f>
        <v>16</v>
      </c>
      <c r="G366" s="1">
        <f>EOMONTH(tblData[[#This Row],[Rental Date]],0)</f>
        <v>46142</v>
      </c>
      <c r="H366" t="s">
        <v>204</v>
      </c>
      <c r="I366" t="s">
        <v>48</v>
      </c>
      <c r="J366" t="s">
        <v>78</v>
      </c>
      <c r="K366" t="s">
        <v>60</v>
      </c>
      <c r="L366">
        <v>1</v>
      </c>
      <c r="M366" s="2">
        <v>28.08</v>
      </c>
      <c r="N366" t="s">
        <v>87</v>
      </c>
      <c r="O366" s="3">
        <v>10</v>
      </c>
      <c r="P366" s="3">
        <v>0</v>
      </c>
      <c r="Q366" s="2">
        <v>38.08</v>
      </c>
      <c r="R366" t="s">
        <v>66</v>
      </c>
      <c r="S366" t="s">
        <v>35</v>
      </c>
      <c r="T366" t="s">
        <v>83</v>
      </c>
      <c r="U366" t="s">
        <v>79</v>
      </c>
    </row>
    <row r="367" spans="1:21" x14ac:dyDescent="0.35">
      <c r="A367" t="s">
        <v>444</v>
      </c>
      <c r="B367" s="1">
        <v>46130</v>
      </c>
      <c r="C367" t="str">
        <f>TEXT(tblData[[#This Row],[Rental Date]],"mmm")</f>
        <v>Apr</v>
      </c>
      <c r="D367" t="str">
        <f>TEXT(tblData[[#This Row],[Rental Date]],"mmmm")</f>
        <v>April</v>
      </c>
      <c r="E367" t="s">
        <v>56</v>
      </c>
      <c r="F367" t="str">
        <f>TEXT(WEEKNUM(tblData[[#This Row],[Rental Date]]),"00")</f>
        <v>16</v>
      </c>
      <c r="G367" s="1">
        <f>EOMONTH(tblData[[#This Row],[Rental Date]],0)</f>
        <v>46142</v>
      </c>
      <c r="H367" t="s">
        <v>204</v>
      </c>
      <c r="I367" t="s">
        <v>32</v>
      </c>
      <c r="J367" t="s">
        <v>33</v>
      </c>
      <c r="K367" t="s">
        <v>25</v>
      </c>
      <c r="L367">
        <v>1</v>
      </c>
      <c r="M367" s="2">
        <v>41.04</v>
      </c>
      <c r="N367" t="s">
        <v>26</v>
      </c>
      <c r="O367" s="3">
        <v>0</v>
      </c>
      <c r="P367" s="3">
        <v>0</v>
      </c>
      <c r="Q367" s="2">
        <v>41.04</v>
      </c>
      <c r="R367" t="s">
        <v>62</v>
      </c>
      <c r="S367" t="s">
        <v>50</v>
      </c>
      <c r="T367" t="s">
        <v>51</v>
      </c>
      <c r="U367" t="s">
        <v>58</v>
      </c>
    </row>
    <row r="368" spans="1:21" x14ac:dyDescent="0.35">
      <c r="A368" t="s">
        <v>445</v>
      </c>
      <c r="B368" s="1">
        <v>46131</v>
      </c>
      <c r="C368" t="str">
        <f>TEXT(tblData[[#This Row],[Rental Date]],"mmm")</f>
        <v>Apr</v>
      </c>
      <c r="D368" t="str">
        <f>TEXT(tblData[[#This Row],[Rental Date]],"mmmm")</f>
        <v>April</v>
      </c>
      <c r="E368" t="s">
        <v>68</v>
      </c>
      <c r="F368" t="str">
        <f>TEXT(WEEKNUM(tblData[[#This Row],[Rental Date]]),"00")</f>
        <v>17</v>
      </c>
      <c r="G368" s="1">
        <f>EOMONTH(tblData[[#This Row],[Rental Date]],0)</f>
        <v>46142</v>
      </c>
      <c r="H368" t="s">
        <v>204</v>
      </c>
      <c r="I368" t="s">
        <v>39</v>
      </c>
      <c r="J368" t="s">
        <v>24</v>
      </c>
      <c r="K368" t="s">
        <v>60</v>
      </c>
      <c r="L368">
        <v>1</v>
      </c>
      <c r="M368" s="2">
        <v>34.56</v>
      </c>
      <c r="N368" t="s">
        <v>26</v>
      </c>
      <c r="O368" s="3">
        <v>0</v>
      </c>
      <c r="P368" s="3">
        <v>0</v>
      </c>
      <c r="Q368" s="2">
        <v>34.56</v>
      </c>
      <c r="R368" t="s">
        <v>71</v>
      </c>
      <c r="S368" t="s">
        <v>50</v>
      </c>
      <c r="T368" t="s">
        <v>51</v>
      </c>
      <c r="U368" t="s">
        <v>58</v>
      </c>
    </row>
    <row r="369" spans="1:21" x14ac:dyDescent="0.35">
      <c r="A369" t="s">
        <v>446</v>
      </c>
      <c r="B369" s="1">
        <v>46131</v>
      </c>
      <c r="C369" t="str">
        <f>TEXT(tblData[[#This Row],[Rental Date]],"mmm")</f>
        <v>Apr</v>
      </c>
      <c r="D369" t="str">
        <f>TEXT(tblData[[#This Row],[Rental Date]],"mmmm")</f>
        <v>April</v>
      </c>
      <c r="E369" t="s">
        <v>68</v>
      </c>
      <c r="F369" t="str">
        <f>TEXT(WEEKNUM(tblData[[#This Row],[Rental Date]]),"00")</f>
        <v>17</v>
      </c>
      <c r="G369" s="1">
        <f>EOMONTH(tblData[[#This Row],[Rental Date]],0)</f>
        <v>46142</v>
      </c>
      <c r="H369" t="s">
        <v>204</v>
      </c>
      <c r="I369" t="s">
        <v>39</v>
      </c>
      <c r="J369" t="s">
        <v>65</v>
      </c>
      <c r="K369" t="s">
        <v>25</v>
      </c>
      <c r="L369">
        <v>1</v>
      </c>
      <c r="M369" s="2">
        <v>19.440000000000001</v>
      </c>
      <c r="N369" t="s">
        <v>87</v>
      </c>
      <c r="O369" s="3">
        <v>10</v>
      </c>
      <c r="P369" s="3">
        <v>0</v>
      </c>
      <c r="Q369" s="2">
        <v>29.44</v>
      </c>
      <c r="R369" t="s">
        <v>94</v>
      </c>
      <c r="S369" t="s">
        <v>54</v>
      </c>
      <c r="T369" t="s">
        <v>51</v>
      </c>
      <c r="U369" t="s">
        <v>30</v>
      </c>
    </row>
    <row r="370" spans="1:21" x14ac:dyDescent="0.35">
      <c r="A370" t="s">
        <v>447</v>
      </c>
      <c r="B370" s="1">
        <v>46131</v>
      </c>
      <c r="C370" t="str">
        <f>TEXT(tblData[[#This Row],[Rental Date]],"mmm")</f>
        <v>Apr</v>
      </c>
      <c r="D370" t="str">
        <f>TEXT(tblData[[#This Row],[Rental Date]],"mmmm")</f>
        <v>April</v>
      </c>
      <c r="E370" t="s">
        <v>68</v>
      </c>
      <c r="F370" t="str">
        <f>TEXT(WEEKNUM(tblData[[#This Row],[Rental Date]]),"00")</f>
        <v>17</v>
      </c>
      <c r="G370" s="1">
        <f>EOMONTH(tblData[[#This Row],[Rental Date]],0)</f>
        <v>46142</v>
      </c>
      <c r="H370" t="s">
        <v>204</v>
      </c>
      <c r="I370" t="s">
        <v>48</v>
      </c>
      <c r="J370" t="s">
        <v>111</v>
      </c>
      <c r="K370" t="s">
        <v>40</v>
      </c>
      <c r="L370">
        <v>1</v>
      </c>
      <c r="M370" s="2">
        <v>36.72</v>
      </c>
      <c r="N370" t="s">
        <v>26</v>
      </c>
      <c r="O370" s="3">
        <v>0</v>
      </c>
      <c r="P370" s="3">
        <v>0</v>
      </c>
      <c r="Q370" s="2">
        <v>36.72</v>
      </c>
      <c r="R370" t="s">
        <v>57</v>
      </c>
      <c r="S370" t="s">
        <v>28</v>
      </c>
      <c r="T370" t="s">
        <v>29</v>
      </c>
      <c r="U370" t="s">
        <v>58</v>
      </c>
    </row>
    <row r="371" spans="1:21" x14ac:dyDescent="0.35">
      <c r="A371" t="s">
        <v>448</v>
      </c>
      <c r="B371" s="1">
        <v>46131</v>
      </c>
      <c r="C371" t="str">
        <f>TEXT(tblData[[#This Row],[Rental Date]],"mmm")</f>
        <v>Apr</v>
      </c>
      <c r="D371" t="str">
        <f>TEXT(tblData[[#This Row],[Rental Date]],"mmmm")</f>
        <v>April</v>
      </c>
      <c r="E371" t="s">
        <v>68</v>
      </c>
      <c r="F371" t="str">
        <f>TEXT(WEEKNUM(tblData[[#This Row],[Rental Date]]),"00")</f>
        <v>17</v>
      </c>
      <c r="G371" s="1">
        <f>EOMONTH(tblData[[#This Row],[Rental Date]],0)</f>
        <v>46142</v>
      </c>
      <c r="H371" t="s">
        <v>204</v>
      </c>
      <c r="I371" t="s">
        <v>48</v>
      </c>
      <c r="J371" t="s">
        <v>33</v>
      </c>
      <c r="K371" t="s">
        <v>92</v>
      </c>
      <c r="L371">
        <v>1</v>
      </c>
      <c r="M371" s="2">
        <v>90.72</v>
      </c>
      <c r="N371" t="s">
        <v>26</v>
      </c>
      <c r="O371" s="3">
        <v>0</v>
      </c>
      <c r="P371" s="3">
        <v>0</v>
      </c>
      <c r="Q371" s="2">
        <v>90.72</v>
      </c>
      <c r="R371" t="s">
        <v>94</v>
      </c>
      <c r="S371" t="s">
        <v>28</v>
      </c>
      <c r="T371" t="s">
        <v>29</v>
      </c>
      <c r="U371" t="s">
        <v>30</v>
      </c>
    </row>
    <row r="372" spans="1:21" x14ac:dyDescent="0.35">
      <c r="A372" t="s">
        <v>449</v>
      </c>
      <c r="B372" s="1">
        <v>46131</v>
      </c>
      <c r="C372" t="str">
        <f>TEXT(tblData[[#This Row],[Rental Date]],"mmm")</f>
        <v>Apr</v>
      </c>
      <c r="D372" t="str">
        <f>TEXT(tblData[[#This Row],[Rental Date]],"mmmm")</f>
        <v>April</v>
      </c>
      <c r="E372" t="s">
        <v>68</v>
      </c>
      <c r="F372" t="str">
        <f>TEXT(WEEKNUM(tblData[[#This Row],[Rental Date]]),"00")</f>
        <v>17</v>
      </c>
      <c r="G372" s="1">
        <f>EOMONTH(tblData[[#This Row],[Rental Date]],0)</f>
        <v>46142</v>
      </c>
      <c r="H372" t="s">
        <v>204</v>
      </c>
      <c r="I372" t="s">
        <v>48</v>
      </c>
      <c r="J372" t="s">
        <v>44</v>
      </c>
      <c r="K372" t="s">
        <v>60</v>
      </c>
      <c r="L372">
        <v>1</v>
      </c>
      <c r="M372" s="2">
        <v>36.72</v>
      </c>
      <c r="N372" t="s">
        <v>41</v>
      </c>
      <c r="O372" s="3">
        <v>5</v>
      </c>
      <c r="P372" s="3">
        <v>0</v>
      </c>
      <c r="Q372" s="2">
        <v>41.72</v>
      </c>
      <c r="R372" t="s">
        <v>62</v>
      </c>
      <c r="S372" t="s">
        <v>46</v>
      </c>
      <c r="T372" t="s">
        <v>29</v>
      </c>
      <c r="U372" t="s">
        <v>30</v>
      </c>
    </row>
    <row r="373" spans="1:21" x14ac:dyDescent="0.35">
      <c r="A373" t="s">
        <v>450</v>
      </c>
      <c r="B373" s="1">
        <v>46131</v>
      </c>
      <c r="C373" t="str">
        <f>TEXT(tblData[[#This Row],[Rental Date]],"mmm")</f>
        <v>Apr</v>
      </c>
      <c r="D373" t="str">
        <f>TEXT(tblData[[#This Row],[Rental Date]],"mmmm")</f>
        <v>April</v>
      </c>
      <c r="E373" t="s">
        <v>68</v>
      </c>
      <c r="F373" t="str">
        <f>TEXT(WEEKNUM(tblData[[#This Row],[Rental Date]]),"00")</f>
        <v>17</v>
      </c>
      <c r="G373" s="1">
        <f>EOMONTH(tblData[[#This Row],[Rental Date]],0)</f>
        <v>46142</v>
      </c>
      <c r="H373" t="s">
        <v>204</v>
      </c>
      <c r="I373" t="s">
        <v>39</v>
      </c>
      <c r="J373" t="s">
        <v>78</v>
      </c>
      <c r="K373" t="s">
        <v>40</v>
      </c>
      <c r="L373">
        <v>1</v>
      </c>
      <c r="M373" s="2">
        <v>66.959999999999994</v>
      </c>
      <c r="N373" t="s">
        <v>75</v>
      </c>
      <c r="O373" s="3">
        <v>12</v>
      </c>
      <c r="P373" s="3">
        <v>0</v>
      </c>
      <c r="Q373" s="2">
        <v>78.959999999999994</v>
      </c>
      <c r="R373" t="s">
        <v>76</v>
      </c>
      <c r="S373" t="s">
        <v>50</v>
      </c>
      <c r="T373" t="s">
        <v>29</v>
      </c>
      <c r="U373" t="s">
        <v>30</v>
      </c>
    </row>
    <row r="374" spans="1:21" x14ac:dyDescent="0.35">
      <c r="A374" t="s">
        <v>451</v>
      </c>
      <c r="B374" s="1">
        <v>46132</v>
      </c>
      <c r="C374" t="str">
        <f>TEXT(tblData[[#This Row],[Rental Date]],"mmm")</f>
        <v>Apr</v>
      </c>
      <c r="D374" t="str">
        <f>TEXT(tblData[[#This Row],[Rental Date]],"mmmm")</f>
        <v>April</v>
      </c>
      <c r="E374" t="s">
        <v>74</v>
      </c>
      <c r="F374" t="str">
        <f>TEXT(WEEKNUM(tblData[[#This Row],[Rental Date]]),"00")</f>
        <v>17</v>
      </c>
      <c r="G374" s="1">
        <f>EOMONTH(tblData[[#This Row],[Rental Date]],0)</f>
        <v>46142</v>
      </c>
      <c r="H374" t="s">
        <v>204</v>
      </c>
      <c r="I374" t="s">
        <v>48</v>
      </c>
      <c r="J374" t="s">
        <v>49</v>
      </c>
      <c r="K374" t="s">
        <v>60</v>
      </c>
      <c r="L374">
        <v>1</v>
      </c>
      <c r="M374" s="2">
        <v>22</v>
      </c>
      <c r="N374" t="s">
        <v>89</v>
      </c>
      <c r="O374" s="3">
        <v>6</v>
      </c>
      <c r="P374" s="3">
        <v>0</v>
      </c>
      <c r="Q374" s="2">
        <v>28</v>
      </c>
      <c r="R374" t="s">
        <v>57</v>
      </c>
      <c r="S374" t="s">
        <v>54</v>
      </c>
      <c r="T374" t="s">
        <v>51</v>
      </c>
      <c r="U374" t="s">
        <v>58</v>
      </c>
    </row>
    <row r="375" spans="1:21" x14ac:dyDescent="0.35">
      <c r="A375" t="s">
        <v>452</v>
      </c>
      <c r="B375" s="1">
        <v>46132</v>
      </c>
      <c r="C375" t="str">
        <f>TEXT(tblData[[#This Row],[Rental Date]],"mmm")</f>
        <v>Apr</v>
      </c>
      <c r="D375" t="str">
        <f>TEXT(tblData[[#This Row],[Rental Date]],"mmmm")</f>
        <v>April</v>
      </c>
      <c r="E375" t="s">
        <v>74</v>
      </c>
      <c r="F375" t="str">
        <f>TEXT(WEEKNUM(tblData[[#This Row],[Rental Date]]),"00")</f>
        <v>17</v>
      </c>
      <c r="G375" s="1">
        <f>EOMONTH(tblData[[#This Row],[Rental Date]],0)</f>
        <v>46142</v>
      </c>
      <c r="H375" t="s">
        <v>204</v>
      </c>
      <c r="I375" t="s">
        <v>48</v>
      </c>
      <c r="J375" t="s">
        <v>78</v>
      </c>
      <c r="K375" t="s">
        <v>25</v>
      </c>
      <c r="L375">
        <v>1</v>
      </c>
      <c r="M375" s="2">
        <v>42</v>
      </c>
      <c r="N375" t="s">
        <v>26</v>
      </c>
      <c r="O375" s="3">
        <v>0</v>
      </c>
      <c r="P375" s="3">
        <v>0</v>
      </c>
      <c r="Q375" s="2">
        <v>42</v>
      </c>
      <c r="R375" t="s">
        <v>27</v>
      </c>
      <c r="S375" t="s">
        <v>35</v>
      </c>
      <c r="T375" t="s">
        <v>90</v>
      </c>
      <c r="U375" t="s">
        <v>30</v>
      </c>
    </row>
    <row r="376" spans="1:21" x14ac:dyDescent="0.35">
      <c r="A376" t="s">
        <v>453</v>
      </c>
      <c r="B376" s="1">
        <v>46132</v>
      </c>
      <c r="C376" t="str">
        <f>TEXT(tblData[[#This Row],[Rental Date]],"mmm")</f>
        <v>Apr</v>
      </c>
      <c r="D376" t="str">
        <f>TEXT(tblData[[#This Row],[Rental Date]],"mmmm")</f>
        <v>April</v>
      </c>
      <c r="E376" t="s">
        <v>74</v>
      </c>
      <c r="F376" t="str">
        <f>TEXT(WEEKNUM(tblData[[#This Row],[Rental Date]]),"00")</f>
        <v>17</v>
      </c>
      <c r="G376" s="1">
        <f>EOMONTH(tblData[[#This Row],[Rental Date]],0)</f>
        <v>46142</v>
      </c>
      <c r="H376" t="s">
        <v>204</v>
      </c>
      <c r="I376" t="s">
        <v>53</v>
      </c>
      <c r="J376" t="s">
        <v>44</v>
      </c>
      <c r="K376" t="s">
        <v>60</v>
      </c>
      <c r="L376">
        <v>1</v>
      </c>
      <c r="M376" s="2">
        <v>34</v>
      </c>
      <c r="N376" t="s">
        <v>26</v>
      </c>
      <c r="O376" s="3">
        <v>0</v>
      </c>
      <c r="P376" s="3">
        <v>3.4</v>
      </c>
      <c r="Q376" s="2">
        <v>30.6</v>
      </c>
      <c r="R376" t="s">
        <v>34</v>
      </c>
      <c r="S376" t="s">
        <v>35</v>
      </c>
      <c r="T376" t="s">
        <v>63</v>
      </c>
      <c r="U376" t="s">
        <v>58</v>
      </c>
    </row>
    <row r="377" spans="1:21" x14ac:dyDescent="0.35">
      <c r="A377" t="s">
        <v>454</v>
      </c>
      <c r="B377" s="1">
        <v>46132</v>
      </c>
      <c r="C377" t="str">
        <f>TEXT(tblData[[#This Row],[Rental Date]],"mmm")</f>
        <v>Apr</v>
      </c>
      <c r="D377" t="str">
        <f>TEXT(tblData[[#This Row],[Rental Date]],"mmmm")</f>
        <v>April</v>
      </c>
      <c r="E377" t="s">
        <v>74</v>
      </c>
      <c r="F377" t="str">
        <f>TEXT(WEEKNUM(tblData[[#This Row],[Rental Date]]),"00")</f>
        <v>17</v>
      </c>
      <c r="G377" s="1">
        <f>EOMONTH(tblData[[#This Row],[Rental Date]],0)</f>
        <v>46142</v>
      </c>
      <c r="H377" t="s">
        <v>204</v>
      </c>
      <c r="I377" t="s">
        <v>39</v>
      </c>
      <c r="J377" t="s">
        <v>49</v>
      </c>
      <c r="K377" t="s">
        <v>60</v>
      </c>
      <c r="L377">
        <v>1</v>
      </c>
      <c r="M377" s="2">
        <v>22</v>
      </c>
      <c r="N377" t="s">
        <v>89</v>
      </c>
      <c r="O377" s="3">
        <v>6</v>
      </c>
      <c r="P377" s="3">
        <v>0</v>
      </c>
      <c r="Q377" s="2">
        <v>28</v>
      </c>
      <c r="R377" t="s">
        <v>94</v>
      </c>
      <c r="S377" t="s">
        <v>35</v>
      </c>
      <c r="T377" t="s">
        <v>51</v>
      </c>
      <c r="U377" t="s">
        <v>30</v>
      </c>
    </row>
    <row r="378" spans="1:21" x14ac:dyDescent="0.35">
      <c r="A378" t="s">
        <v>455</v>
      </c>
      <c r="B378" s="1">
        <v>46132</v>
      </c>
      <c r="C378" t="str">
        <f>TEXT(tblData[[#This Row],[Rental Date]],"mmm")</f>
        <v>Apr</v>
      </c>
      <c r="D378" t="str">
        <f>TEXT(tblData[[#This Row],[Rental Date]],"mmmm")</f>
        <v>April</v>
      </c>
      <c r="E378" t="s">
        <v>74</v>
      </c>
      <c r="F378" t="str">
        <f>TEXT(WEEKNUM(tblData[[#This Row],[Rental Date]]),"00")</f>
        <v>17</v>
      </c>
      <c r="G378" s="1">
        <f>EOMONTH(tblData[[#This Row],[Rental Date]],0)</f>
        <v>46142</v>
      </c>
      <c r="H378" t="s">
        <v>204</v>
      </c>
      <c r="I378" t="s">
        <v>39</v>
      </c>
      <c r="J378" t="s">
        <v>138</v>
      </c>
      <c r="K378" t="s">
        <v>25</v>
      </c>
      <c r="L378">
        <v>1</v>
      </c>
      <c r="M378" s="2">
        <v>48</v>
      </c>
      <c r="N378" t="s">
        <v>26</v>
      </c>
      <c r="O378" s="3">
        <v>0</v>
      </c>
      <c r="P378" s="3">
        <v>0</v>
      </c>
      <c r="Q378" s="2">
        <v>48</v>
      </c>
      <c r="R378" t="s">
        <v>34</v>
      </c>
      <c r="S378" t="s">
        <v>54</v>
      </c>
      <c r="T378" t="s">
        <v>51</v>
      </c>
      <c r="U378" t="s">
        <v>30</v>
      </c>
    </row>
    <row r="379" spans="1:21" x14ac:dyDescent="0.35">
      <c r="A379" t="s">
        <v>456</v>
      </c>
      <c r="B379" s="1">
        <v>46132</v>
      </c>
      <c r="C379" t="str">
        <f>TEXT(tblData[[#This Row],[Rental Date]],"mmm")</f>
        <v>Apr</v>
      </c>
      <c r="D379" t="str">
        <f>TEXT(tblData[[#This Row],[Rental Date]],"mmmm")</f>
        <v>April</v>
      </c>
      <c r="E379" t="s">
        <v>74</v>
      </c>
      <c r="F379" t="str">
        <f>TEXT(WEEKNUM(tblData[[#This Row],[Rental Date]]),"00")</f>
        <v>17</v>
      </c>
      <c r="G379" s="1">
        <f>EOMONTH(tblData[[#This Row],[Rental Date]],0)</f>
        <v>46142</v>
      </c>
      <c r="H379" t="s">
        <v>204</v>
      </c>
      <c r="I379" t="s">
        <v>39</v>
      </c>
      <c r="J379" t="s">
        <v>24</v>
      </c>
      <c r="K379" t="s">
        <v>25</v>
      </c>
      <c r="L379">
        <v>1</v>
      </c>
      <c r="M379" s="2">
        <v>50</v>
      </c>
      <c r="N379" t="s">
        <v>26</v>
      </c>
      <c r="O379" s="3">
        <v>0</v>
      </c>
      <c r="P379" s="3">
        <v>0</v>
      </c>
      <c r="Q379" s="2">
        <v>50</v>
      </c>
      <c r="R379" t="s">
        <v>76</v>
      </c>
      <c r="S379" t="s">
        <v>54</v>
      </c>
      <c r="T379" t="s">
        <v>29</v>
      </c>
      <c r="U379" t="s">
        <v>58</v>
      </c>
    </row>
    <row r="380" spans="1:21" x14ac:dyDescent="0.35">
      <c r="A380" t="s">
        <v>457</v>
      </c>
      <c r="B380" s="1">
        <v>46132</v>
      </c>
      <c r="C380" t="str">
        <f>TEXT(tblData[[#This Row],[Rental Date]],"mmm")</f>
        <v>Apr</v>
      </c>
      <c r="D380" t="str">
        <f>TEXT(tblData[[#This Row],[Rental Date]],"mmmm")</f>
        <v>April</v>
      </c>
      <c r="E380" t="s">
        <v>74</v>
      </c>
      <c r="F380" t="str">
        <f>TEXT(WEEKNUM(tblData[[#This Row],[Rental Date]]),"00")</f>
        <v>17</v>
      </c>
      <c r="G380" s="1">
        <f>EOMONTH(tblData[[#This Row],[Rental Date]],0)</f>
        <v>46142</v>
      </c>
      <c r="H380" t="s">
        <v>204</v>
      </c>
      <c r="I380" t="s">
        <v>32</v>
      </c>
      <c r="J380" t="s">
        <v>138</v>
      </c>
      <c r="K380" t="s">
        <v>40</v>
      </c>
      <c r="L380">
        <v>1</v>
      </c>
      <c r="M380" s="2">
        <v>72</v>
      </c>
      <c r="N380" t="s">
        <v>75</v>
      </c>
      <c r="O380" s="3">
        <v>12</v>
      </c>
      <c r="P380" s="3">
        <v>8.4</v>
      </c>
      <c r="Q380" s="2">
        <v>75.599999999999994</v>
      </c>
      <c r="R380" t="s">
        <v>34</v>
      </c>
      <c r="S380" t="s">
        <v>50</v>
      </c>
      <c r="T380" t="s">
        <v>29</v>
      </c>
      <c r="U380" t="s">
        <v>30</v>
      </c>
    </row>
    <row r="381" spans="1:21" x14ac:dyDescent="0.35">
      <c r="A381" t="s">
        <v>458</v>
      </c>
      <c r="B381" s="1">
        <v>46133</v>
      </c>
      <c r="C381" t="str">
        <f>TEXT(tblData[[#This Row],[Rental Date]],"mmm")</f>
        <v>Apr</v>
      </c>
      <c r="D381" t="str">
        <f>TEXT(tblData[[#This Row],[Rental Date]],"mmmm")</f>
        <v>April</v>
      </c>
      <c r="E381" t="s">
        <v>102</v>
      </c>
      <c r="F381" t="str">
        <f>TEXT(WEEKNUM(tblData[[#This Row],[Rental Date]]),"00")</f>
        <v>17</v>
      </c>
      <c r="G381" s="1">
        <f>EOMONTH(tblData[[#This Row],[Rental Date]],0)</f>
        <v>46142</v>
      </c>
      <c r="H381" t="s">
        <v>204</v>
      </c>
      <c r="I381" t="s">
        <v>23</v>
      </c>
      <c r="J381" t="s">
        <v>44</v>
      </c>
      <c r="K381" t="s">
        <v>40</v>
      </c>
      <c r="L381">
        <v>1</v>
      </c>
      <c r="M381" s="2">
        <v>78</v>
      </c>
      <c r="N381" t="s">
        <v>87</v>
      </c>
      <c r="O381" s="3">
        <v>10</v>
      </c>
      <c r="P381" s="3">
        <v>0</v>
      </c>
      <c r="Q381" s="2">
        <v>88</v>
      </c>
      <c r="R381" t="s">
        <v>27</v>
      </c>
      <c r="S381" t="s">
        <v>35</v>
      </c>
      <c r="T381" t="s">
        <v>51</v>
      </c>
      <c r="U381" t="s">
        <v>79</v>
      </c>
    </row>
    <row r="382" spans="1:21" x14ac:dyDescent="0.35">
      <c r="A382" t="s">
        <v>459</v>
      </c>
      <c r="B382" s="1">
        <v>46133</v>
      </c>
      <c r="C382" t="str">
        <f>TEXT(tblData[[#This Row],[Rental Date]],"mmm")</f>
        <v>Apr</v>
      </c>
      <c r="D382" t="str">
        <f>TEXT(tblData[[#This Row],[Rental Date]],"mmmm")</f>
        <v>April</v>
      </c>
      <c r="E382" t="s">
        <v>102</v>
      </c>
      <c r="F382" t="str">
        <f>TEXT(WEEKNUM(tblData[[#This Row],[Rental Date]]),"00")</f>
        <v>17</v>
      </c>
      <c r="G382" s="1">
        <f>EOMONTH(tblData[[#This Row],[Rental Date]],0)</f>
        <v>46142</v>
      </c>
      <c r="H382" t="s">
        <v>204</v>
      </c>
      <c r="I382" t="s">
        <v>48</v>
      </c>
      <c r="J382" t="s">
        <v>44</v>
      </c>
      <c r="K382" t="s">
        <v>60</v>
      </c>
      <c r="L382">
        <v>1</v>
      </c>
      <c r="M382" s="2">
        <v>34</v>
      </c>
      <c r="N382" t="s">
        <v>41</v>
      </c>
      <c r="O382" s="3">
        <v>5</v>
      </c>
      <c r="P382" s="3">
        <v>0</v>
      </c>
      <c r="Q382" s="2">
        <v>39</v>
      </c>
      <c r="R382" t="s">
        <v>45</v>
      </c>
      <c r="S382" t="s">
        <v>46</v>
      </c>
      <c r="T382" t="s">
        <v>29</v>
      </c>
      <c r="U382" t="s">
        <v>30</v>
      </c>
    </row>
    <row r="383" spans="1:21" x14ac:dyDescent="0.35">
      <c r="A383" t="s">
        <v>460</v>
      </c>
      <c r="B383" s="1">
        <v>46133</v>
      </c>
      <c r="C383" t="str">
        <f>TEXT(tblData[[#This Row],[Rental Date]],"mmm")</f>
        <v>Apr</v>
      </c>
      <c r="D383" t="str">
        <f>TEXT(tblData[[#This Row],[Rental Date]],"mmmm")</f>
        <v>April</v>
      </c>
      <c r="E383" t="s">
        <v>102</v>
      </c>
      <c r="F383" t="str">
        <f>TEXT(WEEKNUM(tblData[[#This Row],[Rental Date]]),"00")</f>
        <v>17</v>
      </c>
      <c r="G383" s="1">
        <f>EOMONTH(tblData[[#This Row],[Rental Date]],0)</f>
        <v>46142</v>
      </c>
      <c r="H383" t="s">
        <v>204</v>
      </c>
      <c r="I383" t="s">
        <v>39</v>
      </c>
      <c r="J383" t="s">
        <v>86</v>
      </c>
      <c r="K383" t="s">
        <v>25</v>
      </c>
      <c r="L383">
        <v>1</v>
      </c>
      <c r="M383" s="2">
        <v>58</v>
      </c>
      <c r="N383" t="s">
        <v>26</v>
      </c>
      <c r="O383" s="3">
        <v>0</v>
      </c>
      <c r="P383" s="3">
        <v>0</v>
      </c>
      <c r="Q383" s="2">
        <v>58</v>
      </c>
      <c r="R383" t="s">
        <v>62</v>
      </c>
      <c r="S383" t="s">
        <v>46</v>
      </c>
      <c r="T383" t="s">
        <v>29</v>
      </c>
      <c r="U383" t="s">
        <v>30</v>
      </c>
    </row>
    <row r="384" spans="1:21" x14ac:dyDescent="0.35">
      <c r="A384" t="s">
        <v>461</v>
      </c>
      <c r="B384" s="1">
        <v>46134</v>
      </c>
      <c r="C384" t="str">
        <f>TEXT(tblData[[#This Row],[Rental Date]],"mmm")</f>
        <v>Apr</v>
      </c>
      <c r="D384" t="str">
        <f>TEXT(tblData[[#This Row],[Rental Date]],"mmmm")</f>
        <v>April</v>
      </c>
      <c r="E384" t="s">
        <v>109</v>
      </c>
      <c r="F384" t="str">
        <f>TEXT(WEEKNUM(tblData[[#This Row],[Rental Date]]),"00")</f>
        <v>17</v>
      </c>
      <c r="G384" s="1">
        <f>EOMONTH(tblData[[#This Row],[Rental Date]],0)</f>
        <v>46142</v>
      </c>
      <c r="H384" t="s">
        <v>204</v>
      </c>
      <c r="I384" t="s">
        <v>39</v>
      </c>
      <c r="J384" t="s">
        <v>138</v>
      </c>
      <c r="K384" t="s">
        <v>60</v>
      </c>
      <c r="L384">
        <v>1</v>
      </c>
      <c r="M384" s="2">
        <v>30</v>
      </c>
      <c r="N384" t="s">
        <v>41</v>
      </c>
      <c r="O384" s="3">
        <v>5</v>
      </c>
      <c r="P384" s="3">
        <v>1.75</v>
      </c>
      <c r="Q384" s="2">
        <v>33.25</v>
      </c>
      <c r="R384" t="s">
        <v>76</v>
      </c>
      <c r="S384" t="s">
        <v>35</v>
      </c>
      <c r="T384" t="s">
        <v>29</v>
      </c>
      <c r="U384" t="s">
        <v>79</v>
      </c>
    </row>
    <row r="385" spans="1:21" x14ac:dyDescent="0.35">
      <c r="A385" t="s">
        <v>462</v>
      </c>
      <c r="B385" s="1">
        <v>46135</v>
      </c>
      <c r="C385" t="str">
        <f>TEXT(tblData[[#This Row],[Rental Date]],"mmm")</f>
        <v>Apr</v>
      </c>
      <c r="D385" t="str">
        <f>TEXT(tblData[[#This Row],[Rental Date]],"mmmm")</f>
        <v>April</v>
      </c>
      <c r="E385" t="s">
        <v>21</v>
      </c>
      <c r="F385" t="str">
        <f>TEXT(WEEKNUM(tblData[[#This Row],[Rental Date]]),"00")</f>
        <v>17</v>
      </c>
      <c r="G385" s="1">
        <f>EOMONTH(tblData[[#This Row],[Rental Date]],0)</f>
        <v>46142</v>
      </c>
      <c r="H385" t="s">
        <v>204</v>
      </c>
      <c r="I385" t="s">
        <v>48</v>
      </c>
      <c r="J385" t="s">
        <v>78</v>
      </c>
      <c r="K385" t="s">
        <v>60</v>
      </c>
      <c r="L385">
        <v>1</v>
      </c>
      <c r="M385" s="2">
        <v>26</v>
      </c>
      <c r="N385" t="s">
        <v>70</v>
      </c>
      <c r="O385" s="3">
        <v>7</v>
      </c>
      <c r="P385" s="3">
        <v>0</v>
      </c>
      <c r="Q385" s="2">
        <v>33</v>
      </c>
      <c r="R385" t="s">
        <v>76</v>
      </c>
      <c r="S385" t="s">
        <v>35</v>
      </c>
      <c r="T385" t="s">
        <v>29</v>
      </c>
      <c r="U385" t="s">
        <v>79</v>
      </c>
    </row>
    <row r="386" spans="1:21" x14ac:dyDescent="0.35">
      <c r="A386" t="s">
        <v>463</v>
      </c>
      <c r="B386" s="1">
        <v>46135</v>
      </c>
      <c r="C386" t="str">
        <f>TEXT(tblData[[#This Row],[Rental Date]],"mmm")</f>
        <v>Apr</v>
      </c>
      <c r="D386" t="str">
        <f>TEXT(tblData[[#This Row],[Rental Date]],"mmmm")</f>
        <v>April</v>
      </c>
      <c r="E386" t="s">
        <v>21</v>
      </c>
      <c r="F386" t="str">
        <f>TEXT(WEEKNUM(tblData[[#This Row],[Rental Date]]),"00")</f>
        <v>17</v>
      </c>
      <c r="G386" s="1">
        <f>EOMONTH(tblData[[#This Row],[Rental Date]],0)</f>
        <v>46142</v>
      </c>
      <c r="H386" t="s">
        <v>204</v>
      </c>
      <c r="I386" t="s">
        <v>39</v>
      </c>
      <c r="J386" t="s">
        <v>86</v>
      </c>
      <c r="K386" t="s">
        <v>60</v>
      </c>
      <c r="L386">
        <v>1</v>
      </c>
      <c r="M386" s="2">
        <v>36</v>
      </c>
      <c r="N386" t="s">
        <v>89</v>
      </c>
      <c r="O386" s="3">
        <v>6</v>
      </c>
      <c r="P386" s="3">
        <v>0</v>
      </c>
      <c r="Q386" s="2">
        <v>42</v>
      </c>
      <c r="R386" t="s">
        <v>76</v>
      </c>
      <c r="S386" t="s">
        <v>50</v>
      </c>
      <c r="T386" t="s">
        <v>90</v>
      </c>
      <c r="U386" t="s">
        <v>79</v>
      </c>
    </row>
    <row r="387" spans="1:21" x14ac:dyDescent="0.35">
      <c r="A387" t="s">
        <v>464</v>
      </c>
      <c r="B387" s="1">
        <v>46135</v>
      </c>
      <c r="C387" t="str">
        <f>TEXT(tblData[[#This Row],[Rental Date]],"mmm")</f>
        <v>Apr</v>
      </c>
      <c r="D387" t="str">
        <f>TEXT(tblData[[#This Row],[Rental Date]],"mmmm")</f>
        <v>April</v>
      </c>
      <c r="E387" t="s">
        <v>21</v>
      </c>
      <c r="F387" t="str">
        <f>TEXT(WEEKNUM(tblData[[#This Row],[Rental Date]]),"00")</f>
        <v>17</v>
      </c>
      <c r="G387" s="1">
        <f>EOMONTH(tblData[[#This Row],[Rental Date]],0)</f>
        <v>46142</v>
      </c>
      <c r="H387" t="s">
        <v>204</v>
      </c>
      <c r="I387" t="s">
        <v>48</v>
      </c>
      <c r="J387" t="s">
        <v>44</v>
      </c>
      <c r="K387" t="s">
        <v>40</v>
      </c>
      <c r="L387">
        <v>1</v>
      </c>
      <c r="M387" s="2">
        <v>78</v>
      </c>
      <c r="N387" t="s">
        <v>26</v>
      </c>
      <c r="O387" s="3">
        <v>0</v>
      </c>
      <c r="P387" s="3">
        <v>0</v>
      </c>
      <c r="Q387" s="2">
        <v>78</v>
      </c>
      <c r="R387" t="s">
        <v>45</v>
      </c>
      <c r="S387" t="s">
        <v>50</v>
      </c>
      <c r="T387" t="s">
        <v>63</v>
      </c>
      <c r="U387" t="s">
        <v>79</v>
      </c>
    </row>
    <row r="388" spans="1:21" x14ac:dyDescent="0.35">
      <c r="A388" t="s">
        <v>465</v>
      </c>
      <c r="B388" s="1">
        <v>46135</v>
      </c>
      <c r="C388" t="str">
        <f>TEXT(tblData[[#This Row],[Rental Date]],"mmm")</f>
        <v>Apr</v>
      </c>
      <c r="D388" t="str">
        <f>TEXT(tblData[[#This Row],[Rental Date]],"mmmm")</f>
        <v>April</v>
      </c>
      <c r="E388" t="s">
        <v>21</v>
      </c>
      <c r="F388" t="str">
        <f>TEXT(WEEKNUM(tblData[[#This Row],[Rental Date]]),"00")</f>
        <v>17</v>
      </c>
      <c r="G388" s="1">
        <f>EOMONTH(tblData[[#This Row],[Rental Date]],0)</f>
        <v>46142</v>
      </c>
      <c r="H388" t="s">
        <v>204</v>
      </c>
      <c r="I388" t="s">
        <v>48</v>
      </c>
      <c r="J388" t="s">
        <v>65</v>
      </c>
      <c r="K388" t="s">
        <v>92</v>
      </c>
      <c r="L388">
        <v>1</v>
      </c>
      <c r="M388" s="2">
        <v>40</v>
      </c>
      <c r="N388" t="s">
        <v>26</v>
      </c>
      <c r="O388" s="3">
        <v>0</v>
      </c>
      <c r="P388" s="3">
        <v>0</v>
      </c>
      <c r="Q388" s="2">
        <v>40</v>
      </c>
      <c r="R388" t="s">
        <v>45</v>
      </c>
      <c r="S388" t="s">
        <v>54</v>
      </c>
      <c r="T388" t="s">
        <v>29</v>
      </c>
      <c r="U388" t="s">
        <v>58</v>
      </c>
    </row>
    <row r="389" spans="1:21" x14ac:dyDescent="0.35">
      <c r="A389" t="s">
        <v>466</v>
      </c>
      <c r="B389" s="1">
        <v>46135</v>
      </c>
      <c r="C389" t="str">
        <f>TEXT(tblData[[#This Row],[Rental Date]],"mmm")</f>
        <v>Apr</v>
      </c>
      <c r="D389" t="str">
        <f>TEXT(tblData[[#This Row],[Rental Date]],"mmmm")</f>
        <v>April</v>
      </c>
      <c r="E389" t="s">
        <v>21</v>
      </c>
      <c r="F389" t="str">
        <f>TEXT(WEEKNUM(tblData[[#This Row],[Rental Date]]),"00")</f>
        <v>17</v>
      </c>
      <c r="G389" s="1">
        <f>EOMONTH(tblData[[#This Row],[Rental Date]],0)</f>
        <v>46142</v>
      </c>
      <c r="H389" t="s">
        <v>204</v>
      </c>
      <c r="I389" t="s">
        <v>53</v>
      </c>
      <c r="J389" t="s">
        <v>78</v>
      </c>
      <c r="K389" t="s">
        <v>25</v>
      </c>
      <c r="L389">
        <v>1</v>
      </c>
      <c r="M389" s="2">
        <v>42</v>
      </c>
      <c r="N389" t="s">
        <v>26</v>
      </c>
      <c r="O389" s="3">
        <v>0</v>
      </c>
      <c r="P389" s="3">
        <v>6.3</v>
      </c>
      <c r="Q389" s="2">
        <v>35.700000000000003</v>
      </c>
      <c r="R389" t="s">
        <v>42</v>
      </c>
      <c r="S389" t="s">
        <v>46</v>
      </c>
      <c r="T389" t="s">
        <v>90</v>
      </c>
      <c r="U389" t="s">
        <v>79</v>
      </c>
    </row>
    <row r="390" spans="1:21" x14ac:dyDescent="0.35">
      <c r="A390" t="s">
        <v>467</v>
      </c>
      <c r="B390" s="1">
        <v>46136</v>
      </c>
      <c r="C390" t="str">
        <f>TEXT(tblData[[#This Row],[Rental Date]],"mmm")</f>
        <v>Apr</v>
      </c>
      <c r="D390" t="str">
        <f>TEXT(tblData[[#This Row],[Rental Date]],"mmmm")</f>
        <v>April</v>
      </c>
      <c r="E390" t="s">
        <v>38</v>
      </c>
      <c r="F390" t="str">
        <f>TEXT(WEEKNUM(tblData[[#This Row],[Rental Date]]),"00")</f>
        <v>17</v>
      </c>
      <c r="G390" s="1">
        <f>EOMONTH(tblData[[#This Row],[Rental Date]],0)</f>
        <v>46142</v>
      </c>
      <c r="H390" t="s">
        <v>204</v>
      </c>
      <c r="I390" t="s">
        <v>23</v>
      </c>
      <c r="J390" t="s">
        <v>127</v>
      </c>
      <c r="K390" t="s">
        <v>25</v>
      </c>
      <c r="L390">
        <v>1</v>
      </c>
      <c r="M390" s="2">
        <v>16</v>
      </c>
      <c r="N390" t="s">
        <v>87</v>
      </c>
      <c r="O390" s="3">
        <v>10</v>
      </c>
      <c r="P390" s="3">
        <v>1.3</v>
      </c>
      <c r="Q390" s="2">
        <v>24.7</v>
      </c>
      <c r="R390" t="s">
        <v>66</v>
      </c>
      <c r="S390" t="s">
        <v>50</v>
      </c>
      <c r="T390" t="s">
        <v>29</v>
      </c>
      <c r="U390" t="s">
        <v>58</v>
      </c>
    </row>
    <row r="391" spans="1:21" x14ac:dyDescent="0.35">
      <c r="A391" t="s">
        <v>468</v>
      </c>
      <c r="B391" s="1">
        <v>46136</v>
      </c>
      <c r="C391" t="str">
        <f>TEXT(tblData[[#This Row],[Rental Date]],"mmm")</f>
        <v>Apr</v>
      </c>
      <c r="D391" t="str">
        <f>TEXT(tblData[[#This Row],[Rental Date]],"mmmm")</f>
        <v>April</v>
      </c>
      <c r="E391" t="s">
        <v>38</v>
      </c>
      <c r="F391" t="str">
        <f>TEXT(WEEKNUM(tblData[[#This Row],[Rental Date]]),"00")</f>
        <v>17</v>
      </c>
      <c r="G391" s="1">
        <f>EOMONTH(tblData[[#This Row],[Rental Date]],0)</f>
        <v>46142</v>
      </c>
      <c r="H391" t="s">
        <v>204</v>
      </c>
      <c r="I391" t="s">
        <v>32</v>
      </c>
      <c r="J391" t="s">
        <v>138</v>
      </c>
      <c r="K391" t="s">
        <v>60</v>
      </c>
      <c r="L391">
        <v>1</v>
      </c>
      <c r="M391" s="2">
        <v>30</v>
      </c>
      <c r="N391" t="s">
        <v>41</v>
      </c>
      <c r="O391" s="3">
        <v>5</v>
      </c>
      <c r="P391" s="3">
        <v>1.75</v>
      </c>
      <c r="Q391" s="2">
        <v>33.25</v>
      </c>
      <c r="R391" t="s">
        <v>34</v>
      </c>
      <c r="S391" t="s">
        <v>28</v>
      </c>
      <c r="T391" t="s">
        <v>51</v>
      </c>
      <c r="U391" t="s">
        <v>58</v>
      </c>
    </row>
    <row r="392" spans="1:21" x14ac:dyDescent="0.35">
      <c r="A392" t="s">
        <v>469</v>
      </c>
      <c r="B392" s="1">
        <v>46136</v>
      </c>
      <c r="C392" t="str">
        <f>TEXT(tblData[[#This Row],[Rental Date]],"mmm")</f>
        <v>Apr</v>
      </c>
      <c r="D392" t="str">
        <f>TEXT(tblData[[#This Row],[Rental Date]],"mmmm")</f>
        <v>April</v>
      </c>
      <c r="E392" t="s">
        <v>38</v>
      </c>
      <c r="F392" t="str">
        <f>TEXT(WEEKNUM(tblData[[#This Row],[Rental Date]]),"00")</f>
        <v>17</v>
      </c>
      <c r="G392" s="1">
        <f>EOMONTH(tblData[[#This Row],[Rental Date]],0)</f>
        <v>46142</v>
      </c>
      <c r="H392" t="s">
        <v>204</v>
      </c>
      <c r="I392" t="s">
        <v>39</v>
      </c>
      <c r="J392" t="s">
        <v>24</v>
      </c>
      <c r="K392" t="s">
        <v>40</v>
      </c>
      <c r="L392">
        <v>1</v>
      </c>
      <c r="M392" s="2">
        <v>76</v>
      </c>
      <c r="N392" t="s">
        <v>26</v>
      </c>
      <c r="O392" s="3">
        <v>0</v>
      </c>
      <c r="P392" s="3">
        <v>0</v>
      </c>
      <c r="Q392" s="2">
        <v>76</v>
      </c>
      <c r="R392" t="s">
        <v>62</v>
      </c>
      <c r="S392" t="s">
        <v>54</v>
      </c>
      <c r="T392" t="s">
        <v>90</v>
      </c>
      <c r="U392" t="s">
        <v>79</v>
      </c>
    </row>
    <row r="393" spans="1:21" x14ac:dyDescent="0.35">
      <c r="A393" t="s">
        <v>470</v>
      </c>
      <c r="B393" s="1">
        <v>46136</v>
      </c>
      <c r="C393" t="str">
        <f>TEXT(tblData[[#This Row],[Rental Date]],"mmm")</f>
        <v>Apr</v>
      </c>
      <c r="D393" t="str">
        <f>TEXT(tblData[[#This Row],[Rental Date]],"mmmm")</f>
        <v>April</v>
      </c>
      <c r="E393" t="s">
        <v>38</v>
      </c>
      <c r="F393" t="str">
        <f>TEXT(WEEKNUM(tblData[[#This Row],[Rental Date]]),"00")</f>
        <v>17</v>
      </c>
      <c r="G393" s="1">
        <f>EOMONTH(tblData[[#This Row],[Rental Date]],0)</f>
        <v>46142</v>
      </c>
      <c r="H393" t="s">
        <v>204</v>
      </c>
      <c r="I393" t="s">
        <v>23</v>
      </c>
      <c r="J393" t="s">
        <v>78</v>
      </c>
      <c r="K393" t="s">
        <v>92</v>
      </c>
      <c r="L393">
        <v>1</v>
      </c>
      <c r="M393" s="2">
        <v>88</v>
      </c>
      <c r="N393" t="s">
        <v>26</v>
      </c>
      <c r="O393" s="3">
        <v>0</v>
      </c>
      <c r="P393" s="3">
        <v>0</v>
      </c>
      <c r="Q393" s="2">
        <v>88</v>
      </c>
      <c r="R393" t="s">
        <v>57</v>
      </c>
      <c r="S393" t="s">
        <v>54</v>
      </c>
      <c r="T393" t="s">
        <v>51</v>
      </c>
      <c r="U393" t="s">
        <v>79</v>
      </c>
    </row>
    <row r="394" spans="1:21" x14ac:dyDescent="0.35">
      <c r="A394" t="s">
        <v>471</v>
      </c>
      <c r="B394" s="1">
        <v>46136</v>
      </c>
      <c r="C394" t="str">
        <f>TEXT(tblData[[#This Row],[Rental Date]],"mmm")</f>
        <v>Apr</v>
      </c>
      <c r="D394" t="str">
        <f>TEXT(tblData[[#This Row],[Rental Date]],"mmmm")</f>
        <v>April</v>
      </c>
      <c r="E394" t="s">
        <v>38</v>
      </c>
      <c r="F394" t="str">
        <f>TEXT(WEEKNUM(tblData[[#This Row],[Rental Date]]),"00")</f>
        <v>17</v>
      </c>
      <c r="G394" s="1">
        <f>EOMONTH(tblData[[#This Row],[Rental Date]],0)</f>
        <v>46142</v>
      </c>
      <c r="H394" t="s">
        <v>204</v>
      </c>
      <c r="I394" t="s">
        <v>48</v>
      </c>
      <c r="J394" t="s">
        <v>65</v>
      </c>
      <c r="K394" t="s">
        <v>25</v>
      </c>
      <c r="L394">
        <v>1</v>
      </c>
      <c r="M394" s="2">
        <v>18</v>
      </c>
      <c r="N394" t="s">
        <v>87</v>
      </c>
      <c r="O394" s="3">
        <v>10</v>
      </c>
      <c r="P394" s="3">
        <v>0</v>
      </c>
      <c r="Q394" s="2">
        <v>28</v>
      </c>
      <c r="R394" t="s">
        <v>66</v>
      </c>
      <c r="S394" t="s">
        <v>54</v>
      </c>
      <c r="T394" t="s">
        <v>63</v>
      </c>
      <c r="U394" t="s">
        <v>79</v>
      </c>
    </row>
    <row r="395" spans="1:21" x14ac:dyDescent="0.35">
      <c r="A395" t="s">
        <v>472</v>
      </c>
      <c r="B395" s="1">
        <v>46136</v>
      </c>
      <c r="C395" t="str">
        <f>TEXT(tblData[[#This Row],[Rental Date]],"mmm")</f>
        <v>Apr</v>
      </c>
      <c r="D395" t="str">
        <f>TEXT(tblData[[#This Row],[Rental Date]],"mmmm")</f>
        <v>April</v>
      </c>
      <c r="E395" t="s">
        <v>38</v>
      </c>
      <c r="F395" t="str">
        <f>TEXT(WEEKNUM(tblData[[#This Row],[Rental Date]]),"00")</f>
        <v>17</v>
      </c>
      <c r="G395" s="1">
        <f>EOMONTH(tblData[[#This Row],[Rental Date]],0)</f>
        <v>46142</v>
      </c>
      <c r="H395" t="s">
        <v>204</v>
      </c>
      <c r="I395" t="s">
        <v>32</v>
      </c>
      <c r="J395" t="s">
        <v>78</v>
      </c>
      <c r="K395" t="s">
        <v>25</v>
      </c>
      <c r="L395">
        <v>1</v>
      </c>
      <c r="M395" s="2">
        <v>42</v>
      </c>
      <c r="N395" t="s">
        <v>26</v>
      </c>
      <c r="O395" s="3">
        <v>0</v>
      </c>
      <c r="P395" s="3">
        <v>0</v>
      </c>
      <c r="Q395" s="2">
        <v>42</v>
      </c>
      <c r="R395" t="s">
        <v>76</v>
      </c>
      <c r="S395" t="s">
        <v>50</v>
      </c>
      <c r="T395" t="s">
        <v>29</v>
      </c>
      <c r="U395" t="s">
        <v>30</v>
      </c>
    </row>
    <row r="396" spans="1:21" x14ac:dyDescent="0.35">
      <c r="A396" t="s">
        <v>473</v>
      </c>
      <c r="B396" s="1">
        <v>46136</v>
      </c>
      <c r="C396" t="str">
        <f>TEXT(tblData[[#This Row],[Rental Date]],"mmm")</f>
        <v>Apr</v>
      </c>
      <c r="D396" t="str">
        <f>TEXT(tblData[[#This Row],[Rental Date]],"mmmm")</f>
        <v>April</v>
      </c>
      <c r="E396" t="s">
        <v>38</v>
      </c>
      <c r="F396" t="str">
        <f>TEXT(WEEKNUM(tblData[[#This Row],[Rental Date]]),"00")</f>
        <v>17</v>
      </c>
      <c r="G396" s="1">
        <f>EOMONTH(tblData[[#This Row],[Rental Date]],0)</f>
        <v>46142</v>
      </c>
      <c r="H396" t="s">
        <v>204</v>
      </c>
      <c r="I396" t="s">
        <v>48</v>
      </c>
      <c r="J396" t="s">
        <v>65</v>
      </c>
      <c r="K396" t="s">
        <v>25</v>
      </c>
      <c r="L396">
        <v>1</v>
      </c>
      <c r="M396" s="2">
        <v>18</v>
      </c>
      <c r="N396" t="s">
        <v>41</v>
      </c>
      <c r="O396" s="3">
        <v>5</v>
      </c>
      <c r="P396" s="3">
        <v>0</v>
      </c>
      <c r="Q396" s="2">
        <v>23</v>
      </c>
      <c r="R396" t="s">
        <v>76</v>
      </c>
      <c r="S396" t="s">
        <v>46</v>
      </c>
      <c r="T396" t="s">
        <v>51</v>
      </c>
      <c r="U396" t="s">
        <v>58</v>
      </c>
    </row>
    <row r="397" spans="1:21" x14ac:dyDescent="0.35">
      <c r="A397" t="s">
        <v>474</v>
      </c>
      <c r="B397" s="1">
        <v>46136</v>
      </c>
      <c r="C397" t="str">
        <f>TEXT(tblData[[#This Row],[Rental Date]],"mmm")</f>
        <v>Apr</v>
      </c>
      <c r="D397" t="str">
        <f>TEXT(tblData[[#This Row],[Rental Date]],"mmmm")</f>
        <v>April</v>
      </c>
      <c r="E397" t="s">
        <v>38</v>
      </c>
      <c r="F397" t="str">
        <f>TEXT(WEEKNUM(tblData[[#This Row],[Rental Date]]),"00")</f>
        <v>17</v>
      </c>
      <c r="G397" s="1">
        <f>EOMONTH(tblData[[#This Row],[Rental Date]],0)</f>
        <v>46142</v>
      </c>
      <c r="H397" t="s">
        <v>204</v>
      </c>
      <c r="I397" t="s">
        <v>39</v>
      </c>
      <c r="J397" t="s">
        <v>33</v>
      </c>
      <c r="K397" t="s">
        <v>25</v>
      </c>
      <c r="L397">
        <v>1</v>
      </c>
      <c r="M397" s="2">
        <v>38</v>
      </c>
      <c r="N397" t="s">
        <v>26</v>
      </c>
      <c r="O397" s="3">
        <v>0</v>
      </c>
      <c r="P397" s="3">
        <v>0</v>
      </c>
      <c r="Q397" s="2">
        <v>38</v>
      </c>
      <c r="R397" t="s">
        <v>57</v>
      </c>
      <c r="S397" t="s">
        <v>50</v>
      </c>
      <c r="T397" t="s">
        <v>63</v>
      </c>
      <c r="U397" t="s">
        <v>58</v>
      </c>
    </row>
    <row r="398" spans="1:21" x14ac:dyDescent="0.35">
      <c r="A398" t="s">
        <v>475</v>
      </c>
      <c r="B398" s="1">
        <v>46136</v>
      </c>
      <c r="C398" t="str">
        <f>TEXT(tblData[[#This Row],[Rental Date]],"mmm")</f>
        <v>Apr</v>
      </c>
      <c r="D398" t="str">
        <f>TEXT(tblData[[#This Row],[Rental Date]],"mmmm")</f>
        <v>April</v>
      </c>
      <c r="E398" t="s">
        <v>38</v>
      </c>
      <c r="F398" t="str">
        <f>TEXT(WEEKNUM(tblData[[#This Row],[Rental Date]]),"00")</f>
        <v>17</v>
      </c>
      <c r="G398" s="1">
        <f>EOMONTH(tblData[[#This Row],[Rental Date]],0)</f>
        <v>46142</v>
      </c>
      <c r="H398" t="s">
        <v>204</v>
      </c>
      <c r="I398" t="s">
        <v>39</v>
      </c>
      <c r="J398" t="s">
        <v>111</v>
      </c>
      <c r="K398" t="s">
        <v>60</v>
      </c>
      <c r="L398">
        <v>1</v>
      </c>
      <c r="M398" s="2">
        <v>14</v>
      </c>
      <c r="N398" t="s">
        <v>26</v>
      </c>
      <c r="O398" s="3">
        <v>0</v>
      </c>
      <c r="P398" s="3">
        <v>0</v>
      </c>
      <c r="Q398" s="2">
        <v>14</v>
      </c>
      <c r="R398" t="s">
        <v>42</v>
      </c>
      <c r="S398" t="s">
        <v>46</v>
      </c>
      <c r="T398" t="s">
        <v>29</v>
      </c>
      <c r="U398" t="s">
        <v>58</v>
      </c>
    </row>
    <row r="399" spans="1:21" x14ac:dyDescent="0.35">
      <c r="A399" t="s">
        <v>476</v>
      </c>
      <c r="B399" s="1">
        <v>46137</v>
      </c>
      <c r="C399" t="str">
        <f>TEXT(tblData[[#This Row],[Rental Date]],"mmm")</f>
        <v>Apr</v>
      </c>
      <c r="D399" t="str">
        <f>TEXT(tblData[[#This Row],[Rental Date]],"mmmm")</f>
        <v>April</v>
      </c>
      <c r="E399" t="s">
        <v>56</v>
      </c>
      <c r="F399" t="str">
        <f>TEXT(WEEKNUM(tblData[[#This Row],[Rental Date]]),"00")</f>
        <v>17</v>
      </c>
      <c r="G399" s="1">
        <f>EOMONTH(tblData[[#This Row],[Rental Date]],0)</f>
        <v>46142</v>
      </c>
      <c r="H399" t="s">
        <v>204</v>
      </c>
      <c r="I399" t="s">
        <v>48</v>
      </c>
      <c r="J399" t="s">
        <v>86</v>
      </c>
      <c r="K399" t="s">
        <v>40</v>
      </c>
      <c r="L399">
        <v>1</v>
      </c>
      <c r="M399" s="2">
        <v>92.88</v>
      </c>
      <c r="N399" t="s">
        <v>26</v>
      </c>
      <c r="O399" s="3">
        <v>0</v>
      </c>
      <c r="P399" s="3">
        <v>0</v>
      </c>
      <c r="Q399" s="2">
        <v>92.88</v>
      </c>
      <c r="R399" t="s">
        <v>27</v>
      </c>
      <c r="S399" t="s">
        <v>50</v>
      </c>
      <c r="T399" t="s">
        <v>29</v>
      </c>
      <c r="U399" t="s">
        <v>36</v>
      </c>
    </row>
    <row r="400" spans="1:21" x14ac:dyDescent="0.35">
      <c r="A400" t="s">
        <v>477</v>
      </c>
      <c r="B400" s="1">
        <v>46137</v>
      </c>
      <c r="C400" t="str">
        <f>TEXT(tblData[[#This Row],[Rental Date]],"mmm")</f>
        <v>Apr</v>
      </c>
      <c r="D400" t="str">
        <f>TEXT(tblData[[#This Row],[Rental Date]],"mmmm")</f>
        <v>April</v>
      </c>
      <c r="E400" t="s">
        <v>56</v>
      </c>
      <c r="F400" t="str">
        <f>TEXT(WEEKNUM(tblData[[#This Row],[Rental Date]]),"00")</f>
        <v>17</v>
      </c>
      <c r="G400" s="1">
        <f>EOMONTH(tblData[[#This Row],[Rental Date]],0)</f>
        <v>46142</v>
      </c>
      <c r="H400" t="s">
        <v>204</v>
      </c>
      <c r="I400" t="s">
        <v>39</v>
      </c>
      <c r="J400" t="s">
        <v>24</v>
      </c>
      <c r="K400" t="s">
        <v>25</v>
      </c>
      <c r="L400">
        <v>1</v>
      </c>
      <c r="M400" s="2">
        <v>54</v>
      </c>
      <c r="N400" t="s">
        <v>75</v>
      </c>
      <c r="O400" s="3">
        <v>12</v>
      </c>
      <c r="P400" s="3">
        <v>0</v>
      </c>
      <c r="Q400" s="2">
        <v>66</v>
      </c>
      <c r="R400" t="s">
        <v>57</v>
      </c>
      <c r="S400" t="s">
        <v>46</v>
      </c>
      <c r="T400" t="s">
        <v>29</v>
      </c>
      <c r="U400" t="s">
        <v>58</v>
      </c>
    </row>
    <row r="401" spans="1:21" x14ac:dyDescent="0.35">
      <c r="A401" t="s">
        <v>478</v>
      </c>
      <c r="B401" s="1">
        <v>46137</v>
      </c>
      <c r="C401" t="str">
        <f>TEXT(tblData[[#This Row],[Rental Date]],"mmm")</f>
        <v>Apr</v>
      </c>
      <c r="D401" t="str">
        <f>TEXT(tblData[[#This Row],[Rental Date]],"mmmm")</f>
        <v>April</v>
      </c>
      <c r="E401" t="s">
        <v>56</v>
      </c>
      <c r="F401" t="str">
        <f>TEXT(WEEKNUM(tblData[[#This Row],[Rental Date]]),"00")</f>
        <v>17</v>
      </c>
      <c r="G401" s="1">
        <f>EOMONTH(tblData[[#This Row],[Rental Date]],0)</f>
        <v>46142</v>
      </c>
      <c r="H401" t="s">
        <v>204</v>
      </c>
      <c r="I401" t="s">
        <v>53</v>
      </c>
      <c r="J401" t="s">
        <v>49</v>
      </c>
      <c r="K401" t="s">
        <v>60</v>
      </c>
      <c r="L401">
        <v>1</v>
      </c>
      <c r="M401" s="2">
        <v>23.76</v>
      </c>
      <c r="N401" t="s">
        <v>26</v>
      </c>
      <c r="O401" s="3">
        <v>0</v>
      </c>
      <c r="P401" s="3">
        <v>2.38</v>
      </c>
      <c r="Q401" s="2">
        <v>21.38</v>
      </c>
      <c r="R401" t="s">
        <v>62</v>
      </c>
      <c r="S401" t="s">
        <v>50</v>
      </c>
      <c r="T401" t="s">
        <v>29</v>
      </c>
      <c r="U401" t="s">
        <v>79</v>
      </c>
    </row>
    <row r="402" spans="1:21" x14ac:dyDescent="0.35">
      <c r="A402" t="s">
        <v>479</v>
      </c>
      <c r="B402" s="1">
        <v>46137</v>
      </c>
      <c r="C402" t="str">
        <f>TEXT(tblData[[#This Row],[Rental Date]],"mmm")</f>
        <v>Apr</v>
      </c>
      <c r="D402" t="str">
        <f>TEXT(tblData[[#This Row],[Rental Date]],"mmmm")</f>
        <v>April</v>
      </c>
      <c r="E402" t="s">
        <v>56</v>
      </c>
      <c r="F402" t="str">
        <f>TEXT(WEEKNUM(tblData[[#This Row],[Rental Date]]),"00")</f>
        <v>17</v>
      </c>
      <c r="G402" s="1">
        <f>EOMONTH(tblData[[#This Row],[Rental Date]],0)</f>
        <v>46142</v>
      </c>
      <c r="H402" t="s">
        <v>204</v>
      </c>
      <c r="I402" t="s">
        <v>48</v>
      </c>
      <c r="J402" t="s">
        <v>78</v>
      </c>
      <c r="K402" t="s">
        <v>40</v>
      </c>
      <c r="L402">
        <v>1</v>
      </c>
      <c r="M402" s="2">
        <v>66.959999999999994</v>
      </c>
      <c r="N402" t="s">
        <v>41</v>
      </c>
      <c r="O402" s="3">
        <v>5</v>
      </c>
      <c r="P402" s="3">
        <v>0</v>
      </c>
      <c r="Q402" s="2">
        <v>71.959999999999994</v>
      </c>
      <c r="R402" t="s">
        <v>27</v>
      </c>
      <c r="S402" t="s">
        <v>28</v>
      </c>
      <c r="T402" t="s">
        <v>29</v>
      </c>
      <c r="U402" t="s">
        <v>30</v>
      </c>
    </row>
    <row r="403" spans="1:21" x14ac:dyDescent="0.35">
      <c r="A403" t="s">
        <v>480</v>
      </c>
      <c r="B403" s="1">
        <v>46137</v>
      </c>
      <c r="C403" t="str">
        <f>TEXT(tblData[[#This Row],[Rental Date]],"mmm")</f>
        <v>Apr</v>
      </c>
      <c r="D403" t="str">
        <f>TEXT(tblData[[#This Row],[Rental Date]],"mmmm")</f>
        <v>April</v>
      </c>
      <c r="E403" t="s">
        <v>56</v>
      </c>
      <c r="F403" t="str">
        <f>TEXT(WEEKNUM(tblData[[#This Row],[Rental Date]]),"00")</f>
        <v>17</v>
      </c>
      <c r="G403" s="1">
        <f>EOMONTH(tblData[[#This Row],[Rental Date]],0)</f>
        <v>46142</v>
      </c>
      <c r="H403" t="s">
        <v>204</v>
      </c>
      <c r="I403" t="s">
        <v>39</v>
      </c>
      <c r="J403" t="s">
        <v>33</v>
      </c>
      <c r="K403" t="s">
        <v>40</v>
      </c>
      <c r="L403">
        <v>1</v>
      </c>
      <c r="M403" s="2">
        <v>62.64</v>
      </c>
      <c r="N403" t="s">
        <v>70</v>
      </c>
      <c r="O403" s="3">
        <v>7</v>
      </c>
      <c r="P403" s="3">
        <v>0</v>
      </c>
      <c r="Q403" s="2">
        <v>69.64</v>
      </c>
      <c r="R403" t="s">
        <v>76</v>
      </c>
      <c r="S403" t="s">
        <v>54</v>
      </c>
      <c r="T403" t="s">
        <v>29</v>
      </c>
      <c r="U403" t="s">
        <v>58</v>
      </c>
    </row>
    <row r="404" spans="1:21" x14ac:dyDescent="0.35">
      <c r="A404" t="s">
        <v>481</v>
      </c>
      <c r="B404" s="1">
        <v>46137</v>
      </c>
      <c r="C404" t="str">
        <f>TEXT(tblData[[#This Row],[Rental Date]],"mmm")</f>
        <v>Apr</v>
      </c>
      <c r="D404" t="str">
        <f>TEXT(tblData[[#This Row],[Rental Date]],"mmmm")</f>
        <v>April</v>
      </c>
      <c r="E404" t="s">
        <v>56</v>
      </c>
      <c r="F404" t="str">
        <f>TEXT(WEEKNUM(tblData[[#This Row],[Rental Date]]),"00")</f>
        <v>17</v>
      </c>
      <c r="G404" s="1">
        <f>EOMONTH(tblData[[#This Row],[Rental Date]],0)</f>
        <v>46142</v>
      </c>
      <c r="H404" t="s">
        <v>204</v>
      </c>
      <c r="I404" t="s">
        <v>48</v>
      </c>
      <c r="J404" t="s">
        <v>33</v>
      </c>
      <c r="K404" t="s">
        <v>92</v>
      </c>
      <c r="L404">
        <v>1</v>
      </c>
      <c r="M404" s="2">
        <v>90.72</v>
      </c>
      <c r="N404" t="s">
        <v>26</v>
      </c>
      <c r="O404" s="3">
        <v>0</v>
      </c>
      <c r="P404" s="3">
        <v>0</v>
      </c>
      <c r="Q404" s="2">
        <v>90.72</v>
      </c>
      <c r="R404" t="s">
        <v>34</v>
      </c>
      <c r="S404" t="s">
        <v>54</v>
      </c>
      <c r="T404" t="s">
        <v>29</v>
      </c>
      <c r="U404" t="s">
        <v>30</v>
      </c>
    </row>
    <row r="405" spans="1:21" x14ac:dyDescent="0.35">
      <c r="A405" t="s">
        <v>482</v>
      </c>
      <c r="B405" s="1">
        <v>46137</v>
      </c>
      <c r="C405" t="str">
        <f>TEXT(tblData[[#This Row],[Rental Date]],"mmm")</f>
        <v>Apr</v>
      </c>
      <c r="D405" t="str">
        <f>TEXT(tblData[[#This Row],[Rental Date]],"mmmm")</f>
        <v>April</v>
      </c>
      <c r="E405" t="s">
        <v>56</v>
      </c>
      <c r="F405" t="str">
        <f>TEXT(WEEKNUM(tblData[[#This Row],[Rental Date]]),"00")</f>
        <v>17</v>
      </c>
      <c r="G405" s="1">
        <f>EOMONTH(tblData[[#This Row],[Rental Date]],0)</f>
        <v>46142</v>
      </c>
      <c r="H405" t="s">
        <v>204</v>
      </c>
      <c r="I405" t="s">
        <v>39</v>
      </c>
      <c r="J405" t="s">
        <v>24</v>
      </c>
      <c r="K405" t="s">
        <v>92</v>
      </c>
      <c r="L405">
        <v>1</v>
      </c>
      <c r="M405" s="2">
        <v>118.8</v>
      </c>
      <c r="N405" t="s">
        <v>26</v>
      </c>
      <c r="O405" s="3">
        <v>0</v>
      </c>
      <c r="P405" s="3">
        <v>0</v>
      </c>
      <c r="Q405" s="2">
        <v>118.8</v>
      </c>
      <c r="R405" t="s">
        <v>94</v>
      </c>
      <c r="S405" t="s">
        <v>50</v>
      </c>
      <c r="T405" t="s">
        <v>29</v>
      </c>
      <c r="U405" t="s">
        <v>30</v>
      </c>
    </row>
    <row r="406" spans="1:21" x14ac:dyDescent="0.35">
      <c r="A406" t="s">
        <v>483</v>
      </c>
      <c r="B406" s="1">
        <v>46137</v>
      </c>
      <c r="C406" t="str">
        <f>TEXT(tblData[[#This Row],[Rental Date]],"mmm")</f>
        <v>Apr</v>
      </c>
      <c r="D406" t="str">
        <f>TEXT(tblData[[#This Row],[Rental Date]],"mmmm")</f>
        <v>April</v>
      </c>
      <c r="E406" t="s">
        <v>56</v>
      </c>
      <c r="F406" t="str">
        <f>TEXT(WEEKNUM(tblData[[#This Row],[Rental Date]]),"00")</f>
        <v>17</v>
      </c>
      <c r="G406" s="1">
        <f>EOMONTH(tblData[[#This Row],[Rental Date]],0)</f>
        <v>46142</v>
      </c>
      <c r="H406" t="s">
        <v>204</v>
      </c>
      <c r="I406" t="s">
        <v>48</v>
      </c>
      <c r="J406" t="s">
        <v>33</v>
      </c>
      <c r="K406" t="s">
        <v>25</v>
      </c>
      <c r="L406">
        <v>1</v>
      </c>
      <c r="M406" s="2">
        <v>41.04</v>
      </c>
      <c r="N406" t="s">
        <v>75</v>
      </c>
      <c r="O406" s="3">
        <v>12</v>
      </c>
      <c r="P406" s="3">
        <v>0</v>
      </c>
      <c r="Q406" s="2">
        <v>53.04</v>
      </c>
      <c r="R406" t="s">
        <v>66</v>
      </c>
      <c r="S406" t="s">
        <v>50</v>
      </c>
      <c r="T406" t="s">
        <v>51</v>
      </c>
      <c r="U406" t="s">
        <v>79</v>
      </c>
    </row>
    <row r="407" spans="1:21" x14ac:dyDescent="0.35">
      <c r="A407" t="s">
        <v>484</v>
      </c>
      <c r="B407" s="1">
        <v>46138</v>
      </c>
      <c r="C407" t="str">
        <f>TEXT(tblData[[#This Row],[Rental Date]],"mmm")</f>
        <v>Apr</v>
      </c>
      <c r="D407" t="str">
        <f>TEXT(tblData[[#This Row],[Rental Date]],"mmmm")</f>
        <v>April</v>
      </c>
      <c r="E407" t="s">
        <v>68</v>
      </c>
      <c r="F407" t="str">
        <f>TEXT(WEEKNUM(tblData[[#This Row],[Rental Date]]),"00")</f>
        <v>18</v>
      </c>
      <c r="G407" s="1">
        <f>EOMONTH(tblData[[#This Row],[Rental Date]],0)</f>
        <v>46142</v>
      </c>
      <c r="H407" t="s">
        <v>204</v>
      </c>
      <c r="I407" t="s">
        <v>39</v>
      </c>
      <c r="J407" t="s">
        <v>33</v>
      </c>
      <c r="K407" t="s">
        <v>25</v>
      </c>
      <c r="L407">
        <v>1</v>
      </c>
      <c r="M407" s="2">
        <v>41.04</v>
      </c>
      <c r="N407" t="s">
        <v>70</v>
      </c>
      <c r="O407" s="3">
        <v>7</v>
      </c>
      <c r="P407" s="3">
        <v>0</v>
      </c>
      <c r="Q407" s="2">
        <v>48.04</v>
      </c>
      <c r="R407" t="s">
        <v>57</v>
      </c>
      <c r="S407" t="s">
        <v>50</v>
      </c>
      <c r="T407" t="s">
        <v>29</v>
      </c>
      <c r="U407" t="s">
        <v>30</v>
      </c>
    </row>
    <row r="408" spans="1:21" x14ac:dyDescent="0.35">
      <c r="A408" t="s">
        <v>485</v>
      </c>
      <c r="B408" s="1">
        <v>46138</v>
      </c>
      <c r="C408" t="str">
        <f>TEXT(tblData[[#This Row],[Rental Date]],"mmm")</f>
        <v>Apr</v>
      </c>
      <c r="D408" t="str">
        <f>TEXT(tblData[[#This Row],[Rental Date]],"mmmm")</f>
        <v>April</v>
      </c>
      <c r="E408" t="s">
        <v>68</v>
      </c>
      <c r="F408" t="str">
        <f>TEXT(WEEKNUM(tblData[[#This Row],[Rental Date]]),"00")</f>
        <v>18</v>
      </c>
      <c r="G408" s="1">
        <f>EOMONTH(tblData[[#This Row],[Rental Date]],0)</f>
        <v>46142</v>
      </c>
      <c r="H408" t="s">
        <v>204</v>
      </c>
      <c r="I408" t="s">
        <v>48</v>
      </c>
      <c r="J408" t="s">
        <v>33</v>
      </c>
      <c r="K408" t="s">
        <v>25</v>
      </c>
      <c r="L408">
        <v>1</v>
      </c>
      <c r="M408" s="2">
        <v>41.04</v>
      </c>
      <c r="N408" t="s">
        <v>26</v>
      </c>
      <c r="O408" s="3">
        <v>0</v>
      </c>
      <c r="P408" s="3">
        <v>0</v>
      </c>
      <c r="Q408" s="2">
        <v>41.04</v>
      </c>
      <c r="R408" t="s">
        <v>76</v>
      </c>
      <c r="S408" t="s">
        <v>54</v>
      </c>
      <c r="T408" t="s">
        <v>29</v>
      </c>
      <c r="U408" t="s">
        <v>30</v>
      </c>
    </row>
    <row r="409" spans="1:21" x14ac:dyDescent="0.35">
      <c r="A409" t="s">
        <v>486</v>
      </c>
      <c r="B409" s="1">
        <v>46138</v>
      </c>
      <c r="C409" t="str">
        <f>TEXT(tblData[[#This Row],[Rental Date]],"mmm")</f>
        <v>Apr</v>
      </c>
      <c r="D409" t="str">
        <f>TEXT(tblData[[#This Row],[Rental Date]],"mmmm")</f>
        <v>April</v>
      </c>
      <c r="E409" t="s">
        <v>68</v>
      </c>
      <c r="F409" t="str">
        <f>TEXT(WEEKNUM(tblData[[#This Row],[Rental Date]]),"00")</f>
        <v>18</v>
      </c>
      <c r="G409" s="1">
        <f>EOMONTH(tblData[[#This Row],[Rental Date]],0)</f>
        <v>46142</v>
      </c>
      <c r="H409" t="s">
        <v>204</v>
      </c>
      <c r="I409" t="s">
        <v>32</v>
      </c>
      <c r="J409" t="s">
        <v>33</v>
      </c>
      <c r="K409" t="s">
        <v>60</v>
      </c>
      <c r="L409">
        <v>1</v>
      </c>
      <c r="M409" s="2">
        <v>25.92</v>
      </c>
      <c r="N409" t="s">
        <v>87</v>
      </c>
      <c r="O409" s="3">
        <v>10</v>
      </c>
      <c r="P409" s="3">
        <v>3.59</v>
      </c>
      <c r="Q409" s="2">
        <v>32.33</v>
      </c>
      <c r="R409" t="s">
        <v>94</v>
      </c>
      <c r="S409" t="s">
        <v>54</v>
      </c>
      <c r="T409" t="s">
        <v>29</v>
      </c>
      <c r="U409" t="s">
        <v>79</v>
      </c>
    </row>
    <row r="410" spans="1:21" x14ac:dyDescent="0.35">
      <c r="A410" t="s">
        <v>487</v>
      </c>
      <c r="B410" s="1">
        <v>46138</v>
      </c>
      <c r="C410" t="str">
        <f>TEXT(tblData[[#This Row],[Rental Date]],"mmm")</f>
        <v>Apr</v>
      </c>
      <c r="D410" t="str">
        <f>TEXT(tblData[[#This Row],[Rental Date]],"mmmm")</f>
        <v>April</v>
      </c>
      <c r="E410" t="s">
        <v>68</v>
      </c>
      <c r="F410" t="str">
        <f>TEXT(WEEKNUM(tblData[[#This Row],[Rental Date]]),"00")</f>
        <v>18</v>
      </c>
      <c r="G410" s="1">
        <f>EOMONTH(tblData[[#This Row],[Rental Date]],0)</f>
        <v>46142</v>
      </c>
      <c r="H410" t="s">
        <v>204</v>
      </c>
      <c r="I410" t="s">
        <v>48</v>
      </c>
      <c r="J410" t="s">
        <v>111</v>
      </c>
      <c r="K410" t="s">
        <v>40</v>
      </c>
      <c r="L410">
        <v>1</v>
      </c>
      <c r="M410" s="2">
        <v>36.72</v>
      </c>
      <c r="N410" t="s">
        <v>26</v>
      </c>
      <c r="O410" s="3">
        <v>0</v>
      </c>
      <c r="P410" s="3">
        <v>0</v>
      </c>
      <c r="Q410" s="2">
        <v>36.72</v>
      </c>
      <c r="R410" t="s">
        <v>45</v>
      </c>
      <c r="S410" t="s">
        <v>54</v>
      </c>
      <c r="T410" t="s">
        <v>63</v>
      </c>
      <c r="U410" t="s">
        <v>30</v>
      </c>
    </row>
    <row r="411" spans="1:21" x14ac:dyDescent="0.35">
      <c r="A411" t="s">
        <v>488</v>
      </c>
      <c r="B411" s="1">
        <v>46138</v>
      </c>
      <c r="C411" t="str">
        <f>TEXT(tblData[[#This Row],[Rental Date]],"mmm")</f>
        <v>Apr</v>
      </c>
      <c r="D411" t="str">
        <f>TEXT(tblData[[#This Row],[Rental Date]],"mmmm")</f>
        <v>April</v>
      </c>
      <c r="E411" t="s">
        <v>68</v>
      </c>
      <c r="F411" t="str">
        <f>TEXT(WEEKNUM(tblData[[#This Row],[Rental Date]]),"00")</f>
        <v>18</v>
      </c>
      <c r="G411" s="1">
        <f>EOMONTH(tblData[[#This Row],[Rental Date]],0)</f>
        <v>46142</v>
      </c>
      <c r="H411" t="s">
        <v>204</v>
      </c>
      <c r="I411" t="s">
        <v>23</v>
      </c>
      <c r="J411" t="s">
        <v>86</v>
      </c>
      <c r="K411" t="s">
        <v>25</v>
      </c>
      <c r="L411">
        <v>1</v>
      </c>
      <c r="M411" s="2">
        <v>62.64</v>
      </c>
      <c r="N411" t="s">
        <v>26</v>
      </c>
      <c r="O411" s="3">
        <v>0</v>
      </c>
      <c r="P411" s="3">
        <v>0</v>
      </c>
      <c r="Q411" s="2">
        <v>62.64</v>
      </c>
      <c r="R411" t="s">
        <v>45</v>
      </c>
      <c r="S411" t="s">
        <v>35</v>
      </c>
      <c r="T411" t="s">
        <v>51</v>
      </c>
      <c r="U411" t="s">
        <v>30</v>
      </c>
    </row>
    <row r="412" spans="1:21" x14ac:dyDescent="0.35">
      <c r="A412" t="s">
        <v>489</v>
      </c>
      <c r="B412" s="1">
        <v>46138</v>
      </c>
      <c r="C412" t="str">
        <f>TEXT(tblData[[#This Row],[Rental Date]],"mmm")</f>
        <v>Apr</v>
      </c>
      <c r="D412" t="str">
        <f>TEXT(tblData[[#This Row],[Rental Date]],"mmmm")</f>
        <v>April</v>
      </c>
      <c r="E412" t="s">
        <v>68</v>
      </c>
      <c r="F412" t="str">
        <f>TEXT(WEEKNUM(tblData[[#This Row],[Rental Date]]),"00")</f>
        <v>18</v>
      </c>
      <c r="G412" s="1">
        <f>EOMONTH(tblData[[#This Row],[Rental Date]],0)</f>
        <v>46142</v>
      </c>
      <c r="H412" t="s">
        <v>204</v>
      </c>
      <c r="I412" t="s">
        <v>32</v>
      </c>
      <c r="J412" t="s">
        <v>78</v>
      </c>
      <c r="K412" t="s">
        <v>60</v>
      </c>
      <c r="L412">
        <v>1</v>
      </c>
      <c r="M412" s="2">
        <v>28.08</v>
      </c>
      <c r="N412" t="s">
        <v>89</v>
      </c>
      <c r="O412" s="3">
        <v>6</v>
      </c>
      <c r="P412" s="3">
        <v>1.7</v>
      </c>
      <c r="Q412" s="2">
        <v>32.380000000000003</v>
      </c>
      <c r="R412" t="s">
        <v>94</v>
      </c>
      <c r="S412" t="s">
        <v>50</v>
      </c>
      <c r="T412" t="s">
        <v>51</v>
      </c>
      <c r="U412" t="s">
        <v>30</v>
      </c>
    </row>
    <row r="413" spans="1:21" x14ac:dyDescent="0.35">
      <c r="A413" t="s">
        <v>490</v>
      </c>
      <c r="B413" s="1">
        <v>46138</v>
      </c>
      <c r="C413" t="str">
        <f>TEXT(tblData[[#This Row],[Rental Date]],"mmm")</f>
        <v>Apr</v>
      </c>
      <c r="D413" t="str">
        <f>TEXT(tblData[[#This Row],[Rental Date]],"mmmm")</f>
        <v>April</v>
      </c>
      <c r="E413" t="s">
        <v>68</v>
      </c>
      <c r="F413" t="str">
        <f>TEXT(WEEKNUM(tblData[[#This Row],[Rental Date]]),"00")</f>
        <v>18</v>
      </c>
      <c r="G413" s="1">
        <f>EOMONTH(tblData[[#This Row],[Rental Date]],0)</f>
        <v>46142</v>
      </c>
      <c r="H413" t="s">
        <v>204</v>
      </c>
      <c r="I413" t="s">
        <v>48</v>
      </c>
      <c r="J413" t="s">
        <v>86</v>
      </c>
      <c r="K413" t="s">
        <v>40</v>
      </c>
      <c r="L413">
        <v>1</v>
      </c>
      <c r="M413" s="2">
        <v>92.88</v>
      </c>
      <c r="N413" t="s">
        <v>26</v>
      </c>
      <c r="O413" s="3">
        <v>0</v>
      </c>
      <c r="P413" s="3">
        <v>0</v>
      </c>
      <c r="Q413" s="2">
        <v>92.88</v>
      </c>
      <c r="R413" t="s">
        <v>57</v>
      </c>
      <c r="S413" t="s">
        <v>46</v>
      </c>
      <c r="T413" t="s">
        <v>63</v>
      </c>
      <c r="U413" t="s">
        <v>79</v>
      </c>
    </row>
    <row r="414" spans="1:21" x14ac:dyDescent="0.35">
      <c r="A414" t="s">
        <v>491</v>
      </c>
      <c r="B414" s="1">
        <v>46138</v>
      </c>
      <c r="C414" t="str">
        <f>TEXT(tblData[[#This Row],[Rental Date]],"mmm")</f>
        <v>Apr</v>
      </c>
      <c r="D414" t="str">
        <f>TEXT(tblData[[#This Row],[Rental Date]],"mmmm")</f>
        <v>April</v>
      </c>
      <c r="E414" t="s">
        <v>68</v>
      </c>
      <c r="F414" t="str">
        <f>TEXT(WEEKNUM(tblData[[#This Row],[Rental Date]]),"00")</f>
        <v>18</v>
      </c>
      <c r="G414" s="1">
        <f>EOMONTH(tblData[[#This Row],[Rental Date]],0)</f>
        <v>46142</v>
      </c>
      <c r="H414" t="s">
        <v>204</v>
      </c>
      <c r="I414" t="s">
        <v>48</v>
      </c>
      <c r="J414" t="s">
        <v>49</v>
      </c>
      <c r="K414" t="s">
        <v>25</v>
      </c>
      <c r="L414">
        <v>1</v>
      </c>
      <c r="M414" s="2">
        <v>38.880000000000003</v>
      </c>
      <c r="N414" t="s">
        <v>70</v>
      </c>
      <c r="O414" s="3">
        <v>7</v>
      </c>
      <c r="P414" s="3">
        <v>2.29</v>
      </c>
      <c r="Q414" s="2">
        <v>43.59</v>
      </c>
      <c r="R414" t="s">
        <v>71</v>
      </c>
      <c r="S414" t="s">
        <v>46</v>
      </c>
      <c r="T414" t="s">
        <v>29</v>
      </c>
      <c r="U414" t="s">
        <v>30</v>
      </c>
    </row>
    <row r="415" spans="1:21" x14ac:dyDescent="0.35">
      <c r="A415" t="s">
        <v>492</v>
      </c>
      <c r="B415" s="1">
        <v>46138</v>
      </c>
      <c r="C415" t="str">
        <f>TEXT(tblData[[#This Row],[Rental Date]],"mmm")</f>
        <v>Apr</v>
      </c>
      <c r="D415" t="str">
        <f>TEXT(tblData[[#This Row],[Rental Date]],"mmmm")</f>
        <v>April</v>
      </c>
      <c r="E415" t="s">
        <v>68</v>
      </c>
      <c r="F415" t="str">
        <f>TEXT(WEEKNUM(tblData[[#This Row],[Rental Date]]),"00")</f>
        <v>18</v>
      </c>
      <c r="G415" s="1">
        <f>EOMONTH(tblData[[#This Row],[Rental Date]],0)</f>
        <v>46142</v>
      </c>
      <c r="H415" t="s">
        <v>204</v>
      </c>
      <c r="I415" t="s">
        <v>32</v>
      </c>
      <c r="J415" t="s">
        <v>65</v>
      </c>
      <c r="K415" t="s">
        <v>40</v>
      </c>
      <c r="L415">
        <v>1</v>
      </c>
      <c r="M415" s="2">
        <v>30.24</v>
      </c>
      <c r="N415" t="s">
        <v>26</v>
      </c>
      <c r="O415" s="3">
        <v>0</v>
      </c>
      <c r="P415" s="3">
        <v>3.02</v>
      </c>
      <c r="Q415" s="2">
        <v>27.22</v>
      </c>
      <c r="R415" t="s">
        <v>66</v>
      </c>
      <c r="S415" t="s">
        <v>35</v>
      </c>
      <c r="T415" t="s">
        <v>29</v>
      </c>
      <c r="U415" t="s">
        <v>58</v>
      </c>
    </row>
    <row r="416" spans="1:21" x14ac:dyDescent="0.35">
      <c r="A416" t="s">
        <v>493</v>
      </c>
      <c r="B416" s="1">
        <v>46138</v>
      </c>
      <c r="C416" t="str">
        <f>TEXT(tblData[[#This Row],[Rental Date]],"mmm")</f>
        <v>Apr</v>
      </c>
      <c r="D416" t="str">
        <f>TEXT(tblData[[#This Row],[Rental Date]],"mmmm")</f>
        <v>April</v>
      </c>
      <c r="E416" t="s">
        <v>68</v>
      </c>
      <c r="F416" t="str">
        <f>TEXT(WEEKNUM(tblData[[#This Row],[Rental Date]]),"00")</f>
        <v>18</v>
      </c>
      <c r="G416" s="1">
        <f>EOMONTH(tblData[[#This Row],[Rental Date]],0)</f>
        <v>46142</v>
      </c>
      <c r="H416" t="s">
        <v>204</v>
      </c>
      <c r="I416" t="s">
        <v>48</v>
      </c>
      <c r="J416" t="s">
        <v>127</v>
      </c>
      <c r="K416" t="s">
        <v>40</v>
      </c>
      <c r="L416">
        <v>1</v>
      </c>
      <c r="M416" s="2">
        <v>25.92</v>
      </c>
      <c r="N416" t="s">
        <v>26</v>
      </c>
      <c r="O416" s="3">
        <v>0</v>
      </c>
      <c r="P416" s="3">
        <v>0</v>
      </c>
      <c r="Q416" s="2">
        <v>25.92</v>
      </c>
      <c r="R416" t="s">
        <v>76</v>
      </c>
      <c r="S416" t="s">
        <v>54</v>
      </c>
      <c r="T416" t="s">
        <v>51</v>
      </c>
      <c r="U416" t="s">
        <v>30</v>
      </c>
    </row>
    <row r="417" spans="1:21" x14ac:dyDescent="0.35">
      <c r="A417" t="s">
        <v>494</v>
      </c>
      <c r="B417" s="1">
        <v>46138</v>
      </c>
      <c r="C417" t="str">
        <f>TEXT(tblData[[#This Row],[Rental Date]],"mmm")</f>
        <v>Apr</v>
      </c>
      <c r="D417" t="str">
        <f>TEXT(tblData[[#This Row],[Rental Date]],"mmmm")</f>
        <v>April</v>
      </c>
      <c r="E417" t="s">
        <v>68</v>
      </c>
      <c r="F417" t="str">
        <f>TEXT(WEEKNUM(tblData[[#This Row],[Rental Date]]),"00")</f>
        <v>18</v>
      </c>
      <c r="G417" s="1">
        <f>EOMONTH(tblData[[#This Row],[Rental Date]],0)</f>
        <v>46142</v>
      </c>
      <c r="H417" t="s">
        <v>204</v>
      </c>
      <c r="I417" t="s">
        <v>48</v>
      </c>
      <c r="J417" t="s">
        <v>111</v>
      </c>
      <c r="K417" t="s">
        <v>60</v>
      </c>
      <c r="L417">
        <v>1</v>
      </c>
      <c r="M417" s="2">
        <v>15.12</v>
      </c>
      <c r="N417" t="s">
        <v>41</v>
      </c>
      <c r="O417" s="3">
        <v>5</v>
      </c>
      <c r="P417" s="3">
        <v>0</v>
      </c>
      <c r="Q417" s="2">
        <v>20.12</v>
      </c>
      <c r="R417" t="s">
        <v>66</v>
      </c>
      <c r="S417" t="s">
        <v>50</v>
      </c>
      <c r="T417" t="s">
        <v>29</v>
      </c>
      <c r="U417" t="s">
        <v>79</v>
      </c>
    </row>
    <row r="418" spans="1:21" x14ac:dyDescent="0.35">
      <c r="A418" t="s">
        <v>495</v>
      </c>
      <c r="B418" s="1">
        <v>46138</v>
      </c>
      <c r="C418" t="str">
        <f>TEXT(tblData[[#This Row],[Rental Date]],"mmm")</f>
        <v>Apr</v>
      </c>
      <c r="D418" t="str">
        <f>TEXT(tblData[[#This Row],[Rental Date]],"mmmm")</f>
        <v>April</v>
      </c>
      <c r="E418" t="s">
        <v>68</v>
      </c>
      <c r="F418" t="str">
        <f>TEXT(WEEKNUM(tblData[[#This Row],[Rental Date]]),"00")</f>
        <v>18</v>
      </c>
      <c r="G418" s="1">
        <f>EOMONTH(tblData[[#This Row],[Rental Date]],0)</f>
        <v>46142</v>
      </c>
      <c r="H418" t="s">
        <v>204</v>
      </c>
      <c r="I418" t="s">
        <v>23</v>
      </c>
      <c r="J418" t="s">
        <v>138</v>
      </c>
      <c r="K418" t="s">
        <v>60</v>
      </c>
      <c r="L418">
        <v>1</v>
      </c>
      <c r="M418" s="2">
        <v>32.4</v>
      </c>
      <c r="N418" t="s">
        <v>61</v>
      </c>
      <c r="O418" s="3">
        <v>8</v>
      </c>
      <c r="P418" s="3">
        <v>0</v>
      </c>
      <c r="Q418" s="2">
        <v>40.4</v>
      </c>
      <c r="R418" t="s">
        <v>34</v>
      </c>
      <c r="S418" t="s">
        <v>35</v>
      </c>
      <c r="T418" t="s">
        <v>29</v>
      </c>
      <c r="U418" t="s">
        <v>30</v>
      </c>
    </row>
    <row r="419" spans="1:21" x14ac:dyDescent="0.35">
      <c r="A419" t="s">
        <v>496</v>
      </c>
      <c r="B419" s="1">
        <v>46138</v>
      </c>
      <c r="C419" t="str">
        <f>TEXT(tblData[[#This Row],[Rental Date]],"mmm")</f>
        <v>Apr</v>
      </c>
      <c r="D419" t="str">
        <f>TEXT(tblData[[#This Row],[Rental Date]],"mmmm")</f>
        <v>April</v>
      </c>
      <c r="E419" t="s">
        <v>68</v>
      </c>
      <c r="F419" t="str">
        <f>TEXT(WEEKNUM(tblData[[#This Row],[Rental Date]]),"00")</f>
        <v>18</v>
      </c>
      <c r="G419" s="1">
        <f>EOMONTH(tblData[[#This Row],[Rental Date]],0)</f>
        <v>46142</v>
      </c>
      <c r="H419" t="s">
        <v>204</v>
      </c>
      <c r="I419" t="s">
        <v>48</v>
      </c>
      <c r="J419" t="s">
        <v>127</v>
      </c>
      <c r="K419" t="s">
        <v>40</v>
      </c>
      <c r="L419">
        <v>1</v>
      </c>
      <c r="M419" s="2">
        <v>25.92</v>
      </c>
      <c r="N419" t="s">
        <v>87</v>
      </c>
      <c r="O419" s="3">
        <v>10</v>
      </c>
      <c r="P419" s="3">
        <v>0</v>
      </c>
      <c r="Q419" s="2">
        <v>35.92</v>
      </c>
      <c r="R419" t="s">
        <v>71</v>
      </c>
      <c r="S419" t="s">
        <v>28</v>
      </c>
      <c r="T419" t="s">
        <v>51</v>
      </c>
      <c r="U419" t="s">
        <v>36</v>
      </c>
    </row>
    <row r="420" spans="1:21" x14ac:dyDescent="0.35">
      <c r="A420" t="s">
        <v>497</v>
      </c>
      <c r="B420" s="1">
        <v>46138</v>
      </c>
      <c r="C420" t="str">
        <f>TEXT(tblData[[#This Row],[Rental Date]],"mmm")</f>
        <v>Apr</v>
      </c>
      <c r="D420" t="str">
        <f>TEXT(tblData[[#This Row],[Rental Date]],"mmmm")</f>
        <v>April</v>
      </c>
      <c r="E420" t="s">
        <v>68</v>
      </c>
      <c r="F420" t="str">
        <f>TEXT(WEEKNUM(tblData[[#This Row],[Rental Date]]),"00")</f>
        <v>18</v>
      </c>
      <c r="G420" s="1">
        <f>EOMONTH(tblData[[#This Row],[Rental Date]],0)</f>
        <v>46142</v>
      </c>
      <c r="H420" t="s">
        <v>204</v>
      </c>
      <c r="I420" t="s">
        <v>32</v>
      </c>
      <c r="J420" t="s">
        <v>33</v>
      </c>
      <c r="K420" t="s">
        <v>60</v>
      </c>
      <c r="L420">
        <v>1</v>
      </c>
      <c r="M420" s="2">
        <v>25.92</v>
      </c>
      <c r="N420" t="s">
        <v>41</v>
      </c>
      <c r="O420" s="3">
        <v>5</v>
      </c>
      <c r="P420" s="3">
        <v>1.55</v>
      </c>
      <c r="Q420" s="2">
        <v>29.37</v>
      </c>
      <c r="R420" t="s">
        <v>66</v>
      </c>
      <c r="S420" t="s">
        <v>50</v>
      </c>
      <c r="T420" t="s">
        <v>29</v>
      </c>
      <c r="U420" t="s">
        <v>58</v>
      </c>
    </row>
    <row r="421" spans="1:21" x14ac:dyDescent="0.35">
      <c r="A421" t="s">
        <v>498</v>
      </c>
      <c r="B421" s="1">
        <v>46138</v>
      </c>
      <c r="C421" t="str">
        <f>TEXT(tblData[[#This Row],[Rental Date]],"mmm")</f>
        <v>Apr</v>
      </c>
      <c r="D421" t="str">
        <f>TEXT(tblData[[#This Row],[Rental Date]],"mmmm")</f>
        <v>April</v>
      </c>
      <c r="E421" t="s">
        <v>68</v>
      </c>
      <c r="F421" t="str">
        <f>TEXT(WEEKNUM(tblData[[#This Row],[Rental Date]]),"00")</f>
        <v>18</v>
      </c>
      <c r="G421" s="1">
        <f>EOMONTH(tblData[[#This Row],[Rental Date]],0)</f>
        <v>46142</v>
      </c>
      <c r="H421" t="s">
        <v>204</v>
      </c>
      <c r="I421" t="s">
        <v>39</v>
      </c>
      <c r="J421" t="s">
        <v>86</v>
      </c>
      <c r="K421" t="s">
        <v>25</v>
      </c>
      <c r="L421">
        <v>1</v>
      </c>
      <c r="M421" s="2">
        <v>62.64</v>
      </c>
      <c r="N421" t="s">
        <v>87</v>
      </c>
      <c r="O421" s="3">
        <v>10</v>
      </c>
      <c r="P421" s="3">
        <v>0</v>
      </c>
      <c r="Q421" s="2">
        <v>72.64</v>
      </c>
      <c r="R421" t="s">
        <v>34</v>
      </c>
      <c r="S421" t="s">
        <v>54</v>
      </c>
      <c r="T421" t="s">
        <v>29</v>
      </c>
      <c r="U421" t="s">
        <v>30</v>
      </c>
    </row>
    <row r="422" spans="1:21" x14ac:dyDescent="0.35">
      <c r="A422" t="s">
        <v>499</v>
      </c>
      <c r="B422" s="1">
        <v>46139</v>
      </c>
      <c r="C422" t="str">
        <f>TEXT(tblData[[#This Row],[Rental Date]],"mmm")</f>
        <v>Apr</v>
      </c>
      <c r="D422" t="str">
        <f>TEXT(tblData[[#This Row],[Rental Date]],"mmmm")</f>
        <v>April</v>
      </c>
      <c r="E422" t="s">
        <v>74</v>
      </c>
      <c r="F422" t="str">
        <f>TEXT(WEEKNUM(tblData[[#This Row],[Rental Date]]),"00")</f>
        <v>18</v>
      </c>
      <c r="G422" s="1">
        <f>EOMONTH(tblData[[#This Row],[Rental Date]],0)</f>
        <v>46142</v>
      </c>
      <c r="H422" t="s">
        <v>204</v>
      </c>
      <c r="I422" t="s">
        <v>39</v>
      </c>
      <c r="J422" t="s">
        <v>78</v>
      </c>
      <c r="K422" t="s">
        <v>60</v>
      </c>
      <c r="L422">
        <v>1</v>
      </c>
      <c r="M422" s="2">
        <v>26</v>
      </c>
      <c r="N422" t="s">
        <v>26</v>
      </c>
      <c r="O422" s="3">
        <v>0</v>
      </c>
      <c r="P422" s="3">
        <v>0</v>
      </c>
      <c r="Q422" s="2">
        <v>26</v>
      </c>
      <c r="R422" t="s">
        <v>66</v>
      </c>
      <c r="S422" t="s">
        <v>46</v>
      </c>
      <c r="T422" t="s">
        <v>51</v>
      </c>
      <c r="U422" t="s">
        <v>58</v>
      </c>
    </row>
    <row r="423" spans="1:21" x14ac:dyDescent="0.35">
      <c r="A423" t="s">
        <v>500</v>
      </c>
      <c r="B423" s="1">
        <v>46139</v>
      </c>
      <c r="C423" t="str">
        <f>TEXT(tblData[[#This Row],[Rental Date]],"mmm")</f>
        <v>Apr</v>
      </c>
      <c r="D423" t="str">
        <f>TEXT(tblData[[#This Row],[Rental Date]],"mmmm")</f>
        <v>April</v>
      </c>
      <c r="E423" t="s">
        <v>74</v>
      </c>
      <c r="F423" t="str">
        <f>TEXT(WEEKNUM(tblData[[#This Row],[Rental Date]]),"00")</f>
        <v>18</v>
      </c>
      <c r="G423" s="1">
        <f>EOMONTH(tblData[[#This Row],[Rental Date]],0)</f>
        <v>46142</v>
      </c>
      <c r="H423" t="s">
        <v>204</v>
      </c>
      <c r="I423" t="s">
        <v>39</v>
      </c>
      <c r="J423" t="s">
        <v>127</v>
      </c>
      <c r="K423" t="s">
        <v>25</v>
      </c>
      <c r="L423">
        <v>1</v>
      </c>
      <c r="M423" s="2">
        <v>16</v>
      </c>
      <c r="N423" t="s">
        <v>26</v>
      </c>
      <c r="O423" s="3">
        <v>0</v>
      </c>
      <c r="P423" s="3">
        <v>0</v>
      </c>
      <c r="Q423" s="2">
        <v>16</v>
      </c>
      <c r="R423" t="s">
        <v>62</v>
      </c>
      <c r="S423" t="s">
        <v>54</v>
      </c>
      <c r="T423" t="s">
        <v>29</v>
      </c>
      <c r="U423" t="s">
        <v>36</v>
      </c>
    </row>
    <row r="424" spans="1:21" x14ac:dyDescent="0.35">
      <c r="A424" t="s">
        <v>501</v>
      </c>
      <c r="B424" s="1">
        <v>46139</v>
      </c>
      <c r="C424" t="str">
        <f>TEXT(tblData[[#This Row],[Rental Date]],"mmm")</f>
        <v>Apr</v>
      </c>
      <c r="D424" t="str">
        <f>TEXT(tblData[[#This Row],[Rental Date]],"mmmm")</f>
        <v>April</v>
      </c>
      <c r="E424" t="s">
        <v>74</v>
      </c>
      <c r="F424" t="str">
        <f>TEXT(WEEKNUM(tblData[[#This Row],[Rental Date]]),"00")</f>
        <v>18</v>
      </c>
      <c r="G424" s="1">
        <f>EOMONTH(tblData[[#This Row],[Rental Date]],0)</f>
        <v>46142</v>
      </c>
      <c r="H424" t="s">
        <v>204</v>
      </c>
      <c r="I424" t="s">
        <v>48</v>
      </c>
      <c r="J424" t="s">
        <v>65</v>
      </c>
      <c r="K424" t="s">
        <v>60</v>
      </c>
      <c r="L424">
        <v>1</v>
      </c>
      <c r="M424" s="2">
        <v>12</v>
      </c>
      <c r="N424" t="s">
        <v>26</v>
      </c>
      <c r="O424" s="3">
        <v>0</v>
      </c>
      <c r="P424" s="3">
        <v>0</v>
      </c>
      <c r="Q424" s="2">
        <v>12</v>
      </c>
      <c r="R424" t="s">
        <v>34</v>
      </c>
      <c r="S424" t="s">
        <v>35</v>
      </c>
      <c r="T424" t="s">
        <v>51</v>
      </c>
      <c r="U424" t="s">
        <v>30</v>
      </c>
    </row>
    <row r="425" spans="1:21" x14ac:dyDescent="0.35">
      <c r="A425" t="s">
        <v>502</v>
      </c>
      <c r="B425" s="1">
        <v>46139</v>
      </c>
      <c r="C425" t="str">
        <f>TEXT(tblData[[#This Row],[Rental Date]],"mmm")</f>
        <v>Apr</v>
      </c>
      <c r="D425" t="str">
        <f>TEXT(tblData[[#This Row],[Rental Date]],"mmmm")</f>
        <v>April</v>
      </c>
      <c r="E425" t="s">
        <v>74</v>
      </c>
      <c r="F425" t="str">
        <f>TEXT(WEEKNUM(tblData[[#This Row],[Rental Date]]),"00")</f>
        <v>18</v>
      </c>
      <c r="G425" s="1">
        <f>EOMONTH(tblData[[#This Row],[Rental Date]],0)</f>
        <v>46142</v>
      </c>
      <c r="H425" t="s">
        <v>204</v>
      </c>
      <c r="I425" t="s">
        <v>23</v>
      </c>
      <c r="J425" t="s">
        <v>78</v>
      </c>
      <c r="K425" t="s">
        <v>25</v>
      </c>
      <c r="L425">
        <v>1</v>
      </c>
      <c r="M425" s="2">
        <v>42</v>
      </c>
      <c r="N425" t="s">
        <v>61</v>
      </c>
      <c r="O425" s="3">
        <v>8</v>
      </c>
      <c r="P425" s="3">
        <v>0</v>
      </c>
      <c r="Q425" s="2">
        <v>50</v>
      </c>
      <c r="R425" t="s">
        <v>34</v>
      </c>
      <c r="S425" t="s">
        <v>50</v>
      </c>
      <c r="T425" t="s">
        <v>29</v>
      </c>
      <c r="U425" t="s">
        <v>58</v>
      </c>
    </row>
    <row r="426" spans="1:21" x14ac:dyDescent="0.35">
      <c r="A426" t="s">
        <v>503</v>
      </c>
      <c r="B426" s="1">
        <v>46139</v>
      </c>
      <c r="C426" t="str">
        <f>TEXT(tblData[[#This Row],[Rental Date]],"mmm")</f>
        <v>Apr</v>
      </c>
      <c r="D426" t="str">
        <f>TEXT(tblData[[#This Row],[Rental Date]],"mmmm")</f>
        <v>April</v>
      </c>
      <c r="E426" t="s">
        <v>74</v>
      </c>
      <c r="F426" t="str">
        <f>TEXT(WEEKNUM(tblData[[#This Row],[Rental Date]]),"00")</f>
        <v>18</v>
      </c>
      <c r="G426" s="1">
        <f>EOMONTH(tblData[[#This Row],[Rental Date]],0)</f>
        <v>46142</v>
      </c>
      <c r="H426" t="s">
        <v>204</v>
      </c>
      <c r="I426" t="s">
        <v>32</v>
      </c>
      <c r="J426" t="s">
        <v>78</v>
      </c>
      <c r="K426" t="s">
        <v>40</v>
      </c>
      <c r="L426">
        <v>1</v>
      </c>
      <c r="M426" s="2">
        <v>62</v>
      </c>
      <c r="N426" t="s">
        <v>26</v>
      </c>
      <c r="O426" s="3">
        <v>0</v>
      </c>
      <c r="P426" s="3">
        <v>3.1</v>
      </c>
      <c r="Q426" s="2">
        <v>58.9</v>
      </c>
      <c r="R426" t="s">
        <v>27</v>
      </c>
      <c r="S426" t="s">
        <v>28</v>
      </c>
      <c r="T426" t="s">
        <v>29</v>
      </c>
      <c r="U426" t="s">
        <v>58</v>
      </c>
    </row>
    <row r="427" spans="1:21" x14ac:dyDescent="0.35">
      <c r="A427" t="s">
        <v>504</v>
      </c>
      <c r="B427" s="1">
        <v>46139</v>
      </c>
      <c r="C427" t="str">
        <f>TEXT(tblData[[#This Row],[Rental Date]],"mmm")</f>
        <v>Apr</v>
      </c>
      <c r="D427" t="str">
        <f>TEXT(tblData[[#This Row],[Rental Date]],"mmmm")</f>
        <v>April</v>
      </c>
      <c r="E427" t="s">
        <v>74</v>
      </c>
      <c r="F427" t="str">
        <f>TEXT(WEEKNUM(tblData[[#This Row],[Rental Date]]),"00")</f>
        <v>18</v>
      </c>
      <c r="G427" s="1">
        <f>EOMONTH(tblData[[#This Row],[Rental Date]],0)</f>
        <v>46142</v>
      </c>
      <c r="H427" t="s">
        <v>204</v>
      </c>
      <c r="I427" t="s">
        <v>23</v>
      </c>
      <c r="J427" t="s">
        <v>65</v>
      </c>
      <c r="K427" t="s">
        <v>25</v>
      </c>
      <c r="L427">
        <v>1</v>
      </c>
      <c r="M427" s="2">
        <v>18</v>
      </c>
      <c r="N427" t="s">
        <v>26</v>
      </c>
      <c r="O427" s="3">
        <v>0</v>
      </c>
      <c r="P427" s="3">
        <v>0</v>
      </c>
      <c r="Q427" s="2">
        <v>18</v>
      </c>
      <c r="R427" t="s">
        <v>71</v>
      </c>
      <c r="S427" t="s">
        <v>46</v>
      </c>
      <c r="T427" t="s">
        <v>29</v>
      </c>
      <c r="U427" t="s">
        <v>58</v>
      </c>
    </row>
    <row r="428" spans="1:21" x14ac:dyDescent="0.35">
      <c r="A428" t="s">
        <v>505</v>
      </c>
      <c r="B428" s="1">
        <v>46139</v>
      </c>
      <c r="C428" t="str">
        <f>TEXT(tblData[[#This Row],[Rental Date]],"mmm")</f>
        <v>Apr</v>
      </c>
      <c r="D428" t="str">
        <f>TEXT(tblData[[#This Row],[Rental Date]],"mmmm")</f>
        <v>April</v>
      </c>
      <c r="E428" t="s">
        <v>74</v>
      </c>
      <c r="F428" t="str">
        <f>TEXT(WEEKNUM(tblData[[#This Row],[Rental Date]]),"00")</f>
        <v>18</v>
      </c>
      <c r="G428" s="1">
        <f>EOMONTH(tblData[[#This Row],[Rental Date]],0)</f>
        <v>46142</v>
      </c>
      <c r="H428" t="s">
        <v>204</v>
      </c>
      <c r="I428" t="s">
        <v>48</v>
      </c>
      <c r="J428" t="s">
        <v>111</v>
      </c>
      <c r="K428" t="s">
        <v>40</v>
      </c>
      <c r="L428">
        <v>1</v>
      </c>
      <c r="M428" s="2">
        <v>34</v>
      </c>
      <c r="N428" t="s">
        <v>89</v>
      </c>
      <c r="O428" s="3">
        <v>6</v>
      </c>
      <c r="P428" s="3">
        <v>2</v>
      </c>
      <c r="Q428" s="2">
        <v>38</v>
      </c>
      <c r="R428" t="s">
        <v>62</v>
      </c>
      <c r="S428" t="s">
        <v>46</v>
      </c>
      <c r="T428" t="s">
        <v>51</v>
      </c>
      <c r="U428" t="s">
        <v>30</v>
      </c>
    </row>
    <row r="429" spans="1:21" x14ac:dyDescent="0.35">
      <c r="A429" t="s">
        <v>506</v>
      </c>
      <c r="B429" s="1">
        <v>46139</v>
      </c>
      <c r="C429" t="str">
        <f>TEXT(tblData[[#This Row],[Rental Date]],"mmm")</f>
        <v>Apr</v>
      </c>
      <c r="D429" t="str">
        <f>TEXT(tblData[[#This Row],[Rental Date]],"mmmm")</f>
        <v>April</v>
      </c>
      <c r="E429" t="s">
        <v>74</v>
      </c>
      <c r="F429" t="str">
        <f>TEXT(WEEKNUM(tblData[[#This Row],[Rental Date]]),"00")</f>
        <v>18</v>
      </c>
      <c r="G429" s="1">
        <f>EOMONTH(tblData[[#This Row],[Rental Date]],0)</f>
        <v>46142</v>
      </c>
      <c r="H429" t="s">
        <v>204</v>
      </c>
      <c r="I429" t="s">
        <v>23</v>
      </c>
      <c r="J429" t="s">
        <v>78</v>
      </c>
      <c r="K429" t="s">
        <v>25</v>
      </c>
      <c r="L429">
        <v>1</v>
      </c>
      <c r="M429" s="2">
        <v>42</v>
      </c>
      <c r="N429" t="s">
        <v>41</v>
      </c>
      <c r="O429" s="3">
        <v>5</v>
      </c>
      <c r="P429" s="3">
        <v>0</v>
      </c>
      <c r="Q429" s="2">
        <v>47</v>
      </c>
      <c r="R429" t="s">
        <v>71</v>
      </c>
      <c r="S429" t="s">
        <v>50</v>
      </c>
      <c r="T429" t="s">
        <v>29</v>
      </c>
      <c r="U429" t="s">
        <v>58</v>
      </c>
    </row>
    <row r="430" spans="1:21" x14ac:dyDescent="0.35">
      <c r="A430" t="s">
        <v>507</v>
      </c>
      <c r="B430" s="1">
        <v>46140</v>
      </c>
      <c r="C430" t="str">
        <f>TEXT(tblData[[#This Row],[Rental Date]],"mmm")</f>
        <v>Apr</v>
      </c>
      <c r="D430" t="str">
        <f>TEXT(tblData[[#This Row],[Rental Date]],"mmmm")</f>
        <v>April</v>
      </c>
      <c r="E430" t="s">
        <v>102</v>
      </c>
      <c r="F430" t="str">
        <f>TEXT(WEEKNUM(tblData[[#This Row],[Rental Date]]),"00")</f>
        <v>18</v>
      </c>
      <c r="G430" s="1">
        <f>EOMONTH(tblData[[#This Row],[Rental Date]],0)</f>
        <v>46142</v>
      </c>
      <c r="H430" t="s">
        <v>204</v>
      </c>
      <c r="I430" t="s">
        <v>48</v>
      </c>
      <c r="J430" t="s">
        <v>65</v>
      </c>
      <c r="K430" t="s">
        <v>25</v>
      </c>
      <c r="L430">
        <v>1</v>
      </c>
      <c r="M430" s="2">
        <v>18</v>
      </c>
      <c r="N430" t="s">
        <v>26</v>
      </c>
      <c r="O430" s="3">
        <v>0</v>
      </c>
      <c r="P430" s="3">
        <v>0.9</v>
      </c>
      <c r="Q430" s="2">
        <v>17.100000000000001</v>
      </c>
      <c r="R430" t="s">
        <v>62</v>
      </c>
      <c r="S430" t="s">
        <v>35</v>
      </c>
      <c r="T430" t="s">
        <v>51</v>
      </c>
      <c r="U430" t="s">
        <v>30</v>
      </c>
    </row>
    <row r="431" spans="1:21" x14ac:dyDescent="0.35">
      <c r="A431" t="s">
        <v>508</v>
      </c>
      <c r="B431" s="1">
        <v>46140</v>
      </c>
      <c r="C431" t="str">
        <f>TEXT(tblData[[#This Row],[Rental Date]],"mmm")</f>
        <v>Apr</v>
      </c>
      <c r="D431" t="str">
        <f>TEXT(tblData[[#This Row],[Rental Date]],"mmmm")</f>
        <v>April</v>
      </c>
      <c r="E431" t="s">
        <v>102</v>
      </c>
      <c r="F431" t="str">
        <f>TEXT(WEEKNUM(tblData[[#This Row],[Rental Date]]),"00")</f>
        <v>18</v>
      </c>
      <c r="G431" s="1">
        <f>EOMONTH(tblData[[#This Row],[Rental Date]],0)</f>
        <v>46142</v>
      </c>
      <c r="H431" t="s">
        <v>204</v>
      </c>
      <c r="I431" t="s">
        <v>48</v>
      </c>
      <c r="J431" t="s">
        <v>33</v>
      </c>
      <c r="K431" t="s">
        <v>25</v>
      </c>
      <c r="L431">
        <v>1</v>
      </c>
      <c r="M431" s="2">
        <v>38</v>
      </c>
      <c r="N431" t="s">
        <v>26</v>
      </c>
      <c r="O431" s="3">
        <v>0</v>
      </c>
      <c r="P431" s="3">
        <v>0</v>
      </c>
      <c r="Q431" s="2">
        <v>38</v>
      </c>
      <c r="R431" t="s">
        <v>27</v>
      </c>
      <c r="S431" t="s">
        <v>50</v>
      </c>
      <c r="T431" t="s">
        <v>29</v>
      </c>
      <c r="U431" t="s">
        <v>30</v>
      </c>
    </row>
    <row r="432" spans="1:21" x14ac:dyDescent="0.35">
      <c r="A432" t="s">
        <v>509</v>
      </c>
      <c r="B432" s="1">
        <v>46140</v>
      </c>
      <c r="C432" t="str">
        <f>TEXT(tblData[[#This Row],[Rental Date]],"mmm")</f>
        <v>Apr</v>
      </c>
      <c r="D432" t="str">
        <f>TEXT(tblData[[#This Row],[Rental Date]],"mmmm")</f>
        <v>April</v>
      </c>
      <c r="E432" t="s">
        <v>102</v>
      </c>
      <c r="F432" t="str">
        <f>TEXT(WEEKNUM(tblData[[#This Row],[Rental Date]]),"00")</f>
        <v>18</v>
      </c>
      <c r="G432" s="1">
        <f>EOMONTH(tblData[[#This Row],[Rental Date]],0)</f>
        <v>46142</v>
      </c>
      <c r="H432" t="s">
        <v>204</v>
      </c>
      <c r="I432" t="s">
        <v>48</v>
      </c>
      <c r="J432" t="s">
        <v>78</v>
      </c>
      <c r="K432" t="s">
        <v>25</v>
      </c>
      <c r="L432">
        <v>1</v>
      </c>
      <c r="M432" s="2">
        <v>42</v>
      </c>
      <c r="N432" t="s">
        <v>26</v>
      </c>
      <c r="O432" s="3">
        <v>0</v>
      </c>
      <c r="P432" s="3">
        <v>0</v>
      </c>
      <c r="Q432" s="2">
        <v>42</v>
      </c>
      <c r="R432" t="s">
        <v>76</v>
      </c>
      <c r="S432" t="s">
        <v>54</v>
      </c>
      <c r="T432" t="s">
        <v>51</v>
      </c>
      <c r="U432" t="s">
        <v>79</v>
      </c>
    </row>
    <row r="433" spans="1:21" x14ac:dyDescent="0.35">
      <c r="A433" t="s">
        <v>510</v>
      </c>
      <c r="B433" s="1">
        <v>46141</v>
      </c>
      <c r="C433" t="str">
        <f>TEXT(tblData[[#This Row],[Rental Date]],"mmm")</f>
        <v>Apr</v>
      </c>
      <c r="D433" t="str">
        <f>TEXT(tblData[[#This Row],[Rental Date]],"mmmm")</f>
        <v>April</v>
      </c>
      <c r="E433" t="s">
        <v>109</v>
      </c>
      <c r="F433" t="str">
        <f>TEXT(WEEKNUM(tblData[[#This Row],[Rental Date]]),"00")</f>
        <v>18</v>
      </c>
      <c r="G433" s="1">
        <f>EOMONTH(tblData[[#This Row],[Rental Date]],0)</f>
        <v>46142</v>
      </c>
      <c r="H433" t="s">
        <v>204</v>
      </c>
      <c r="I433" t="s">
        <v>39</v>
      </c>
      <c r="J433" t="s">
        <v>49</v>
      </c>
      <c r="K433" t="s">
        <v>60</v>
      </c>
      <c r="L433">
        <v>1</v>
      </c>
      <c r="M433" s="2">
        <v>22</v>
      </c>
      <c r="N433" t="s">
        <v>87</v>
      </c>
      <c r="O433" s="3">
        <v>10</v>
      </c>
      <c r="P433" s="3">
        <v>1.6</v>
      </c>
      <c r="Q433" s="2">
        <v>30.4</v>
      </c>
      <c r="R433" t="s">
        <v>62</v>
      </c>
      <c r="S433" t="s">
        <v>54</v>
      </c>
      <c r="T433" t="s">
        <v>83</v>
      </c>
      <c r="U433" t="s">
        <v>79</v>
      </c>
    </row>
    <row r="434" spans="1:21" x14ac:dyDescent="0.35">
      <c r="A434" t="s">
        <v>511</v>
      </c>
      <c r="B434" s="1">
        <v>46141</v>
      </c>
      <c r="C434" t="str">
        <f>TEXT(tblData[[#This Row],[Rental Date]],"mmm")</f>
        <v>Apr</v>
      </c>
      <c r="D434" t="str">
        <f>TEXT(tblData[[#This Row],[Rental Date]],"mmmm")</f>
        <v>April</v>
      </c>
      <c r="E434" t="s">
        <v>109</v>
      </c>
      <c r="F434" t="str">
        <f>TEXT(WEEKNUM(tblData[[#This Row],[Rental Date]]),"00")</f>
        <v>18</v>
      </c>
      <c r="G434" s="1">
        <f>EOMONTH(tblData[[#This Row],[Rental Date]],0)</f>
        <v>46142</v>
      </c>
      <c r="H434" t="s">
        <v>204</v>
      </c>
      <c r="I434" t="s">
        <v>39</v>
      </c>
      <c r="J434" t="s">
        <v>65</v>
      </c>
      <c r="K434" t="s">
        <v>25</v>
      </c>
      <c r="L434">
        <v>1</v>
      </c>
      <c r="M434" s="2">
        <v>18</v>
      </c>
      <c r="N434" t="s">
        <v>26</v>
      </c>
      <c r="O434" s="3">
        <v>0</v>
      </c>
      <c r="P434" s="3">
        <v>0</v>
      </c>
      <c r="Q434" s="2">
        <v>18</v>
      </c>
      <c r="R434" t="s">
        <v>42</v>
      </c>
      <c r="S434" t="s">
        <v>50</v>
      </c>
      <c r="T434" t="s">
        <v>63</v>
      </c>
      <c r="U434" t="s">
        <v>79</v>
      </c>
    </row>
    <row r="435" spans="1:21" x14ac:dyDescent="0.35">
      <c r="A435" t="s">
        <v>512</v>
      </c>
      <c r="B435" s="1">
        <v>46141</v>
      </c>
      <c r="C435" t="str">
        <f>TEXT(tblData[[#This Row],[Rental Date]],"mmm")</f>
        <v>Apr</v>
      </c>
      <c r="D435" t="str">
        <f>TEXT(tblData[[#This Row],[Rental Date]],"mmmm")</f>
        <v>April</v>
      </c>
      <c r="E435" t="s">
        <v>109</v>
      </c>
      <c r="F435" t="str">
        <f>TEXT(WEEKNUM(tblData[[#This Row],[Rental Date]]),"00")</f>
        <v>18</v>
      </c>
      <c r="G435" s="1">
        <f>EOMONTH(tblData[[#This Row],[Rental Date]],0)</f>
        <v>46142</v>
      </c>
      <c r="H435" t="s">
        <v>204</v>
      </c>
      <c r="I435" t="s">
        <v>48</v>
      </c>
      <c r="J435" t="s">
        <v>24</v>
      </c>
      <c r="K435" t="s">
        <v>40</v>
      </c>
      <c r="L435">
        <v>1</v>
      </c>
      <c r="M435" s="2">
        <v>76</v>
      </c>
      <c r="N435" t="s">
        <v>26</v>
      </c>
      <c r="O435" s="3">
        <v>0</v>
      </c>
      <c r="P435" s="3">
        <v>3.8</v>
      </c>
      <c r="Q435" s="2">
        <v>72.2</v>
      </c>
      <c r="R435" t="s">
        <v>34</v>
      </c>
      <c r="S435" t="s">
        <v>50</v>
      </c>
      <c r="T435" t="s">
        <v>29</v>
      </c>
      <c r="U435" t="s">
        <v>79</v>
      </c>
    </row>
    <row r="436" spans="1:21" x14ac:dyDescent="0.35">
      <c r="A436" t="s">
        <v>513</v>
      </c>
      <c r="B436" s="1">
        <v>46141</v>
      </c>
      <c r="C436" t="str">
        <f>TEXT(tblData[[#This Row],[Rental Date]],"mmm")</f>
        <v>Apr</v>
      </c>
      <c r="D436" t="str">
        <f>TEXT(tblData[[#This Row],[Rental Date]],"mmmm")</f>
        <v>April</v>
      </c>
      <c r="E436" t="s">
        <v>109</v>
      </c>
      <c r="F436" t="str">
        <f>TEXT(WEEKNUM(tblData[[#This Row],[Rental Date]]),"00")</f>
        <v>18</v>
      </c>
      <c r="G436" s="1">
        <f>EOMONTH(tblData[[#This Row],[Rental Date]],0)</f>
        <v>46142</v>
      </c>
      <c r="H436" t="s">
        <v>204</v>
      </c>
      <c r="I436" t="s">
        <v>39</v>
      </c>
      <c r="J436" t="s">
        <v>78</v>
      </c>
      <c r="K436" t="s">
        <v>25</v>
      </c>
      <c r="L436">
        <v>1</v>
      </c>
      <c r="M436" s="2">
        <v>42</v>
      </c>
      <c r="N436" t="s">
        <v>75</v>
      </c>
      <c r="O436" s="3">
        <v>12</v>
      </c>
      <c r="P436" s="3">
        <v>0</v>
      </c>
      <c r="Q436" s="2">
        <v>54</v>
      </c>
      <c r="R436" t="s">
        <v>76</v>
      </c>
      <c r="S436" t="s">
        <v>35</v>
      </c>
      <c r="T436" t="s">
        <v>29</v>
      </c>
      <c r="U436" t="s">
        <v>58</v>
      </c>
    </row>
    <row r="437" spans="1:21" x14ac:dyDescent="0.35">
      <c r="A437" t="s">
        <v>514</v>
      </c>
      <c r="B437" s="1">
        <v>46141</v>
      </c>
      <c r="C437" t="str">
        <f>TEXT(tblData[[#This Row],[Rental Date]],"mmm")</f>
        <v>Apr</v>
      </c>
      <c r="D437" t="str">
        <f>TEXT(tblData[[#This Row],[Rental Date]],"mmmm")</f>
        <v>April</v>
      </c>
      <c r="E437" t="s">
        <v>109</v>
      </c>
      <c r="F437" t="str">
        <f>TEXT(WEEKNUM(tblData[[#This Row],[Rental Date]]),"00")</f>
        <v>18</v>
      </c>
      <c r="G437" s="1">
        <f>EOMONTH(tblData[[#This Row],[Rental Date]],0)</f>
        <v>46142</v>
      </c>
      <c r="H437" t="s">
        <v>204</v>
      </c>
      <c r="I437" t="s">
        <v>39</v>
      </c>
      <c r="J437" t="s">
        <v>78</v>
      </c>
      <c r="K437" t="s">
        <v>25</v>
      </c>
      <c r="L437">
        <v>1</v>
      </c>
      <c r="M437" s="2">
        <v>42</v>
      </c>
      <c r="N437" t="s">
        <v>89</v>
      </c>
      <c r="O437" s="3">
        <v>6</v>
      </c>
      <c r="P437" s="3">
        <v>0</v>
      </c>
      <c r="Q437" s="2">
        <v>48</v>
      </c>
      <c r="R437" t="s">
        <v>66</v>
      </c>
      <c r="S437" t="s">
        <v>54</v>
      </c>
      <c r="T437" t="s">
        <v>29</v>
      </c>
      <c r="U437" t="s">
        <v>30</v>
      </c>
    </row>
    <row r="438" spans="1:21" x14ac:dyDescent="0.35">
      <c r="A438" t="s">
        <v>515</v>
      </c>
      <c r="B438" s="1">
        <v>46142</v>
      </c>
      <c r="C438" t="str">
        <f>TEXT(tblData[[#This Row],[Rental Date]],"mmm")</f>
        <v>Apr</v>
      </c>
      <c r="D438" t="str">
        <f>TEXT(tblData[[#This Row],[Rental Date]],"mmmm")</f>
        <v>April</v>
      </c>
      <c r="E438" t="s">
        <v>21</v>
      </c>
      <c r="F438" t="str">
        <f>TEXT(WEEKNUM(tblData[[#This Row],[Rental Date]]),"00")</f>
        <v>18</v>
      </c>
      <c r="G438" s="1">
        <f>EOMONTH(tblData[[#This Row],[Rental Date]],0)</f>
        <v>46142</v>
      </c>
      <c r="H438" t="s">
        <v>204</v>
      </c>
      <c r="I438" t="s">
        <v>23</v>
      </c>
      <c r="J438" t="s">
        <v>65</v>
      </c>
      <c r="K438" t="s">
        <v>92</v>
      </c>
      <c r="L438">
        <v>1</v>
      </c>
      <c r="M438" s="2">
        <v>40</v>
      </c>
      <c r="N438" t="s">
        <v>41</v>
      </c>
      <c r="O438" s="3">
        <v>5</v>
      </c>
      <c r="P438" s="3">
        <v>0</v>
      </c>
      <c r="Q438" s="2">
        <v>45</v>
      </c>
      <c r="R438" t="s">
        <v>71</v>
      </c>
      <c r="S438" t="s">
        <v>46</v>
      </c>
      <c r="T438" t="s">
        <v>51</v>
      </c>
      <c r="U438" t="s">
        <v>30</v>
      </c>
    </row>
    <row r="439" spans="1:21" x14ac:dyDescent="0.35">
      <c r="A439" t="s">
        <v>516</v>
      </c>
      <c r="B439" s="1">
        <v>46143</v>
      </c>
      <c r="C439" t="str">
        <f>TEXT(tblData[[#This Row],[Rental Date]],"mmm")</f>
        <v>May</v>
      </c>
      <c r="D439" t="str">
        <f>TEXT(tblData[[#This Row],[Rental Date]],"mmmm")</f>
        <v>May</v>
      </c>
      <c r="E439" t="s">
        <v>38</v>
      </c>
      <c r="F439" t="str">
        <f>TEXT(WEEKNUM(tblData[[#This Row],[Rental Date]]),"00")</f>
        <v>18</v>
      </c>
      <c r="G439" s="1">
        <f>EOMONTH(tblData[[#This Row],[Rental Date]],0)</f>
        <v>46173</v>
      </c>
      <c r="H439" t="s">
        <v>204</v>
      </c>
      <c r="I439" t="s">
        <v>48</v>
      </c>
      <c r="J439" t="s">
        <v>65</v>
      </c>
      <c r="K439" t="s">
        <v>25</v>
      </c>
      <c r="L439">
        <v>1</v>
      </c>
      <c r="M439" s="2">
        <v>18</v>
      </c>
      <c r="N439" t="s">
        <v>26</v>
      </c>
      <c r="O439" s="3">
        <v>0</v>
      </c>
      <c r="P439" s="3">
        <v>0</v>
      </c>
      <c r="Q439" s="2">
        <v>18</v>
      </c>
      <c r="R439" t="s">
        <v>62</v>
      </c>
      <c r="S439" t="s">
        <v>54</v>
      </c>
      <c r="T439" t="s">
        <v>90</v>
      </c>
      <c r="U439" t="s">
        <v>30</v>
      </c>
    </row>
    <row r="440" spans="1:21" x14ac:dyDescent="0.35">
      <c r="A440" t="s">
        <v>518</v>
      </c>
      <c r="B440" s="1">
        <v>46143</v>
      </c>
      <c r="C440" t="str">
        <f>TEXT(tblData[[#This Row],[Rental Date]],"mmm")</f>
        <v>May</v>
      </c>
      <c r="D440" t="str">
        <f>TEXT(tblData[[#This Row],[Rental Date]],"mmmm")</f>
        <v>May</v>
      </c>
      <c r="E440" t="s">
        <v>38</v>
      </c>
      <c r="F440" t="str">
        <f>TEXT(WEEKNUM(tblData[[#This Row],[Rental Date]]),"00")</f>
        <v>18</v>
      </c>
      <c r="G440" s="1">
        <f>EOMONTH(tblData[[#This Row],[Rental Date]],0)</f>
        <v>46173</v>
      </c>
      <c r="H440" t="s">
        <v>204</v>
      </c>
      <c r="I440" t="s">
        <v>53</v>
      </c>
      <c r="J440" t="s">
        <v>44</v>
      </c>
      <c r="K440" t="s">
        <v>25</v>
      </c>
      <c r="L440">
        <v>1</v>
      </c>
      <c r="M440" s="2">
        <v>52</v>
      </c>
      <c r="N440" t="s">
        <v>26</v>
      </c>
      <c r="O440" s="3">
        <v>0</v>
      </c>
      <c r="P440" s="3">
        <v>7.8</v>
      </c>
      <c r="Q440" s="2">
        <v>44.2</v>
      </c>
      <c r="R440" t="s">
        <v>94</v>
      </c>
      <c r="S440" t="s">
        <v>46</v>
      </c>
      <c r="T440" t="s">
        <v>29</v>
      </c>
      <c r="U440" t="s">
        <v>79</v>
      </c>
    </row>
    <row r="441" spans="1:21" x14ac:dyDescent="0.35">
      <c r="A441" t="s">
        <v>519</v>
      </c>
      <c r="B441" s="1">
        <v>46143</v>
      </c>
      <c r="C441" t="str">
        <f>TEXT(tblData[[#This Row],[Rental Date]],"mmm")</f>
        <v>May</v>
      </c>
      <c r="D441" t="str">
        <f>TEXT(tblData[[#This Row],[Rental Date]],"mmmm")</f>
        <v>May</v>
      </c>
      <c r="E441" t="s">
        <v>38</v>
      </c>
      <c r="F441" t="str">
        <f>TEXT(WEEKNUM(tblData[[#This Row],[Rental Date]]),"00")</f>
        <v>18</v>
      </c>
      <c r="G441" s="1">
        <f>EOMONTH(tblData[[#This Row],[Rental Date]],0)</f>
        <v>46173</v>
      </c>
      <c r="H441" t="s">
        <v>204</v>
      </c>
      <c r="I441" t="s">
        <v>48</v>
      </c>
      <c r="J441" t="s">
        <v>49</v>
      </c>
      <c r="K441" t="s">
        <v>40</v>
      </c>
      <c r="L441">
        <v>1</v>
      </c>
      <c r="M441" s="2">
        <v>54</v>
      </c>
      <c r="N441" t="s">
        <v>26</v>
      </c>
      <c r="O441" s="3">
        <v>0</v>
      </c>
      <c r="P441" s="3">
        <v>0</v>
      </c>
      <c r="Q441" s="2">
        <v>54</v>
      </c>
      <c r="R441" t="s">
        <v>34</v>
      </c>
      <c r="S441" t="s">
        <v>54</v>
      </c>
      <c r="T441" t="s">
        <v>29</v>
      </c>
      <c r="U441" t="s">
        <v>30</v>
      </c>
    </row>
    <row r="442" spans="1:21" x14ac:dyDescent="0.35">
      <c r="A442" t="s">
        <v>520</v>
      </c>
      <c r="B442" s="1">
        <v>46143</v>
      </c>
      <c r="C442" t="str">
        <f>TEXT(tblData[[#This Row],[Rental Date]],"mmm")</f>
        <v>May</v>
      </c>
      <c r="D442" t="str">
        <f>TEXT(tblData[[#This Row],[Rental Date]],"mmmm")</f>
        <v>May</v>
      </c>
      <c r="E442" t="s">
        <v>38</v>
      </c>
      <c r="F442" t="str">
        <f>TEXT(WEEKNUM(tblData[[#This Row],[Rental Date]]),"00")</f>
        <v>18</v>
      </c>
      <c r="G442" s="1">
        <f>EOMONTH(tblData[[#This Row],[Rental Date]],0)</f>
        <v>46173</v>
      </c>
      <c r="H442" t="s">
        <v>204</v>
      </c>
      <c r="I442" t="s">
        <v>32</v>
      </c>
      <c r="J442" t="s">
        <v>78</v>
      </c>
      <c r="K442" t="s">
        <v>60</v>
      </c>
      <c r="L442">
        <v>1</v>
      </c>
      <c r="M442" s="2">
        <v>26</v>
      </c>
      <c r="N442" t="s">
        <v>26</v>
      </c>
      <c r="O442" s="3">
        <v>0</v>
      </c>
      <c r="P442" s="3">
        <v>0</v>
      </c>
      <c r="Q442" s="2">
        <v>26</v>
      </c>
      <c r="R442" t="s">
        <v>27</v>
      </c>
      <c r="S442" t="s">
        <v>50</v>
      </c>
      <c r="T442" t="s">
        <v>51</v>
      </c>
      <c r="U442" t="s">
        <v>30</v>
      </c>
    </row>
    <row r="443" spans="1:21" x14ac:dyDescent="0.35">
      <c r="A443" t="s">
        <v>521</v>
      </c>
      <c r="B443" s="1">
        <v>46143</v>
      </c>
      <c r="C443" t="str">
        <f>TEXT(tblData[[#This Row],[Rental Date]],"mmm")</f>
        <v>May</v>
      </c>
      <c r="D443" t="str">
        <f>TEXT(tblData[[#This Row],[Rental Date]],"mmmm")</f>
        <v>May</v>
      </c>
      <c r="E443" t="s">
        <v>38</v>
      </c>
      <c r="F443" t="str">
        <f>TEXT(WEEKNUM(tblData[[#This Row],[Rental Date]]),"00")</f>
        <v>18</v>
      </c>
      <c r="G443" s="1">
        <f>EOMONTH(tblData[[#This Row],[Rental Date]],0)</f>
        <v>46173</v>
      </c>
      <c r="H443" t="s">
        <v>204</v>
      </c>
      <c r="I443" t="s">
        <v>23</v>
      </c>
      <c r="J443" t="s">
        <v>33</v>
      </c>
      <c r="K443" t="s">
        <v>92</v>
      </c>
      <c r="L443">
        <v>1</v>
      </c>
      <c r="M443" s="2">
        <v>84</v>
      </c>
      <c r="N443" t="s">
        <v>70</v>
      </c>
      <c r="O443" s="3">
        <v>7</v>
      </c>
      <c r="P443" s="3">
        <v>0</v>
      </c>
      <c r="Q443" s="2">
        <v>91</v>
      </c>
      <c r="R443" t="s">
        <v>66</v>
      </c>
      <c r="S443" t="s">
        <v>50</v>
      </c>
      <c r="T443" t="s">
        <v>51</v>
      </c>
      <c r="U443" t="s">
        <v>79</v>
      </c>
    </row>
    <row r="444" spans="1:21" x14ac:dyDescent="0.35">
      <c r="A444" t="s">
        <v>522</v>
      </c>
      <c r="B444" s="1">
        <v>46143</v>
      </c>
      <c r="C444" t="str">
        <f>TEXT(tblData[[#This Row],[Rental Date]],"mmm")</f>
        <v>May</v>
      </c>
      <c r="D444" t="str">
        <f>TEXT(tblData[[#This Row],[Rental Date]],"mmmm")</f>
        <v>May</v>
      </c>
      <c r="E444" t="s">
        <v>38</v>
      </c>
      <c r="F444" t="str">
        <f>TEXT(WEEKNUM(tblData[[#This Row],[Rental Date]]),"00")</f>
        <v>18</v>
      </c>
      <c r="G444" s="1">
        <f>EOMONTH(tblData[[#This Row],[Rental Date]],0)</f>
        <v>46173</v>
      </c>
      <c r="H444" t="s">
        <v>204</v>
      </c>
      <c r="I444" t="s">
        <v>39</v>
      </c>
      <c r="J444" t="s">
        <v>33</v>
      </c>
      <c r="K444" t="s">
        <v>25</v>
      </c>
      <c r="L444">
        <v>1</v>
      </c>
      <c r="M444" s="2">
        <v>38</v>
      </c>
      <c r="N444" t="s">
        <v>26</v>
      </c>
      <c r="O444" s="3">
        <v>0</v>
      </c>
      <c r="P444" s="3">
        <v>0</v>
      </c>
      <c r="Q444" s="2">
        <v>38</v>
      </c>
      <c r="R444" t="s">
        <v>57</v>
      </c>
      <c r="S444" t="s">
        <v>28</v>
      </c>
      <c r="T444" t="s">
        <v>29</v>
      </c>
      <c r="U444" t="s">
        <v>30</v>
      </c>
    </row>
    <row r="445" spans="1:21" x14ac:dyDescent="0.35">
      <c r="A445" t="s">
        <v>523</v>
      </c>
      <c r="B445" s="1">
        <v>46144</v>
      </c>
      <c r="C445" t="str">
        <f>TEXT(tblData[[#This Row],[Rental Date]],"mmm")</f>
        <v>May</v>
      </c>
      <c r="D445" t="str">
        <f>TEXT(tblData[[#This Row],[Rental Date]],"mmmm")</f>
        <v>May</v>
      </c>
      <c r="E445" t="s">
        <v>56</v>
      </c>
      <c r="F445" t="str">
        <f>TEXT(WEEKNUM(tblData[[#This Row],[Rental Date]]),"00")</f>
        <v>18</v>
      </c>
      <c r="G445" s="1">
        <f>EOMONTH(tblData[[#This Row],[Rental Date]],0)</f>
        <v>46173</v>
      </c>
      <c r="H445" t="s">
        <v>204</v>
      </c>
      <c r="I445" t="s">
        <v>23</v>
      </c>
      <c r="J445" t="s">
        <v>78</v>
      </c>
      <c r="K445" t="s">
        <v>25</v>
      </c>
      <c r="L445">
        <v>1</v>
      </c>
      <c r="M445" s="2">
        <v>45.36</v>
      </c>
      <c r="N445" t="s">
        <v>26</v>
      </c>
      <c r="O445" s="3">
        <v>0</v>
      </c>
      <c r="P445" s="3">
        <v>0</v>
      </c>
      <c r="Q445" s="2">
        <v>45.36</v>
      </c>
      <c r="R445" t="s">
        <v>45</v>
      </c>
      <c r="S445" t="s">
        <v>46</v>
      </c>
      <c r="T445" t="s">
        <v>29</v>
      </c>
      <c r="U445" t="s">
        <v>30</v>
      </c>
    </row>
    <row r="446" spans="1:21" x14ac:dyDescent="0.35">
      <c r="A446" t="s">
        <v>524</v>
      </c>
      <c r="B446" s="1">
        <v>46144</v>
      </c>
      <c r="C446" t="str">
        <f>TEXT(tblData[[#This Row],[Rental Date]],"mmm")</f>
        <v>May</v>
      </c>
      <c r="D446" t="str">
        <f>TEXT(tblData[[#This Row],[Rental Date]],"mmmm")</f>
        <v>May</v>
      </c>
      <c r="E446" t="s">
        <v>56</v>
      </c>
      <c r="F446" t="str">
        <f>TEXT(WEEKNUM(tblData[[#This Row],[Rental Date]]),"00")</f>
        <v>18</v>
      </c>
      <c r="G446" s="1">
        <f>EOMONTH(tblData[[#This Row],[Rental Date]],0)</f>
        <v>46173</v>
      </c>
      <c r="H446" t="s">
        <v>204</v>
      </c>
      <c r="I446" t="s">
        <v>48</v>
      </c>
      <c r="J446" t="s">
        <v>127</v>
      </c>
      <c r="K446" t="s">
        <v>40</v>
      </c>
      <c r="L446">
        <v>1</v>
      </c>
      <c r="M446" s="2">
        <v>25.92</v>
      </c>
      <c r="N446" t="s">
        <v>87</v>
      </c>
      <c r="O446" s="3">
        <v>10</v>
      </c>
      <c r="P446" s="3">
        <v>0</v>
      </c>
      <c r="Q446" s="2">
        <v>35.92</v>
      </c>
      <c r="R446" t="s">
        <v>45</v>
      </c>
      <c r="S446" t="s">
        <v>46</v>
      </c>
      <c r="T446" t="s">
        <v>29</v>
      </c>
      <c r="U446" t="s">
        <v>30</v>
      </c>
    </row>
    <row r="447" spans="1:21" x14ac:dyDescent="0.35">
      <c r="A447" t="s">
        <v>525</v>
      </c>
      <c r="B447" s="1">
        <v>46144</v>
      </c>
      <c r="C447" t="str">
        <f>TEXT(tblData[[#This Row],[Rental Date]],"mmm")</f>
        <v>May</v>
      </c>
      <c r="D447" t="str">
        <f>TEXT(tblData[[#This Row],[Rental Date]],"mmmm")</f>
        <v>May</v>
      </c>
      <c r="E447" t="s">
        <v>56</v>
      </c>
      <c r="F447" t="str">
        <f>TEXT(WEEKNUM(tblData[[#This Row],[Rental Date]]),"00")</f>
        <v>18</v>
      </c>
      <c r="G447" s="1">
        <f>EOMONTH(tblData[[#This Row],[Rental Date]],0)</f>
        <v>46173</v>
      </c>
      <c r="H447" t="s">
        <v>204</v>
      </c>
      <c r="I447" t="s">
        <v>23</v>
      </c>
      <c r="J447" t="s">
        <v>65</v>
      </c>
      <c r="K447" t="s">
        <v>25</v>
      </c>
      <c r="L447">
        <v>1</v>
      </c>
      <c r="M447" s="2">
        <v>19.440000000000001</v>
      </c>
      <c r="N447" t="s">
        <v>26</v>
      </c>
      <c r="O447" s="3">
        <v>0</v>
      </c>
      <c r="P447" s="3">
        <v>0</v>
      </c>
      <c r="Q447" s="2">
        <v>19.440000000000001</v>
      </c>
      <c r="R447" t="s">
        <v>94</v>
      </c>
      <c r="S447" t="s">
        <v>46</v>
      </c>
      <c r="T447" t="s">
        <v>29</v>
      </c>
      <c r="U447" t="s">
        <v>30</v>
      </c>
    </row>
    <row r="448" spans="1:21" x14ac:dyDescent="0.35">
      <c r="A448" t="s">
        <v>526</v>
      </c>
      <c r="B448" s="1">
        <v>46144</v>
      </c>
      <c r="C448" t="str">
        <f>TEXT(tblData[[#This Row],[Rental Date]],"mmm")</f>
        <v>May</v>
      </c>
      <c r="D448" t="str">
        <f>TEXT(tblData[[#This Row],[Rental Date]],"mmmm")</f>
        <v>May</v>
      </c>
      <c r="E448" t="s">
        <v>56</v>
      </c>
      <c r="F448" t="str">
        <f>TEXT(WEEKNUM(tblData[[#This Row],[Rental Date]]),"00")</f>
        <v>18</v>
      </c>
      <c r="G448" s="1">
        <f>EOMONTH(tblData[[#This Row],[Rental Date]],0)</f>
        <v>46173</v>
      </c>
      <c r="H448" t="s">
        <v>204</v>
      </c>
      <c r="I448" t="s">
        <v>53</v>
      </c>
      <c r="J448" t="s">
        <v>24</v>
      </c>
      <c r="K448" t="s">
        <v>92</v>
      </c>
      <c r="L448">
        <v>1</v>
      </c>
      <c r="M448" s="2">
        <v>118.8</v>
      </c>
      <c r="N448" t="s">
        <v>89</v>
      </c>
      <c r="O448" s="3">
        <v>6</v>
      </c>
      <c r="P448" s="3">
        <v>18.72</v>
      </c>
      <c r="Q448" s="2">
        <v>106.08</v>
      </c>
      <c r="R448" t="s">
        <v>66</v>
      </c>
      <c r="S448" t="s">
        <v>54</v>
      </c>
      <c r="T448" t="s">
        <v>29</v>
      </c>
      <c r="U448" t="s">
        <v>30</v>
      </c>
    </row>
    <row r="449" spans="1:21" x14ac:dyDescent="0.35">
      <c r="A449" t="s">
        <v>527</v>
      </c>
      <c r="B449" s="1">
        <v>46144</v>
      </c>
      <c r="C449" t="str">
        <f>TEXT(tblData[[#This Row],[Rental Date]],"mmm")</f>
        <v>May</v>
      </c>
      <c r="D449" t="str">
        <f>TEXT(tblData[[#This Row],[Rental Date]],"mmmm")</f>
        <v>May</v>
      </c>
      <c r="E449" t="s">
        <v>56</v>
      </c>
      <c r="F449" t="str">
        <f>TEXT(WEEKNUM(tblData[[#This Row],[Rental Date]]),"00")</f>
        <v>18</v>
      </c>
      <c r="G449" s="1">
        <f>EOMONTH(tblData[[#This Row],[Rental Date]],0)</f>
        <v>46173</v>
      </c>
      <c r="H449" t="s">
        <v>204</v>
      </c>
      <c r="I449" t="s">
        <v>48</v>
      </c>
      <c r="J449" t="s">
        <v>138</v>
      </c>
      <c r="K449" t="s">
        <v>92</v>
      </c>
      <c r="L449">
        <v>1</v>
      </c>
      <c r="M449" s="2">
        <v>112.32</v>
      </c>
      <c r="N449" t="s">
        <v>26</v>
      </c>
      <c r="O449" s="3">
        <v>0</v>
      </c>
      <c r="P449" s="3">
        <v>0</v>
      </c>
      <c r="Q449" s="2">
        <v>112.32</v>
      </c>
      <c r="R449" t="s">
        <v>57</v>
      </c>
      <c r="S449" t="s">
        <v>35</v>
      </c>
      <c r="T449" t="s">
        <v>29</v>
      </c>
      <c r="U449" t="s">
        <v>30</v>
      </c>
    </row>
    <row r="450" spans="1:21" x14ac:dyDescent="0.35">
      <c r="A450" t="s">
        <v>528</v>
      </c>
      <c r="B450" s="1">
        <v>46144</v>
      </c>
      <c r="C450" t="str">
        <f>TEXT(tblData[[#This Row],[Rental Date]],"mmm")</f>
        <v>May</v>
      </c>
      <c r="D450" t="str">
        <f>TEXT(tblData[[#This Row],[Rental Date]],"mmmm")</f>
        <v>May</v>
      </c>
      <c r="E450" t="s">
        <v>56</v>
      </c>
      <c r="F450" t="str">
        <f>TEXT(WEEKNUM(tblData[[#This Row],[Rental Date]]),"00")</f>
        <v>18</v>
      </c>
      <c r="G450" s="1">
        <f>EOMONTH(tblData[[#This Row],[Rental Date]],0)</f>
        <v>46173</v>
      </c>
      <c r="H450" t="s">
        <v>204</v>
      </c>
      <c r="I450" t="s">
        <v>39</v>
      </c>
      <c r="J450" t="s">
        <v>24</v>
      </c>
      <c r="K450" t="s">
        <v>60</v>
      </c>
      <c r="L450">
        <v>1</v>
      </c>
      <c r="M450" s="2">
        <v>34.56</v>
      </c>
      <c r="N450" t="s">
        <v>70</v>
      </c>
      <c r="O450" s="3">
        <v>7</v>
      </c>
      <c r="P450" s="3">
        <v>0</v>
      </c>
      <c r="Q450" s="2">
        <v>41.56</v>
      </c>
      <c r="R450" t="s">
        <v>71</v>
      </c>
      <c r="S450" t="s">
        <v>50</v>
      </c>
      <c r="T450" t="s">
        <v>83</v>
      </c>
      <c r="U450" t="s">
        <v>30</v>
      </c>
    </row>
    <row r="451" spans="1:21" x14ac:dyDescent="0.35">
      <c r="A451" t="s">
        <v>529</v>
      </c>
      <c r="B451" s="1">
        <v>46144</v>
      </c>
      <c r="C451" t="str">
        <f>TEXT(tblData[[#This Row],[Rental Date]],"mmm")</f>
        <v>May</v>
      </c>
      <c r="D451" t="str">
        <f>TEXT(tblData[[#This Row],[Rental Date]],"mmmm")</f>
        <v>May</v>
      </c>
      <c r="E451" t="s">
        <v>56</v>
      </c>
      <c r="F451" t="str">
        <f>TEXT(WEEKNUM(tblData[[#This Row],[Rental Date]]),"00")</f>
        <v>18</v>
      </c>
      <c r="G451" s="1">
        <f>EOMONTH(tblData[[#This Row],[Rental Date]],0)</f>
        <v>46173</v>
      </c>
      <c r="H451" t="s">
        <v>204</v>
      </c>
      <c r="I451" t="s">
        <v>32</v>
      </c>
      <c r="J451" t="s">
        <v>24</v>
      </c>
      <c r="K451" t="s">
        <v>40</v>
      </c>
      <c r="L451">
        <v>1</v>
      </c>
      <c r="M451" s="2">
        <v>82.08</v>
      </c>
      <c r="N451" t="s">
        <v>41</v>
      </c>
      <c r="O451" s="3">
        <v>5</v>
      </c>
      <c r="P451" s="3">
        <v>4.3499999999999996</v>
      </c>
      <c r="Q451" s="2">
        <v>82.73</v>
      </c>
      <c r="R451" t="s">
        <v>66</v>
      </c>
      <c r="S451" t="s">
        <v>35</v>
      </c>
      <c r="T451" t="s">
        <v>63</v>
      </c>
      <c r="U451" t="s">
        <v>79</v>
      </c>
    </row>
    <row r="452" spans="1:21" x14ac:dyDescent="0.35">
      <c r="A452" t="s">
        <v>530</v>
      </c>
      <c r="B452" s="1">
        <v>46144</v>
      </c>
      <c r="C452" t="str">
        <f>TEXT(tblData[[#This Row],[Rental Date]],"mmm")</f>
        <v>May</v>
      </c>
      <c r="D452" t="str">
        <f>TEXT(tblData[[#This Row],[Rental Date]],"mmmm")</f>
        <v>May</v>
      </c>
      <c r="E452" t="s">
        <v>56</v>
      </c>
      <c r="F452" t="str">
        <f>TEXT(WEEKNUM(tblData[[#This Row],[Rental Date]]),"00")</f>
        <v>18</v>
      </c>
      <c r="G452" s="1">
        <f>EOMONTH(tblData[[#This Row],[Rental Date]],0)</f>
        <v>46173</v>
      </c>
      <c r="H452" t="s">
        <v>204</v>
      </c>
      <c r="I452" t="s">
        <v>39</v>
      </c>
      <c r="J452" t="s">
        <v>111</v>
      </c>
      <c r="K452" t="s">
        <v>60</v>
      </c>
      <c r="L452">
        <v>1</v>
      </c>
      <c r="M452" s="2">
        <v>15.12</v>
      </c>
      <c r="N452" t="s">
        <v>41</v>
      </c>
      <c r="O452" s="3">
        <v>5</v>
      </c>
      <c r="P452" s="3">
        <v>0</v>
      </c>
      <c r="Q452" s="2">
        <v>20.12</v>
      </c>
      <c r="R452" t="s">
        <v>34</v>
      </c>
      <c r="S452" t="s">
        <v>50</v>
      </c>
      <c r="T452" t="s">
        <v>51</v>
      </c>
      <c r="U452" t="s">
        <v>58</v>
      </c>
    </row>
    <row r="453" spans="1:21" x14ac:dyDescent="0.35">
      <c r="A453" t="s">
        <v>531</v>
      </c>
      <c r="B453" s="1">
        <v>46144</v>
      </c>
      <c r="C453" t="str">
        <f>TEXT(tblData[[#This Row],[Rental Date]],"mmm")</f>
        <v>May</v>
      </c>
      <c r="D453" t="str">
        <f>TEXT(tblData[[#This Row],[Rental Date]],"mmmm")</f>
        <v>May</v>
      </c>
      <c r="E453" t="s">
        <v>56</v>
      </c>
      <c r="F453" t="str">
        <f>TEXT(WEEKNUM(tblData[[#This Row],[Rental Date]]),"00")</f>
        <v>18</v>
      </c>
      <c r="G453" s="1">
        <f>EOMONTH(tblData[[#This Row],[Rental Date]],0)</f>
        <v>46173</v>
      </c>
      <c r="H453" t="s">
        <v>204</v>
      </c>
      <c r="I453" t="s">
        <v>39</v>
      </c>
      <c r="J453" t="s">
        <v>24</v>
      </c>
      <c r="K453" t="s">
        <v>40</v>
      </c>
      <c r="L453">
        <v>1</v>
      </c>
      <c r="M453" s="2">
        <v>82.08</v>
      </c>
      <c r="N453" t="s">
        <v>26</v>
      </c>
      <c r="O453" s="3">
        <v>0</v>
      </c>
      <c r="P453" s="3">
        <v>0</v>
      </c>
      <c r="Q453" s="2">
        <v>82.08</v>
      </c>
      <c r="R453" t="s">
        <v>62</v>
      </c>
      <c r="S453" t="s">
        <v>28</v>
      </c>
      <c r="T453" t="s">
        <v>29</v>
      </c>
      <c r="U453" t="s">
        <v>58</v>
      </c>
    </row>
    <row r="454" spans="1:21" x14ac:dyDescent="0.35">
      <c r="A454" t="s">
        <v>532</v>
      </c>
      <c r="B454" s="1">
        <v>46144</v>
      </c>
      <c r="C454" t="str">
        <f>TEXT(tblData[[#This Row],[Rental Date]],"mmm")</f>
        <v>May</v>
      </c>
      <c r="D454" t="str">
        <f>TEXT(tblData[[#This Row],[Rental Date]],"mmmm")</f>
        <v>May</v>
      </c>
      <c r="E454" t="s">
        <v>56</v>
      </c>
      <c r="F454" t="str">
        <f>TEXT(WEEKNUM(tblData[[#This Row],[Rental Date]]),"00")</f>
        <v>18</v>
      </c>
      <c r="G454" s="1">
        <f>EOMONTH(tblData[[#This Row],[Rental Date]],0)</f>
        <v>46173</v>
      </c>
      <c r="H454" t="s">
        <v>204</v>
      </c>
      <c r="I454" t="s">
        <v>39</v>
      </c>
      <c r="J454" t="s">
        <v>24</v>
      </c>
      <c r="K454" t="s">
        <v>25</v>
      </c>
      <c r="L454">
        <v>1</v>
      </c>
      <c r="M454" s="2">
        <v>54</v>
      </c>
      <c r="N454" t="s">
        <v>26</v>
      </c>
      <c r="O454" s="3">
        <v>0</v>
      </c>
      <c r="P454" s="3">
        <v>0</v>
      </c>
      <c r="Q454" s="2">
        <v>54</v>
      </c>
      <c r="R454" t="s">
        <v>45</v>
      </c>
      <c r="S454" t="s">
        <v>28</v>
      </c>
      <c r="T454" t="s">
        <v>63</v>
      </c>
      <c r="U454" t="s">
        <v>30</v>
      </c>
    </row>
    <row r="455" spans="1:21" x14ac:dyDescent="0.35">
      <c r="A455" t="s">
        <v>533</v>
      </c>
      <c r="B455" s="1">
        <v>46144</v>
      </c>
      <c r="C455" t="str">
        <f>TEXT(tblData[[#This Row],[Rental Date]],"mmm")</f>
        <v>May</v>
      </c>
      <c r="D455" t="str">
        <f>TEXT(tblData[[#This Row],[Rental Date]],"mmmm")</f>
        <v>May</v>
      </c>
      <c r="E455" t="s">
        <v>56</v>
      </c>
      <c r="F455" t="str">
        <f>TEXT(WEEKNUM(tblData[[#This Row],[Rental Date]]),"00")</f>
        <v>18</v>
      </c>
      <c r="G455" s="1">
        <f>EOMONTH(tblData[[#This Row],[Rental Date]],0)</f>
        <v>46173</v>
      </c>
      <c r="H455" t="s">
        <v>204</v>
      </c>
      <c r="I455" t="s">
        <v>39</v>
      </c>
      <c r="J455" t="s">
        <v>33</v>
      </c>
      <c r="K455" t="s">
        <v>40</v>
      </c>
      <c r="L455">
        <v>1</v>
      </c>
      <c r="M455" s="2">
        <v>62.64</v>
      </c>
      <c r="N455" t="s">
        <v>26</v>
      </c>
      <c r="O455" s="3">
        <v>0</v>
      </c>
      <c r="P455" s="3">
        <v>0</v>
      </c>
      <c r="Q455" s="2">
        <v>62.64</v>
      </c>
      <c r="R455" t="s">
        <v>76</v>
      </c>
      <c r="S455" t="s">
        <v>50</v>
      </c>
      <c r="T455" t="s">
        <v>29</v>
      </c>
      <c r="U455" t="s">
        <v>30</v>
      </c>
    </row>
    <row r="456" spans="1:21" x14ac:dyDescent="0.35">
      <c r="A456" t="s">
        <v>534</v>
      </c>
      <c r="B456" s="1">
        <v>46145</v>
      </c>
      <c r="C456" t="str">
        <f>TEXT(tblData[[#This Row],[Rental Date]],"mmm")</f>
        <v>May</v>
      </c>
      <c r="D456" t="str">
        <f>TEXT(tblData[[#This Row],[Rental Date]],"mmmm")</f>
        <v>May</v>
      </c>
      <c r="E456" t="s">
        <v>68</v>
      </c>
      <c r="F456" t="str">
        <f>TEXT(WEEKNUM(tblData[[#This Row],[Rental Date]]),"00")</f>
        <v>19</v>
      </c>
      <c r="G456" s="1">
        <f>EOMONTH(tblData[[#This Row],[Rental Date]],0)</f>
        <v>46173</v>
      </c>
      <c r="H456" t="s">
        <v>204</v>
      </c>
      <c r="I456" t="s">
        <v>48</v>
      </c>
      <c r="J456" t="s">
        <v>78</v>
      </c>
      <c r="K456" t="s">
        <v>25</v>
      </c>
      <c r="L456">
        <v>1</v>
      </c>
      <c r="M456" s="2">
        <v>45.36</v>
      </c>
      <c r="N456" t="s">
        <v>26</v>
      </c>
      <c r="O456" s="3">
        <v>0</v>
      </c>
      <c r="P456" s="3">
        <v>0</v>
      </c>
      <c r="Q456" s="2">
        <v>45.36</v>
      </c>
      <c r="R456" t="s">
        <v>57</v>
      </c>
      <c r="S456" t="s">
        <v>28</v>
      </c>
      <c r="T456" t="s">
        <v>51</v>
      </c>
      <c r="U456" t="s">
        <v>30</v>
      </c>
    </row>
    <row r="457" spans="1:21" x14ac:dyDescent="0.35">
      <c r="A457" t="s">
        <v>535</v>
      </c>
      <c r="B457" s="1">
        <v>46145</v>
      </c>
      <c r="C457" t="str">
        <f>TEXT(tblData[[#This Row],[Rental Date]],"mmm")</f>
        <v>May</v>
      </c>
      <c r="D457" t="str">
        <f>TEXT(tblData[[#This Row],[Rental Date]],"mmmm")</f>
        <v>May</v>
      </c>
      <c r="E457" t="s">
        <v>68</v>
      </c>
      <c r="F457" t="str">
        <f>TEXT(WEEKNUM(tblData[[#This Row],[Rental Date]]),"00")</f>
        <v>19</v>
      </c>
      <c r="G457" s="1">
        <f>EOMONTH(tblData[[#This Row],[Rental Date]],0)</f>
        <v>46173</v>
      </c>
      <c r="H457" t="s">
        <v>204</v>
      </c>
      <c r="I457" t="s">
        <v>23</v>
      </c>
      <c r="J457" t="s">
        <v>78</v>
      </c>
      <c r="K457" t="s">
        <v>60</v>
      </c>
      <c r="L457">
        <v>1</v>
      </c>
      <c r="M457" s="2">
        <v>28.08</v>
      </c>
      <c r="N457" t="s">
        <v>89</v>
      </c>
      <c r="O457" s="3">
        <v>6</v>
      </c>
      <c r="P457" s="3">
        <v>0</v>
      </c>
      <c r="Q457" s="2">
        <v>34.08</v>
      </c>
      <c r="R457" t="s">
        <v>66</v>
      </c>
      <c r="S457" t="s">
        <v>50</v>
      </c>
      <c r="T457" t="s">
        <v>90</v>
      </c>
      <c r="U457" t="s">
        <v>30</v>
      </c>
    </row>
    <row r="458" spans="1:21" x14ac:dyDescent="0.35">
      <c r="A458" t="s">
        <v>536</v>
      </c>
      <c r="B458" s="1">
        <v>46145</v>
      </c>
      <c r="C458" t="str">
        <f>TEXT(tblData[[#This Row],[Rental Date]],"mmm")</f>
        <v>May</v>
      </c>
      <c r="D458" t="str">
        <f>TEXT(tblData[[#This Row],[Rental Date]],"mmmm")</f>
        <v>May</v>
      </c>
      <c r="E458" t="s">
        <v>68</v>
      </c>
      <c r="F458" t="str">
        <f>TEXT(WEEKNUM(tblData[[#This Row],[Rental Date]]),"00")</f>
        <v>19</v>
      </c>
      <c r="G458" s="1">
        <f>EOMONTH(tblData[[#This Row],[Rental Date]],0)</f>
        <v>46173</v>
      </c>
      <c r="H458" t="s">
        <v>204</v>
      </c>
      <c r="I458" t="s">
        <v>32</v>
      </c>
      <c r="J458" t="s">
        <v>44</v>
      </c>
      <c r="K458" t="s">
        <v>25</v>
      </c>
      <c r="L458">
        <v>1</v>
      </c>
      <c r="M458" s="2">
        <v>56.16</v>
      </c>
      <c r="N458" t="s">
        <v>89</v>
      </c>
      <c r="O458" s="3">
        <v>6</v>
      </c>
      <c r="P458" s="3">
        <v>0</v>
      </c>
      <c r="Q458" s="2">
        <v>62.16</v>
      </c>
      <c r="R458" t="s">
        <v>76</v>
      </c>
      <c r="S458" t="s">
        <v>50</v>
      </c>
      <c r="T458" t="s">
        <v>63</v>
      </c>
      <c r="U458" t="s">
        <v>30</v>
      </c>
    </row>
    <row r="459" spans="1:21" x14ac:dyDescent="0.35">
      <c r="A459" t="s">
        <v>537</v>
      </c>
      <c r="B459" s="1">
        <v>46145</v>
      </c>
      <c r="C459" t="str">
        <f>TEXT(tblData[[#This Row],[Rental Date]],"mmm")</f>
        <v>May</v>
      </c>
      <c r="D459" t="str">
        <f>TEXT(tblData[[#This Row],[Rental Date]],"mmmm")</f>
        <v>May</v>
      </c>
      <c r="E459" t="s">
        <v>68</v>
      </c>
      <c r="F459" t="str">
        <f>TEXT(WEEKNUM(tblData[[#This Row],[Rental Date]]),"00")</f>
        <v>19</v>
      </c>
      <c r="G459" s="1">
        <f>EOMONTH(tblData[[#This Row],[Rental Date]],0)</f>
        <v>46173</v>
      </c>
      <c r="H459" t="s">
        <v>204</v>
      </c>
      <c r="I459" t="s">
        <v>23</v>
      </c>
      <c r="J459" t="s">
        <v>49</v>
      </c>
      <c r="K459" t="s">
        <v>60</v>
      </c>
      <c r="L459">
        <v>1</v>
      </c>
      <c r="M459" s="2">
        <v>23.76</v>
      </c>
      <c r="N459" t="s">
        <v>26</v>
      </c>
      <c r="O459" s="3">
        <v>0</v>
      </c>
      <c r="P459" s="3">
        <v>0</v>
      </c>
      <c r="Q459" s="2">
        <v>23.76</v>
      </c>
      <c r="R459" t="s">
        <v>94</v>
      </c>
      <c r="S459" t="s">
        <v>54</v>
      </c>
      <c r="T459" t="s">
        <v>29</v>
      </c>
      <c r="U459" t="s">
        <v>30</v>
      </c>
    </row>
    <row r="460" spans="1:21" x14ac:dyDescent="0.35">
      <c r="A460" t="s">
        <v>538</v>
      </c>
      <c r="B460" s="1">
        <v>46145</v>
      </c>
      <c r="C460" t="str">
        <f>TEXT(tblData[[#This Row],[Rental Date]],"mmm")</f>
        <v>May</v>
      </c>
      <c r="D460" t="str">
        <f>TEXT(tblData[[#This Row],[Rental Date]],"mmmm")</f>
        <v>May</v>
      </c>
      <c r="E460" t="s">
        <v>68</v>
      </c>
      <c r="F460" t="str">
        <f>TEXT(WEEKNUM(tblData[[#This Row],[Rental Date]]),"00")</f>
        <v>19</v>
      </c>
      <c r="G460" s="1">
        <f>EOMONTH(tblData[[#This Row],[Rental Date]],0)</f>
        <v>46173</v>
      </c>
      <c r="H460" t="s">
        <v>204</v>
      </c>
      <c r="I460" t="s">
        <v>39</v>
      </c>
      <c r="J460" t="s">
        <v>24</v>
      </c>
      <c r="K460" t="s">
        <v>25</v>
      </c>
      <c r="L460">
        <v>1</v>
      </c>
      <c r="M460" s="2">
        <v>54</v>
      </c>
      <c r="N460" t="s">
        <v>26</v>
      </c>
      <c r="O460" s="3">
        <v>0</v>
      </c>
      <c r="P460" s="3">
        <v>0</v>
      </c>
      <c r="Q460" s="2">
        <v>54</v>
      </c>
      <c r="R460" t="s">
        <v>34</v>
      </c>
      <c r="S460" t="s">
        <v>50</v>
      </c>
      <c r="T460" t="s">
        <v>63</v>
      </c>
      <c r="U460" t="s">
        <v>79</v>
      </c>
    </row>
    <row r="461" spans="1:21" x14ac:dyDescent="0.35">
      <c r="A461" t="s">
        <v>539</v>
      </c>
      <c r="B461" s="1">
        <v>46145</v>
      </c>
      <c r="C461" t="str">
        <f>TEXT(tblData[[#This Row],[Rental Date]],"mmm")</f>
        <v>May</v>
      </c>
      <c r="D461" t="str">
        <f>TEXT(tblData[[#This Row],[Rental Date]],"mmmm")</f>
        <v>May</v>
      </c>
      <c r="E461" t="s">
        <v>68</v>
      </c>
      <c r="F461" t="str">
        <f>TEXT(WEEKNUM(tblData[[#This Row],[Rental Date]]),"00")</f>
        <v>19</v>
      </c>
      <c r="G461" s="1">
        <f>EOMONTH(tblData[[#This Row],[Rental Date]],0)</f>
        <v>46173</v>
      </c>
      <c r="H461" t="s">
        <v>204</v>
      </c>
      <c r="I461" t="s">
        <v>53</v>
      </c>
      <c r="J461" t="s">
        <v>49</v>
      </c>
      <c r="K461" t="s">
        <v>25</v>
      </c>
      <c r="L461">
        <v>1</v>
      </c>
      <c r="M461" s="2">
        <v>38.880000000000003</v>
      </c>
      <c r="N461" t="s">
        <v>41</v>
      </c>
      <c r="O461" s="3">
        <v>5</v>
      </c>
      <c r="P461" s="3">
        <v>6.58</v>
      </c>
      <c r="Q461" s="2">
        <v>37.299999999999997</v>
      </c>
      <c r="R461" t="s">
        <v>76</v>
      </c>
      <c r="S461" t="s">
        <v>54</v>
      </c>
      <c r="T461" t="s">
        <v>63</v>
      </c>
      <c r="U461" t="s">
        <v>30</v>
      </c>
    </row>
    <row r="462" spans="1:21" x14ac:dyDescent="0.35">
      <c r="A462" t="s">
        <v>540</v>
      </c>
      <c r="B462" s="1">
        <v>46145</v>
      </c>
      <c r="C462" t="str">
        <f>TEXT(tblData[[#This Row],[Rental Date]],"mmm")</f>
        <v>May</v>
      </c>
      <c r="D462" t="str">
        <f>TEXT(tblData[[#This Row],[Rental Date]],"mmmm")</f>
        <v>May</v>
      </c>
      <c r="E462" t="s">
        <v>68</v>
      </c>
      <c r="F462" t="str">
        <f>TEXT(WEEKNUM(tblData[[#This Row],[Rental Date]]),"00")</f>
        <v>19</v>
      </c>
      <c r="G462" s="1">
        <f>EOMONTH(tblData[[#This Row],[Rental Date]],0)</f>
        <v>46173</v>
      </c>
      <c r="H462" t="s">
        <v>204</v>
      </c>
      <c r="I462" t="s">
        <v>48</v>
      </c>
      <c r="J462" t="s">
        <v>33</v>
      </c>
      <c r="K462" t="s">
        <v>40</v>
      </c>
      <c r="L462">
        <v>1</v>
      </c>
      <c r="M462" s="2">
        <v>62.64</v>
      </c>
      <c r="N462" t="s">
        <v>41</v>
      </c>
      <c r="O462" s="3">
        <v>5</v>
      </c>
      <c r="P462" s="3">
        <v>0</v>
      </c>
      <c r="Q462" s="2">
        <v>67.64</v>
      </c>
      <c r="R462" t="s">
        <v>62</v>
      </c>
      <c r="S462" t="s">
        <v>46</v>
      </c>
      <c r="T462" t="s">
        <v>29</v>
      </c>
      <c r="U462" t="s">
        <v>30</v>
      </c>
    </row>
    <row r="463" spans="1:21" x14ac:dyDescent="0.35">
      <c r="A463" t="s">
        <v>541</v>
      </c>
      <c r="B463" s="1">
        <v>46145</v>
      </c>
      <c r="C463" t="str">
        <f>TEXT(tblData[[#This Row],[Rental Date]],"mmm")</f>
        <v>May</v>
      </c>
      <c r="D463" t="str">
        <f>TEXT(tblData[[#This Row],[Rental Date]],"mmmm")</f>
        <v>May</v>
      </c>
      <c r="E463" t="s">
        <v>68</v>
      </c>
      <c r="F463" t="str">
        <f>TEXT(WEEKNUM(tblData[[#This Row],[Rental Date]]),"00")</f>
        <v>19</v>
      </c>
      <c r="G463" s="1">
        <f>EOMONTH(tblData[[#This Row],[Rental Date]],0)</f>
        <v>46173</v>
      </c>
      <c r="H463" t="s">
        <v>204</v>
      </c>
      <c r="I463" t="s">
        <v>32</v>
      </c>
      <c r="J463" t="s">
        <v>33</v>
      </c>
      <c r="K463" t="s">
        <v>25</v>
      </c>
      <c r="L463">
        <v>1</v>
      </c>
      <c r="M463" s="2">
        <v>41.04</v>
      </c>
      <c r="N463" t="s">
        <v>26</v>
      </c>
      <c r="O463" s="3">
        <v>0</v>
      </c>
      <c r="P463" s="3">
        <v>2.0499999999999998</v>
      </c>
      <c r="Q463" s="2">
        <v>38.99</v>
      </c>
      <c r="R463" t="s">
        <v>62</v>
      </c>
      <c r="S463" t="s">
        <v>28</v>
      </c>
      <c r="T463" t="s">
        <v>51</v>
      </c>
      <c r="U463" t="s">
        <v>30</v>
      </c>
    </row>
    <row r="464" spans="1:21" x14ac:dyDescent="0.35">
      <c r="A464" t="s">
        <v>542</v>
      </c>
      <c r="B464" s="1">
        <v>46145</v>
      </c>
      <c r="C464" t="str">
        <f>TEXT(tblData[[#This Row],[Rental Date]],"mmm")</f>
        <v>May</v>
      </c>
      <c r="D464" t="str">
        <f>TEXT(tblData[[#This Row],[Rental Date]],"mmmm")</f>
        <v>May</v>
      </c>
      <c r="E464" t="s">
        <v>68</v>
      </c>
      <c r="F464" t="str">
        <f>TEXT(WEEKNUM(tblData[[#This Row],[Rental Date]]),"00")</f>
        <v>19</v>
      </c>
      <c r="G464" s="1">
        <f>EOMONTH(tblData[[#This Row],[Rental Date]],0)</f>
        <v>46173</v>
      </c>
      <c r="H464" t="s">
        <v>204</v>
      </c>
      <c r="I464" t="s">
        <v>53</v>
      </c>
      <c r="J464" t="s">
        <v>33</v>
      </c>
      <c r="K464" t="s">
        <v>25</v>
      </c>
      <c r="L464">
        <v>1</v>
      </c>
      <c r="M464" s="2">
        <v>41.04</v>
      </c>
      <c r="N464" t="s">
        <v>26</v>
      </c>
      <c r="O464" s="3">
        <v>0</v>
      </c>
      <c r="P464" s="3">
        <v>6.16</v>
      </c>
      <c r="Q464" s="2">
        <v>34.880000000000003</v>
      </c>
      <c r="R464" t="s">
        <v>62</v>
      </c>
      <c r="S464" t="s">
        <v>46</v>
      </c>
      <c r="T464" t="s">
        <v>29</v>
      </c>
      <c r="U464" t="s">
        <v>58</v>
      </c>
    </row>
    <row r="465" spans="1:21" x14ac:dyDescent="0.35">
      <c r="A465" t="s">
        <v>543</v>
      </c>
      <c r="B465" s="1">
        <v>46145</v>
      </c>
      <c r="C465" t="str">
        <f>TEXT(tblData[[#This Row],[Rental Date]],"mmm")</f>
        <v>May</v>
      </c>
      <c r="D465" t="str">
        <f>TEXT(tblData[[#This Row],[Rental Date]],"mmmm")</f>
        <v>May</v>
      </c>
      <c r="E465" t="s">
        <v>68</v>
      </c>
      <c r="F465" t="str">
        <f>TEXT(WEEKNUM(tblData[[#This Row],[Rental Date]]),"00")</f>
        <v>19</v>
      </c>
      <c r="G465" s="1">
        <f>EOMONTH(tblData[[#This Row],[Rental Date]],0)</f>
        <v>46173</v>
      </c>
      <c r="H465" t="s">
        <v>204</v>
      </c>
      <c r="I465" t="s">
        <v>32</v>
      </c>
      <c r="J465" t="s">
        <v>33</v>
      </c>
      <c r="K465" t="s">
        <v>92</v>
      </c>
      <c r="L465">
        <v>1</v>
      </c>
      <c r="M465" s="2">
        <v>90.72</v>
      </c>
      <c r="N465" t="s">
        <v>26</v>
      </c>
      <c r="O465" s="3">
        <v>0</v>
      </c>
      <c r="P465" s="3">
        <v>9.07</v>
      </c>
      <c r="Q465" s="2">
        <v>81.650000000000006</v>
      </c>
      <c r="R465" t="s">
        <v>42</v>
      </c>
      <c r="S465" t="s">
        <v>35</v>
      </c>
      <c r="T465" t="s">
        <v>51</v>
      </c>
      <c r="U465" t="s">
        <v>30</v>
      </c>
    </row>
    <row r="466" spans="1:21" x14ac:dyDescent="0.35">
      <c r="A466" t="s">
        <v>544</v>
      </c>
      <c r="B466" s="1">
        <v>46145</v>
      </c>
      <c r="C466" t="str">
        <f>TEXT(tblData[[#This Row],[Rental Date]],"mmm")</f>
        <v>May</v>
      </c>
      <c r="D466" t="str">
        <f>TEXT(tblData[[#This Row],[Rental Date]],"mmmm")</f>
        <v>May</v>
      </c>
      <c r="E466" t="s">
        <v>68</v>
      </c>
      <c r="F466" t="str">
        <f>TEXT(WEEKNUM(tblData[[#This Row],[Rental Date]]),"00")</f>
        <v>19</v>
      </c>
      <c r="G466" s="1">
        <f>EOMONTH(tblData[[#This Row],[Rental Date]],0)</f>
        <v>46173</v>
      </c>
      <c r="H466" t="s">
        <v>204</v>
      </c>
      <c r="I466" t="s">
        <v>48</v>
      </c>
      <c r="J466" t="s">
        <v>33</v>
      </c>
      <c r="K466" t="s">
        <v>25</v>
      </c>
      <c r="L466">
        <v>1</v>
      </c>
      <c r="M466" s="2">
        <v>41.04</v>
      </c>
      <c r="N466" t="s">
        <v>26</v>
      </c>
      <c r="O466" s="3">
        <v>0</v>
      </c>
      <c r="P466" s="3">
        <v>0</v>
      </c>
      <c r="Q466" s="2">
        <v>41.04</v>
      </c>
      <c r="R466" t="s">
        <v>94</v>
      </c>
      <c r="S466" t="s">
        <v>50</v>
      </c>
      <c r="T466" t="s">
        <v>29</v>
      </c>
      <c r="U466" t="s">
        <v>30</v>
      </c>
    </row>
    <row r="467" spans="1:21" x14ac:dyDescent="0.35">
      <c r="A467" t="s">
        <v>545</v>
      </c>
      <c r="B467" s="1">
        <v>46145</v>
      </c>
      <c r="C467" t="str">
        <f>TEXT(tblData[[#This Row],[Rental Date]],"mmm")</f>
        <v>May</v>
      </c>
      <c r="D467" t="str">
        <f>TEXT(tblData[[#This Row],[Rental Date]],"mmmm")</f>
        <v>May</v>
      </c>
      <c r="E467" t="s">
        <v>68</v>
      </c>
      <c r="F467" t="str">
        <f>TEXT(WEEKNUM(tblData[[#This Row],[Rental Date]]),"00")</f>
        <v>19</v>
      </c>
      <c r="G467" s="1">
        <f>EOMONTH(tblData[[#This Row],[Rental Date]],0)</f>
        <v>46173</v>
      </c>
      <c r="H467" t="s">
        <v>204</v>
      </c>
      <c r="I467" t="s">
        <v>23</v>
      </c>
      <c r="J467" t="s">
        <v>111</v>
      </c>
      <c r="K467" t="s">
        <v>40</v>
      </c>
      <c r="L467">
        <v>1</v>
      </c>
      <c r="M467" s="2">
        <v>36.72</v>
      </c>
      <c r="N467" t="s">
        <v>26</v>
      </c>
      <c r="O467" s="3">
        <v>0</v>
      </c>
      <c r="P467" s="3">
        <v>0</v>
      </c>
      <c r="Q467" s="2">
        <v>36.72</v>
      </c>
      <c r="R467" t="s">
        <v>62</v>
      </c>
      <c r="S467" t="s">
        <v>50</v>
      </c>
      <c r="T467" t="s">
        <v>51</v>
      </c>
      <c r="U467" t="s">
        <v>30</v>
      </c>
    </row>
    <row r="468" spans="1:21" x14ac:dyDescent="0.35">
      <c r="A468" t="s">
        <v>546</v>
      </c>
      <c r="B468" s="1">
        <v>46145</v>
      </c>
      <c r="C468" t="str">
        <f>TEXT(tblData[[#This Row],[Rental Date]],"mmm")</f>
        <v>May</v>
      </c>
      <c r="D468" t="str">
        <f>TEXT(tblData[[#This Row],[Rental Date]],"mmmm")</f>
        <v>May</v>
      </c>
      <c r="E468" t="s">
        <v>68</v>
      </c>
      <c r="F468" t="str">
        <f>TEXT(WEEKNUM(tblData[[#This Row],[Rental Date]]),"00")</f>
        <v>19</v>
      </c>
      <c r="G468" s="1">
        <f>EOMONTH(tblData[[#This Row],[Rental Date]],0)</f>
        <v>46173</v>
      </c>
      <c r="H468" t="s">
        <v>204</v>
      </c>
      <c r="I468" t="s">
        <v>39</v>
      </c>
      <c r="J468" t="s">
        <v>44</v>
      </c>
      <c r="K468" t="s">
        <v>25</v>
      </c>
      <c r="L468">
        <v>1</v>
      </c>
      <c r="M468" s="2">
        <v>56.16</v>
      </c>
      <c r="N468" t="s">
        <v>70</v>
      </c>
      <c r="O468" s="3">
        <v>7</v>
      </c>
      <c r="P468" s="3">
        <v>0</v>
      </c>
      <c r="Q468" s="2">
        <v>63.16</v>
      </c>
      <c r="R468" t="s">
        <v>71</v>
      </c>
      <c r="S468" t="s">
        <v>35</v>
      </c>
      <c r="T468" t="s">
        <v>90</v>
      </c>
      <c r="U468" t="s">
        <v>58</v>
      </c>
    </row>
    <row r="469" spans="1:21" x14ac:dyDescent="0.35">
      <c r="A469" t="s">
        <v>547</v>
      </c>
      <c r="B469" s="1">
        <v>46145</v>
      </c>
      <c r="C469" t="str">
        <f>TEXT(tblData[[#This Row],[Rental Date]],"mmm")</f>
        <v>May</v>
      </c>
      <c r="D469" t="str">
        <f>TEXT(tblData[[#This Row],[Rental Date]],"mmmm")</f>
        <v>May</v>
      </c>
      <c r="E469" t="s">
        <v>68</v>
      </c>
      <c r="F469" t="str">
        <f>TEXT(WEEKNUM(tblData[[#This Row],[Rental Date]]),"00")</f>
        <v>19</v>
      </c>
      <c r="G469" s="1">
        <f>EOMONTH(tblData[[#This Row],[Rental Date]],0)</f>
        <v>46173</v>
      </c>
      <c r="H469" t="s">
        <v>204</v>
      </c>
      <c r="I469" t="s">
        <v>23</v>
      </c>
      <c r="J469" t="s">
        <v>49</v>
      </c>
      <c r="K469" t="s">
        <v>40</v>
      </c>
      <c r="L469">
        <v>1</v>
      </c>
      <c r="M469" s="2">
        <v>58.32</v>
      </c>
      <c r="N469" t="s">
        <v>89</v>
      </c>
      <c r="O469" s="3">
        <v>6</v>
      </c>
      <c r="P469" s="3">
        <v>0</v>
      </c>
      <c r="Q469" s="2">
        <v>64.319999999999993</v>
      </c>
      <c r="R469" t="s">
        <v>34</v>
      </c>
      <c r="S469" t="s">
        <v>46</v>
      </c>
      <c r="T469" t="s">
        <v>90</v>
      </c>
      <c r="U469" t="s">
        <v>30</v>
      </c>
    </row>
    <row r="470" spans="1:21" x14ac:dyDescent="0.35">
      <c r="A470" t="s">
        <v>548</v>
      </c>
      <c r="B470" s="1">
        <v>46146</v>
      </c>
      <c r="C470" t="str">
        <f>TEXT(tblData[[#This Row],[Rental Date]],"mmm")</f>
        <v>May</v>
      </c>
      <c r="D470" t="str">
        <f>TEXT(tblData[[#This Row],[Rental Date]],"mmmm")</f>
        <v>May</v>
      </c>
      <c r="E470" t="s">
        <v>74</v>
      </c>
      <c r="F470" t="str">
        <f>TEXT(WEEKNUM(tblData[[#This Row],[Rental Date]]),"00")</f>
        <v>19</v>
      </c>
      <c r="G470" s="1">
        <f>EOMONTH(tblData[[#This Row],[Rental Date]],0)</f>
        <v>46173</v>
      </c>
      <c r="H470" t="s">
        <v>204</v>
      </c>
      <c r="I470" t="s">
        <v>39</v>
      </c>
      <c r="J470" t="s">
        <v>65</v>
      </c>
      <c r="K470" t="s">
        <v>92</v>
      </c>
      <c r="L470">
        <v>1</v>
      </c>
      <c r="M470" s="2">
        <v>40</v>
      </c>
      <c r="N470" t="s">
        <v>61</v>
      </c>
      <c r="O470" s="3">
        <v>8</v>
      </c>
      <c r="P470" s="3">
        <v>0</v>
      </c>
      <c r="Q470" s="2">
        <v>48</v>
      </c>
      <c r="R470" t="s">
        <v>62</v>
      </c>
      <c r="S470" t="s">
        <v>50</v>
      </c>
      <c r="T470" t="s">
        <v>29</v>
      </c>
      <c r="U470" t="s">
        <v>30</v>
      </c>
    </row>
    <row r="471" spans="1:21" x14ac:dyDescent="0.35">
      <c r="A471" t="s">
        <v>549</v>
      </c>
      <c r="B471" s="1">
        <v>46146</v>
      </c>
      <c r="C471" t="str">
        <f>TEXT(tblData[[#This Row],[Rental Date]],"mmm")</f>
        <v>May</v>
      </c>
      <c r="D471" t="str">
        <f>TEXT(tblData[[#This Row],[Rental Date]],"mmmm")</f>
        <v>May</v>
      </c>
      <c r="E471" t="s">
        <v>74</v>
      </c>
      <c r="F471" t="str">
        <f>TEXT(WEEKNUM(tblData[[#This Row],[Rental Date]]),"00")</f>
        <v>19</v>
      </c>
      <c r="G471" s="1">
        <f>EOMONTH(tblData[[#This Row],[Rental Date]],0)</f>
        <v>46173</v>
      </c>
      <c r="H471" t="s">
        <v>204</v>
      </c>
      <c r="I471" t="s">
        <v>23</v>
      </c>
      <c r="J471" t="s">
        <v>138</v>
      </c>
      <c r="K471" t="s">
        <v>60</v>
      </c>
      <c r="L471">
        <v>1</v>
      </c>
      <c r="M471" s="2">
        <v>30</v>
      </c>
      <c r="N471" t="s">
        <v>87</v>
      </c>
      <c r="O471" s="3">
        <v>10</v>
      </c>
      <c r="P471" s="3">
        <v>0</v>
      </c>
      <c r="Q471" s="2">
        <v>40</v>
      </c>
      <c r="R471" t="s">
        <v>71</v>
      </c>
      <c r="S471" t="s">
        <v>50</v>
      </c>
      <c r="T471" t="s">
        <v>29</v>
      </c>
      <c r="U471" t="s">
        <v>58</v>
      </c>
    </row>
    <row r="472" spans="1:21" x14ac:dyDescent="0.35">
      <c r="A472" t="s">
        <v>550</v>
      </c>
      <c r="B472" s="1">
        <v>46146</v>
      </c>
      <c r="C472" t="str">
        <f>TEXT(tblData[[#This Row],[Rental Date]],"mmm")</f>
        <v>May</v>
      </c>
      <c r="D472" t="str">
        <f>TEXT(tblData[[#This Row],[Rental Date]],"mmmm")</f>
        <v>May</v>
      </c>
      <c r="E472" t="s">
        <v>74</v>
      </c>
      <c r="F472" t="str">
        <f>TEXT(WEEKNUM(tblData[[#This Row],[Rental Date]]),"00")</f>
        <v>19</v>
      </c>
      <c r="G472" s="1">
        <f>EOMONTH(tblData[[#This Row],[Rental Date]],0)</f>
        <v>46173</v>
      </c>
      <c r="H472" t="s">
        <v>204</v>
      </c>
      <c r="I472" t="s">
        <v>48</v>
      </c>
      <c r="J472" t="s">
        <v>78</v>
      </c>
      <c r="K472" t="s">
        <v>92</v>
      </c>
      <c r="L472">
        <v>1</v>
      </c>
      <c r="M472" s="2">
        <v>88</v>
      </c>
      <c r="N472" t="s">
        <v>26</v>
      </c>
      <c r="O472" s="3">
        <v>0</v>
      </c>
      <c r="P472" s="3">
        <v>4.4000000000000004</v>
      </c>
      <c r="Q472" s="2">
        <v>83.6</v>
      </c>
      <c r="R472" t="s">
        <v>42</v>
      </c>
      <c r="S472" t="s">
        <v>54</v>
      </c>
      <c r="T472" t="s">
        <v>29</v>
      </c>
      <c r="U472" t="s">
        <v>30</v>
      </c>
    </row>
    <row r="473" spans="1:21" x14ac:dyDescent="0.35">
      <c r="A473" t="s">
        <v>551</v>
      </c>
      <c r="B473" s="1">
        <v>46146</v>
      </c>
      <c r="C473" t="str">
        <f>TEXT(tblData[[#This Row],[Rental Date]],"mmm")</f>
        <v>May</v>
      </c>
      <c r="D473" t="str">
        <f>TEXT(tblData[[#This Row],[Rental Date]],"mmmm")</f>
        <v>May</v>
      </c>
      <c r="E473" t="s">
        <v>74</v>
      </c>
      <c r="F473" t="str">
        <f>TEXT(WEEKNUM(tblData[[#This Row],[Rental Date]]),"00")</f>
        <v>19</v>
      </c>
      <c r="G473" s="1">
        <f>EOMONTH(tblData[[#This Row],[Rental Date]],0)</f>
        <v>46173</v>
      </c>
      <c r="H473" t="s">
        <v>204</v>
      </c>
      <c r="I473" t="s">
        <v>48</v>
      </c>
      <c r="J473" t="s">
        <v>33</v>
      </c>
      <c r="K473" t="s">
        <v>60</v>
      </c>
      <c r="L473">
        <v>1</v>
      </c>
      <c r="M473" s="2">
        <v>24</v>
      </c>
      <c r="N473" t="s">
        <v>26</v>
      </c>
      <c r="O473" s="3">
        <v>0</v>
      </c>
      <c r="P473" s="3">
        <v>0</v>
      </c>
      <c r="Q473" s="2">
        <v>24</v>
      </c>
      <c r="R473" t="s">
        <v>45</v>
      </c>
      <c r="S473" t="s">
        <v>54</v>
      </c>
      <c r="T473" t="s">
        <v>51</v>
      </c>
      <c r="U473" t="s">
        <v>30</v>
      </c>
    </row>
    <row r="474" spans="1:21" x14ac:dyDescent="0.35">
      <c r="A474" t="s">
        <v>552</v>
      </c>
      <c r="B474" s="1">
        <v>46147</v>
      </c>
      <c r="C474" t="str">
        <f>TEXT(tblData[[#This Row],[Rental Date]],"mmm")</f>
        <v>May</v>
      </c>
      <c r="D474" t="str">
        <f>TEXT(tblData[[#This Row],[Rental Date]],"mmmm")</f>
        <v>May</v>
      </c>
      <c r="E474" t="s">
        <v>102</v>
      </c>
      <c r="F474" t="str">
        <f>TEXT(WEEKNUM(tblData[[#This Row],[Rental Date]]),"00")</f>
        <v>19</v>
      </c>
      <c r="G474" s="1">
        <f>EOMONTH(tblData[[#This Row],[Rental Date]],0)</f>
        <v>46173</v>
      </c>
      <c r="H474" t="s">
        <v>204</v>
      </c>
      <c r="I474" t="s">
        <v>23</v>
      </c>
      <c r="J474" t="s">
        <v>127</v>
      </c>
      <c r="K474" t="s">
        <v>60</v>
      </c>
      <c r="L474">
        <v>1</v>
      </c>
      <c r="M474" s="2">
        <v>10</v>
      </c>
      <c r="N474" t="s">
        <v>26</v>
      </c>
      <c r="O474" s="3">
        <v>0</v>
      </c>
      <c r="P474" s="3">
        <v>0</v>
      </c>
      <c r="Q474" s="2">
        <v>10</v>
      </c>
      <c r="R474" t="s">
        <v>57</v>
      </c>
      <c r="S474" t="s">
        <v>28</v>
      </c>
      <c r="T474" t="s">
        <v>29</v>
      </c>
      <c r="U474" t="s">
        <v>36</v>
      </c>
    </row>
    <row r="475" spans="1:21" x14ac:dyDescent="0.35">
      <c r="A475" t="s">
        <v>553</v>
      </c>
      <c r="B475" s="1">
        <v>46147</v>
      </c>
      <c r="C475" t="str">
        <f>TEXT(tblData[[#This Row],[Rental Date]],"mmm")</f>
        <v>May</v>
      </c>
      <c r="D475" t="str">
        <f>TEXT(tblData[[#This Row],[Rental Date]],"mmmm")</f>
        <v>May</v>
      </c>
      <c r="E475" t="s">
        <v>102</v>
      </c>
      <c r="F475" t="str">
        <f>TEXT(WEEKNUM(tblData[[#This Row],[Rental Date]]),"00")</f>
        <v>19</v>
      </c>
      <c r="G475" s="1">
        <f>EOMONTH(tblData[[#This Row],[Rental Date]],0)</f>
        <v>46173</v>
      </c>
      <c r="H475" t="s">
        <v>204</v>
      </c>
      <c r="I475" t="s">
        <v>48</v>
      </c>
      <c r="J475" t="s">
        <v>24</v>
      </c>
      <c r="K475" t="s">
        <v>60</v>
      </c>
      <c r="L475">
        <v>1</v>
      </c>
      <c r="M475" s="2">
        <v>32</v>
      </c>
      <c r="N475" t="s">
        <v>89</v>
      </c>
      <c r="O475" s="3">
        <v>6</v>
      </c>
      <c r="P475" s="3">
        <v>0</v>
      </c>
      <c r="Q475" s="2">
        <v>38</v>
      </c>
      <c r="R475" t="s">
        <v>42</v>
      </c>
      <c r="S475" t="s">
        <v>50</v>
      </c>
      <c r="T475" t="s">
        <v>29</v>
      </c>
      <c r="U475" t="s">
        <v>30</v>
      </c>
    </row>
    <row r="476" spans="1:21" x14ac:dyDescent="0.35">
      <c r="A476" t="s">
        <v>554</v>
      </c>
      <c r="B476" s="1">
        <v>46147</v>
      </c>
      <c r="C476" t="str">
        <f>TEXT(tblData[[#This Row],[Rental Date]],"mmm")</f>
        <v>May</v>
      </c>
      <c r="D476" t="str">
        <f>TEXT(tblData[[#This Row],[Rental Date]],"mmmm")</f>
        <v>May</v>
      </c>
      <c r="E476" t="s">
        <v>102</v>
      </c>
      <c r="F476" t="str">
        <f>TEXT(WEEKNUM(tblData[[#This Row],[Rental Date]]),"00")</f>
        <v>19</v>
      </c>
      <c r="G476" s="1">
        <f>EOMONTH(tblData[[#This Row],[Rental Date]],0)</f>
        <v>46173</v>
      </c>
      <c r="H476" t="s">
        <v>204</v>
      </c>
      <c r="I476" t="s">
        <v>39</v>
      </c>
      <c r="J476" t="s">
        <v>33</v>
      </c>
      <c r="K476" t="s">
        <v>25</v>
      </c>
      <c r="L476">
        <v>1</v>
      </c>
      <c r="M476" s="2">
        <v>38</v>
      </c>
      <c r="N476" t="s">
        <v>89</v>
      </c>
      <c r="O476" s="3">
        <v>6</v>
      </c>
      <c r="P476" s="3">
        <v>0</v>
      </c>
      <c r="Q476" s="2">
        <v>44</v>
      </c>
      <c r="R476" t="s">
        <v>45</v>
      </c>
      <c r="S476" t="s">
        <v>35</v>
      </c>
      <c r="T476" t="s">
        <v>29</v>
      </c>
      <c r="U476" t="s">
        <v>36</v>
      </c>
    </row>
    <row r="477" spans="1:21" x14ac:dyDescent="0.35">
      <c r="A477" t="s">
        <v>555</v>
      </c>
      <c r="B477" s="1">
        <v>46147</v>
      </c>
      <c r="C477" t="str">
        <f>TEXT(tblData[[#This Row],[Rental Date]],"mmm")</f>
        <v>May</v>
      </c>
      <c r="D477" t="str">
        <f>TEXT(tblData[[#This Row],[Rental Date]],"mmmm")</f>
        <v>May</v>
      </c>
      <c r="E477" t="s">
        <v>102</v>
      </c>
      <c r="F477" t="str">
        <f>TEXT(WEEKNUM(tblData[[#This Row],[Rental Date]]),"00")</f>
        <v>19</v>
      </c>
      <c r="G477" s="1">
        <f>EOMONTH(tblData[[#This Row],[Rental Date]],0)</f>
        <v>46173</v>
      </c>
      <c r="H477" t="s">
        <v>204</v>
      </c>
      <c r="I477" t="s">
        <v>39</v>
      </c>
      <c r="J477" t="s">
        <v>111</v>
      </c>
      <c r="K477" t="s">
        <v>60</v>
      </c>
      <c r="L477">
        <v>1</v>
      </c>
      <c r="M477" s="2">
        <v>14</v>
      </c>
      <c r="N477" t="s">
        <v>61</v>
      </c>
      <c r="O477" s="3">
        <v>8</v>
      </c>
      <c r="P477" s="3">
        <v>0</v>
      </c>
      <c r="Q477" s="2">
        <v>22</v>
      </c>
      <c r="R477" t="s">
        <v>94</v>
      </c>
      <c r="S477" t="s">
        <v>35</v>
      </c>
      <c r="T477" t="s">
        <v>90</v>
      </c>
      <c r="U477" t="s">
        <v>30</v>
      </c>
    </row>
    <row r="478" spans="1:21" x14ac:dyDescent="0.35">
      <c r="A478" t="s">
        <v>556</v>
      </c>
      <c r="B478" s="1">
        <v>46147</v>
      </c>
      <c r="C478" t="str">
        <f>TEXT(tblData[[#This Row],[Rental Date]],"mmm")</f>
        <v>May</v>
      </c>
      <c r="D478" t="str">
        <f>TEXT(tblData[[#This Row],[Rental Date]],"mmmm")</f>
        <v>May</v>
      </c>
      <c r="E478" t="s">
        <v>102</v>
      </c>
      <c r="F478" t="str">
        <f>TEXT(WEEKNUM(tblData[[#This Row],[Rental Date]]),"00")</f>
        <v>19</v>
      </c>
      <c r="G478" s="1">
        <f>EOMONTH(tblData[[#This Row],[Rental Date]],0)</f>
        <v>46173</v>
      </c>
      <c r="H478" t="s">
        <v>204</v>
      </c>
      <c r="I478" t="s">
        <v>39</v>
      </c>
      <c r="J478" t="s">
        <v>138</v>
      </c>
      <c r="K478" t="s">
        <v>60</v>
      </c>
      <c r="L478">
        <v>1</v>
      </c>
      <c r="M478" s="2">
        <v>30</v>
      </c>
      <c r="N478" t="s">
        <v>26</v>
      </c>
      <c r="O478" s="3">
        <v>0</v>
      </c>
      <c r="P478" s="3">
        <v>0</v>
      </c>
      <c r="Q478" s="2">
        <v>30</v>
      </c>
      <c r="R478" t="s">
        <v>66</v>
      </c>
      <c r="S478" t="s">
        <v>50</v>
      </c>
      <c r="T478" t="s">
        <v>29</v>
      </c>
      <c r="U478" t="s">
        <v>30</v>
      </c>
    </row>
    <row r="479" spans="1:21" x14ac:dyDescent="0.35">
      <c r="A479" t="s">
        <v>557</v>
      </c>
      <c r="B479" s="1">
        <v>46147</v>
      </c>
      <c r="C479" t="str">
        <f>TEXT(tblData[[#This Row],[Rental Date]],"mmm")</f>
        <v>May</v>
      </c>
      <c r="D479" t="str">
        <f>TEXT(tblData[[#This Row],[Rental Date]],"mmmm")</f>
        <v>May</v>
      </c>
      <c r="E479" t="s">
        <v>102</v>
      </c>
      <c r="F479" t="str">
        <f>TEXT(WEEKNUM(tblData[[#This Row],[Rental Date]]),"00")</f>
        <v>19</v>
      </c>
      <c r="G479" s="1">
        <f>EOMONTH(tblData[[#This Row],[Rental Date]],0)</f>
        <v>46173</v>
      </c>
      <c r="H479" t="s">
        <v>204</v>
      </c>
      <c r="I479" t="s">
        <v>48</v>
      </c>
      <c r="J479" t="s">
        <v>78</v>
      </c>
      <c r="K479" t="s">
        <v>40</v>
      </c>
      <c r="L479">
        <v>1</v>
      </c>
      <c r="M479" s="2">
        <v>62</v>
      </c>
      <c r="N479" t="s">
        <v>70</v>
      </c>
      <c r="O479" s="3">
        <v>7</v>
      </c>
      <c r="P479" s="3">
        <v>3.45</v>
      </c>
      <c r="Q479" s="2">
        <v>65.55</v>
      </c>
      <c r="R479" t="s">
        <v>66</v>
      </c>
      <c r="S479" t="s">
        <v>54</v>
      </c>
      <c r="T479" t="s">
        <v>29</v>
      </c>
      <c r="U479" t="s">
        <v>30</v>
      </c>
    </row>
    <row r="480" spans="1:21" x14ac:dyDescent="0.35">
      <c r="A480" t="s">
        <v>558</v>
      </c>
      <c r="B480" s="1">
        <v>46148</v>
      </c>
      <c r="C480" t="str">
        <f>TEXT(tblData[[#This Row],[Rental Date]],"mmm")</f>
        <v>May</v>
      </c>
      <c r="D480" t="str">
        <f>TEXT(tblData[[#This Row],[Rental Date]],"mmmm")</f>
        <v>May</v>
      </c>
      <c r="E480" t="s">
        <v>109</v>
      </c>
      <c r="F480" t="str">
        <f>TEXT(WEEKNUM(tblData[[#This Row],[Rental Date]]),"00")</f>
        <v>19</v>
      </c>
      <c r="G480" s="1">
        <f>EOMONTH(tblData[[#This Row],[Rental Date]],0)</f>
        <v>46173</v>
      </c>
      <c r="H480" t="s">
        <v>204</v>
      </c>
      <c r="I480" t="s">
        <v>32</v>
      </c>
      <c r="J480" t="s">
        <v>65</v>
      </c>
      <c r="K480" t="s">
        <v>92</v>
      </c>
      <c r="L480">
        <v>1</v>
      </c>
      <c r="M480" s="2">
        <v>40</v>
      </c>
      <c r="N480" t="s">
        <v>26</v>
      </c>
      <c r="O480" s="3">
        <v>0</v>
      </c>
      <c r="P480" s="3">
        <v>4</v>
      </c>
      <c r="Q480" s="2">
        <v>36</v>
      </c>
      <c r="R480" t="s">
        <v>45</v>
      </c>
      <c r="S480" t="s">
        <v>46</v>
      </c>
      <c r="T480" t="s">
        <v>63</v>
      </c>
      <c r="U480" t="s">
        <v>58</v>
      </c>
    </row>
    <row r="481" spans="1:21" x14ac:dyDescent="0.35">
      <c r="A481" t="s">
        <v>559</v>
      </c>
      <c r="B481" s="1">
        <v>46148</v>
      </c>
      <c r="C481" t="str">
        <f>TEXT(tblData[[#This Row],[Rental Date]],"mmm")</f>
        <v>May</v>
      </c>
      <c r="D481" t="str">
        <f>TEXT(tblData[[#This Row],[Rental Date]],"mmmm")</f>
        <v>May</v>
      </c>
      <c r="E481" t="s">
        <v>109</v>
      </c>
      <c r="F481" t="str">
        <f>TEXT(WEEKNUM(tblData[[#This Row],[Rental Date]]),"00")</f>
        <v>19</v>
      </c>
      <c r="G481" s="1">
        <f>EOMONTH(tblData[[#This Row],[Rental Date]],0)</f>
        <v>46173</v>
      </c>
      <c r="H481" t="s">
        <v>204</v>
      </c>
      <c r="I481" t="s">
        <v>48</v>
      </c>
      <c r="J481" t="s">
        <v>78</v>
      </c>
      <c r="K481" t="s">
        <v>25</v>
      </c>
      <c r="L481">
        <v>1</v>
      </c>
      <c r="M481" s="2">
        <v>42</v>
      </c>
      <c r="N481" t="s">
        <v>26</v>
      </c>
      <c r="O481" s="3">
        <v>0</v>
      </c>
      <c r="P481" s="3">
        <v>0</v>
      </c>
      <c r="Q481" s="2">
        <v>42</v>
      </c>
      <c r="R481" t="s">
        <v>45</v>
      </c>
      <c r="S481" t="s">
        <v>54</v>
      </c>
      <c r="T481" t="s">
        <v>29</v>
      </c>
      <c r="U481" t="s">
        <v>30</v>
      </c>
    </row>
    <row r="482" spans="1:21" x14ac:dyDescent="0.35">
      <c r="A482" t="s">
        <v>560</v>
      </c>
      <c r="B482" s="1">
        <v>46149</v>
      </c>
      <c r="C482" t="str">
        <f>TEXT(tblData[[#This Row],[Rental Date]],"mmm")</f>
        <v>May</v>
      </c>
      <c r="D482" t="str">
        <f>TEXT(tblData[[#This Row],[Rental Date]],"mmmm")</f>
        <v>May</v>
      </c>
      <c r="E482" t="s">
        <v>21</v>
      </c>
      <c r="F482" t="str">
        <f>TEXT(WEEKNUM(tblData[[#This Row],[Rental Date]]),"00")</f>
        <v>19</v>
      </c>
      <c r="G482" s="1">
        <f>EOMONTH(tblData[[#This Row],[Rental Date]],0)</f>
        <v>46173</v>
      </c>
      <c r="H482" t="s">
        <v>204</v>
      </c>
      <c r="I482" t="s">
        <v>53</v>
      </c>
      <c r="J482" t="s">
        <v>138</v>
      </c>
      <c r="K482" t="s">
        <v>40</v>
      </c>
      <c r="L482">
        <v>1</v>
      </c>
      <c r="M482" s="2">
        <v>72</v>
      </c>
      <c r="N482" t="s">
        <v>41</v>
      </c>
      <c r="O482" s="3">
        <v>5</v>
      </c>
      <c r="P482" s="3">
        <v>11.55</v>
      </c>
      <c r="Q482" s="2">
        <v>65.45</v>
      </c>
      <c r="R482" t="s">
        <v>45</v>
      </c>
      <c r="S482" t="s">
        <v>28</v>
      </c>
      <c r="T482" t="s">
        <v>29</v>
      </c>
      <c r="U482" t="s">
        <v>30</v>
      </c>
    </row>
    <row r="483" spans="1:21" x14ac:dyDescent="0.35">
      <c r="A483" t="s">
        <v>561</v>
      </c>
      <c r="B483" s="1">
        <v>46149</v>
      </c>
      <c r="C483" t="str">
        <f>TEXT(tblData[[#This Row],[Rental Date]],"mmm")</f>
        <v>May</v>
      </c>
      <c r="D483" t="str">
        <f>TEXT(tblData[[#This Row],[Rental Date]],"mmmm")</f>
        <v>May</v>
      </c>
      <c r="E483" t="s">
        <v>21</v>
      </c>
      <c r="F483" t="str">
        <f>TEXT(WEEKNUM(tblData[[#This Row],[Rental Date]]),"00")</f>
        <v>19</v>
      </c>
      <c r="G483" s="1">
        <f>EOMONTH(tblData[[#This Row],[Rental Date]],0)</f>
        <v>46173</v>
      </c>
      <c r="H483" t="s">
        <v>204</v>
      </c>
      <c r="I483" t="s">
        <v>23</v>
      </c>
      <c r="J483" t="s">
        <v>49</v>
      </c>
      <c r="K483" t="s">
        <v>60</v>
      </c>
      <c r="L483">
        <v>1</v>
      </c>
      <c r="M483" s="2">
        <v>22</v>
      </c>
      <c r="N483" t="s">
        <v>41</v>
      </c>
      <c r="O483" s="3">
        <v>5</v>
      </c>
      <c r="P483" s="3">
        <v>1.35</v>
      </c>
      <c r="Q483" s="2">
        <v>25.65</v>
      </c>
      <c r="R483" t="s">
        <v>42</v>
      </c>
      <c r="S483" t="s">
        <v>35</v>
      </c>
      <c r="T483" t="s">
        <v>51</v>
      </c>
      <c r="U483" t="s">
        <v>30</v>
      </c>
    </row>
    <row r="484" spans="1:21" x14ac:dyDescent="0.35">
      <c r="A484" t="s">
        <v>562</v>
      </c>
      <c r="B484" s="1">
        <v>46149</v>
      </c>
      <c r="C484" t="str">
        <f>TEXT(tblData[[#This Row],[Rental Date]],"mmm")</f>
        <v>May</v>
      </c>
      <c r="D484" t="str">
        <f>TEXT(tblData[[#This Row],[Rental Date]],"mmmm")</f>
        <v>May</v>
      </c>
      <c r="E484" t="s">
        <v>21</v>
      </c>
      <c r="F484" t="str">
        <f>TEXT(WEEKNUM(tblData[[#This Row],[Rental Date]]),"00")</f>
        <v>19</v>
      </c>
      <c r="G484" s="1">
        <f>EOMONTH(tblData[[#This Row],[Rental Date]],0)</f>
        <v>46173</v>
      </c>
      <c r="H484" t="s">
        <v>204</v>
      </c>
      <c r="I484" t="s">
        <v>23</v>
      </c>
      <c r="J484" t="s">
        <v>24</v>
      </c>
      <c r="K484" t="s">
        <v>40</v>
      </c>
      <c r="L484">
        <v>1</v>
      </c>
      <c r="M484" s="2">
        <v>76</v>
      </c>
      <c r="N484" t="s">
        <v>89</v>
      </c>
      <c r="O484" s="3">
        <v>6</v>
      </c>
      <c r="P484" s="3">
        <v>0</v>
      </c>
      <c r="Q484" s="2">
        <v>82</v>
      </c>
      <c r="R484" t="s">
        <v>76</v>
      </c>
      <c r="S484" t="s">
        <v>35</v>
      </c>
      <c r="T484" t="s">
        <v>51</v>
      </c>
      <c r="U484" t="s">
        <v>79</v>
      </c>
    </row>
    <row r="485" spans="1:21" x14ac:dyDescent="0.35">
      <c r="A485" t="s">
        <v>563</v>
      </c>
      <c r="B485" s="1">
        <v>46149</v>
      </c>
      <c r="C485" t="str">
        <f>TEXT(tblData[[#This Row],[Rental Date]],"mmm")</f>
        <v>May</v>
      </c>
      <c r="D485" t="str">
        <f>TEXT(tblData[[#This Row],[Rental Date]],"mmmm")</f>
        <v>May</v>
      </c>
      <c r="E485" t="s">
        <v>21</v>
      </c>
      <c r="F485" t="str">
        <f>TEXT(WEEKNUM(tblData[[#This Row],[Rental Date]]),"00")</f>
        <v>19</v>
      </c>
      <c r="G485" s="1">
        <f>EOMONTH(tblData[[#This Row],[Rental Date]],0)</f>
        <v>46173</v>
      </c>
      <c r="H485" t="s">
        <v>204</v>
      </c>
      <c r="I485" t="s">
        <v>48</v>
      </c>
      <c r="J485" t="s">
        <v>138</v>
      </c>
      <c r="K485" t="s">
        <v>25</v>
      </c>
      <c r="L485">
        <v>1</v>
      </c>
      <c r="M485" s="2">
        <v>48</v>
      </c>
      <c r="N485" t="s">
        <v>70</v>
      </c>
      <c r="O485" s="3">
        <v>7</v>
      </c>
      <c r="P485" s="3">
        <v>0</v>
      </c>
      <c r="Q485" s="2">
        <v>55</v>
      </c>
      <c r="R485" t="s">
        <v>34</v>
      </c>
      <c r="S485" t="s">
        <v>54</v>
      </c>
      <c r="T485" t="s">
        <v>29</v>
      </c>
      <c r="U485" t="s">
        <v>58</v>
      </c>
    </row>
    <row r="486" spans="1:21" x14ac:dyDescent="0.35">
      <c r="A486" t="s">
        <v>564</v>
      </c>
      <c r="B486" s="1">
        <v>46149</v>
      </c>
      <c r="C486" t="str">
        <f>TEXT(tblData[[#This Row],[Rental Date]],"mmm")</f>
        <v>May</v>
      </c>
      <c r="D486" t="str">
        <f>TEXT(tblData[[#This Row],[Rental Date]],"mmmm")</f>
        <v>May</v>
      </c>
      <c r="E486" t="s">
        <v>21</v>
      </c>
      <c r="F486" t="str">
        <f>TEXT(WEEKNUM(tblData[[#This Row],[Rental Date]]),"00")</f>
        <v>19</v>
      </c>
      <c r="G486" s="1">
        <f>EOMONTH(tblData[[#This Row],[Rental Date]],0)</f>
        <v>46173</v>
      </c>
      <c r="H486" t="s">
        <v>204</v>
      </c>
      <c r="I486" t="s">
        <v>39</v>
      </c>
      <c r="J486" t="s">
        <v>65</v>
      </c>
      <c r="K486" t="s">
        <v>60</v>
      </c>
      <c r="L486">
        <v>1</v>
      </c>
      <c r="M486" s="2">
        <v>12</v>
      </c>
      <c r="N486" t="s">
        <v>75</v>
      </c>
      <c r="O486" s="3">
        <v>12</v>
      </c>
      <c r="P486" s="3">
        <v>0</v>
      </c>
      <c r="Q486" s="2">
        <v>24</v>
      </c>
      <c r="R486" t="s">
        <v>45</v>
      </c>
      <c r="S486" t="s">
        <v>35</v>
      </c>
      <c r="T486" t="s">
        <v>63</v>
      </c>
      <c r="U486" t="s">
        <v>58</v>
      </c>
    </row>
    <row r="487" spans="1:21" x14ac:dyDescent="0.35">
      <c r="A487" t="s">
        <v>565</v>
      </c>
      <c r="B487" s="1">
        <v>46150</v>
      </c>
      <c r="C487" t="str">
        <f>TEXT(tblData[[#This Row],[Rental Date]],"mmm")</f>
        <v>May</v>
      </c>
      <c r="D487" t="str">
        <f>TEXT(tblData[[#This Row],[Rental Date]],"mmmm")</f>
        <v>May</v>
      </c>
      <c r="E487" t="s">
        <v>38</v>
      </c>
      <c r="F487" t="str">
        <f>TEXT(WEEKNUM(tblData[[#This Row],[Rental Date]]),"00")</f>
        <v>19</v>
      </c>
      <c r="G487" s="1">
        <f>EOMONTH(tblData[[#This Row],[Rental Date]],0)</f>
        <v>46173</v>
      </c>
      <c r="H487" t="s">
        <v>204</v>
      </c>
      <c r="I487" t="s">
        <v>23</v>
      </c>
      <c r="J487" t="s">
        <v>65</v>
      </c>
      <c r="K487" t="s">
        <v>60</v>
      </c>
      <c r="L487">
        <v>1</v>
      </c>
      <c r="M487" s="2">
        <v>12</v>
      </c>
      <c r="N487" t="s">
        <v>41</v>
      </c>
      <c r="O487" s="3">
        <v>5</v>
      </c>
      <c r="P487" s="3">
        <v>0</v>
      </c>
      <c r="Q487" s="2">
        <v>17</v>
      </c>
      <c r="R487" t="s">
        <v>45</v>
      </c>
      <c r="S487" t="s">
        <v>54</v>
      </c>
      <c r="T487" t="s">
        <v>90</v>
      </c>
      <c r="U487" t="s">
        <v>30</v>
      </c>
    </row>
    <row r="488" spans="1:21" x14ac:dyDescent="0.35">
      <c r="A488" t="s">
        <v>566</v>
      </c>
      <c r="B488" s="1">
        <v>46150</v>
      </c>
      <c r="C488" t="str">
        <f>TEXT(tblData[[#This Row],[Rental Date]],"mmm")</f>
        <v>May</v>
      </c>
      <c r="D488" t="str">
        <f>TEXT(tblData[[#This Row],[Rental Date]],"mmmm")</f>
        <v>May</v>
      </c>
      <c r="E488" t="s">
        <v>38</v>
      </c>
      <c r="F488" t="str">
        <f>TEXT(WEEKNUM(tblData[[#This Row],[Rental Date]]),"00")</f>
        <v>19</v>
      </c>
      <c r="G488" s="1">
        <f>EOMONTH(tblData[[#This Row],[Rental Date]],0)</f>
        <v>46173</v>
      </c>
      <c r="H488" t="s">
        <v>204</v>
      </c>
      <c r="I488" t="s">
        <v>39</v>
      </c>
      <c r="J488" t="s">
        <v>78</v>
      </c>
      <c r="K488" t="s">
        <v>40</v>
      </c>
      <c r="L488">
        <v>1</v>
      </c>
      <c r="M488" s="2">
        <v>62</v>
      </c>
      <c r="N488" t="s">
        <v>26</v>
      </c>
      <c r="O488" s="3">
        <v>0</v>
      </c>
      <c r="P488" s="3">
        <v>0</v>
      </c>
      <c r="Q488" s="2">
        <v>62</v>
      </c>
      <c r="R488" t="s">
        <v>76</v>
      </c>
      <c r="S488" t="s">
        <v>35</v>
      </c>
      <c r="T488" t="s">
        <v>90</v>
      </c>
      <c r="U488" t="s">
        <v>58</v>
      </c>
    </row>
    <row r="489" spans="1:21" x14ac:dyDescent="0.35">
      <c r="A489" t="s">
        <v>567</v>
      </c>
      <c r="B489" s="1">
        <v>46150</v>
      </c>
      <c r="C489" t="str">
        <f>TEXT(tblData[[#This Row],[Rental Date]],"mmm")</f>
        <v>May</v>
      </c>
      <c r="D489" t="str">
        <f>TEXT(tblData[[#This Row],[Rental Date]],"mmmm")</f>
        <v>May</v>
      </c>
      <c r="E489" t="s">
        <v>38</v>
      </c>
      <c r="F489" t="str">
        <f>TEXT(WEEKNUM(tblData[[#This Row],[Rental Date]]),"00")</f>
        <v>19</v>
      </c>
      <c r="G489" s="1">
        <f>EOMONTH(tblData[[#This Row],[Rental Date]],0)</f>
        <v>46173</v>
      </c>
      <c r="H489" t="s">
        <v>204</v>
      </c>
      <c r="I489" t="s">
        <v>39</v>
      </c>
      <c r="J489" t="s">
        <v>49</v>
      </c>
      <c r="K489" t="s">
        <v>25</v>
      </c>
      <c r="L489">
        <v>1</v>
      </c>
      <c r="M489" s="2">
        <v>36</v>
      </c>
      <c r="N489" t="s">
        <v>89</v>
      </c>
      <c r="O489" s="3">
        <v>6</v>
      </c>
      <c r="P489" s="3">
        <v>0</v>
      </c>
      <c r="Q489" s="2">
        <v>42</v>
      </c>
      <c r="R489" t="s">
        <v>34</v>
      </c>
      <c r="S489" t="s">
        <v>35</v>
      </c>
      <c r="T489" t="s">
        <v>51</v>
      </c>
      <c r="U489" t="s">
        <v>58</v>
      </c>
    </row>
    <row r="490" spans="1:21" x14ac:dyDescent="0.35">
      <c r="A490" t="s">
        <v>568</v>
      </c>
      <c r="B490" s="1">
        <v>46150</v>
      </c>
      <c r="C490" t="str">
        <f>TEXT(tblData[[#This Row],[Rental Date]],"mmm")</f>
        <v>May</v>
      </c>
      <c r="D490" t="str">
        <f>TEXT(tblData[[#This Row],[Rental Date]],"mmmm")</f>
        <v>May</v>
      </c>
      <c r="E490" t="s">
        <v>38</v>
      </c>
      <c r="F490" t="str">
        <f>TEXT(WEEKNUM(tblData[[#This Row],[Rental Date]]),"00")</f>
        <v>19</v>
      </c>
      <c r="G490" s="1">
        <f>EOMONTH(tblData[[#This Row],[Rental Date]],0)</f>
        <v>46173</v>
      </c>
      <c r="H490" t="s">
        <v>204</v>
      </c>
      <c r="I490" t="s">
        <v>32</v>
      </c>
      <c r="J490" t="s">
        <v>33</v>
      </c>
      <c r="K490" t="s">
        <v>92</v>
      </c>
      <c r="L490">
        <v>1</v>
      </c>
      <c r="M490" s="2">
        <v>84</v>
      </c>
      <c r="N490" t="s">
        <v>87</v>
      </c>
      <c r="O490" s="3">
        <v>10</v>
      </c>
      <c r="P490" s="3">
        <v>9.4</v>
      </c>
      <c r="Q490" s="2">
        <v>84.6</v>
      </c>
      <c r="R490" t="s">
        <v>71</v>
      </c>
      <c r="S490" t="s">
        <v>46</v>
      </c>
      <c r="T490" t="s">
        <v>90</v>
      </c>
      <c r="U490" t="s">
        <v>30</v>
      </c>
    </row>
    <row r="491" spans="1:21" x14ac:dyDescent="0.35">
      <c r="A491" t="s">
        <v>569</v>
      </c>
      <c r="B491" s="1">
        <v>46150</v>
      </c>
      <c r="C491" t="str">
        <f>TEXT(tblData[[#This Row],[Rental Date]],"mmm")</f>
        <v>May</v>
      </c>
      <c r="D491" t="str">
        <f>TEXT(tblData[[#This Row],[Rental Date]],"mmmm")</f>
        <v>May</v>
      </c>
      <c r="E491" t="s">
        <v>38</v>
      </c>
      <c r="F491" t="str">
        <f>TEXT(WEEKNUM(tblData[[#This Row],[Rental Date]]),"00")</f>
        <v>19</v>
      </c>
      <c r="G491" s="1">
        <f>EOMONTH(tblData[[#This Row],[Rental Date]],0)</f>
        <v>46173</v>
      </c>
      <c r="H491" t="s">
        <v>204</v>
      </c>
      <c r="I491" t="s">
        <v>39</v>
      </c>
      <c r="J491" t="s">
        <v>127</v>
      </c>
      <c r="K491" t="s">
        <v>40</v>
      </c>
      <c r="L491">
        <v>1</v>
      </c>
      <c r="M491" s="2">
        <v>24</v>
      </c>
      <c r="N491" t="s">
        <v>41</v>
      </c>
      <c r="O491" s="3">
        <v>5</v>
      </c>
      <c r="P491" s="3">
        <v>0</v>
      </c>
      <c r="Q491" s="2">
        <v>29</v>
      </c>
      <c r="R491" t="s">
        <v>62</v>
      </c>
      <c r="S491" t="s">
        <v>54</v>
      </c>
      <c r="T491" t="s">
        <v>51</v>
      </c>
      <c r="U491" t="s">
        <v>36</v>
      </c>
    </row>
    <row r="492" spans="1:21" x14ac:dyDescent="0.35">
      <c r="A492" t="s">
        <v>570</v>
      </c>
      <c r="B492" s="1">
        <v>46150</v>
      </c>
      <c r="C492" t="str">
        <f>TEXT(tblData[[#This Row],[Rental Date]],"mmm")</f>
        <v>May</v>
      </c>
      <c r="D492" t="str">
        <f>TEXT(tblData[[#This Row],[Rental Date]],"mmmm")</f>
        <v>May</v>
      </c>
      <c r="E492" t="s">
        <v>38</v>
      </c>
      <c r="F492" t="str">
        <f>TEXT(WEEKNUM(tblData[[#This Row],[Rental Date]]),"00")</f>
        <v>19</v>
      </c>
      <c r="G492" s="1">
        <f>EOMONTH(tblData[[#This Row],[Rental Date]],0)</f>
        <v>46173</v>
      </c>
      <c r="H492" t="s">
        <v>204</v>
      </c>
      <c r="I492" t="s">
        <v>39</v>
      </c>
      <c r="J492" t="s">
        <v>33</v>
      </c>
      <c r="K492" t="s">
        <v>92</v>
      </c>
      <c r="L492">
        <v>1</v>
      </c>
      <c r="M492" s="2">
        <v>84</v>
      </c>
      <c r="N492" t="s">
        <v>70</v>
      </c>
      <c r="O492" s="3">
        <v>7</v>
      </c>
      <c r="P492" s="3">
        <v>0</v>
      </c>
      <c r="Q492" s="2">
        <v>91</v>
      </c>
      <c r="R492" t="s">
        <v>76</v>
      </c>
      <c r="S492" t="s">
        <v>54</v>
      </c>
      <c r="T492" t="s">
        <v>51</v>
      </c>
      <c r="U492" t="s">
        <v>30</v>
      </c>
    </row>
    <row r="493" spans="1:21" x14ac:dyDescent="0.35">
      <c r="A493" t="s">
        <v>571</v>
      </c>
      <c r="B493" s="1">
        <v>46150</v>
      </c>
      <c r="C493" t="str">
        <f>TEXT(tblData[[#This Row],[Rental Date]],"mmm")</f>
        <v>May</v>
      </c>
      <c r="D493" t="str">
        <f>TEXT(tblData[[#This Row],[Rental Date]],"mmmm")</f>
        <v>May</v>
      </c>
      <c r="E493" t="s">
        <v>38</v>
      </c>
      <c r="F493" t="str">
        <f>TEXT(WEEKNUM(tblData[[#This Row],[Rental Date]]),"00")</f>
        <v>19</v>
      </c>
      <c r="G493" s="1">
        <f>EOMONTH(tblData[[#This Row],[Rental Date]],0)</f>
        <v>46173</v>
      </c>
      <c r="H493" t="s">
        <v>204</v>
      </c>
      <c r="I493" t="s">
        <v>48</v>
      </c>
      <c r="J493" t="s">
        <v>33</v>
      </c>
      <c r="K493" t="s">
        <v>40</v>
      </c>
      <c r="L493">
        <v>1</v>
      </c>
      <c r="M493" s="2">
        <v>58</v>
      </c>
      <c r="N493" t="s">
        <v>75</v>
      </c>
      <c r="O493" s="3">
        <v>12</v>
      </c>
      <c r="P493" s="3">
        <v>0</v>
      </c>
      <c r="Q493" s="2">
        <v>70</v>
      </c>
      <c r="R493" t="s">
        <v>45</v>
      </c>
      <c r="S493" t="s">
        <v>54</v>
      </c>
      <c r="T493" t="s">
        <v>29</v>
      </c>
      <c r="U493" t="s">
        <v>30</v>
      </c>
    </row>
    <row r="494" spans="1:21" x14ac:dyDescent="0.35">
      <c r="A494" t="s">
        <v>572</v>
      </c>
      <c r="B494" s="1">
        <v>46150</v>
      </c>
      <c r="C494" t="str">
        <f>TEXT(tblData[[#This Row],[Rental Date]],"mmm")</f>
        <v>May</v>
      </c>
      <c r="D494" t="str">
        <f>TEXT(tblData[[#This Row],[Rental Date]],"mmmm")</f>
        <v>May</v>
      </c>
      <c r="E494" t="s">
        <v>38</v>
      </c>
      <c r="F494" t="str">
        <f>TEXT(WEEKNUM(tblData[[#This Row],[Rental Date]]),"00")</f>
        <v>19</v>
      </c>
      <c r="G494" s="1">
        <f>EOMONTH(tblData[[#This Row],[Rental Date]],0)</f>
        <v>46173</v>
      </c>
      <c r="H494" t="s">
        <v>204</v>
      </c>
      <c r="I494" t="s">
        <v>23</v>
      </c>
      <c r="J494" t="s">
        <v>49</v>
      </c>
      <c r="K494" t="s">
        <v>60</v>
      </c>
      <c r="L494">
        <v>1</v>
      </c>
      <c r="M494" s="2">
        <v>22</v>
      </c>
      <c r="N494" t="s">
        <v>70</v>
      </c>
      <c r="O494" s="3">
        <v>7</v>
      </c>
      <c r="P494" s="3">
        <v>0</v>
      </c>
      <c r="Q494" s="2">
        <v>29</v>
      </c>
      <c r="R494" t="s">
        <v>62</v>
      </c>
      <c r="S494" t="s">
        <v>46</v>
      </c>
      <c r="T494" t="s">
        <v>29</v>
      </c>
      <c r="U494" t="s">
        <v>30</v>
      </c>
    </row>
    <row r="495" spans="1:21" x14ac:dyDescent="0.35">
      <c r="A495" t="s">
        <v>573</v>
      </c>
      <c r="B495" s="1">
        <v>46150</v>
      </c>
      <c r="C495" t="str">
        <f>TEXT(tblData[[#This Row],[Rental Date]],"mmm")</f>
        <v>May</v>
      </c>
      <c r="D495" t="str">
        <f>TEXT(tblData[[#This Row],[Rental Date]],"mmmm")</f>
        <v>May</v>
      </c>
      <c r="E495" t="s">
        <v>38</v>
      </c>
      <c r="F495" t="str">
        <f>TEXT(WEEKNUM(tblData[[#This Row],[Rental Date]]),"00")</f>
        <v>19</v>
      </c>
      <c r="G495" s="1">
        <f>EOMONTH(tblData[[#This Row],[Rental Date]],0)</f>
        <v>46173</v>
      </c>
      <c r="H495" t="s">
        <v>204</v>
      </c>
      <c r="I495" t="s">
        <v>48</v>
      </c>
      <c r="J495" t="s">
        <v>33</v>
      </c>
      <c r="K495" t="s">
        <v>25</v>
      </c>
      <c r="L495">
        <v>1</v>
      </c>
      <c r="M495" s="2">
        <v>38</v>
      </c>
      <c r="N495" t="s">
        <v>26</v>
      </c>
      <c r="O495" s="3">
        <v>0</v>
      </c>
      <c r="P495" s="3">
        <v>1.9</v>
      </c>
      <c r="Q495" s="2">
        <v>36.1</v>
      </c>
      <c r="R495" t="s">
        <v>71</v>
      </c>
      <c r="S495" t="s">
        <v>28</v>
      </c>
      <c r="T495" t="s">
        <v>90</v>
      </c>
      <c r="U495" t="s">
        <v>30</v>
      </c>
    </row>
    <row r="496" spans="1:21" x14ac:dyDescent="0.35">
      <c r="A496" t="s">
        <v>574</v>
      </c>
      <c r="B496" s="1">
        <v>46150</v>
      </c>
      <c r="C496" t="str">
        <f>TEXT(tblData[[#This Row],[Rental Date]],"mmm")</f>
        <v>May</v>
      </c>
      <c r="D496" t="str">
        <f>TEXT(tblData[[#This Row],[Rental Date]],"mmmm")</f>
        <v>May</v>
      </c>
      <c r="E496" t="s">
        <v>38</v>
      </c>
      <c r="F496" t="str">
        <f>TEXT(WEEKNUM(tblData[[#This Row],[Rental Date]]),"00")</f>
        <v>19</v>
      </c>
      <c r="G496" s="1">
        <f>EOMONTH(tblData[[#This Row],[Rental Date]],0)</f>
        <v>46173</v>
      </c>
      <c r="H496" t="s">
        <v>204</v>
      </c>
      <c r="I496" t="s">
        <v>23</v>
      </c>
      <c r="J496" t="s">
        <v>78</v>
      </c>
      <c r="K496" t="s">
        <v>92</v>
      </c>
      <c r="L496">
        <v>1</v>
      </c>
      <c r="M496" s="2">
        <v>88</v>
      </c>
      <c r="N496" t="s">
        <v>87</v>
      </c>
      <c r="O496" s="3">
        <v>10</v>
      </c>
      <c r="P496" s="3">
        <v>0</v>
      </c>
      <c r="Q496" s="2">
        <v>98</v>
      </c>
      <c r="R496" t="s">
        <v>45</v>
      </c>
      <c r="S496" t="s">
        <v>35</v>
      </c>
      <c r="T496" t="s">
        <v>63</v>
      </c>
      <c r="U496" t="s">
        <v>58</v>
      </c>
    </row>
    <row r="497" spans="1:21" x14ac:dyDescent="0.35">
      <c r="A497" t="s">
        <v>575</v>
      </c>
      <c r="B497" s="1">
        <v>46151</v>
      </c>
      <c r="C497" t="str">
        <f>TEXT(tblData[[#This Row],[Rental Date]],"mmm")</f>
        <v>May</v>
      </c>
      <c r="D497" t="str">
        <f>TEXT(tblData[[#This Row],[Rental Date]],"mmmm")</f>
        <v>May</v>
      </c>
      <c r="E497" t="s">
        <v>56</v>
      </c>
      <c r="F497" t="str">
        <f>TEXT(WEEKNUM(tblData[[#This Row],[Rental Date]]),"00")</f>
        <v>19</v>
      </c>
      <c r="G497" s="1">
        <f>EOMONTH(tblData[[#This Row],[Rental Date]],0)</f>
        <v>46173</v>
      </c>
      <c r="H497" t="s">
        <v>204</v>
      </c>
      <c r="I497" t="s">
        <v>39</v>
      </c>
      <c r="J497" t="s">
        <v>65</v>
      </c>
      <c r="K497" t="s">
        <v>25</v>
      </c>
      <c r="L497">
        <v>1</v>
      </c>
      <c r="M497" s="2">
        <v>19.440000000000001</v>
      </c>
      <c r="N497" t="s">
        <v>26</v>
      </c>
      <c r="O497" s="3">
        <v>0</v>
      </c>
      <c r="P497" s="3">
        <v>0</v>
      </c>
      <c r="Q497" s="2">
        <v>19.440000000000001</v>
      </c>
      <c r="R497" t="s">
        <v>62</v>
      </c>
      <c r="S497" t="s">
        <v>28</v>
      </c>
      <c r="T497" t="s">
        <v>90</v>
      </c>
      <c r="U497" t="s">
        <v>58</v>
      </c>
    </row>
    <row r="498" spans="1:21" x14ac:dyDescent="0.35">
      <c r="A498" t="s">
        <v>576</v>
      </c>
      <c r="B498" s="1">
        <v>46151</v>
      </c>
      <c r="C498" t="str">
        <f>TEXT(tblData[[#This Row],[Rental Date]],"mmm")</f>
        <v>May</v>
      </c>
      <c r="D498" t="str">
        <f>TEXT(tblData[[#This Row],[Rental Date]],"mmmm")</f>
        <v>May</v>
      </c>
      <c r="E498" t="s">
        <v>56</v>
      </c>
      <c r="F498" t="str">
        <f>TEXT(WEEKNUM(tblData[[#This Row],[Rental Date]]),"00")</f>
        <v>19</v>
      </c>
      <c r="G498" s="1">
        <f>EOMONTH(tblData[[#This Row],[Rental Date]],0)</f>
        <v>46173</v>
      </c>
      <c r="H498" t="s">
        <v>204</v>
      </c>
      <c r="I498" t="s">
        <v>32</v>
      </c>
      <c r="J498" t="s">
        <v>138</v>
      </c>
      <c r="K498" t="s">
        <v>60</v>
      </c>
      <c r="L498">
        <v>1</v>
      </c>
      <c r="M498" s="2">
        <v>32.4</v>
      </c>
      <c r="N498" t="s">
        <v>26</v>
      </c>
      <c r="O498" s="3">
        <v>0</v>
      </c>
      <c r="P498" s="3">
        <v>3.24</v>
      </c>
      <c r="Q498" s="2">
        <v>29.16</v>
      </c>
      <c r="R498" t="s">
        <v>34</v>
      </c>
      <c r="S498" t="s">
        <v>35</v>
      </c>
      <c r="T498" t="s">
        <v>29</v>
      </c>
      <c r="U498" t="s">
        <v>30</v>
      </c>
    </row>
    <row r="499" spans="1:21" x14ac:dyDescent="0.35">
      <c r="A499" t="s">
        <v>577</v>
      </c>
      <c r="B499" s="1">
        <v>46151</v>
      </c>
      <c r="C499" t="str">
        <f>TEXT(tblData[[#This Row],[Rental Date]],"mmm")</f>
        <v>May</v>
      </c>
      <c r="D499" t="str">
        <f>TEXT(tblData[[#This Row],[Rental Date]],"mmmm")</f>
        <v>May</v>
      </c>
      <c r="E499" t="s">
        <v>56</v>
      </c>
      <c r="F499" t="str">
        <f>TEXT(WEEKNUM(tblData[[#This Row],[Rental Date]]),"00")</f>
        <v>19</v>
      </c>
      <c r="G499" s="1">
        <f>EOMONTH(tblData[[#This Row],[Rental Date]],0)</f>
        <v>46173</v>
      </c>
      <c r="H499" t="s">
        <v>204</v>
      </c>
      <c r="I499" t="s">
        <v>39</v>
      </c>
      <c r="J499" t="s">
        <v>33</v>
      </c>
      <c r="K499" t="s">
        <v>40</v>
      </c>
      <c r="L499">
        <v>1</v>
      </c>
      <c r="M499" s="2">
        <v>62.64</v>
      </c>
      <c r="N499" t="s">
        <v>89</v>
      </c>
      <c r="O499" s="3">
        <v>6</v>
      </c>
      <c r="P499" s="3">
        <v>0</v>
      </c>
      <c r="Q499" s="2">
        <v>68.64</v>
      </c>
      <c r="R499" t="s">
        <v>27</v>
      </c>
      <c r="S499" t="s">
        <v>50</v>
      </c>
      <c r="T499" t="s">
        <v>29</v>
      </c>
      <c r="U499" t="s">
        <v>30</v>
      </c>
    </row>
    <row r="500" spans="1:21" x14ac:dyDescent="0.35">
      <c r="A500" t="s">
        <v>578</v>
      </c>
      <c r="B500" s="1">
        <v>46151</v>
      </c>
      <c r="C500" t="str">
        <f>TEXT(tblData[[#This Row],[Rental Date]],"mmm")</f>
        <v>May</v>
      </c>
      <c r="D500" t="str">
        <f>TEXT(tblData[[#This Row],[Rental Date]],"mmmm")</f>
        <v>May</v>
      </c>
      <c r="E500" t="s">
        <v>56</v>
      </c>
      <c r="F500" t="str">
        <f>TEXT(WEEKNUM(tblData[[#This Row],[Rental Date]]),"00")</f>
        <v>19</v>
      </c>
      <c r="G500" s="1">
        <f>EOMONTH(tblData[[#This Row],[Rental Date]],0)</f>
        <v>46173</v>
      </c>
      <c r="H500" t="s">
        <v>204</v>
      </c>
      <c r="I500" t="s">
        <v>39</v>
      </c>
      <c r="J500" t="s">
        <v>138</v>
      </c>
      <c r="K500" t="s">
        <v>40</v>
      </c>
      <c r="L500">
        <v>1</v>
      </c>
      <c r="M500" s="2">
        <v>77.760000000000005</v>
      </c>
      <c r="N500" t="s">
        <v>26</v>
      </c>
      <c r="O500" s="3">
        <v>0</v>
      </c>
      <c r="P500" s="3">
        <v>0</v>
      </c>
      <c r="Q500" s="2">
        <v>77.760000000000005</v>
      </c>
      <c r="R500" t="s">
        <v>71</v>
      </c>
      <c r="S500" t="s">
        <v>54</v>
      </c>
      <c r="T500" t="s">
        <v>51</v>
      </c>
      <c r="U500" t="s">
        <v>58</v>
      </c>
    </row>
    <row r="501" spans="1:21" x14ac:dyDescent="0.35">
      <c r="A501" t="s">
        <v>579</v>
      </c>
      <c r="B501" s="1">
        <v>46151</v>
      </c>
      <c r="C501" t="str">
        <f>TEXT(tblData[[#This Row],[Rental Date]],"mmm")</f>
        <v>May</v>
      </c>
      <c r="D501" t="str">
        <f>TEXT(tblData[[#This Row],[Rental Date]],"mmmm")</f>
        <v>May</v>
      </c>
      <c r="E501" t="s">
        <v>56</v>
      </c>
      <c r="F501" t="str">
        <f>TEXT(WEEKNUM(tblData[[#This Row],[Rental Date]]),"00")</f>
        <v>19</v>
      </c>
      <c r="G501" s="1">
        <f>EOMONTH(tblData[[#This Row],[Rental Date]],0)</f>
        <v>46173</v>
      </c>
      <c r="H501" t="s">
        <v>204</v>
      </c>
      <c r="I501" t="s">
        <v>23</v>
      </c>
      <c r="J501" t="s">
        <v>33</v>
      </c>
      <c r="K501" t="s">
        <v>60</v>
      </c>
      <c r="L501">
        <v>1</v>
      </c>
      <c r="M501" s="2">
        <v>25.92</v>
      </c>
      <c r="N501" t="s">
        <v>89</v>
      </c>
      <c r="O501" s="3">
        <v>6</v>
      </c>
      <c r="P501" s="3">
        <v>0</v>
      </c>
      <c r="Q501" s="2">
        <v>31.92</v>
      </c>
      <c r="R501" t="s">
        <v>66</v>
      </c>
      <c r="S501" t="s">
        <v>46</v>
      </c>
      <c r="T501" t="s">
        <v>51</v>
      </c>
      <c r="U501" t="s">
        <v>30</v>
      </c>
    </row>
    <row r="502" spans="1:21" x14ac:dyDescent="0.35">
      <c r="A502" t="s">
        <v>580</v>
      </c>
      <c r="B502" s="1">
        <v>46151</v>
      </c>
      <c r="C502" t="str">
        <f>TEXT(tblData[[#This Row],[Rental Date]],"mmm")</f>
        <v>May</v>
      </c>
      <c r="D502" t="str">
        <f>TEXT(tblData[[#This Row],[Rental Date]],"mmmm")</f>
        <v>May</v>
      </c>
      <c r="E502" t="s">
        <v>56</v>
      </c>
      <c r="F502" t="str">
        <f>TEXT(WEEKNUM(tblData[[#This Row],[Rental Date]]),"00")</f>
        <v>19</v>
      </c>
      <c r="G502" s="1">
        <f>EOMONTH(tblData[[#This Row],[Rental Date]],0)</f>
        <v>46173</v>
      </c>
      <c r="H502" t="s">
        <v>204</v>
      </c>
      <c r="I502" t="s">
        <v>39</v>
      </c>
      <c r="J502" t="s">
        <v>78</v>
      </c>
      <c r="K502" t="s">
        <v>40</v>
      </c>
      <c r="L502">
        <v>1</v>
      </c>
      <c r="M502" s="2">
        <v>66.959999999999994</v>
      </c>
      <c r="N502" t="s">
        <v>26</v>
      </c>
      <c r="O502" s="3">
        <v>0</v>
      </c>
      <c r="P502" s="3">
        <v>0</v>
      </c>
      <c r="Q502" s="2">
        <v>66.959999999999994</v>
      </c>
      <c r="R502" t="s">
        <v>62</v>
      </c>
      <c r="S502" t="s">
        <v>28</v>
      </c>
      <c r="T502" t="s">
        <v>51</v>
      </c>
      <c r="U502" t="s">
        <v>30</v>
      </c>
    </row>
    <row r="503" spans="1:21" x14ac:dyDescent="0.35">
      <c r="A503" t="s">
        <v>581</v>
      </c>
      <c r="B503" s="1">
        <v>46151</v>
      </c>
      <c r="C503" t="str">
        <f>TEXT(tblData[[#This Row],[Rental Date]],"mmm")</f>
        <v>May</v>
      </c>
      <c r="D503" t="str">
        <f>TEXT(tblData[[#This Row],[Rental Date]],"mmmm")</f>
        <v>May</v>
      </c>
      <c r="E503" t="s">
        <v>56</v>
      </c>
      <c r="F503" t="str">
        <f>TEXT(WEEKNUM(tblData[[#This Row],[Rental Date]]),"00")</f>
        <v>19</v>
      </c>
      <c r="G503" s="1">
        <f>EOMONTH(tblData[[#This Row],[Rental Date]],0)</f>
        <v>46173</v>
      </c>
      <c r="H503" t="s">
        <v>204</v>
      </c>
      <c r="I503" t="s">
        <v>39</v>
      </c>
      <c r="J503" t="s">
        <v>111</v>
      </c>
      <c r="K503" t="s">
        <v>25</v>
      </c>
      <c r="L503">
        <v>1</v>
      </c>
      <c r="M503" s="2">
        <v>23.76</v>
      </c>
      <c r="N503" t="s">
        <v>89</v>
      </c>
      <c r="O503" s="3">
        <v>6</v>
      </c>
      <c r="P503" s="3">
        <v>0</v>
      </c>
      <c r="Q503" s="2">
        <v>29.76</v>
      </c>
      <c r="R503" t="s">
        <v>42</v>
      </c>
      <c r="S503" t="s">
        <v>50</v>
      </c>
      <c r="T503" t="s">
        <v>29</v>
      </c>
      <c r="U503" t="s">
        <v>30</v>
      </c>
    </row>
    <row r="504" spans="1:21" x14ac:dyDescent="0.35">
      <c r="A504" t="s">
        <v>582</v>
      </c>
      <c r="B504" s="1">
        <v>46151</v>
      </c>
      <c r="C504" t="str">
        <f>TEXT(tblData[[#This Row],[Rental Date]],"mmm")</f>
        <v>May</v>
      </c>
      <c r="D504" t="str">
        <f>TEXT(tblData[[#This Row],[Rental Date]],"mmmm")</f>
        <v>May</v>
      </c>
      <c r="E504" t="s">
        <v>56</v>
      </c>
      <c r="F504" t="str">
        <f>TEXT(WEEKNUM(tblData[[#This Row],[Rental Date]]),"00")</f>
        <v>19</v>
      </c>
      <c r="G504" s="1">
        <f>EOMONTH(tblData[[#This Row],[Rental Date]],0)</f>
        <v>46173</v>
      </c>
      <c r="H504" t="s">
        <v>204</v>
      </c>
      <c r="I504" t="s">
        <v>23</v>
      </c>
      <c r="J504" t="s">
        <v>33</v>
      </c>
      <c r="K504" t="s">
        <v>25</v>
      </c>
      <c r="L504">
        <v>1</v>
      </c>
      <c r="M504" s="2">
        <v>41.04</v>
      </c>
      <c r="N504" t="s">
        <v>26</v>
      </c>
      <c r="O504" s="3">
        <v>0</v>
      </c>
      <c r="P504" s="3">
        <v>0</v>
      </c>
      <c r="Q504" s="2">
        <v>41.04</v>
      </c>
      <c r="R504" t="s">
        <v>27</v>
      </c>
      <c r="S504" t="s">
        <v>35</v>
      </c>
      <c r="T504" t="s">
        <v>29</v>
      </c>
      <c r="U504" t="s">
        <v>30</v>
      </c>
    </row>
    <row r="505" spans="1:21" x14ac:dyDescent="0.35">
      <c r="A505" t="s">
        <v>583</v>
      </c>
      <c r="B505" s="1">
        <v>46151</v>
      </c>
      <c r="C505" t="str">
        <f>TEXT(tblData[[#This Row],[Rental Date]],"mmm")</f>
        <v>May</v>
      </c>
      <c r="D505" t="str">
        <f>TEXT(tblData[[#This Row],[Rental Date]],"mmmm")</f>
        <v>May</v>
      </c>
      <c r="E505" t="s">
        <v>56</v>
      </c>
      <c r="F505" t="str">
        <f>TEXT(WEEKNUM(tblData[[#This Row],[Rental Date]]),"00")</f>
        <v>19</v>
      </c>
      <c r="G505" s="1">
        <f>EOMONTH(tblData[[#This Row],[Rental Date]],0)</f>
        <v>46173</v>
      </c>
      <c r="H505" t="s">
        <v>204</v>
      </c>
      <c r="I505" t="s">
        <v>23</v>
      </c>
      <c r="J505" t="s">
        <v>44</v>
      </c>
      <c r="K505" t="s">
        <v>92</v>
      </c>
      <c r="L505">
        <v>1</v>
      </c>
      <c r="M505" s="2">
        <v>120.96</v>
      </c>
      <c r="N505" t="s">
        <v>26</v>
      </c>
      <c r="O505" s="3">
        <v>0</v>
      </c>
      <c r="P505" s="3">
        <v>0</v>
      </c>
      <c r="Q505" s="2">
        <v>120.96</v>
      </c>
      <c r="R505" t="s">
        <v>76</v>
      </c>
      <c r="S505" t="s">
        <v>54</v>
      </c>
      <c r="T505" t="s">
        <v>51</v>
      </c>
      <c r="U505" t="s">
        <v>30</v>
      </c>
    </row>
    <row r="506" spans="1:21" x14ac:dyDescent="0.35">
      <c r="A506" t="s">
        <v>584</v>
      </c>
      <c r="B506" s="1">
        <v>46151</v>
      </c>
      <c r="C506" t="str">
        <f>TEXT(tblData[[#This Row],[Rental Date]],"mmm")</f>
        <v>May</v>
      </c>
      <c r="D506" t="str">
        <f>TEXT(tblData[[#This Row],[Rental Date]],"mmmm")</f>
        <v>May</v>
      </c>
      <c r="E506" t="s">
        <v>56</v>
      </c>
      <c r="F506" t="str">
        <f>TEXT(WEEKNUM(tblData[[#This Row],[Rental Date]]),"00")</f>
        <v>19</v>
      </c>
      <c r="G506" s="1">
        <f>EOMONTH(tblData[[#This Row],[Rental Date]],0)</f>
        <v>46173</v>
      </c>
      <c r="H506" t="s">
        <v>204</v>
      </c>
      <c r="I506" t="s">
        <v>39</v>
      </c>
      <c r="J506" t="s">
        <v>49</v>
      </c>
      <c r="K506" t="s">
        <v>92</v>
      </c>
      <c r="L506">
        <v>1</v>
      </c>
      <c r="M506" s="2">
        <v>82.08</v>
      </c>
      <c r="N506" t="s">
        <v>26</v>
      </c>
      <c r="O506" s="3">
        <v>0</v>
      </c>
      <c r="P506" s="3">
        <v>0</v>
      </c>
      <c r="Q506" s="2">
        <v>82.08</v>
      </c>
      <c r="R506" t="s">
        <v>42</v>
      </c>
      <c r="S506" t="s">
        <v>35</v>
      </c>
      <c r="T506" t="s">
        <v>51</v>
      </c>
      <c r="U506" t="s">
        <v>79</v>
      </c>
    </row>
    <row r="507" spans="1:21" x14ac:dyDescent="0.35">
      <c r="A507" t="s">
        <v>585</v>
      </c>
      <c r="B507" s="1">
        <v>46151</v>
      </c>
      <c r="C507" t="str">
        <f>TEXT(tblData[[#This Row],[Rental Date]],"mmm")</f>
        <v>May</v>
      </c>
      <c r="D507" t="str">
        <f>TEXT(tblData[[#This Row],[Rental Date]],"mmmm")</f>
        <v>May</v>
      </c>
      <c r="E507" t="s">
        <v>56</v>
      </c>
      <c r="F507" t="str">
        <f>TEXT(WEEKNUM(tblData[[#This Row],[Rental Date]]),"00")</f>
        <v>19</v>
      </c>
      <c r="G507" s="1">
        <f>EOMONTH(tblData[[#This Row],[Rental Date]],0)</f>
        <v>46173</v>
      </c>
      <c r="H507" t="s">
        <v>204</v>
      </c>
      <c r="I507" t="s">
        <v>39</v>
      </c>
      <c r="J507" t="s">
        <v>111</v>
      </c>
      <c r="K507" t="s">
        <v>40</v>
      </c>
      <c r="L507">
        <v>1</v>
      </c>
      <c r="M507" s="2">
        <v>36.72</v>
      </c>
      <c r="N507" t="s">
        <v>26</v>
      </c>
      <c r="O507" s="3">
        <v>0</v>
      </c>
      <c r="P507" s="3">
        <v>0</v>
      </c>
      <c r="Q507" s="2">
        <v>36.72</v>
      </c>
      <c r="R507" t="s">
        <v>71</v>
      </c>
      <c r="S507" t="s">
        <v>28</v>
      </c>
      <c r="T507" t="s">
        <v>63</v>
      </c>
      <c r="U507" t="s">
        <v>30</v>
      </c>
    </row>
    <row r="508" spans="1:21" x14ac:dyDescent="0.35">
      <c r="A508" t="s">
        <v>586</v>
      </c>
      <c r="B508" s="1">
        <v>46151</v>
      </c>
      <c r="C508" t="str">
        <f>TEXT(tblData[[#This Row],[Rental Date]],"mmm")</f>
        <v>May</v>
      </c>
      <c r="D508" t="str">
        <f>TEXT(tblData[[#This Row],[Rental Date]],"mmmm")</f>
        <v>May</v>
      </c>
      <c r="E508" t="s">
        <v>56</v>
      </c>
      <c r="F508" t="str">
        <f>TEXT(WEEKNUM(tblData[[#This Row],[Rental Date]]),"00")</f>
        <v>19</v>
      </c>
      <c r="G508" s="1">
        <f>EOMONTH(tblData[[#This Row],[Rental Date]],0)</f>
        <v>46173</v>
      </c>
      <c r="H508" t="s">
        <v>204</v>
      </c>
      <c r="I508" t="s">
        <v>48</v>
      </c>
      <c r="J508" t="s">
        <v>78</v>
      </c>
      <c r="K508" t="s">
        <v>40</v>
      </c>
      <c r="L508">
        <v>1</v>
      </c>
      <c r="M508" s="2">
        <v>66.959999999999994</v>
      </c>
      <c r="N508" t="s">
        <v>26</v>
      </c>
      <c r="O508" s="3">
        <v>0</v>
      </c>
      <c r="P508" s="3">
        <v>0</v>
      </c>
      <c r="Q508" s="2">
        <v>66.959999999999994</v>
      </c>
      <c r="R508" t="s">
        <v>34</v>
      </c>
      <c r="S508" t="s">
        <v>46</v>
      </c>
      <c r="T508" t="s">
        <v>29</v>
      </c>
      <c r="U508" t="s">
        <v>30</v>
      </c>
    </row>
    <row r="509" spans="1:21" x14ac:dyDescent="0.35">
      <c r="A509" t="s">
        <v>587</v>
      </c>
      <c r="B509" s="1">
        <v>46152</v>
      </c>
      <c r="C509" t="str">
        <f>TEXT(tblData[[#This Row],[Rental Date]],"mmm")</f>
        <v>May</v>
      </c>
      <c r="D509" t="str">
        <f>TEXT(tblData[[#This Row],[Rental Date]],"mmmm")</f>
        <v>May</v>
      </c>
      <c r="E509" t="s">
        <v>68</v>
      </c>
      <c r="F509" t="str">
        <f>TEXT(WEEKNUM(tblData[[#This Row],[Rental Date]]),"00")</f>
        <v>20</v>
      </c>
      <c r="G509" s="1">
        <f>EOMONTH(tblData[[#This Row],[Rental Date]],0)</f>
        <v>46173</v>
      </c>
      <c r="H509" t="s">
        <v>204</v>
      </c>
      <c r="I509" t="s">
        <v>48</v>
      </c>
      <c r="J509" t="s">
        <v>49</v>
      </c>
      <c r="K509" t="s">
        <v>40</v>
      </c>
      <c r="L509">
        <v>1</v>
      </c>
      <c r="M509" s="2">
        <v>58.32</v>
      </c>
      <c r="N509" t="s">
        <v>26</v>
      </c>
      <c r="O509" s="3">
        <v>0</v>
      </c>
      <c r="P509" s="3">
        <v>0</v>
      </c>
      <c r="Q509" s="2">
        <v>58.32</v>
      </c>
      <c r="R509" t="s">
        <v>57</v>
      </c>
      <c r="S509" t="s">
        <v>28</v>
      </c>
      <c r="T509" t="s">
        <v>63</v>
      </c>
      <c r="U509" t="s">
        <v>30</v>
      </c>
    </row>
    <row r="510" spans="1:21" x14ac:dyDescent="0.35">
      <c r="A510" t="s">
        <v>588</v>
      </c>
      <c r="B510" s="1">
        <v>46152</v>
      </c>
      <c r="C510" t="str">
        <f>TEXT(tblData[[#This Row],[Rental Date]],"mmm")</f>
        <v>May</v>
      </c>
      <c r="D510" t="str">
        <f>TEXT(tblData[[#This Row],[Rental Date]],"mmmm")</f>
        <v>May</v>
      </c>
      <c r="E510" t="s">
        <v>68</v>
      </c>
      <c r="F510" t="str">
        <f>TEXT(WEEKNUM(tblData[[#This Row],[Rental Date]]),"00")</f>
        <v>20</v>
      </c>
      <c r="G510" s="1">
        <f>EOMONTH(tblData[[#This Row],[Rental Date]],0)</f>
        <v>46173</v>
      </c>
      <c r="H510" t="s">
        <v>204</v>
      </c>
      <c r="I510" t="s">
        <v>48</v>
      </c>
      <c r="J510" t="s">
        <v>49</v>
      </c>
      <c r="K510" t="s">
        <v>60</v>
      </c>
      <c r="L510">
        <v>1</v>
      </c>
      <c r="M510" s="2">
        <v>23.76</v>
      </c>
      <c r="N510" t="s">
        <v>87</v>
      </c>
      <c r="O510" s="3">
        <v>10</v>
      </c>
      <c r="P510" s="3">
        <v>0</v>
      </c>
      <c r="Q510" s="2">
        <v>33.76</v>
      </c>
      <c r="R510" t="s">
        <v>62</v>
      </c>
      <c r="S510" t="s">
        <v>46</v>
      </c>
      <c r="T510" t="s">
        <v>29</v>
      </c>
      <c r="U510" t="s">
        <v>58</v>
      </c>
    </row>
    <row r="511" spans="1:21" x14ac:dyDescent="0.35">
      <c r="A511" t="s">
        <v>589</v>
      </c>
      <c r="B511" s="1">
        <v>46152</v>
      </c>
      <c r="C511" t="str">
        <f>TEXT(tblData[[#This Row],[Rental Date]],"mmm")</f>
        <v>May</v>
      </c>
      <c r="D511" t="str">
        <f>TEXT(tblData[[#This Row],[Rental Date]],"mmmm")</f>
        <v>May</v>
      </c>
      <c r="E511" t="s">
        <v>68</v>
      </c>
      <c r="F511" t="str">
        <f>TEXT(WEEKNUM(tblData[[#This Row],[Rental Date]]),"00")</f>
        <v>20</v>
      </c>
      <c r="G511" s="1">
        <f>EOMONTH(tblData[[#This Row],[Rental Date]],0)</f>
        <v>46173</v>
      </c>
      <c r="H511" t="s">
        <v>204</v>
      </c>
      <c r="I511" t="s">
        <v>48</v>
      </c>
      <c r="J511" t="s">
        <v>33</v>
      </c>
      <c r="K511" t="s">
        <v>92</v>
      </c>
      <c r="L511">
        <v>1</v>
      </c>
      <c r="M511" s="2">
        <v>90.72</v>
      </c>
      <c r="N511" t="s">
        <v>26</v>
      </c>
      <c r="O511" s="3">
        <v>0</v>
      </c>
      <c r="P511" s="3">
        <v>0</v>
      </c>
      <c r="Q511" s="2">
        <v>90.72</v>
      </c>
      <c r="R511" t="s">
        <v>76</v>
      </c>
      <c r="S511" t="s">
        <v>50</v>
      </c>
      <c r="T511" t="s">
        <v>83</v>
      </c>
      <c r="U511" t="s">
        <v>36</v>
      </c>
    </row>
    <row r="512" spans="1:21" x14ac:dyDescent="0.35">
      <c r="A512" t="s">
        <v>590</v>
      </c>
      <c r="B512" s="1">
        <v>46152</v>
      </c>
      <c r="C512" t="str">
        <f>TEXT(tblData[[#This Row],[Rental Date]],"mmm")</f>
        <v>May</v>
      </c>
      <c r="D512" t="str">
        <f>TEXT(tblData[[#This Row],[Rental Date]],"mmmm")</f>
        <v>May</v>
      </c>
      <c r="E512" t="s">
        <v>68</v>
      </c>
      <c r="F512" t="str">
        <f>TEXT(WEEKNUM(tblData[[#This Row],[Rental Date]]),"00")</f>
        <v>20</v>
      </c>
      <c r="G512" s="1">
        <f>EOMONTH(tblData[[#This Row],[Rental Date]],0)</f>
        <v>46173</v>
      </c>
      <c r="H512" t="s">
        <v>204</v>
      </c>
      <c r="I512" t="s">
        <v>48</v>
      </c>
      <c r="J512" t="s">
        <v>24</v>
      </c>
      <c r="K512" t="s">
        <v>40</v>
      </c>
      <c r="L512">
        <v>1</v>
      </c>
      <c r="M512" s="2">
        <v>82.08</v>
      </c>
      <c r="N512" t="s">
        <v>26</v>
      </c>
      <c r="O512" s="3">
        <v>0</v>
      </c>
      <c r="P512" s="3">
        <v>0</v>
      </c>
      <c r="Q512" s="2">
        <v>82.08</v>
      </c>
      <c r="R512" t="s">
        <v>71</v>
      </c>
      <c r="S512" t="s">
        <v>46</v>
      </c>
      <c r="T512" t="s">
        <v>51</v>
      </c>
      <c r="U512" t="s">
        <v>58</v>
      </c>
    </row>
    <row r="513" spans="1:21" x14ac:dyDescent="0.35">
      <c r="A513" t="s">
        <v>591</v>
      </c>
      <c r="B513" s="1">
        <v>46152</v>
      </c>
      <c r="C513" t="str">
        <f>TEXT(tblData[[#This Row],[Rental Date]],"mmm")</f>
        <v>May</v>
      </c>
      <c r="D513" t="str">
        <f>TEXT(tblData[[#This Row],[Rental Date]],"mmmm")</f>
        <v>May</v>
      </c>
      <c r="E513" t="s">
        <v>68</v>
      </c>
      <c r="F513" t="str">
        <f>TEXT(WEEKNUM(tblData[[#This Row],[Rental Date]]),"00")</f>
        <v>20</v>
      </c>
      <c r="G513" s="1">
        <f>EOMONTH(tblData[[#This Row],[Rental Date]],0)</f>
        <v>46173</v>
      </c>
      <c r="H513" t="s">
        <v>204</v>
      </c>
      <c r="I513" t="s">
        <v>39</v>
      </c>
      <c r="J513" t="s">
        <v>78</v>
      </c>
      <c r="K513" t="s">
        <v>25</v>
      </c>
      <c r="L513">
        <v>1</v>
      </c>
      <c r="M513" s="2">
        <v>45.36</v>
      </c>
      <c r="N513" t="s">
        <v>75</v>
      </c>
      <c r="O513" s="3">
        <v>12</v>
      </c>
      <c r="P513" s="3">
        <v>0</v>
      </c>
      <c r="Q513" s="2">
        <v>57.36</v>
      </c>
      <c r="R513" t="s">
        <v>34</v>
      </c>
      <c r="S513" t="s">
        <v>50</v>
      </c>
      <c r="T513" t="s">
        <v>29</v>
      </c>
      <c r="U513" t="s">
        <v>30</v>
      </c>
    </row>
    <row r="514" spans="1:21" x14ac:dyDescent="0.35">
      <c r="A514" t="s">
        <v>592</v>
      </c>
      <c r="B514" s="1">
        <v>46152</v>
      </c>
      <c r="C514" t="str">
        <f>TEXT(tblData[[#This Row],[Rental Date]],"mmm")</f>
        <v>May</v>
      </c>
      <c r="D514" t="str">
        <f>TEXT(tblData[[#This Row],[Rental Date]],"mmmm")</f>
        <v>May</v>
      </c>
      <c r="E514" t="s">
        <v>68</v>
      </c>
      <c r="F514" t="str">
        <f>TEXT(WEEKNUM(tblData[[#This Row],[Rental Date]]),"00")</f>
        <v>20</v>
      </c>
      <c r="G514" s="1">
        <f>EOMONTH(tblData[[#This Row],[Rental Date]],0)</f>
        <v>46173</v>
      </c>
      <c r="H514" t="s">
        <v>204</v>
      </c>
      <c r="I514" t="s">
        <v>48</v>
      </c>
      <c r="J514" t="s">
        <v>44</v>
      </c>
      <c r="K514" t="s">
        <v>25</v>
      </c>
      <c r="L514">
        <v>1</v>
      </c>
      <c r="M514" s="2">
        <v>56.16</v>
      </c>
      <c r="N514" t="s">
        <v>26</v>
      </c>
      <c r="O514" s="3">
        <v>0</v>
      </c>
      <c r="P514" s="3">
        <v>0</v>
      </c>
      <c r="Q514" s="2">
        <v>56.16</v>
      </c>
      <c r="R514" t="s">
        <v>34</v>
      </c>
      <c r="S514" t="s">
        <v>54</v>
      </c>
      <c r="T514" t="s">
        <v>29</v>
      </c>
      <c r="U514" t="s">
        <v>30</v>
      </c>
    </row>
    <row r="515" spans="1:21" x14ac:dyDescent="0.35">
      <c r="A515" t="s">
        <v>593</v>
      </c>
      <c r="B515" s="1">
        <v>46152</v>
      </c>
      <c r="C515" t="str">
        <f>TEXT(tblData[[#This Row],[Rental Date]],"mmm")</f>
        <v>May</v>
      </c>
      <c r="D515" t="str">
        <f>TEXT(tblData[[#This Row],[Rental Date]],"mmmm")</f>
        <v>May</v>
      </c>
      <c r="E515" t="s">
        <v>68</v>
      </c>
      <c r="F515" t="str">
        <f>TEXT(WEEKNUM(tblData[[#This Row],[Rental Date]]),"00")</f>
        <v>20</v>
      </c>
      <c r="G515" s="1">
        <f>EOMONTH(tblData[[#This Row],[Rental Date]],0)</f>
        <v>46173</v>
      </c>
      <c r="H515" t="s">
        <v>204</v>
      </c>
      <c r="I515" t="s">
        <v>48</v>
      </c>
      <c r="J515" t="s">
        <v>78</v>
      </c>
      <c r="K515" t="s">
        <v>25</v>
      </c>
      <c r="L515">
        <v>1</v>
      </c>
      <c r="M515" s="2">
        <v>45.36</v>
      </c>
      <c r="N515" t="s">
        <v>89</v>
      </c>
      <c r="O515" s="3">
        <v>6</v>
      </c>
      <c r="P515" s="3">
        <v>0</v>
      </c>
      <c r="Q515" s="2">
        <v>51.36</v>
      </c>
      <c r="R515" t="s">
        <v>76</v>
      </c>
      <c r="S515" t="s">
        <v>50</v>
      </c>
      <c r="T515" t="s">
        <v>29</v>
      </c>
      <c r="U515" t="s">
        <v>30</v>
      </c>
    </row>
    <row r="516" spans="1:21" x14ac:dyDescent="0.35">
      <c r="A516" t="s">
        <v>594</v>
      </c>
      <c r="B516" s="1">
        <v>46153</v>
      </c>
      <c r="C516" t="str">
        <f>TEXT(tblData[[#This Row],[Rental Date]],"mmm")</f>
        <v>May</v>
      </c>
      <c r="D516" t="str">
        <f>TEXT(tblData[[#This Row],[Rental Date]],"mmmm")</f>
        <v>May</v>
      </c>
      <c r="E516" t="s">
        <v>74</v>
      </c>
      <c r="F516" t="str">
        <f>TEXT(WEEKNUM(tblData[[#This Row],[Rental Date]]),"00")</f>
        <v>20</v>
      </c>
      <c r="G516" s="1">
        <f>EOMONTH(tblData[[#This Row],[Rental Date]],0)</f>
        <v>46173</v>
      </c>
      <c r="H516" t="s">
        <v>204</v>
      </c>
      <c r="I516" t="s">
        <v>39</v>
      </c>
      <c r="J516" t="s">
        <v>44</v>
      </c>
      <c r="K516" t="s">
        <v>40</v>
      </c>
      <c r="L516">
        <v>1</v>
      </c>
      <c r="M516" s="2">
        <v>78</v>
      </c>
      <c r="N516" t="s">
        <v>89</v>
      </c>
      <c r="O516" s="3">
        <v>6</v>
      </c>
      <c r="P516" s="3">
        <v>0</v>
      </c>
      <c r="Q516" s="2">
        <v>84</v>
      </c>
      <c r="R516" t="s">
        <v>42</v>
      </c>
      <c r="S516" t="s">
        <v>50</v>
      </c>
      <c r="T516" t="s">
        <v>29</v>
      </c>
      <c r="U516" t="s">
        <v>79</v>
      </c>
    </row>
    <row r="517" spans="1:21" x14ac:dyDescent="0.35">
      <c r="A517" t="s">
        <v>595</v>
      </c>
      <c r="B517" s="1">
        <v>46153</v>
      </c>
      <c r="C517" t="str">
        <f>TEXT(tblData[[#This Row],[Rental Date]],"mmm")</f>
        <v>May</v>
      </c>
      <c r="D517" t="str">
        <f>TEXT(tblData[[#This Row],[Rental Date]],"mmmm")</f>
        <v>May</v>
      </c>
      <c r="E517" t="s">
        <v>74</v>
      </c>
      <c r="F517" t="str">
        <f>TEXT(WEEKNUM(tblData[[#This Row],[Rental Date]]),"00")</f>
        <v>20</v>
      </c>
      <c r="G517" s="1">
        <f>EOMONTH(tblData[[#This Row],[Rental Date]],0)</f>
        <v>46173</v>
      </c>
      <c r="H517" t="s">
        <v>204</v>
      </c>
      <c r="I517" t="s">
        <v>48</v>
      </c>
      <c r="J517" t="s">
        <v>49</v>
      </c>
      <c r="K517" t="s">
        <v>60</v>
      </c>
      <c r="L517">
        <v>1</v>
      </c>
      <c r="M517" s="2">
        <v>22</v>
      </c>
      <c r="N517" t="s">
        <v>26</v>
      </c>
      <c r="O517" s="3">
        <v>0</v>
      </c>
      <c r="P517" s="3">
        <v>0</v>
      </c>
      <c r="Q517" s="2">
        <v>22</v>
      </c>
      <c r="R517" t="s">
        <v>94</v>
      </c>
      <c r="S517" t="s">
        <v>28</v>
      </c>
      <c r="T517" t="s">
        <v>29</v>
      </c>
      <c r="U517" t="s">
        <v>30</v>
      </c>
    </row>
    <row r="518" spans="1:21" x14ac:dyDescent="0.35">
      <c r="A518" t="s">
        <v>596</v>
      </c>
      <c r="B518" s="1">
        <v>46153</v>
      </c>
      <c r="C518" t="str">
        <f>TEXT(tblData[[#This Row],[Rental Date]],"mmm")</f>
        <v>May</v>
      </c>
      <c r="D518" t="str">
        <f>TEXT(tblData[[#This Row],[Rental Date]],"mmmm")</f>
        <v>May</v>
      </c>
      <c r="E518" t="s">
        <v>74</v>
      </c>
      <c r="F518" t="str">
        <f>TEXT(WEEKNUM(tblData[[#This Row],[Rental Date]]),"00")</f>
        <v>20</v>
      </c>
      <c r="G518" s="1">
        <f>EOMONTH(tblData[[#This Row],[Rental Date]],0)</f>
        <v>46173</v>
      </c>
      <c r="H518" t="s">
        <v>204</v>
      </c>
      <c r="I518" t="s">
        <v>48</v>
      </c>
      <c r="J518" t="s">
        <v>33</v>
      </c>
      <c r="K518" t="s">
        <v>40</v>
      </c>
      <c r="L518">
        <v>1</v>
      </c>
      <c r="M518" s="2">
        <v>58</v>
      </c>
      <c r="N518" t="s">
        <v>26</v>
      </c>
      <c r="O518" s="3">
        <v>0</v>
      </c>
      <c r="P518" s="3">
        <v>0</v>
      </c>
      <c r="Q518" s="2">
        <v>58</v>
      </c>
      <c r="R518" t="s">
        <v>45</v>
      </c>
      <c r="S518" t="s">
        <v>50</v>
      </c>
      <c r="T518" t="s">
        <v>29</v>
      </c>
      <c r="U518" t="s">
        <v>58</v>
      </c>
    </row>
    <row r="519" spans="1:21" x14ac:dyDescent="0.35">
      <c r="A519" t="s">
        <v>597</v>
      </c>
      <c r="B519" s="1">
        <v>46153</v>
      </c>
      <c r="C519" t="str">
        <f>TEXT(tblData[[#This Row],[Rental Date]],"mmm")</f>
        <v>May</v>
      </c>
      <c r="D519" t="str">
        <f>TEXT(tblData[[#This Row],[Rental Date]],"mmmm")</f>
        <v>May</v>
      </c>
      <c r="E519" t="s">
        <v>74</v>
      </c>
      <c r="F519" t="str">
        <f>TEXT(WEEKNUM(tblData[[#This Row],[Rental Date]]),"00")</f>
        <v>20</v>
      </c>
      <c r="G519" s="1">
        <f>EOMONTH(tblData[[#This Row],[Rental Date]],0)</f>
        <v>46173</v>
      </c>
      <c r="H519" t="s">
        <v>204</v>
      </c>
      <c r="I519" t="s">
        <v>39</v>
      </c>
      <c r="J519" t="s">
        <v>78</v>
      </c>
      <c r="K519" t="s">
        <v>25</v>
      </c>
      <c r="L519">
        <v>1</v>
      </c>
      <c r="M519" s="2">
        <v>42</v>
      </c>
      <c r="N519" t="s">
        <v>26</v>
      </c>
      <c r="O519" s="3">
        <v>0</v>
      </c>
      <c r="P519" s="3">
        <v>0</v>
      </c>
      <c r="Q519" s="2">
        <v>42</v>
      </c>
      <c r="R519" t="s">
        <v>71</v>
      </c>
      <c r="S519" t="s">
        <v>28</v>
      </c>
      <c r="T519" t="s">
        <v>29</v>
      </c>
      <c r="U519" t="s">
        <v>30</v>
      </c>
    </row>
    <row r="520" spans="1:21" x14ac:dyDescent="0.35">
      <c r="A520" t="s">
        <v>598</v>
      </c>
      <c r="B520" s="1">
        <v>46153</v>
      </c>
      <c r="C520" t="str">
        <f>TEXT(tblData[[#This Row],[Rental Date]],"mmm")</f>
        <v>May</v>
      </c>
      <c r="D520" t="str">
        <f>TEXT(tblData[[#This Row],[Rental Date]],"mmmm")</f>
        <v>May</v>
      </c>
      <c r="E520" t="s">
        <v>74</v>
      </c>
      <c r="F520" t="str">
        <f>TEXT(WEEKNUM(tblData[[#This Row],[Rental Date]]),"00")</f>
        <v>20</v>
      </c>
      <c r="G520" s="1">
        <f>EOMONTH(tblData[[#This Row],[Rental Date]],0)</f>
        <v>46173</v>
      </c>
      <c r="H520" t="s">
        <v>204</v>
      </c>
      <c r="I520" t="s">
        <v>48</v>
      </c>
      <c r="J520" t="s">
        <v>78</v>
      </c>
      <c r="K520" t="s">
        <v>60</v>
      </c>
      <c r="L520">
        <v>1</v>
      </c>
      <c r="M520" s="2">
        <v>26</v>
      </c>
      <c r="N520" t="s">
        <v>75</v>
      </c>
      <c r="O520" s="3">
        <v>12</v>
      </c>
      <c r="P520" s="3">
        <v>0</v>
      </c>
      <c r="Q520" s="2">
        <v>38</v>
      </c>
      <c r="R520" t="s">
        <v>42</v>
      </c>
      <c r="S520" t="s">
        <v>50</v>
      </c>
      <c r="T520" t="s">
        <v>51</v>
      </c>
      <c r="U520" t="s">
        <v>58</v>
      </c>
    </row>
    <row r="521" spans="1:21" x14ac:dyDescent="0.35">
      <c r="A521" t="s">
        <v>599</v>
      </c>
      <c r="B521" s="1">
        <v>46153</v>
      </c>
      <c r="C521" t="str">
        <f>TEXT(tblData[[#This Row],[Rental Date]],"mmm")</f>
        <v>May</v>
      </c>
      <c r="D521" t="str">
        <f>TEXT(tblData[[#This Row],[Rental Date]],"mmmm")</f>
        <v>May</v>
      </c>
      <c r="E521" t="s">
        <v>74</v>
      </c>
      <c r="F521" t="str">
        <f>TEXT(WEEKNUM(tblData[[#This Row],[Rental Date]]),"00")</f>
        <v>20</v>
      </c>
      <c r="G521" s="1">
        <f>EOMONTH(tblData[[#This Row],[Rental Date]],0)</f>
        <v>46173</v>
      </c>
      <c r="H521" t="s">
        <v>204</v>
      </c>
      <c r="I521" t="s">
        <v>48</v>
      </c>
      <c r="J521" t="s">
        <v>24</v>
      </c>
      <c r="K521" t="s">
        <v>60</v>
      </c>
      <c r="L521">
        <v>1</v>
      </c>
      <c r="M521" s="2">
        <v>32</v>
      </c>
      <c r="N521" t="s">
        <v>26</v>
      </c>
      <c r="O521" s="3">
        <v>0</v>
      </c>
      <c r="P521" s="3">
        <v>0</v>
      </c>
      <c r="Q521" s="2">
        <v>32</v>
      </c>
      <c r="R521" t="s">
        <v>57</v>
      </c>
      <c r="S521" t="s">
        <v>28</v>
      </c>
      <c r="T521" t="s">
        <v>29</v>
      </c>
      <c r="U521" t="s">
        <v>58</v>
      </c>
    </row>
    <row r="522" spans="1:21" x14ac:dyDescent="0.35">
      <c r="A522" t="s">
        <v>600</v>
      </c>
      <c r="B522" s="1">
        <v>46153</v>
      </c>
      <c r="C522" t="str">
        <f>TEXT(tblData[[#This Row],[Rental Date]],"mmm")</f>
        <v>May</v>
      </c>
      <c r="D522" t="str">
        <f>TEXT(tblData[[#This Row],[Rental Date]],"mmmm")</f>
        <v>May</v>
      </c>
      <c r="E522" t="s">
        <v>74</v>
      </c>
      <c r="F522" t="str">
        <f>TEXT(WEEKNUM(tblData[[#This Row],[Rental Date]]),"00")</f>
        <v>20</v>
      </c>
      <c r="G522" s="1">
        <f>EOMONTH(tblData[[#This Row],[Rental Date]],0)</f>
        <v>46173</v>
      </c>
      <c r="H522" t="s">
        <v>204</v>
      </c>
      <c r="I522" t="s">
        <v>48</v>
      </c>
      <c r="J522" t="s">
        <v>65</v>
      </c>
      <c r="K522" t="s">
        <v>40</v>
      </c>
      <c r="L522">
        <v>1</v>
      </c>
      <c r="M522" s="2">
        <v>28</v>
      </c>
      <c r="N522" t="s">
        <v>89</v>
      </c>
      <c r="O522" s="3">
        <v>6</v>
      </c>
      <c r="P522" s="3">
        <v>0</v>
      </c>
      <c r="Q522" s="2">
        <v>34</v>
      </c>
      <c r="R522" t="s">
        <v>27</v>
      </c>
      <c r="S522" t="s">
        <v>50</v>
      </c>
      <c r="T522" t="s">
        <v>90</v>
      </c>
      <c r="U522" t="s">
        <v>30</v>
      </c>
    </row>
    <row r="523" spans="1:21" x14ac:dyDescent="0.35">
      <c r="A523" t="s">
        <v>601</v>
      </c>
      <c r="B523" s="1">
        <v>46153</v>
      </c>
      <c r="C523" t="str">
        <f>TEXT(tblData[[#This Row],[Rental Date]],"mmm")</f>
        <v>May</v>
      </c>
      <c r="D523" t="str">
        <f>TEXT(tblData[[#This Row],[Rental Date]],"mmmm")</f>
        <v>May</v>
      </c>
      <c r="E523" t="s">
        <v>74</v>
      </c>
      <c r="F523" t="str">
        <f>TEXT(WEEKNUM(tblData[[#This Row],[Rental Date]]),"00")</f>
        <v>20</v>
      </c>
      <c r="G523" s="1">
        <f>EOMONTH(tblData[[#This Row],[Rental Date]],0)</f>
        <v>46173</v>
      </c>
      <c r="H523" t="s">
        <v>204</v>
      </c>
      <c r="I523" t="s">
        <v>23</v>
      </c>
      <c r="J523" t="s">
        <v>44</v>
      </c>
      <c r="K523" t="s">
        <v>40</v>
      </c>
      <c r="L523">
        <v>1</v>
      </c>
      <c r="M523" s="2">
        <v>78</v>
      </c>
      <c r="N523" t="s">
        <v>26</v>
      </c>
      <c r="O523" s="3">
        <v>0</v>
      </c>
      <c r="P523" s="3">
        <v>0</v>
      </c>
      <c r="Q523" s="2">
        <v>78</v>
      </c>
      <c r="R523" t="s">
        <v>34</v>
      </c>
      <c r="S523" t="s">
        <v>35</v>
      </c>
      <c r="T523" t="s">
        <v>51</v>
      </c>
      <c r="U523" t="s">
        <v>30</v>
      </c>
    </row>
    <row r="524" spans="1:21" x14ac:dyDescent="0.35">
      <c r="A524" t="s">
        <v>602</v>
      </c>
      <c r="B524" s="1">
        <v>46153</v>
      </c>
      <c r="C524" t="str">
        <f>TEXT(tblData[[#This Row],[Rental Date]],"mmm")</f>
        <v>May</v>
      </c>
      <c r="D524" t="str">
        <f>TEXT(tblData[[#This Row],[Rental Date]],"mmmm")</f>
        <v>May</v>
      </c>
      <c r="E524" t="s">
        <v>74</v>
      </c>
      <c r="F524" t="str">
        <f>TEXT(WEEKNUM(tblData[[#This Row],[Rental Date]]),"00")</f>
        <v>20</v>
      </c>
      <c r="G524" s="1">
        <f>EOMONTH(tblData[[#This Row],[Rental Date]],0)</f>
        <v>46173</v>
      </c>
      <c r="H524" t="s">
        <v>204</v>
      </c>
      <c r="I524" t="s">
        <v>39</v>
      </c>
      <c r="J524" t="s">
        <v>65</v>
      </c>
      <c r="K524" t="s">
        <v>60</v>
      </c>
      <c r="L524">
        <v>1</v>
      </c>
      <c r="M524" s="2">
        <v>12</v>
      </c>
      <c r="N524" t="s">
        <v>26</v>
      </c>
      <c r="O524" s="3">
        <v>0</v>
      </c>
      <c r="P524" s="3">
        <v>0</v>
      </c>
      <c r="Q524" s="2">
        <v>12</v>
      </c>
      <c r="R524" t="s">
        <v>42</v>
      </c>
      <c r="S524" t="s">
        <v>50</v>
      </c>
      <c r="T524" t="s">
        <v>51</v>
      </c>
      <c r="U524" t="s">
        <v>58</v>
      </c>
    </row>
    <row r="525" spans="1:21" x14ac:dyDescent="0.35">
      <c r="A525" t="s">
        <v>603</v>
      </c>
      <c r="B525" s="1">
        <v>46153</v>
      </c>
      <c r="C525" t="str">
        <f>TEXT(tblData[[#This Row],[Rental Date]],"mmm")</f>
        <v>May</v>
      </c>
      <c r="D525" t="str">
        <f>TEXT(tblData[[#This Row],[Rental Date]],"mmmm")</f>
        <v>May</v>
      </c>
      <c r="E525" t="s">
        <v>74</v>
      </c>
      <c r="F525" t="str">
        <f>TEXT(WEEKNUM(tblData[[#This Row],[Rental Date]]),"00")</f>
        <v>20</v>
      </c>
      <c r="G525" s="1">
        <f>EOMONTH(tblData[[#This Row],[Rental Date]],0)</f>
        <v>46173</v>
      </c>
      <c r="H525" t="s">
        <v>204</v>
      </c>
      <c r="I525" t="s">
        <v>48</v>
      </c>
      <c r="J525" t="s">
        <v>78</v>
      </c>
      <c r="K525" t="s">
        <v>40</v>
      </c>
      <c r="L525">
        <v>1</v>
      </c>
      <c r="M525" s="2">
        <v>62</v>
      </c>
      <c r="N525" t="s">
        <v>26</v>
      </c>
      <c r="O525" s="3">
        <v>0</v>
      </c>
      <c r="P525" s="3">
        <v>0</v>
      </c>
      <c r="Q525" s="2">
        <v>62</v>
      </c>
      <c r="R525" t="s">
        <v>94</v>
      </c>
      <c r="S525" t="s">
        <v>54</v>
      </c>
      <c r="T525" t="s">
        <v>29</v>
      </c>
      <c r="U525" t="s">
        <v>30</v>
      </c>
    </row>
    <row r="526" spans="1:21" x14ac:dyDescent="0.35">
      <c r="A526" t="s">
        <v>604</v>
      </c>
      <c r="B526" s="1">
        <v>46153</v>
      </c>
      <c r="C526" t="str">
        <f>TEXT(tblData[[#This Row],[Rental Date]],"mmm")</f>
        <v>May</v>
      </c>
      <c r="D526" t="str">
        <f>TEXT(tblData[[#This Row],[Rental Date]],"mmmm")</f>
        <v>May</v>
      </c>
      <c r="E526" t="s">
        <v>74</v>
      </c>
      <c r="F526" t="str">
        <f>TEXT(WEEKNUM(tblData[[#This Row],[Rental Date]]),"00")</f>
        <v>20</v>
      </c>
      <c r="G526" s="1">
        <f>EOMONTH(tblData[[#This Row],[Rental Date]],0)</f>
        <v>46173</v>
      </c>
      <c r="H526" t="s">
        <v>204</v>
      </c>
      <c r="I526" t="s">
        <v>39</v>
      </c>
      <c r="J526" t="s">
        <v>49</v>
      </c>
      <c r="K526" t="s">
        <v>25</v>
      </c>
      <c r="L526">
        <v>1</v>
      </c>
      <c r="M526" s="2">
        <v>36</v>
      </c>
      <c r="N526" t="s">
        <v>26</v>
      </c>
      <c r="O526" s="3">
        <v>0</v>
      </c>
      <c r="P526" s="3">
        <v>0</v>
      </c>
      <c r="Q526" s="2">
        <v>36</v>
      </c>
      <c r="R526" t="s">
        <v>62</v>
      </c>
      <c r="S526" t="s">
        <v>28</v>
      </c>
      <c r="T526" t="s">
        <v>29</v>
      </c>
      <c r="U526" t="s">
        <v>30</v>
      </c>
    </row>
    <row r="527" spans="1:21" x14ac:dyDescent="0.35">
      <c r="A527" t="s">
        <v>605</v>
      </c>
      <c r="B527" s="1">
        <v>46153</v>
      </c>
      <c r="C527" t="str">
        <f>TEXT(tblData[[#This Row],[Rental Date]],"mmm")</f>
        <v>May</v>
      </c>
      <c r="D527" t="str">
        <f>TEXT(tblData[[#This Row],[Rental Date]],"mmmm")</f>
        <v>May</v>
      </c>
      <c r="E527" t="s">
        <v>74</v>
      </c>
      <c r="F527" t="str">
        <f>TEXT(WEEKNUM(tblData[[#This Row],[Rental Date]]),"00")</f>
        <v>20</v>
      </c>
      <c r="G527" s="1">
        <f>EOMONTH(tblData[[#This Row],[Rental Date]],0)</f>
        <v>46173</v>
      </c>
      <c r="H527" t="s">
        <v>204</v>
      </c>
      <c r="I527" t="s">
        <v>23</v>
      </c>
      <c r="J527" t="s">
        <v>65</v>
      </c>
      <c r="K527" t="s">
        <v>25</v>
      </c>
      <c r="L527">
        <v>1</v>
      </c>
      <c r="M527" s="2">
        <v>18</v>
      </c>
      <c r="N527" t="s">
        <v>89</v>
      </c>
      <c r="O527" s="3">
        <v>6</v>
      </c>
      <c r="P527" s="3">
        <v>0</v>
      </c>
      <c r="Q527" s="2">
        <v>24</v>
      </c>
      <c r="R527" t="s">
        <v>62</v>
      </c>
      <c r="S527" t="s">
        <v>35</v>
      </c>
      <c r="T527" t="s">
        <v>90</v>
      </c>
      <c r="U527" t="s">
        <v>30</v>
      </c>
    </row>
    <row r="528" spans="1:21" x14ac:dyDescent="0.35">
      <c r="A528" t="s">
        <v>606</v>
      </c>
      <c r="B528" s="1">
        <v>46154</v>
      </c>
      <c r="C528" t="str">
        <f>TEXT(tblData[[#This Row],[Rental Date]],"mmm")</f>
        <v>May</v>
      </c>
      <c r="D528" t="str">
        <f>TEXT(tblData[[#This Row],[Rental Date]],"mmmm")</f>
        <v>May</v>
      </c>
      <c r="E528" t="s">
        <v>102</v>
      </c>
      <c r="F528" t="str">
        <f>TEXT(WEEKNUM(tblData[[#This Row],[Rental Date]]),"00")</f>
        <v>20</v>
      </c>
      <c r="G528" s="1">
        <f>EOMONTH(tblData[[#This Row],[Rental Date]],0)</f>
        <v>46173</v>
      </c>
      <c r="H528" t="s">
        <v>204</v>
      </c>
      <c r="I528" t="s">
        <v>39</v>
      </c>
      <c r="J528" t="s">
        <v>127</v>
      </c>
      <c r="K528" t="s">
        <v>25</v>
      </c>
      <c r="L528">
        <v>1</v>
      </c>
      <c r="M528" s="2">
        <v>16</v>
      </c>
      <c r="N528" t="s">
        <v>89</v>
      </c>
      <c r="O528" s="3">
        <v>6</v>
      </c>
      <c r="P528" s="3">
        <v>0</v>
      </c>
      <c r="Q528" s="2">
        <v>22</v>
      </c>
      <c r="R528" t="s">
        <v>27</v>
      </c>
      <c r="S528" t="s">
        <v>54</v>
      </c>
      <c r="T528" t="s">
        <v>29</v>
      </c>
      <c r="U528" t="s">
        <v>30</v>
      </c>
    </row>
    <row r="529" spans="1:21" x14ac:dyDescent="0.35">
      <c r="A529" t="s">
        <v>607</v>
      </c>
      <c r="B529" s="1">
        <v>46154</v>
      </c>
      <c r="C529" t="str">
        <f>TEXT(tblData[[#This Row],[Rental Date]],"mmm")</f>
        <v>May</v>
      </c>
      <c r="D529" t="str">
        <f>TEXT(tblData[[#This Row],[Rental Date]],"mmmm")</f>
        <v>May</v>
      </c>
      <c r="E529" t="s">
        <v>102</v>
      </c>
      <c r="F529" t="str">
        <f>TEXT(WEEKNUM(tblData[[#This Row],[Rental Date]]),"00")</f>
        <v>20</v>
      </c>
      <c r="G529" s="1">
        <f>EOMONTH(tblData[[#This Row],[Rental Date]],0)</f>
        <v>46173</v>
      </c>
      <c r="H529" t="s">
        <v>204</v>
      </c>
      <c r="I529" t="s">
        <v>48</v>
      </c>
      <c r="J529" t="s">
        <v>49</v>
      </c>
      <c r="K529" t="s">
        <v>60</v>
      </c>
      <c r="L529">
        <v>1</v>
      </c>
      <c r="M529" s="2">
        <v>22</v>
      </c>
      <c r="N529" t="s">
        <v>89</v>
      </c>
      <c r="O529" s="3">
        <v>6</v>
      </c>
      <c r="P529" s="3">
        <v>0</v>
      </c>
      <c r="Q529" s="2">
        <v>28</v>
      </c>
      <c r="R529" t="s">
        <v>27</v>
      </c>
      <c r="S529" t="s">
        <v>35</v>
      </c>
      <c r="T529" t="s">
        <v>29</v>
      </c>
      <c r="U529" t="s">
        <v>58</v>
      </c>
    </row>
    <row r="530" spans="1:21" x14ac:dyDescent="0.35">
      <c r="A530" t="s">
        <v>608</v>
      </c>
      <c r="B530" s="1">
        <v>46155</v>
      </c>
      <c r="C530" t="str">
        <f>TEXT(tblData[[#This Row],[Rental Date]],"mmm")</f>
        <v>May</v>
      </c>
      <c r="D530" t="str">
        <f>TEXT(tblData[[#This Row],[Rental Date]],"mmmm")</f>
        <v>May</v>
      </c>
      <c r="E530" t="s">
        <v>109</v>
      </c>
      <c r="F530" t="str">
        <f>TEXT(WEEKNUM(tblData[[#This Row],[Rental Date]]),"00")</f>
        <v>20</v>
      </c>
      <c r="G530" s="1">
        <f>EOMONTH(tblData[[#This Row],[Rental Date]],0)</f>
        <v>46173</v>
      </c>
      <c r="H530" t="s">
        <v>204</v>
      </c>
      <c r="I530" t="s">
        <v>39</v>
      </c>
      <c r="J530" t="s">
        <v>33</v>
      </c>
      <c r="K530" t="s">
        <v>40</v>
      </c>
      <c r="L530">
        <v>1</v>
      </c>
      <c r="M530" s="2">
        <v>58</v>
      </c>
      <c r="N530" t="s">
        <v>26</v>
      </c>
      <c r="O530" s="3">
        <v>0</v>
      </c>
      <c r="P530" s="3">
        <v>0</v>
      </c>
      <c r="Q530" s="2">
        <v>58</v>
      </c>
      <c r="R530" t="s">
        <v>66</v>
      </c>
      <c r="S530" t="s">
        <v>54</v>
      </c>
      <c r="T530" t="s">
        <v>29</v>
      </c>
      <c r="U530" t="s">
        <v>30</v>
      </c>
    </row>
    <row r="531" spans="1:21" x14ac:dyDescent="0.35">
      <c r="A531" t="s">
        <v>609</v>
      </c>
      <c r="B531" s="1">
        <v>46155</v>
      </c>
      <c r="C531" t="str">
        <f>TEXT(tblData[[#This Row],[Rental Date]],"mmm")</f>
        <v>May</v>
      </c>
      <c r="D531" t="str">
        <f>TEXT(tblData[[#This Row],[Rental Date]],"mmmm")</f>
        <v>May</v>
      </c>
      <c r="E531" t="s">
        <v>109</v>
      </c>
      <c r="F531" t="str">
        <f>TEXT(WEEKNUM(tblData[[#This Row],[Rental Date]]),"00")</f>
        <v>20</v>
      </c>
      <c r="G531" s="1">
        <f>EOMONTH(tblData[[#This Row],[Rental Date]],0)</f>
        <v>46173</v>
      </c>
      <c r="H531" t="s">
        <v>204</v>
      </c>
      <c r="I531" t="s">
        <v>48</v>
      </c>
      <c r="J531" t="s">
        <v>111</v>
      </c>
      <c r="K531" t="s">
        <v>60</v>
      </c>
      <c r="L531">
        <v>1</v>
      </c>
      <c r="M531" s="2">
        <v>14</v>
      </c>
      <c r="N531" t="s">
        <v>89</v>
      </c>
      <c r="O531" s="3">
        <v>6</v>
      </c>
      <c r="P531" s="3">
        <v>0</v>
      </c>
      <c r="Q531" s="2">
        <v>20</v>
      </c>
      <c r="R531" t="s">
        <v>27</v>
      </c>
      <c r="S531" t="s">
        <v>54</v>
      </c>
      <c r="T531" t="s">
        <v>29</v>
      </c>
      <c r="U531" t="s">
        <v>36</v>
      </c>
    </row>
    <row r="532" spans="1:21" x14ac:dyDescent="0.35">
      <c r="A532" t="s">
        <v>610</v>
      </c>
      <c r="B532" s="1">
        <v>46155</v>
      </c>
      <c r="C532" t="str">
        <f>TEXT(tblData[[#This Row],[Rental Date]],"mmm")</f>
        <v>May</v>
      </c>
      <c r="D532" t="str">
        <f>TEXT(tblData[[#This Row],[Rental Date]],"mmmm")</f>
        <v>May</v>
      </c>
      <c r="E532" t="s">
        <v>109</v>
      </c>
      <c r="F532" t="str">
        <f>TEXT(WEEKNUM(tblData[[#This Row],[Rental Date]]),"00")</f>
        <v>20</v>
      </c>
      <c r="G532" s="1">
        <f>EOMONTH(tblData[[#This Row],[Rental Date]],0)</f>
        <v>46173</v>
      </c>
      <c r="H532" t="s">
        <v>204</v>
      </c>
      <c r="I532" t="s">
        <v>23</v>
      </c>
      <c r="J532" t="s">
        <v>33</v>
      </c>
      <c r="K532" t="s">
        <v>25</v>
      </c>
      <c r="L532">
        <v>1</v>
      </c>
      <c r="M532" s="2">
        <v>38</v>
      </c>
      <c r="N532" t="s">
        <v>26</v>
      </c>
      <c r="O532" s="3">
        <v>0</v>
      </c>
      <c r="P532" s="3">
        <v>0</v>
      </c>
      <c r="Q532" s="2">
        <v>38</v>
      </c>
      <c r="R532" t="s">
        <v>57</v>
      </c>
      <c r="S532" t="s">
        <v>46</v>
      </c>
      <c r="T532" t="s">
        <v>29</v>
      </c>
      <c r="U532" t="s">
        <v>79</v>
      </c>
    </row>
    <row r="533" spans="1:21" x14ac:dyDescent="0.35">
      <c r="A533" t="s">
        <v>611</v>
      </c>
      <c r="B533" s="1">
        <v>46155</v>
      </c>
      <c r="C533" t="str">
        <f>TEXT(tblData[[#This Row],[Rental Date]],"mmm")</f>
        <v>May</v>
      </c>
      <c r="D533" t="str">
        <f>TEXT(tblData[[#This Row],[Rental Date]],"mmmm")</f>
        <v>May</v>
      </c>
      <c r="E533" t="s">
        <v>109</v>
      </c>
      <c r="F533" t="str">
        <f>TEXT(WEEKNUM(tblData[[#This Row],[Rental Date]]),"00")</f>
        <v>20</v>
      </c>
      <c r="G533" s="1">
        <f>EOMONTH(tblData[[#This Row],[Rental Date]],0)</f>
        <v>46173</v>
      </c>
      <c r="H533" t="s">
        <v>204</v>
      </c>
      <c r="I533" t="s">
        <v>39</v>
      </c>
      <c r="J533" t="s">
        <v>111</v>
      </c>
      <c r="K533" t="s">
        <v>60</v>
      </c>
      <c r="L533">
        <v>1</v>
      </c>
      <c r="M533" s="2">
        <v>14</v>
      </c>
      <c r="N533" t="s">
        <v>26</v>
      </c>
      <c r="O533" s="3">
        <v>0</v>
      </c>
      <c r="P533" s="3">
        <v>0</v>
      </c>
      <c r="Q533" s="2">
        <v>14</v>
      </c>
      <c r="R533" t="s">
        <v>76</v>
      </c>
      <c r="S533" t="s">
        <v>54</v>
      </c>
      <c r="T533" t="s">
        <v>29</v>
      </c>
      <c r="U533" t="s">
        <v>30</v>
      </c>
    </row>
    <row r="534" spans="1:21" x14ac:dyDescent="0.35">
      <c r="A534" t="s">
        <v>612</v>
      </c>
      <c r="B534" s="1">
        <v>46155</v>
      </c>
      <c r="C534" t="str">
        <f>TEXT(tblData[[#This Row],[Rental Date]],"mmm")</f>
        <v>May</v>
      </c>
      <c r="D534" t="str">
        <f>TEXT(tblData[[#This Row],[Rental Date]],"mmmm")</f>
        <v>May</v>
      </c>
      <c r="E534" t="s">
        <v>109</v>
      </c>
      <c r="F534" t="str">
        <f>TEXT(WEEKNUM(tblData[[#This Row],[Rental Date]]),"00")</f>
        <v>20</v>
      </c>
      <c r="G534" s="1">
        <f>EOMONTH(tblData[[#This Row],[Rental Date]],0)</f>
        <v>46173</v>
      </c>
      <c r="H534" t="s">
        <v>204</v>
      </c>
      <c r="I534" t="s">
        <v>39</v>
      </c>
      <c r="J534" t="s">
        <v>33</v>
      </c>
      <c r="K534" t="s">
        <v>60</v>
      </c>
      <c r="L534">
        <v>1</v>
      </c>
      <c r="M534" s="2">
        <v>24</v>
      </c>
      <c r="N534" t="s">
        <v>61</v>
      </c>
      <c r="O534" s="3">
        <v>8</v>
      </c>
      <c r="P534" s="3">
        <v>0</v>
      </c>
      <c r="Q534" s="2">
        <v>32</v>
      </c>
      <c r="R534" t="s">
        <v>66</v>
      </c>
      <c r="S534" t="s">
        <v>54</v>
      </c>
      <c r="T534" t="s">
        <v>51</v>
      </c>
      <c r="U534" t="s">
        <v>58</v>
      </c>
    </row>
    <row r="535" spans="1:21" x14ac:dyDescent="0.35">
      <c r="A535" t="s">
        <v>613</v>
      </c>
      <c r="B535" s="1">
        <v>46155</v>
      </c>
      <c r="C535" t="str">
        <f>TEXT(tblData[[#This Row],[Rental Date]],"mmm")</f>
        <v>May</v>
      </c>
      <c r="D535" t="str">
        <f>TEXT(tblData[[#This Row],[Rental Date]],"mmmm")</f>
        <v>May</v>
      </c>
      <c r="E535" t="s">
        <v>109</v>
      </c>
      <c r="F535" t="str">
        <f>TEXT(WEEKNUM(tblData[[#This Row],[Rental Date]]),"00")</f>
        <v>20</v>
      </c>
      <c r="G535" s="1">
        <f>EOMONTH(tblData[[#This Row],[Rental Date]],0)</f>
        <v>46173</v>
      </c>
      <c r="H535" t="s">
        <v>204</v>
      </c>
      <c r="I535" t="s">
        <v>32</v>
      </c>
      <c r="J535" t="s">
        <v>65</v>
      </c>
      <c r="K535" t="s">
        <v>60</v>
      </c>
      <c r="L535">
        <v>1</v>
      </c>
      <c r="M535" s="2">
        <v>12</v>
      </c>
      <c r="N535" t="s">
        <v>26</v>
      </c>
      <c r="O535" s="3">
        <v>0</v>
      </c>
      <c r="P535" s="3">
        <v>1.2</v>
      </c>
      <c r="Q535" s="2">
        <v>10.8</v>
      </c>
      <c r="R535" t="s">
        <v>27</v>
      </c>
      <c r="S535" t="s">
        <v>28</v>
      </c>
      <c r="T535" t="s">
        <v>29</v>
      </c>
      <c r="U535" t="s">
        <v>79</v>
      </c>
    </row>
    <row r="536" spans="1:21" x14ac:dyDescent="0.35">
      <c r="A536" t="s">
        <v>614</v>
      </c>
      <c r="B536" s="1">
        <v>46156</v>
      </c>
      <c r="C536" t="str">
        <f>TEXT(tblData[[#This Row],[Rental Date]],"mmm")</f>
        <v>May</v>
      </c>
      <c r="D536" t="str">
        <f>TEXT(tblData[[#This Row],[Rental Date]],"mmmm")</f>
        <v>May</v>
      </c>
      <c r="E536" t="s">
        <v>21</v>
      </c>
      <c r="F536" t="str">
        <f>TEXT(WEEKNUM(tblData[[#This Row],[Rental Date]]),"00")</f>
        <v>20</v>
      </c>
      <c r="G536" s="1">
        <f>EOMONTH(tblData[[#This Row],[Rental Date]],0)</f>
        <v>46173</v>
      </c>
      <c r="H536" t="s">
        <v>204</v>
      </c>
      <c r="I536" t="s">
        <v>48</v>
      </c>
      <c r="J536" t="s">
        <v>86</v>
      </c>
      <c r="K536" t="s">
        <v>25</v>
      </c>
      <c r="L536">
        <v>1</v>
      </c>
      <c r="M536" s="2">
        <v>58</v>
      </c>
      <c r="N536" t="s">
        <v>89</v>
      </c>
      <c r="O536" s="3">
        <v>6</v>
      </c>
      <c r="P536" s="3">
        <v>0</v>
      </c>
      <c r="Q536" s="2">
        <v>64</v>
      </c>
      <c r="R536" t="s">
        <v>94</v>
      </c>
      <c r="S536" t="s">
        <v>46</v>
      </c>
      <c r="T536" t="s">
        <v>51</v>
      </c>
      <c r="U536" t="s">
        <v>30</v>
      </c>
    </row>
    <row r="537" spans="1:21" x14ac:dyDescent="0.35">
      <c r="A537" t="s">
        <v>615</v>
      </c>
      <c r="B537" s="1">
        <v>46156</v>
      </c>
      <c r="C537" t="str">
        <f>TEXT(tblData[[#This Row],[Rental Date]],"mmm")</f>
        <v>May</v>
      </c>
      <c r="D537" t="str">
        <f>TEXT(tblData[[#This Row],[Rental Date]],"mmmm")</f>
        <v>May</v>
      </c>
      <c r="E537" t="s">
        <v>21</v>
      </c>
      <c r="F537" t="str">
        <f>TEXT(WEEKNUM(tblData[[#This Row],[Rental Date]]),"00")</f>
        <v>20</v>
      </c>
      <c r="G537" s="1">
        <f>EOMONTH(tblData[[#This Row],[Rental Date]],0)</f>
        <v>46173</v>
      </c>
      <c r="H537" t="s">
        <v>204</v>
      </c>
      <c r="I537" t="s">
        <v>32</v>
      </c>
      <c r="J537" t="s">
        <v>65</v>
      </c>
      <c r="K537" t="s">
        <v>60</v>
      </c>
      <c r="L537">
        <v>1</v>
      </c>
      <c r="M537" s="2">
        <v>12</v>
      </c>
      <c r="N537" t="s">
        <v>26</v>
      </c>
      <c r="O537" s="3">
        <v>0</v>
      </c>
      <c r="P537" s="3">
        <v>1.2</v>
      </c>
      <c r="Q537" s="2">
        <v>10.8</v>
      </c>
      <c r="R537" t="s">
        <v>42</v>
      </c>
      <c r="S537" t="s">
        <v>35</v>
      </c>
      <c r="T537" t="s">
        <v>51</v>
      </c>
      <c r="U537" t="s">
        <v>58</v>
      </c>
    </row>
    <row r="538" spans="1:21" x14ac:dyDescent="0.35">
      <c r="A538" t="s">
        <v>616</v>
      </c>
      <c r="B538" s="1">
        <v>46156</v>
      </c>
      <c r="C538" t="str">
        <f>TEXT(tblData[[#This Row],[Rental Date]],"mmm")</f>
        <v>May</v>
      </c>
      <c r="D538" t="str">
        <f>TEXT(tblData[[#This Row],[Rental Date]],"mmmm")</f>
        <v>May</v>
      </c>
      <c r="E538" t="s">
        <v>21</v>
      </c>
      <c r="F538" t="str">
        <f>TEXT(WEEKNUM(tblData[[#This Row],[Rental Date]]),"00")</f>
        <v>20</v>
      </c>
      <c r="G538" s="1">
        <f>EOMONTH(tblData[[#This Row],[Rental Date]],0)</f>
        <v>46173</v>
      </c>
      <c r="H538" t="s">
        <v>204</v>
      </c>
      <c r="I538" t="s">
        <v>53</v>
      </c>
      <c r="J538" t="s">
        <v>44</v>
      </c>
      <c r="K538" t="s">
        <v>25</v>
      </c>
      <c r="L538">
        <v>1</v>
      </c>
      <c r="M538" s="2">
        <v>52</v>
      </c>
      <c r="N538" t="s">
        <v>89</v>
      </c>
      <c r="O538" s="3">
        <v>6</v>
      </c>
      <c r="P538" s="3">
        <v>8.6999999999999993</v>
      </c>
      <c r="Q538" s="2">
        <v>49.3</v>
      </c>
      <c r="R538" t="s">
        <v>62</v>
      </c>
      <c r="S538" t="s">
        <v>35</v>
      </c>
      <c r="T538" t="s">
        <v>51</v>
      </c>
      <c r="U538" t="s">
        <v>58</v>
      </c>
    </row>
    <row r="539" spans="1:21" x14ac:dyDescent="0.35">
      <c r="A539" t="s">
        <v>617</v>
      </c>
      <c r="B539" s="1">
        <v>46156</v>
      </c>
      <c r="C539" t="str">
        <f>TEXT(tblData[[#This Row],[Rental Date]],"mmm")</f>
        <v>May</v>
      </c>
      <c r="D539" t="str">
        <f>TEXT(tblData[[#This Row],[Rental Date]],"mmmm")</f>
        <v>May</v>
      </c>
      <c r="E539" t="s">
        <v>21</v>
      </c>
      <c r="F539" t="str">
        <f>TEXT(WEEKNUM(tblData[[#This Row],[Rental Date]]),"00")</f>
        <v>20</v>
      </c>
      <c r="G539" s="1">
        <f>EOMONTH(tblData[[#This Row],[Rental Date]],0)</f>
        <v>46173</v>
      </c>
      <c r="H539" t="s">
        <v>204</v>
      </c>
      <c r="I539" t="s">
        <v>48</v>
      </c>
      <c r="J539" t="s">
        <v>78</v>
      </c>
      <c r="K539" t="s">
        <v>60</v>
      </c>
      <c r="L539">
        <v>1</v>
      </c>
      <c r="M539" s="2">
        <v>26</v>
      </c>
      <c r="N539" t="s">
        <v>26</v>
      </c>
      <c r="O539" s="3">
        <v>0</v>
      </c>
      <c r="P539" s="3">
        <v>1.3</v>
      </c>
      <c r="Q539" s="2">
        <v>24.7</v>
      </c>
      <c r="R539" t="s">
        <v>76</v>
      </c>
      <c r="S539" t="s">
        <v>54</v>
      </c>
      <c r="T539" t="s">
        <v>29</v>
      </c>
      <c r="U539" t="s">
        <v>58</v>
      </c>
    </row>
    <row r="540" spans="1:21" x14ac:dyDescent="0.35">
      <c r="A540" t="s">
        <v>618</v>
      </c>
      <c r="B540" s="1">
        <v>46156</v>
      </c>
      <c r="C540" t="str">
        <f>TEXT(tblData[[#This Row],[Rental Date]],"mmm")</f>
        <v>May</v>
      </c>
      <c r="D540" t="str">
        <f>TEXT(tblData[[#This Row],[Rental Date]],"mmmm")</f>
        <v>May</v>
      </c>
      <c r="E540" t="s">
        <v>21</v>
      </c>
      <c r="F540" t="str">
        <f>TEXT(WEEKNUM(tblData[[#This Row],[Rental Date]]),"00")</f>
        <v>20</v>
      </c>
      <c r="G540" s="1">
        <f>EOMONTH(tblData[[#This Row],[Rental Date]],0)</f>
        <v>46173</v>
      </c>
      <c r="H540" t="s">
        <v>204</v>
      </c>
      <c r="I540" t="s">
        <v>48</v>
      </c>
      <c r="J540" t="s">
        <v>86</v>
      </c>
      <c r="K540" t="s">
        <v>25</v>
      </c>
      <c r="L540">
        <v>1</v>
      </c>
      <c r="M540" s="2">
        <v>58</v>
      </c>
      <c r="N540" t="s">
        <v>26</v>
      </c>
      <c r="O540" s="3">
        <v>0</v>
      </c>
      <c r="P540" s="3">
        <v>0</v>
      </c>
      <c r="Q540" s="2">
        <v>58</v>
      </c>
      <c r="R540" t="s">
        <v>45</v>
      </c>
      <c r="S540" t="s">
        <v>54</v>
      </c>
      <c r="T540" t="s">
        <v>51</v>
      </c>
      <c r="U540" t="s">
        <v>30</v>
      </c>
    </row>
    <row r="541" spans="1:21" x14ac:dyDescent="0.35">
      <c r="A541" t="s">
        <v>619</v>
      </c>
      <c r="B541" s="1">
        <v>46157</v>
      </c>
      <c r="C541" t="str">
        <f>TEXT(tblData[[#This Row],[Rental Date]],"mmm")</f>
        <v>May</v>
      </c>
      <c r="D541" t="str">
        <f>TEXT(tblData[[#This Row],[Rental Date]],"mmmm")</f>
        <v>May</v>
      </c>
      <c r="E541" t="s">
        <v>38</v>
      </c>
      <c r="F541" t="str">
        <f>TEXT(WEEKNUM(tblData[[#This Row],[Rental Date]]),"00")</f>
        <v>20</v>
      </c>
      <c r="G541" s="1">
        <f>EOMONTH(tblData[[#This Row],[Rental Date]],0)</f>
        <v>46173</v>
      </c>
      <c r="H541" t="s">
        <v>204</v>
      </c>
      <c r="I541" t="s">
        <v>53</v>
      </c>
      <c r="J541" t="s">
        <v>49</v>
      </c>
      <c r="K541" t="s">
        <v>60</v>
      </c>
      <c r="L541">
        <v>1</v>
      </c>
      <c r="M541" s="2">
        <v>22</v>
      </c>
      <c r="N541" t="s">
        <v>26</v>
      </c>
      <c r="O541" s="3">
        <v>0</v>
      </c>
      <c r="P541" s="3">
        <v>3.3</v>
      </c>
      <c r="Q541" s="2">
        <v>18.7</v>
      </c>
      <c r="R541" t="s">
        <v>27</v>
      </c>
      <c r="S541" t="s">
        <v>46</v>
      </c>
      <c r="T541" t="s">
        <v>90</v>
      </c>
      <c r="U541" t="s">
        <v>58</v>
      </c>
    </row>
    <row r="542" spans="1:21" x14ac:dyDescent="0.35">
      <c r="A542" t="s">
        <v>620</v>
      </c>
      <c r="B542" s="1">
        <v>46157</v>
      </c>
      <c r="C542" t="str">
        <f>TEXT(tblData[[#This Row],[Rental Date]],"mmm")</f>
        <v>May</v>
      </c>
      <c r="D542" t="str">
        <f>TEXT(tblData[[#This Row],[Rental Date]],"mmmm")</f>
        <v>May</v>
      </c>
      <c r="E542" t="s">
        <v>38</v>
      </c>
      <c r="F542" t="str">
        <f>TEXT(WEEKNUM(tblData[[#This Row],[Rental Date]]),"00")</f>
        <v>20</v>
      </c>
      <c r="G542" s="1">
        <f>EOMONTH(tblData[[#This Row],[Rental Date]],0)</f>
        <v>46173</v>
      </c>
      <c r="H542" t="s">
        <v>204</v>
      </c>
      <c r="I542" t="s">
        <v>23</v>
      </c>
      <c r="J542" t="s">
        <v>33</v>
      </c>
      <c r="K542" t="s">
        <v>60</v>
      </c>
      <c r="L542">
        <v>1</v>
      </c>
      <c r="M542" s="2">
        <v>24</v>
      </c>
      <c r="N542" t="s">
        <v>26</v>
      </c>
      <c r="O542" s="3">
        <v>0</v>
      </c>
      <c r="P542" s="3">
        <v>0</v>
      </c>
      <c r="Q542" s="2">
        <v>24</v>
      </c>
      <c r="R542" t="s">
        <v>62</v>
      </c>
      <c r="S542" t="s">
        <v>28</v>
      </c>
      <c r="T542" t="s">
        <v>29</v>
      </c>
      <c r="U542" t="s">
        <v>30</v>
      </c>
    </row>
    <row r="543" spans="1:21" x14ac:dyDescent="0.35">
      <c r="A543" t="s">
        <v>621</v>
      </c>
      <c r="B543" s="1">
        <v>46157</v>
      </c>
      <c r="C543" t="str">
        <f>TEXT(tblData[[#This Row],[Rental Date]],"mmm")</f>
        <v>May</v>
      </c>
      <c r="D543" t="str">
        <f>TEXT(tblData[[#This Row],[Rental Date]],"mmmm")</f>
        <v>May</v>
      </c>
      <c r="E543" t="s">
        <v>38</v>
      </c>
      <c r="F543" t="str">
        <f>TEXT(WEEKNUM(tblData[[#This Row],[Rental Date]]),"00")</f>
        <v>20</v>
      </c>
      <c r="G543" s="1">
        <f>EOMONTH(tblData[[#This Row],[Rental Date]],0)</f>
        <v>46173</v>
      </c>
      <c r="H543" t="s">
        <v>204</v>
      </c>
      <c r="I543" t="s">
        <v>39</v>
      </c>
      <c r="J543" t="s">
        <v>44</v>
      </c>
      <c r="K543" t="s">
        <v>60</v>
      </c>
      <c r="L543">
        <v>1</v>
      </c>
      <c r="M543" s="2">
        <v>34</v>
      </c>
      <c r="N543" t="s">
        <v>26</v>
      </c>
      <c r="O543" s="3">
        <v>0</v>
      </c>
      <c r="P543" s="3">
        <v>0</v>
      </c>
      <c r="Q543" s="2">
        <v>34</v>
      </c>
      <c r="R543" t="s">
        <v>27</v>
      </c>
      <c r="S543" t="s">
        <v>50</v>
      </c>
      <c r="T543" t="s">
        <v>51</v>
      </c>
      <c r="U543" t="s">
        <v>58</v>
      </c>
    </row>
    <row r="544" spans="1:21" x14ac:dyDescent="0.35">
      <c r="A544" t="s">
        <v>622</v>
      </c>
      <c r="B544" s="1">
        <v>46157</v>
      </c>
      <c r="C544" t="str">
        <f>TEXT(tblData[[#This Row],[Rental Date]],"mmm")</f>
        <v>May</v>
      </c>
      <c r="D544" t="str">
        <f>TEXT(tblData[[#This Row],[Rental Date]],"mmmm")</f>
        <v>May</v>
      </c>
      <c r="E544" t="s">
        <v>38</v>
      </c>
      <c r="F544" t="str">
        <f>TEXT(WEEKNUM(tblData[[#This Row],[Rental Date]]),"00")</f>
        <v>20</v>
      </c>
      <c r="G544" s="1">
        <f>EOMONTH(tblData[[#This Row],[Rental Date]],0)</f>
        <v>46173</v>
      </c>
      <c r="H544" t="s">
        <v>204</v>
      </c>
      <c r="I544" t="s">
        <v>48</v>
      </c>
      <c r="J544" t="s">
        <v>24</v>
      </c>
      <c r="K544" t="s">
        <v>25</v>
      </c>
      <c r="L544">
        <v>1</v>
      </c>
      <c r="M544" s="2">
        <v>50</v>
      </c>
      <c r="N544" t="s">
        <v>26</v>
      </c>
      <c r="O544" s="3">
        <v>0</v>
      </c>
      <c r="P544" s="3">
        <v>2.5</v>
      </c>
      <c r="Q544" s="2">
        <v>47.5</v>
      </c>
      <c r="R544" t="s">
        <v>71</v>
      </c>
      <c r="S544" t="s">
        <v>46</v>
      </c>
      <c r="T544" t="s">
        <v>90</v>
      </c>
      <c r="U544" t="s">
        <v>30</v>
      </c>
    </row>
    <row r="545" spans="1:21" x14ac:dyDescent="0.35">
      <c r="A545" t="s">
        <v>623</v>
      </c>
      <c r="B545" s="1">
        <v>46158</v>
      </c>
      <c r="C545" t="str">
        <f>TEXT(tblData[[#This Row],[Rental Date]],"mmm")</f>
        <v>May</v>
      </c>
      <c r="D545" t="str">
        <f>TEXT(tblData[[#This Row],[Rental Date]],"mmmm")</f>
        <v>May</v>
      </c>
      <c r="E545" t="s">
        <v>56</v>
      </c>
      <c r="F545" t="str">
        <f>TEXT(WEEKNUM(tblData[[#This Row],[Rental Date]]),"00")</f>
        <v>20</v>
      </c>
      <c r="G545" s="1">
        <f>EOMONTH(tblData[[#This Row],[Rental Date]],0)</f>
        <v>46173</v>
      </c>
      <c r="H545" t="s">
        <v>204</v>
      </c>
      <c r="I545" t="s">
        <v>39</v>
      </c>
      <c r="J545" t="s">
        <v>44</v>
      </c>
      <c r="K545" t="s">
        <v>60</v>
      </c>
      <c r="L545">
        <v>1</v>
      </c>
      <c r="M545" s="2">
        <v>36.72</v>
      </c>
      <c r="N545" t="s">
        <v>70</v>
      </c>
      <c r="O545" s="3">
        <v>7</v>
      </c>
      <c r="P545" s="3">
        <v>0</v>
      </c>
      <c r="Q545" s="2">
        <v>43.72</v>
      </c>
      <c r="R545" t="s">
        <v>57</v>
      </c>
      <c r="S545" t="s">
        <v>35</v>
      </c>
      <c r="T545" t="s">
        <v>29</v>
      </c>
      <c r="U545" t="s">
        <v>79</v>
      </c>
    </row>
    <row r="546" spans="1:21" x14ac:dyDescent="0.35">
      <c r="A546" t="s">
        <v>624</v>
      </c>
      <c r="B546" s="1">
        <v>46158</v>
      </c>
      <c r="C546" t="str">
        <f>TEXT(tblData[[#This Row],[Rental Date]],"mmm")</f>
        <v>May</v>
      </c>
      <c r="D546" t="str">
        <f>TEXT(tblData[[#This Row],[Rental Date]],"mmmm")</f>
        <v>May</v>
      </c>
      <c r="E546" t="s">
        <v>56</v>
      </c>
      <c r="F546" t="str">
        <f>TEXT(WEEKNUM(tblData[[#This Row],[Rental Date]]),"00")</f>
        <v>20</v>
      </c>
      <c r="G546" s="1">
        <f>EOMONTH(tblData[[#This Row],[Rental Date]],0)</f>
        <v>46173</v>
      </c>
      <c r="H546" t="s">
        <v>204</v>
      </c>
      <c r="I546" t="s">
        <v>48</v>
      </c>
      <c r="J546" t="s">
        <v>138</v>
      </c>
      <c r="K546" t="s">
        <v>40</v>
      </c>
      <c r="L546">
        <v>1</v>
      </c>
      <c r="M546" s="2">
        <v>77.760000000000005</v>
      </c>
      <c r="N546" t="s">
        <v>26</v>
      </c>
      <c r="O546" s="3">
        <v>0</v>
      </c>
      <c r="P546" s="3">
        <v>0</v>
      </c>
      <c r="Q546" s="2">
        <v>77.760000000000005</v>
      </c>
      <c r="R546" t="s">
        <v>62</v>
      </c>
      <c r="S546" t="s">
        <v>28</v>
      </c>
      <c r="T546" t="s">
        <v>29</v>
      </c>
      <c r="U546" t="s">
        <v>58</v>
      </c>
    </row>
    <row r="547" spans="1:21" x14ac:dyDescent="0.35">
      <c r="A547" t="s">
        <v>625</v>
      </c>
      <c r="B547" s="1">
        <v>46158</v>
      </c>
      <c r="C547" t="str">
        <f>TEXT(tblData[[#This Row],[Rental Date]],"mmm")</f>
        <v>May</v>
      </c>
      <c r="D547" t="str">
        <f>TEXT(tblData[[#This Row],[Rental Date]],"mmmm")</f>
        <v>May</v>
      </c>
      <c r="E547" t="s">
        <v>56</v>
      </c>
      <c r="F547" t="str">
        <f>TEXT(WEEKNUM(tblData[[#This Row],[Rental Date]]),"00")</f>
        <v>20</v>
      </c>
      <c r="G547" s="1">
        <f>EOMONTH(tblData[[#This Row],[Rental Date]],0)</f>
        <v>46173</v>
      </c>
      <c r="H547" t="s">
        <v>204</v>
      </c>
      <c r="I547" t="s">
        <v>39</v>
      </c>
      <c r="J547" t="s">
        <v>111</v>
      </c>
      <c r="K547" t="s">
        <v>92</v>
      </c>
      <c r="L547">
        <v>1</v>
      </c>
      <c r="M547" s="2">
        <v>51.84</v>
      </c>
      <c r="N547" t="s">
        <v>26</v>
      </c>
      <c r="O547" s="3">
        <v>0</v>
      </c>
      <c r="P547" s="3">
        <v>0</v>
      </c>
      <c r="Q547" s="2">
        <v>51.84</v>
      </c>
      <c r="R547" t="s">
        <v>62</v>
      </c>
      <c r="S547" t="s">
        <v>28</v>
      </c>
      <c r="T547" t="s">
        <v>29</v>
      </c>
      <c r="U547" t="s">
        <v>30</v>
      </c>
    </row>
    <row r="548" spans="1:21" x14ac:dyDescent="0.35">
      <c r="A548" t="s">
        <v>626</v>
      </c>
      <c r="B548" s="1">
        <v>46158</v>
      </c>
      <c r="C548" t="str">
        <f>TEXT(tblData[[#This Row],[Rental Date]],"mmm")</f>
        <v>May</v>
      </c>
      <c r="D548" t="str">
        <f>TEXT(tblData[[#This Row],[Rental Date]],"mmmm")</f>
        <v>May</v>
      </c>
      <c r="E548" t="s">
        <v>56</v>
      </c>
      <c r="F548" t="str">
        <f>TEXT(WEEKNUM(tblData[[#This Row],[Rental Date]]),"00")</f>
        <v>20</v>
      </c>
      <c r="G548" s="1">
        <f>EOMONTH(tblData[[#This Row],[Rental Date]],0)</f>
        <v>46173</v>
      </c>
      <c r="H548" t="s">
        <v>204</v>
      </c>
      <c r="I548" t="s">
        <v>39</v>
      </c>
      <c r="J548" t="s">
        <v>78</v>
      </c>
      <c r="K548" t="s">
        <v>25</v>
      </c>
      <c r="L548">
        <v>1</v>
      </c>
      <c r="M548" s="2">
        <v>45.36</v>
      </c>
      <c r="N548" t="s">
        <v>26</v>
      </c>
      <c r="O548" s="3">
        <v>0</v>
      </c>
      <c r="P548" s="3">
        <v>0</v>
      </c>
      <c r="Q548" s="2">
        <v>45.36</v>
      </c>
      <c r="R548" t="s">
        <v>76</v>
      </c>
      <c r="S548" t="s">
        <v>28</v>
      </c>
      <c r="T548" t="s">
        <v>29</v>
      </c>
      <c r="U548" t="s">
        <v>79</v>
      </c>
    </row>
    <row r="549" spans="1:21" x14ac:dyDescent="0.35">
      <c r="A549" t="s">
        <v>627</v>
      </c>
      <c r="B549" s="1">
        <v>46158</v>
      </c>
      <c r="C549" t="str">
        <f>TEXT(tblData[[#This Row],[Rental Date]],"mmm")</f>
        <v>May</v>
      </c>
      <c r="D549" t="str">
        <f>TEXT(tblData[[#This Row],[Rental Date]],"mmmm")</f>
        <v>May</v>
      </c>
      <c r="E549" t="s">
        <v>56</v>
      </c>
      <c r="F549" t="str">
        <f>TEXT(WEEKNUM(tblData[[#This Row],[Rental Date]]),"00")</f>
        <v>20</v>
      </c>
      <c r="G549" s="1">
        <f>EOMONTH(tblData[[#This Row],[Rental Date]],0)</f>
        <v>46173</v>
      </c>
      <c r="H549" t="s">
        <v>204</v>
      </c>
      <c r="I549" t="s">
        <v>39</v>
      </c>
      <c r="J549" t="s">
        <v>78</v>
      </c>
      <c r="K549" t="s">
        <v>40</v>
      </c>
      <c r="L549">
        <v>1</v>
      </c>
      <c r="M549" s="2">
        <v>66.959999999999994</v>
      </c>
      <c r="N549" t="s">
        <v>70</v>
      </c>
      <c r="O549" s="3">
        <v>7</v>
      </c>
      <c r="P549" s="3">
        <v>0</v>
      </c>
      <c r="Q549" s="2">
        <v>73.959999999999994</v>
      </c>
      <c r="R549" t="s">
        <v>71</v>
      </c>
      <c r="S549" t="s">
        <v>50</v>
      </c>
      <c r="T549" t="s">
        <v>29</v>
      </c>
      <c r="U549" t="s">
        <v>36</v>
      </c>
    </row>
    <row r="550" spans="1:21" x14ac:dyDescent="0.35">
      <c r="A550" t="s">
        <v>628</v>
      </c>
      <c r="B550" s="1">
        <v>46158</v>
      </c>
      <c r="C550" t="str">
        <f>TEXT(tblData[[#This Row],[Rental Date]],"mmm")</f>
        <v>May</v>
      </c>
      <c r="D550" t="str">
        <f>TEXT(tblData[[#This Row],[Rental Date]],"mmmm")</f>
        <v>May</v>
      </c>
      <c r="E550" t="s">
        <v>56</v>
      </c>
      <c r="F550" t="str">
        <f>TEXT(WEEKNUM(tblData[[#This Row],[Rental Date]]),"00")</f>
        <v>20</v>
      </c>
      <c r="G550" s="1">
        <f>EOMONTH(tblData[[#This Row],[Rental Date]],0)</f>
        <v>46173</v>
      </c>
      <c r="H550" t="s">
        <v>204</v>
      </c>
      <c r="I550" t="s">
        <v>23</v>
      </c>
      <c r="J550" t="s">
        <v>49</v>
      </c>
      <c r="K550" t="s">
        <v>92</v>
      </c>
      <c r="L550">
        <v>1</v>
      </c>
      <c r="M550" s="2">
        <v>82.08</v>
      </c>
      <c r="N550" t="s">
        <v>41</v>
      </c>
      <c r="O550" s="3">
        <v>5</v>
      </c>
      <c r="P550" s="3">
        <v>0</v>
      </c>
      <c r="Q550" s="2">
        <v>87.08</v>
      </c>
      <c r="R550" t="s">
        <v>76</v>
      </c>
      <c r="S550" t="s">
        <v>28</v>
      </c>
      <c r="T550" t="s">
        <v>29</v>
      </c>
      <c r="U550" t="s">
        <v>58</v>
      </c>
    </row>
    <row r="551" spans="1:21" x14ac:dyDescent="0.35">
      <c r="A551" t="s">
        <v>629</v>
      </c>
      <c r="B551" s="1">
        <v>46158</v>
      </c>
      <c r="C551" t="str">
        <f>TEXT(tblData[[#This Row],[Rental Date]],"mmm")</f>
        <v>May</v>
      </c>
      <c r="D551" t="str">
        <f>TEXT(tblData[[#This Row],[Rental Date]],"mmmm")</f>
        <v>May</v>
      </c>
      <c r="E551" t="s">
        <v>56</v>
      </c>
      <c r="F551" t="str">
        <f>TEXT(WEEKNUM(tblData[[#This Row],[Rental Date]]),"00")</f>
        <v>20</v>
      </c>
      <c r="G551" s="1">
        <f>EOMONTH(tblData[[#This Row],[Rental Date]],0)</f>
        <v>46173</v>
      </c>
      <c r="H551" t="s">
        <v>204</v>
      </c>
      <c r="I551" t="s">
        <v>23</v>
      </c>
      <c r="J551" t="s">
        <v>65</v>
      </c>
      <c r="K551" t="s">
        <v>92</v>
      </c>
      <c r="L551">
        <v>1</v>
      </c>
      <c r="M551" s="2">
        <v>43.2</v>
      </c>
      <c r="N551" t="s">
        <v>26</v>
      </c>
      <c r="O551" s="3">
        <v>0</v>
      </c>
      <c r="P551" s="3">
        <v>2.16</v>
      </c>
      <c r="Q551" s="2">
        <v>41.04</v>
      </c>
      <c r="R551" t="s">
        <v>66</v>
      </c>
      <c r="S551" t="s">
        <v>54</v>
      </c>
      <c r="T551" t="s">
        <v>29</v>
      </c>
      <c r="U551" t="s">
        <v>58</v>
      </c>
    </row>
    <row r="552" spans="1:21" x14ac:dyDescent="0.35">
      <c r="A552" t="s">
        <v>630</v>
      </c>
      <c r="B552" s="1">
        <v>46158</v>
      </c>
      <c r="C552" t="str">
        <f>TEXT(tblData[[#This Row],[Rental Date]],"mmm")</f>
        <v>May</v>
      </c>
      <c r="D552" t="str">
        <f>TEXT(tblData[[#This Row],[Rental Date]],"mmmm")</f>
        <v>May</v>
      </c>
      <c r="E552" t="s">
        <v>56</v>
      </c>
      <c r="F552" t="str">
        <f>TEXT(WEEKNUM(tblData[[#This Row],[Rental Date]]),"00")</f>
        <v>20</v>
      </c>
      <c r="G552" s="1">
        <f>EOMONTH(tblData[[#This Row],[Rental Date]],0)</f>
        <v>46173</v>
      </c>
      <c r="H552" t="s">
        <v>204</v>
      </c>
      <c r="I552" t="s">
        <v>53</v>
      </c>
      <c r="J552" t="s">
        <v>44</v>
      </c>
      <c r="K552" t="s">
        <v>25</v>
      </c>
      <c r="L552">
        <v>1</v>
      </c>
      <c r="M552" s="2">
        <v>56.16</v>
      </c>
      <c r="N552" t="s">
        <v>26</v>
      </c>
      <c r="O552" s="3">
        <v>0</v>
      </c>
      <c r="P552" s="3">
        <v>5.62</v>
      </c>
      <c r="Q552" s="2">
        <v>50.54</v>
      </c>
      <c r="R552" t="s">
        <v>45</v>
      </c>
      <c r="S552" t="s">
        <v>54</v>
      </c>
      <c r="T552" t="s">
        <v>63</v>
      </c>
      <c r="U552" t="s">
        <v>58</v>
      </c>
    </row>
    <row r="553" spans="1:21" x14ac:dyDescent="0.35">
      <c r="A553" t="s">
        <v>631</v>
      </c>
      <c r="B553" s="1">
        <v>46158</v>
      </c>
      <c r="C553" t="str">
        <f>TEXT(tblData[[#This Row],[Rental Date]],"mmm")</f>
        <v>May</v>
      </c>
      <c r="D553" t="str">
        <f>TEXT(tblData[[#This Row],[Rental Date]],"mmmm")</f>
        <v>May</v>
      </c>
      <c r="E553" t="s">
        <v>56</v>
      </c>
      <c r="F553" t="str">
        <f>TEXT(WEEKNUM(tblData[[#This Row],[Rental Date]]),"00")</f>
        <v>20</v>
      </c>
      <c r="G553" s="1">
        <f>EOMONTH(tblData[[#This Row],[Rental Date]],0)</f>
        <v>46173</v>
      </c>
      <c r="H553" t="s">
        <v>204</v>
      </c>
      <c r="I553" t="s">
        <v>48</v>
      </c>
      <c r="J553" t="s">
        <v>33</v>
      </c>
      <c r="K553" t="s">
        <v>25</v>
      </c>
      <c r="L553">
        <v>1</v>
      </c>
      <c r="M553" s="2">
        <v>41.04</v>
      </c>
      <c r="N553" t="s">
        <v>26</v>
      </c>
      <c r="O553" s="3">
        <v>0</v>
      </c>
      <c r="P553" s="3">
        <v>0</v>
      </c>
      <c r="Q553" s="2">
        <v>41.04</v>
      </c>
      <c r="R553" t="s">
        <v>62</v>
      </c>
      <c r="S553" t="s">
        <v>50</v>
      </c>
      <c r="T553" t="s">
        <v>83</v>
      </c>
      <c r="U553" t="s">
        <v>30</v>
      </c>
    </row>
    <row r="554" spans="1:21" x14ac:dyDescent="0.35">
      <c r="A554" t="s">
        <v>632</v>
      </c>
      <c r="B554" s="1">
        <v>46158</v>
      </c>
      <c r="C554" t="str">
        <f>TEXT(tblData[[#This Row],[Rental Date]],"mmm")</f>
        <v>May</v>
      </c>
      <c r="D554" t="str">
        <f>TEXT(tblData[[#This Row],[Rental Date]],"mmmm")</f>
        <v>May</v>
      </c>
      <c r="E554" t="s">
        <v>56</v>
      </c>
      <c r="F554" t="str">
        <f>TEXT(WEEKNUM(tblData[[#This Row],[Rental Date]]),"00")</f>
        <v>20</v>
      </c>
      <c r="G554" s="1">
        <f>EOMONTH(tblData[[#This Row],[Rental Date]],0)</f>
        <v>46173</v>
      </c>
      <c r="H554" t="s">
        <v>204</v>
      </c>
      <c r="I554" t="s">
        <v>48</v>
      </c>
      <c r="J554" t="s">
        <v>24</v>
      </c>
      <c r="K554" t="s">
        <v>60</v>
      </c>
      <c r="L554">
        <v>1</v>
      </c>
      <c r="M554" s="2">
        <v>34.56</v>
      </c>
      <c r="N554" t="s">
        <v>61</v>
      </c>
      <c r="O554" s="3">
        <v>8</v>
      </c>
      <c r="P554" s="3">
        <v>2.13</v>
      </c>
      <c r="Q554" s="2">
        <v>40.43</v>
      </c>
      <c r="R554" t="s">
        <v>71</v>
      </c>
      <c r="S554" t="s">
        <v>54</v>
      </c>
      <c r="T554" t="s">
        <v>51</v>
      </c>
      <c r="U554" t="s">
        <v>30</v>
      </c>
    </row>
    <row r="555" spans="1:21" x14ac:dyDescent="0.35">
      <c r="A555" t="s">
        <v>633</v>
      </c>
      <c r="B555" s="1">
        <v>46158</v>
      </c>
      <c r="C555" t="str">
        <f>TEXT(tblData[[#This Row],[Rental Date]],"mmm")</f>
        <v>May</v>
      </c>
      <c r="D555" t="str">
        <f>TEXT(tblData[[#This Row],[Rental Date]],"mmmm")</f>
        <v>May</v>
      </c>
      <c r="E555" t="s">
        <v>56</v>
      </c>
      <c r="F555" t="str">
        <f>TEXT(WEEKNUM(tblData[[#This Row],[Rental Date]]),"00")</f>
        <v>20</v>
      </c>
      <c r="G555" s="1">
        <f>EOMONTH(tblData[[#This Row],[Rental Date]],0)</f>
        <v>46173</v>
      </c>
      <c r="H555" t="s">
        <v>204</v>
      </c>
      <c r="I555" t="s">
        <v>48</v>
      </c>
      <c r="J555" t="s">
        <v>33</v>
      </c>
      <c r="K555" t="s">
        <v>40</v>
      </c>
      <c r="L555">
        <v>1</v>
      </c>
      <c r="M555" s="2">
        <v>62.64</v>
      </c>
      <c r="N555" t="s">
        <v>26</v>
      </c>
      <c r="O555" s="3">
        <v>0</v>
      </c>
      <c r="P555" s="3">
        <v>0</v>
      </c>
      <c r="Q555" s="2">
        <v>62.64</v>
      </c>
      <c r="R555" t="s">
        <v>66</v>
      </c>
      <c r="S555" t="s">
        <v>46</v>
      </c>
      <c r="T555" t="s">
        <v>63</v>
      </c>
      <c r="U555" t="s">
        <v>58</v>
      </c>
    </row>
    <row r="556" spans="1:21" x14ac:dyDescent="0.35">
      <c r="A556" t="s">
        <v>634</v>
      </c>
      <c r="B556" s="1">
        <v>46159</v>
      </c>
      <c r="C556" t="str">
        <f>TEXT(tblData[[#This Row],[Rental Date]],"mmm")</f>
        <v>May</v>
      </c>
      <c r="D556" t="str">
        <f>TEXT(tblData[[#This Row],[Rental Date]],"mmmm")</f>
        <v>May</v>
      </c>
      <c r="E556" t="s">
        <v>68</v>
      </c>
      <c r="F556" t="str">
        <f>TEXT(WEEKNUM(tblData[[#This Row],[Rental Date]]),"00")</f>
        <v>21</v>
      </c>
      <c r="G556" s="1">
        <f>EOMONTH(tblData[[#This Row],[Rental Date]],0)</f>
        <v>46173</v>
      </c>
      <c r="H556" t="s">
        <v>204</v>
      </c>
      <c r="I556" t="s">
        <v>39</v>
      </c>
      <c r="J556" t="s">
        <v>44</v>
      </c>
      <c r="K556" t="s">
        <v>40</v>
      </c>
      <c r="L556">
        <v>1</v>
      </c>
      <c r="M556" s="2">
        <v>84.24</v>
      </c>
      <c r="N556" t="s">
        <v>26</v>
      </c>
      <c r="O556" s="3">
        <v>0</v>
      </c>
      <c r="P556" s="3">
        <v>0</v>
      </c>
      <c r="Q556" s="2">
        <v>84.24</v>
      </c>
      <c r="R556" t="s">
        <v>62</v>
      </c>
      <c r="S556" t="s">
        <v>54</v>
      </c>
      <c r="T556" t="s">
        <v>29</v>
      </c>
      <c r="U556" t="s">
        <v>30</v>
      </c>
    </row>
    <row r="557" spans="1:21" x14ac:dyDescent="0.35">
      <c r="A557" t="s">
        <v>635</v>
      </c>
      <c r="B557" s="1">
        <v>46159</v>
      </c>
      <c r="C557" t="str">
        <f>TEXT(tblData[[#This Row],[Rental Date]],"mmm")</f>
        <v>May</v>
      </c>
      <c r="D557" t="str">
        <f>TEXT(tblData[[#This Row],[Rental Date]],"mmmm")</f>
        <v>May</v>
      </c>
      <c r="E557" t="s">
        <v>68</v>
      </c>
      <c r="F557" t="str">
        <f>TEXT(WEEKNUM(tblData[[#This Row],[Rental Date]]),"00")</f>
        <v>21</v>
      </c>
      <c r="G557" s="1">
        <f>EOMONTH(tblData[[#This Row],[Rental Date]],0)</f>
        <v>46173</v>
      </c>
      <c r="H557" t="s">
        <v>204</v>
      </c>
      <c r="I557" t="s">
        <v>48</v>
      </c>
      <c r="J557" t="s">
        <v>111</v>
      </c>
      <c r="K557" t="s">
        <v>60</v>
      </c>
      <c r="L557">
        <v>1</v>
      </c>
      <c r="M557" s="2">
        <v>15.12</v>
      </c>
      <c r="N557" t="s">
        <v>26</v>
      </c>
      <c r="O557" s="3">
        <v>0</v>
      </c>
      <c r="P557" s="3">
        <v>0</v>
      </c>
      <c r="Q557" s="2">
        <v>15.12</v>
      </c>
      <c r="R557" t="s">
        <v>27</v>
      </c>
      <c r="S557" t="s">
        <v>46</v>
      </c>
      <c r="T557" t="s">
        <v>29</v>
      </c>
      <c r="U557" t="s">
        <v>30</v>
      </c>
    </row>
    <row r="558" spans="1:21" x14ac:dyDescent="0.35">
      <c r="A558" t="s">
        <v>636</v>
      </c>
      <c r="B558" s="1">
        <v>46159</v>
      </c>
      <c r="C558" t="str">
        <f>TEXT(tblData[[#This Row],[Rental Date]],"mmm")</f>
        <v>May</v>
      </c>
      <c r="D558" t="str">
        <f>TEXT(tblData[[#This Row],[Rental Date]],"mmmm")</f>
        <v>May</v>
      </c>
      <c r="E558" t="s">
        <v>68</v>
      </c>
      <c r="F558" t="str">
        <f>TEXT(WEEKNUM(tblData[[#This Row],[Rental Date]]),"00")</f>
        <v>21</v>
      </c>
      <c r="G558" s="1">
        <f>EOMONTH(tblData[[#This Row],[Rental Date]],0)</f>
        <v>46173</v>
      </c>
      <c r="H558" t="s">
        <v>204</v>
      </c>
      <c r="I558" t="s">
        <v>23</v>
      </c>
      <c r="J558" t="s">
        <v>65</v>
      </c>
      <c r="K558" t="s">
        <v>60</v>
      </c>
      <c r="L558">
        <v>1</v>
      </c>
      <c r="M558" s="2">
        <v>12.96</v>
      </c>
      <c r="N558" t="s">
        <v>26</v>
      </c>
      <c r="O558" s="3">
        <v>0</v>
      </c>
      <c r="P558" s="3">
        <v>0</v>
      </c>
      <c r="Q558" s="2">
        <v>12.96</v>
      </c>
      <c r="R558" t="s">
        <v>45</v>
      </c>
      <c r="S558" t="s">
        <v>28</v>
      </c>
      <c r="T558" t="s">
        <v>51</v>
      </c>
      <c r="U558" t="s">
        <v>36</v>
      </c>
    </row>
    <row r="559" spans="1:21" x14ac:dyDescent="0.35">
      <c r="A559" t="s">
        <v>637</v>
      </c>
      <c r="B559" s="1">
        <v>46159</v>
      </c>
      <c r="C559" t="str">
        <f>TEXT(tblData[[#This Row],[Rental Date]],"mmm")</f>
        <v>May</v>
      </c>
      <c r="D559" t="str">
        <f>TEXT(tblData[[#This Row],[Rental Date]],"mmmm")</f>
        <v>May</v>
      </c>
      <c r="E559" t="s">
        <v>68</v>
      </c>
      <c r="F559" t="str">
        <f>TEXT(WEEKNUM(tblData[[#This Row],[Rental Date]]),"00")</f>
        <v>21</v>
      </c>
      <c r="G559" s="1">
        <f>EOMONTH(tblData[[#This Row],[Rental Date]],0)</f>
        <v>46173</v>
      </c>
      <c r="H559" t="s">
        <v>204</v>
      </c>
      <c r="I559" t="s">
        <v>39</v>
      </c>
      <c r="J559" t="s">
        <v>44</v>
      </c>
      <c r="K559" t="s">
        <v>40</v>
      </c>
      <c r="L559">
        <v>1</v>
      </c>
      <c r="M559" s="2">
        <v>84.24</v>
      </c>
      <c r="N559" t="s">
        <v>70</v>
      </c>
      <c r="O559" s="3">
        <v>7</v>
      </c>
      <c r="P559" s="3">
        <v>0</v>
      </c>
      <c r="Q559" s="2">
        <v>91.24</v>
      </c>
      <c r="R559" t="s">
        <v>94</v>
      </c>
      <c r="S559" t="s">
        <v>54</v>
      </c>
      <c r="T559" t="s">
        <v>29</v>
      </c>
      <c r="U559" t="s">
        <v>30</v>
      </c>
    </row>
    <row r="560" spans="1:21" x14ac:dyDescent="0.35">
      <c r="A560" t="s">
        <v>638</v>
      </c>
      <c r="B560" s="1">
        <v>46159</v>
      </c>
      <c r="C560" t="str">
        <f>TEXT(tblData[[#This Row],[Rental Date]],"mmm")</f>
        <v>May</v>
      </c>
      <c r="D560" t="str">
        <f>TEXT(tblData[[#This Row],[Rental Date]],"mmmm")</f>
        <v>May</v>
      </c>
      <c r="E560" t="s">
        <v>68</v>
      </c>
      <c r="F560" t="str">
        <f>TEXT(WEEKNUM(tblData[[#This Row],[Rental Date]]),"00")</f>
        <v>21</v>
      </c>
      <c r="G560" s="1">
        <f>EOMONTH(tblData[[#This Row],[Rental Date]],0)</f>
        <v>46173</v>
      </c>
      <c r="H560" t="s">
        <v>204</v>
      </c>
      <c r="I560" t="s">
        <v>32</v>
      </c>
      <c r="J560" t="s">
        <v>65</v>
      </c>
      <c r="K560" t="s">
        <v>40</v>
      </c>
      <c r="L560">
        <v>1</v>
      </c>
      <c r="M560" s="2">
        <v>30.24</v>
      </c>
      <c r="N560" t="s">
        <v>61</v>
      </c>
      <c r="O560" s="3">
        <v>8</v>
      </c>
      <c r="P560" s="3">
        <v>0</v>
      </c>
      <c r="Q560" s="2">
        <v>38.24</v>
      </c>
      <c r="R560" t="s">
        <v>71</v>
      </c>
      <c r="S560" t="s">
        <v>54</v>
      </c>
      <c r="T560" t="s">
        <v>90</v>
      </c>
      <c r="U560" t="s">
        <v>58</v>
      </c>
    </row>
    <row r="561" spans="1:21" x14ac:dyDescent="0.35">
      <c r="A561" t="s">
        <v>639</v>
      </c>
      <c r="B561" s="1">
        <v>46159</v>
      </c>
      <c r="C561" t="str">
        <f>TEXT(tblData[[#This Row],[Rental Date]],"mmm")</f>
        <v>May</v>
      </c>
      <c r="D561" t="str">
        <f>TEXT(tblData[[#This Row],[Rental Date]],"mmmm")</f>
        <v>May</v>
      </c>
      <c r="E561" t="s">
        <v>68</v>
      </c>
      <c r="F561" t="str">
        <f>TEXT(WEEKNUM(tblData[[#This Row],[Rental Date]]),"00")</f>
        <v>21</v>
      </c>
      <c r="G561" s="1">
        <f>EOMONTH(tblData[[#This Row],[Rental Date]],0)</f>
        <v>46173</v>
      </c>
      <c r="H561" t="s">
        <v>204</v>
      </c>
      <c r="I561" t="s">
        <v>48</v>
      </c>
      <c r="J561" t="s">
        <v>24</v>
      </c>
      <c r="K561" t="s">
        <v>25</v>
      </c>
      <c r="L561">
        <v>1</v>
      </c>
      <c r="M561" s="2">
        <v>54</v>
      </c>
      <c r="N561" t="s">
        <v>41</v>
      </c>
      <c r="O561" s="3">
        <v>5</v>
      </c>
      <c r="P561" s="3">
        <v>0</v>
      </c>
      <c r="Q561" s="2">
        <v>59</v>
      </c>
      <c r="R561" t="s">
        <v>42</v>
      </c>
      <c r="S561" t="s">
        <v>54</v>
      </c>
      <c r="T561" t="s">
        <v>29</v>
      </c>
      <c r="U561" t="s">
        <v>58</v>
      </c>
    </row>
    <row r="562" spans="1:21" x14ac:dyDescent="0.35">
      <c r="A562" t="s">
        <v>640</v>
      </c>
      <c r="B562" s="1">
        <v>46159</v>
      </c>
      <c r="C562" t="str">
        <f>TEXT(tblData[[#This Row],[Rental Date]],"mmm")</f>
        <v>May</v>
      </c>
      <c r="D562" t="str">
        <f>TEXT(tblData[[#This Row],[Rental Date]],"mmmm")</f>
        <v>May</v>
      </c>
      <c r="E562" t="s">
        <v>68</v>
      </c>
      <c r="F562" t="str">
        <f>TEXT(WEEKNUM(tblData[[#This Row],[Rental Date]]),"00")</f>
        <v>21</v>
      </c>
      <c r="G562" s="1">
        <f>EOMONTH(tblData[[#This Row],[Rental Date]],0)</f>
        <v>46173</v>
      </c>
      <c r="H562" t="s">
        <v>204</v>
      </c>
      <c r="I562" t="s">
        <v>23</v>
      </c>
      <c r="J562" t="s">
        <v>78</v>
      </c>
      <c r="K562" t="s">
        <v>25</v>
      </c>
      <c r="L562">
        <v>1</v>
      </c>
      <c r="M562" s="2">
        <v>45.36</v>
      </c>
      <c r="N562" t="s">
        <v>26</v>
      </c>
      <c r="O562" s="3">
        <v>0</v>
      </c>
      <c r="P562" s="3">
        <v>0</v>
      </c>
      <c r="Q562" s="2">
        <v>45.36</v>
      </c>
      <c r="R562" t="s">
        <v>62</v>
      </c>
      <c r="S562" t="s">
        <v>50</v>
      </c>
      <c r="T562" t="s">
        <v>63</v>
      </c>
      <c r="U562" t="s">
        <v>30</v>
      </c>
    </row>
    <row r="563" spans="1:21" x14ac:dyDescent="0.35">
      <c r="A563" t="s">
        <v>641</v>
      </c>
      <c r="B563" s="1">
        <v>46160</v>
      </c>
      <c r="C563" t="str">
        <f>TEXT(tblData[[#This Row],[Rental Date]],"mmm")</f>
        <v>May</v>
      </c>
      <c r="D563" t="str">
        <f>TEXT(tblData[[#This Row],[Rental Date]],"mmmm")</f>
        <v>May</v>
      </c>
      <c r="E563" t="s">
        <v>74</v>
      </c>
      <c r="F563" t="str">
        <f>TEXT(WEEKNUM(tblData[[#This Row],[Rental Date]]),"00")</f>
        <v>21</v>
      </c>
      <c r="G563" s="1">
        <f>EOMONTH(tblData[[#This Row],[Rental Date]],0)</f>
        <v>46173</v>
      </c>
      <c r="H563" t="s">
        <v>204</v>
      </c>
      <c r="I563" t="s">
        <v>39</v>
      </c>
      <c r="J563" t="s">
        <v>78</v>
      </c>
      <c r="K563" t="s">
        <v>25</v>
      </c>
      <c r="L563">
        <v>1</v>
      </c>
      <c r="M563" s="2">
        <v>42</v>
      </c>
      <c r="N563" t="s">
        <v>61</v>
      </c>
      <c r="O563" s="3">
        <v>8</v>
      </c>
      <c r="P563" s="3">
        <v>0</v>
      </c>
      <c r="Q563" s="2">
        <v>50</v>
      </c>
      <c r="R563" t="s">
        <v>45</v>
      </c>
      <c r="S563" t="s">
        <v>50</v>
      </c>
      <c r="T563" t="s">
        <v>29</v>
      </c>
      <c r="U563" t="s">
        <v>79</v>
      </c>
    </row>
    <row r="564" spans="1:21" x14ac:dyDescent="0.35">
      <c r="A564" t="s">
        <v>642</v>
      </c>
      <c r="B564" s="1">
        <v>46160</v>
      </c>
      <c r="C564" t="str">
        <f>TEXT(tblData[[#This Row],[Rental Date]],"mmm")</f>
        <v>May</v>
      </c>
      <c r="D564" t="str">
        <f>TEXT(tblData[[#This Row],[Rental Date]],"mmmm")</f>
        <v>May</v>
      </c>
      <c r="E564" t="s">
        <v>74</v>
      </c>
      <c r="F564" t="str">
        <f>TEXT(WEEKNUM(tblData[[#This Row],[Rental Date]]),"00")</f>
        <v>21</v>
      </c>
      <c r="G564" s="1">
        <f>EOMONTH(tblData[[#This Row],[Rental Date]],0)</f>
        <v>46173</v>
      </c>
      <c r="H564" t="s">
        <v>204</v>
      </c>
      <c r="I564" t="s">
        <v>32</v>
      </c>
      <c r="J564" t="s">
        <v>127</v>
      </c>
      <c r="K564" t="s">
        <v>60</v>
      </c>
      <c r="L564">
        <v>1</v>
      </c>
      <c r="M564" s="2">
        <v>10</v>
      </c>
      <c r="N564" t="s">
        <v>26</v>
      </c>
      <c r="O564" s="3">
        <v>0</v>
      </c>
      <c r="P564" s="3">
        <v>0.5</v>
      </c>
      <c r="Q564" s="2">
        <v>9.5</v>
      </c>
      <c r="R564" t="s">
        <v>66</v>
      </c>
      <c r="S564" t="s">
        <v>28</v>
      </c>
      <c r="T564" t="s">
        <v>51</v>
      </c>
      <c r="U564" t="s">
        <v>30</v>
      </c>
    </row>
    <row r="565" spans="1:21" x14ac:dyDescent="0.35">
      <c r="A565" t="s">
        <v>643</v>
      </c>
      <c r="B565" s="1">
        <v>46160</v>
      </c>
      <c r="C565" t="str">
        <f>TEXT(tblData[[#This Row],[Rental Date]],"mmm")</f>
        <v>May</v>
      </c>
      <c r="D565" t="str">
        <f>TEXT(tblData[[#This Row],[Rental Date]],"mmmm")</f>
        <v>May</v>
      </c>
      <c r="E565" t="s">
        <v>74</v>
      </c>
      <c r="F565" t="str">
        <f>TEXT(WEEKNUM(tblData[[#This Row],[Rental Date]]),"00")</f>
        <v>21</v>
      </c>
      <c r="G565" s="1">
        <f>EOMONTH(tblData[[#This Row],[Rental Date]],0)</f>
        <v>46173</v>
      </c>
      <c r="H565" t="s">
        <v>204</v>
      </c>
      <c r="I565" t="s">
        <v>39</v>
      </c>
      <c r="J565" t="s">
        <v>65</v>
      </c>
      <c r="K565" t="s">
        <v>40</v>
      </c>
      <c r="L565">
        <v>1</v>
      </c>
      <c r="M565" s="2">
        <v>28</v>
      </c>
      <c r="N565" t="s">
        <v>75</v>
      </c>
      <c r="O565" s="3">
        <v>12</v>
      </c>
      <c r="P565" s="3">
        <v>0</v>
      </c>
      <c r="Q565" s="2">
        <v>40</v>
      </c>
      <c r="R565" t="s">
        <v>45</v>
      </c>
      <c r="S565" t="s">
        <v>35</v>
      </c>
      <c r="T565" t="s">
        <v>90</v>
      </c>
      <c r="U565" t="s">
        <v>30</v>
      </c>
    </row>
    <row r="566" spans="1:21" x14ac:dyDescent="0.35">
      <c r="A566" t="s">
        <v>644</v>
      </c>
      <c r="B566" s="1">
        <v>46160</v>
      </c>
      <c r="C566" t="str">
        <f>TEXT(tblData[[#This Row],[Rental Date]],"mmm")</f>
        <v>May</v>
      </c>
      <c r="D566" t="str">
        <f>TEXT(tblData[[#This Row],[Rental Date]],"mmmm")</f>
        <v>May</v>
      </c>
      <c r="E566" t="s">
        <v>74</v>
      </c>
      <c r="F566" t="str">
        <f>TEXT(WEEKNUM(tblData[[#This Row],[Rental Date]]),"00")</f>
        <v>21</v>
      </c>
      <c r="G566" s="1">
        <f>EOMONTH(tblData[[#This Row],[Rental Date]],0)</f>
        <v>46173</v>
      </c>
      <c r="H566" t="s">
        <v>204</v>
      </c>
      <c r="I566" t="s">
        <v>39</v>
      </c>
      <c r="J566" t="s">
        <v>65</v>
      </c>
      <c r="K566" t="s">
        <v>60</v>
      </c>
      <c r="L566">
        <v>1</v>
      </c>
      <c r="M566" s="2">
        <v>12</v>
      </c>
      <c r="N566" t="s">
        <v>26</v>
      </c>
      <c r="O566" s="3">
        <v>0</v>
      </c>
      <c r="P566" s="3">
        <v>0</v>
      </c>
      <c r="Q566" s="2">
        <v>12</v>
      </c>
      <c r="R566" t="s">
        <v>66</v>
      </c>
      <c r="S566" t="s">
        <v>46</v>
      </c>
      <c r="T566" t="s">
        <v>29</v>
      </c>
      <c r="U566" t="s">
        <v>58</v>
      </c>
    </row>
    <row r="567" spans="1:21" x14ac:dyDescent="0.35">
      <c r="A567" t="s">
        <v>645</v>
      </c>
      <c r="B567" s="1">
        <v>46160</v>
      </c>
      <c r="C567" t="str">
        <f>TEXT(tblData[[#This Row],[Rental Date]],"mmm")</f>
        <v>May</v>
      </c>
      <c r="D567" t="str">
        <f>TEXT(tblData[[#This Row],[Rental Date]],"mmmm")</f>
        <v>May</v>
      </c>
      <c r="E567" t="s">
        <v>74</v>
      </c>
      <c r="F567" t="str">
        <f>TEXT(WEEKNUM(tblData[[#This Row],[Rental Date]]),"00")</f>
        <v>21</v>
      </c>
      <c r="G567" s="1">
        <f>EOMONTH(tblData[[#This Row],[Rental Date]],0)</f>
        <v>46173</v>
      </c>
      <c r="H567" t="s">
        <v>204</v>
      </c>
      <c r="I567" t="s">
        <v>48</v>
      </c>
      <c r="J567" t="s">
        <v>127</v>
      </c>
      <c r="K567" t="s">
        <v>40</v>
      </c>
      <c r="L567">
        <v>1</v>
      </c>
      <c r="M567" s="2">
        <v>24</v>
      </c>
      <c r="N567" t="s">
        <v>61</v>
      </c>
      <c r="O567" s="3">
        <v>8</v>
      </c>
      <c r="P567" s="3">
        <v>0</v>
      </c>
      <c r="Q567" s="2">
        <v>32</v>
      </c>
      <c r="R567" t="s">
        <v>66</v>
      </c>
      <c r="S567" t="s">
        <v>54</v>
      </c>
      <c r="T567" t="s">
        <v>51</v>
      </c>
      <c r="U567" t="s">
        <v>36</v>
      </c>
    </row>
    <row r="568" spans="1:21" x14ac:dyDescent="0.35">
      <c r="A568" t="s">
        <v>646</v>
      </c>
      <c r="B568" s="1">
        <v>46161</v>
      </c>
      <c r="C568" t="str">
        <f>TEXT(tblData[[#This Row],[Rental Date]],"mmm")</f>
        <v>May</v>
      </c>
      <c r="D568" t="str">
        <f>TEXT(tblData[[#This Row],[Rental Date]],"mmmm")</f>
        <v>May</v>
      </c>
      <c r="E568" t="s">
        <v>102</v>
      </c>
      <c r="F568" t="str">
        <f>TEXT(WEEKNUM(tblData[[#This Row],[Rental Date]]),"00")</f>
        <v>21</v>
      </c>
      <c r="G568" s="1">
        <f>EOMONTH(tblData[[#This Row],[Rental Date]],0)</f>
        <v>46173</v>
      </c>
      <c r="H568" t="s">
        <v>204</v>
      </c>
      <c r="I568" t="s">
        <v>32</v>
      </c>
      <c r="J568" t="s">
        <v>33</v>
      </c>
      <c r="K568" t="s">
        <v>92</v>
      </c>
      <c r="L568">
        <v>1</v>
      </c>
      <c r="M568" s="2">
        <v>84</v>
      </c>
      <c r="N568" t="s">
        <v>26</v>
      </c>
      <c r="O568" s="3">
        <v>0</v>
      </c>
      <c r="P568" s="3">
        <v>4.2</v>
      </c>
      <c r="Q568" s="2">
        <v>79.8</v>
      </c>
      <c r="R568" t="s">
        <v>45</v>
      </c>
      <c r="S568" t="s">
        <v>28</v>
      </c>
      <c r="T568" t="s">
        <v>51</v>
      </c>
      <c r="U568" t="s">
        <v>30</v>
      </c>
    </row>
    <row r="569" spans="1:21" x14ac:dyDescent="0.35">
      <c r="A569" t="s">
        <v>647</v>
      </c>
      <c r="B569" s="1">
        <v>46161</v>
      </c>
      <c r="C569" t="str">
        <f>TEXT(tblData[[#This Row],[Rental Date]],"mmm")</f>
        <v>May</v>
      </c>
      <c r="D569" t="str">
        <f>TEXT(tblData[[#This Row],[Rental Date]],"mmmm")</f>
        <v>May</v>
      </c>
      <c r="E569" t="s">
        <v>102</v>
      </c>
      <c r="F569" t="str">
        <f>TEXT(WEEKNUM(tblData[[#This Row],[Rental Date]]),"00")</f>
        <v>21</v>
      </c>
      <c r="G569" s="1">
        <f>EOMONTH(tblData[[#This Row],[Rental Date]],0)</f>
        <v>46173</v>
      </c>
      <c r="H569" t="s">
        <v>204</v>
      </c>
      <c r="I569" t="s">
        <v>23</v>
      </c>
      <c r="J569" t="s">
        <v>24</v>
      </c>
      <c r="K569" t="s">
        <v>25</v>
      </c>
      <c r="L569">
        <v>1</v>
      </c>
      <c r="M569" s="2">
        <v>50</v>
      </c>
      <c r="N569" t="s">
        <v>61</v>
      </c>
      <c r="O569" s="3">
        <v>8</v>
      </c>
      <c r="P569" s="3">
        <v>0</v>
      </c>
      <c r="Q569" s="2">
        <v>58</v>
      </c>
      <c r="R569" t="s">
        <v>27</v>
      </c>
      <c r="S569" t="s">
        <v>35</v>
      </c>
      <c r="T569" t="s">
        <v>51</v>
      </c>
      <c r="U569" t="s">
        <v>58</v>
      </c>
    </row>
    <row r="570" spans="1:21" x14ac:dyDescent="0.35">
      <c r="A570" t="s">
        <v>648</v>
      </c>
      <c r="B570" s="1">
        <v>46161</v>
      </c>
      <c r="C570" t="str">
        <f>TEXT(tblData[[#This Row],[Rental Date]],"mmm")</f>
        <v>May</v>
      </c>
      <c r="D570" t="str">
        <f>TEXT(tblData[[#This Row],[Rental Date]],"mmmm")</f>
        <v>May</v>
      </c>
      <c r="E570" t="s">
        <v>102</v>
      </c>
      <c r="F570" t="str">
        <f>TEXT(WEEKNUM(tblData[[#This Row],[Rental Date]]),"00")</f>
        <v>21</v>
      </c>
      <c r="G570" s="1">
        <f>EOMONTH(tblData[[#This Row],[Rental Date]],0)</f>
        <v>46173</v>
      </c>
      <c r="H570" t="s">
        <v>204</v>
      </c>
      <c r="I570" t="s">
        <v>23</v>
      </c>
      <c r="J570" t="s">
        <v>78</v>
      </c>
      <c r="K570" t="s">
        <v>60</v>
      </c>
      <c r="L570">
        <v>1</v>
      </c>
      <c r="M570" s="2">
        <v>26</v>
      </c>
      <c r="N570" t="s">
        <v>75</v>
      </c>
      <c r="O570" s="3">
        <v>12</v>
      </c>
      <c r="P570" s="3">
        <v>0</v>
      </c>
      <c r="Q570" s="2">
        <v>38</v>
      </c>
      <c r="R570" t="s">
        <v>45</v>
      </c>
      <c r="S570" t="s">
        <v>46</v>
      </c>
      <c r="T570" t="s">
        <v>63</v>
      </c>
      <c r="U570" t="s">
        <v>30</v>
      </c>
    </row>
    <row r="571" spans="1:21" x14ac:dyDescent="0.35">
      <c r="A571" t="s">
        <v>649</v>
      </c>
      <c r="B571" s="1">
        <v>46162</v>
      </c>
      <c r="C571" t="str">
        <f>TEXT(tblData[[#This Row],[Rental Date]],"mmm")</f>
        <v>May</v>
      </c>
      <c r="D571" t="str">
        <f>TEXT(tblData[[#This Row],[Rental Date]],"mmmm")</f>
        <v>May</v>
      </c>
      <c r="E571" t="s">
        <v>109</v>
      </c>
      <c r="F571" t="str">
        <f>TEXT(WEEKNUM(tblData[[#This Row],[Rental Date]]),"00")</f>
        <v>21</v>
      </c>
      <c r="G571" s="1">
        <f>EOMONTH(tblData[[#This Row],[Rental Date]],0)</f>
        <v>46173</v>
      </c>
      <c r="H571" t="s">
        <v>204</v>
      </c>
      <c r="I571" t="s">
        <v>39</v>
      </c>
      <c r="J571" t="s">
        <v>33</v>
      </c>
      <c r="K571" t="s">
        <v>40</v>
      </c>
      <c r="L571">
        <v>1</v>
      </c>
      <c r="M571" s="2">
        <v>58</v>
      </c>
      <c r="N571" t="s">
        <v>41</v>
      </c>
      <c r="O571" s="3">
        <v>5</v>
      </c>
      <c r="P571" s="3">
        <v>0</v>
      </c>
      <c r="Q571" s="2">
        <v>63</v>
      </c>
      <c r="R571" t="s">
        <v>57</v>
      </c>
      <c r="S571" t="s">
        <v>28</v>
      </c>
      <c r="T571" t="s">
        <v>29</v>
      </c>
      <c r="U571" t="s">
        <v>30</v>
      </c>
    </row>
    <row r="572" spans="1:21" x14ac:dyDescent="0.35">
      <c r="A572" t="s">
        <v>650</v>
      </c>
      <c r="B572" s="1">
        <v>46162</v>
      </c>
      <c r="C572" t="str">
        <f>TEXT(tblData[[#This Row],[Rental Date]],"mmm")</f>
        <v>May</v>
      </c>
      <c r="D572" t="str">
        <f>TEXT(tblData[[#This Row],[Rental Date]],"mmmm")</f>
        <v>May</v>
      </c>
      <c r="E572" t="s">
        <v>109</v>
      </c>
      <c r="F572" t="str">
        <f>TEXT(WEEKNUM(tblData[[#This Row],[Rental Date]]),"00")</f>
        <v>21</v>
      </c>
      <c r="G572" s="1">
        <f>EOMONTH(tblData[[#This Row],[Rental Date]],0)</f>
        <v>46173</v>
      </c>
      <c r="H572" t="s">
        <v>204</v>
      </c>
      <c r="I572" t="s">
        <v>48</v>
      </c>
      <c r="J572" t="s">
        <v>78</v>
      </c>
      <c r="K572" t="s">
        <v>25</v>
      </c>
      <c r="L572">
        <v>1</v>
      </c>
      <c r="M572" s="2">
        <v>42</v>
      </c>
      <c r="N572" t="s">
        <v>89</v>
      </c>
      <c r="O572" s="3">
        <v>6</v>
      </c>
      <c r="P572" s="3">
        <v>0</v>
      </c>
      <c r="Q572" s="2">
        <v>48</v>
      </c>
      <c r="R572" t="s">
        <v>57</v>
      </c>
      <c r="S572" t="s">
        <v>46</v>
      </c>
      <c r="T572" t="s">
        <v>63</v>
      </c>
      <c r="U572" t="s">
        <v>30</v>
      </c>
    </row>
    <row r="573" spans="1:21" x14ac:dyDescent="0.35">
      <c r="A573" t="s">
        <v>651</v>
      </c>
      <c r="B573" s="1">
        <v>46163</v>
      </c>
      <c r="C573" t="str">
        <f>TEXT(tblData[[#This Row],[Rental Date]],"mmm")</f>
        <v>May</v>
      </c>
      <c r="D573" t="str">
        <f>TEXT(tblData[[#This Row],[Rental Date]],"mmmm")</f>
        <v>May</v>
      </c>
      <c r="E573" t="s">
        <v>21</v>
      </c>
      <c r="F573" t="str">
        <f>TEXT(WEEKNUM(tblData[[#This Row],[Rental Date]]),"00")</f>
        <v>21</v>
      </c>
      <c r="G573" s="1">
        <f>EOMONTH(tblData[[#This Row],[Rental Date]],0)</f>
        <v>46173</v>
      </c>
      <c r="H573" t="s">
        <v>204</v>
      </c>
      <c r="I573" t="s">
        <v>39</v>
      </c>
      <c r="J573" t="s">
        <v>127</v>
      </c>
      <c r="K573" t="s">
        <v>40</v>
      </c>
      <c r="L573">
        <v>1</v>
      </c>
      <c r="M573" s="2">
        <v>24</v>
      </c>
      <c r="N573" t="s">
        <v>75</v>
      </c>
      <c r="O573" s="3">
        <v>12</v>
      </c>
      <c r="P573" s="3">
        <v>0</v>
      </c>
      <c r="Q573" s="2">
        <v>36</v>
      </c>
      <c r="R573" t="s">
        <v>76</v>
      </c>
      <c r="S573" t="s">
        <v>35</v>
      </c>
      <c r="T573" t="s">
        <v>29</v>
      </c>
      <c r="U573" t="s">
        <v>30</v>
      </c>
    </row>
    <row r="574" spans="1:21" x14ac:dyDescent="0.35">
      <c r="A574" t="s">
        <v>652</v>
      </c>
      <c r="B574" s="1">
        <v>46163</v>
      </c>
      <c r="C574" t="str">
        <f>TEXT(tblData[[#This Row],[Rental Date]],"mmm")</f>
        <v>May</v>
      </c>
      <c r="D574" t="str">
        <f>TEXT(tblData[[#This Row],[Rental Date]],"mmmm")</f>
        <v>May</v>
      </c>
      <c r="E574" t="s">
        <v>21</v>
      </c>
      <c r="F574" t="str">
        <f>TEXT(WEEKNUM(tblData[[#This Row],[Rental Date]]),"00")</f>
        <v>21</v>
      </c>
      <c r="G574" s="1">
        <f>EOMONTH(tblData[[#This Row],[Rental Date]],0)</f>
        <v>46173</v>
      </c>
      <c r="H574" t="s">
        <v>204</v>
      </c>
      <c r="I574" t="s">
        <v>39</v>
      </c>
      <c r="J574" t="s">
        <v>44</v>
      </c>
      <c r="K574" t="s">
        <v>25</v>
      </c>
      <c r="L574">
        <v>1</v>
      </c>
      <c r="M574" s="2">
        <v>52</v>
      </c>
      <c r="N574" t="s">
        <v>26</v>
      </c>
      <c r="O574" s="3">
        <v>0</v>
      </c>
      <c r="P574" s="3">
        <v>0</v>
      </c>
      <c r="Q574" s="2">
        <v>52</v>
      </c>
      <c r="R574" t="s">
        <v>62</v>
      </c>
      <c r="S574" t="s">
        <v>35</v>
      </c>
      <c r="T574" t="s">
        <v>29</v>
      </c>
      <c r="U574" t="s">
        <v>36</v>
      </c>
    </row>
    <row r="575" spans="1:21" x14ac:dyDescent="0.35">
      <c r="A575" t="s">
        <v>653</v>
      </c>
      <c r="B575" s="1">
        <v>46163</v>
      </c>
      <c r="C575" t="str">
        <f>TEXT(tblData[[#This Row],[Rental Date]],"mmm")</f>
        <v>May</v>
      </c>
      <c r="D575" t="str">
        <f>TEXT(tblData[[#This Row],[Rental Date]],"mmmm")</f>
        <v>May</v>
      </c>
      <c r="E575" t="s">
        <v>21</v>
      </c>
      <c r="F575" t="str">
        <f>TEXT(WEEKNUM(tblData[[#This Row],[Rental Date]]),"00")</f>
        <v>21</v>
      </c>
      <c r="G575" s="1">
        <f>EOMONTH(tblData[[#This Row],[Rental Date]],0)</f>
        <v>46173</v>
      </c>
      <c r="H575" t="s">
        <v>204</v>
      </c>
      <c r="I575" t="s">
        <v>48</v>
      </c>
      <c r="J575" t="s">
        <v>111</v>
      </c>
      <c r="K575" t="s">
        <v>40</v>
      </c>
      <c r="L575">
        <v>1</v>
      </c>
      <c r="M575" s="2">
        <v>34</v>
      </c>
      <c r="N575" t="s">
        <v>26</v>
      </c>
      <c r="O575" s="3">
        <v>0</v>
      </c>
      <c r="P575" s="3">
        <v>0</v>
      </c>
      <c r="Q575" s="2">
        <v>34</v>
      </c>
      <c r="R575" t="s">
        <v>94</v>
      </c>
      <c r="S575" t="s">
        <v>50</v>
      </c>
      <c r="T575" t="s">
        <v>83</v>
      </c>
      <c r="U575" t="s">
        <v>58</v>
      </c>
    </row>
    <row r="576" spans="1:21" x14ac:dyDescent="0.35">
      <c r="A576" t="s">
        <v>654</v>
      </c>
      <c r="B576" s="1">
        <v>46163</v>
      </c>
      <c r="C576" t="str">
        <f>TEXT(tblData[[#This Row],[Rental Date]],"mmm")</f>
        <v>May</v>
      </c>
      <c r="D576" t="str">
        <f>TEXT(tblData[[#This Row],[Rental Date]],"mmmm")</f>
        <v>May</v>
      </c>
      <c r="E576" t="s">
        <v>21</v>
      </c>
      <c r="F576" t="str">
        <f>TEXT(WEEKNUM(tblData[[#This Row],[Rental Date]]),"00")</f>
        <v>21</v>
      </c>
      <c r="G576" s="1">
        <f>EOMONTH(tblData[[#This Row],[Rental Date]],0)</f>
        <v>46173</v>
      </c>
      <c r="H576" t="s">
        <v>204</v>
      </c>
      <c r="I576" t="s">
        <v>48</v>
      </c>
      <c r="J576" t="s">
        <v>127</v>
      </c>
      <c r="K576" t="s">
        <v>25</v>
      </c>
      <c r="L576">
        <v>1</v>
      </c>
      <c r="M576" s="2">
        <v>16</v>
      </c>
      <c r="N576" t="s">
        <v>26</v>
      </c>
      <c r="O576" s="3">
        <v>0</v>
      </c>
      <c r="P576" s="3">
        <v>0</v>
      </c>
      <c r="Q576" s="2">
        <v>16</v>
      </c>
      <c r="R576" t="s">
        <v>27</v>
      </c>
      <c r="S576" t="s">
        <v>28</v>
      </c>
      <c r="T576" t="s">
        <v>63</v>
      </c>
      <c r="U576" t="s">
        <v>36</v>
      </c>
    </row>
    <row r="577" spans="1:21" x14ac:dyDescent="0.35">
      <c r="A577" t="s">
        <v>655</v>
      </c>
      <c r="B577" s="1">
        <v>46163</v>
      </c>
      <c r="C577" t="str">
        <f>TEXT(tblData[[#This Row],[Rental Date]],"mmm")</f>
        <v>May</v>
      </c>
      <c r="D577" t="str">
        <f>TEXT(tblData[[#This Row],[Rental Date]],"mmmm")</f>
        <v>May</v>
      </c>
      <c r="E577" t="s">
        <v>21</v>
      </c>
      <c r="F577" t="str">
        <f>TEXT(WEEKNUM(tblData[[#This Row],[Rental Date]]),"00")</f>
        <v>21</v>
      </c>
      <c r="G577" s="1">
        <f>EOMONTH(tblData[[#This Row],[Rental Date]],0)</f>
        <v>46173</v>
      </c>
      <c r="H577" t="s">
        <v>204</v>
      </c>
      <c r="I577" t="s">
        <v>48</v>
      </c>
      <c r="J577" t="s">
        <v>111</v>
      </c>
      <c r="K577" t="s">
        <v>25</v>
      </c>
      <c r="L577">
        <v>1</v>
      </c>
      <c r="M577" s="2">
        <v>22</v>
      </c>
      <c r="N577" t="s">
        <v>26</v>
      </c>
      <c r="O577" s="3">
        <v>0</v>
      </c>
      <c r="P577" s="3">
        <v>0</v>
      </c>
      <c r="Q577" s="2">
        <v>22</v>
      </c>
      <c r="R577" t="s">
        <v>62</v>
      </c>
      <c r="S577" t="s">
        <v>54</v>
      </c>
      <c r="T577" t="s">
        <v>90</v>
      </c>
      <c r="U577" t="s">
        <v>30</v>
      </c>
    </row>
    <row r="578" spans="1:21" x14ac:dyDescent="0.35">
      <c r="A578" t="s">
        <v>656</v>
      </c>
      <c r="B578" s="1">
        <v>46163</v>
      </c>
      <c r="C578" t="str">
        <f>TEXT(tblData[[#This Row],[Rental Date]],"mmm")</f>
        <v>May</v>
      </c>
      <c r="D578" t="str">
        <f>TEXT(tblData[[#This Row],[Rental Date]],"mmmm")</f>
        <v>May</v>
      </c>
      <c r="E578" t="s">
        <v>21</v>
      </c>
      <c r="F578" t="str">
        <f>TEXT(WEEKNUM(tblData[[#This Row],[Rental Date]]),"00")</f>
        <v>21</v>
      </c>
      <c r="G578" s="1">
        <f>EOMONTH(tblData[[#This Row],[Rental Date]],0)</f>
        <v>46173</v>
      </c>
      <c r="H578" t="s">
        <v>204</v>
      </c>
      <c r="I578" t="s">
        <v>48</v>
      </c>
      <c r="J578" t="s">
        <v>86</v>
      </c>
      <c r="K578" t="s">
        <v>92</v>
      </c>
      <c r="L578">
        <v>1</v>
      </c>
      <c r="M578" s="2">
        <v>124</v>
      </c>
      <c r="N578" t="s">
        <v>26</v>
      </c>
      <c r="O578" s="3">
        <v>0</v>
      </c>
      <c r="P578" s="3">
        <v>0</v>
      </c>
      <c r="Q578" s="2">
        <v>124</v>
      </c>
      <c r="R578" t="s">
        <v>66</v>
      </c>
      <c r="S578" t="s">
        <v>46</v>
      </c>
      <c r="T578" t="s">
        <v>29</v>
      </c>
      <c r="U578" t="s">
        <v>58</v>
      </c>
    </row>
    <row r="579" spans="1:21" x14ac:dyDescent="0.35">
      <c r="A579" t="s">
        <v>657</v>
      </c>
      <c r="B579" s="1">
        <v>46163</v>
      </c>
      <c r="C579" t="str">
        <f>TEXT(tblData[[#This Row],[Rental Date]],"mmm")</f>
        <v>May</v>
      </c>
      <c r="D579" t="str">
        <f>TEXT(tblData[[#This Row],[Rental Date]],"mmmm")</f>
        <v>May</v>
      </c>
      <c r="E579" t="s">
        <v>21</v>
      </c>
      <c r="F579" t="str">
        <f>TEXT(WEEKNUM(tblData[[#This Row],[Rental Date]]),"00")</f>
        <v>21</v>
      </c>
      <c r="G579" s="1">
        <f>EOMONTH(tblData[[#This Row],[Rental Date]],0)</f>
        <v>46173</v>
      </c>
      <c r="H579" t="s">
        <v>204</v>
      </c>
      <c r="I579" t="s">
        <v>39</v>
      </c>
      <c r="J579" t="s">
        <v>111</v>
      </c>
      <c r="K579" t="s">
        <v>25</v>
      </c>
      <c r="L579">
        <v>1</v>
      </c>
      <c r="M579" s="2">
        <v>22</v>
      </c>
      <c r="N579" t="s">
        <v>26</v>
      </c>
      <c r="O579" s="3">
        <v>0</v>
      </c>
      <c r="P579" s="3">
        <v>0</v>
      </c>
      <c r="Q579" s="2">
        <v>22</v>
      </c>
      <c r="R579" t="s">
        <v>66</v>
      </c>
      <c r="S579" t="s">
        <v>28</v>
      </c>
      <c r="T579" t="s">
        <v>29</v>
      </c>
      <c r="U579" t="s">
        <v>30</v>
      </c>
    </row>
    <row r="580" spans="1:21" x14ac:dyDescent="0.35">
      <c r="A580" t="s">
        <v>658</v>
      </c>
      <c r="B580" s="1">
        <v>46163</v>
      </c>
      <c r="C580" t="str">
        <f>TEXT(tblData[[#This Row],[Rental Date]],"mmm")</f>
        <v>May</v>
      </c>
      <c r="D580" t="str">
        <f>TEXT(tblData[[#This Row],[Rental Date]],"mmmm")</f>
        <v>May</v>
      </c>
      <c r="E580" t="s">
        <v>21</v>
      </c>
      <c r="F580" t="str">
        <f>TEXT(WEEKNUM(tblData[[#This Row],[Rental Date]]),"00")</f>
        <v>21</v>
      </c>
      <c r="G580" s="1">
        <f>EOMONTH(tblData[[#This Row],[Rental Date]],0)</f>
        <v>46173</v>
      </c>
      <c r="H580" t="s">
        <v>204</v>
      </c>
      <c r="I580" t="s">
        <v>48</v>
      </c>
      <c r="J580" t="s">
        <v>33</v>
      </c>
      <c r="K580" t="s">
        <v>40</v>
      </c>
      <c r="L580">
        <v>1</v>
      </c>
      <c r="M580" s="2">
        <v>58</v>
      </c>
      <c r="N580" t="s">
        <v>26</v>
      </c>
      <c r="O580" s="3">
        <v>0</v>
      </c>
      <c r="P580" s="3">
        <v>0</v>
      </c>
      <c r="Q580" s="2">
        <v>58</v>
      </c>
      <c r="R580" t="s">
        <v>94</v>
      </c>
      <c r="S580" t="s">
        <v>50</v>
      </c>
      <c r="T580" t="s">
        <v>63</v>
      </c>
      <c r="U580" t="s">
        <v>30</v>
      </c>
    </row>
    <row r="581" spans="1:21" x14ac:dyDescent="0.35">
      <c r="A581" t="s">
        <v>659</v>
      </c>
      <c r="B581" s="1">
        <v>46164</v>
      </c>
      <c r="C581" t="str">
        <f>TEXT(tblData[[#This Row],[Rental Date]],"mmm")</f>
        <v>May</v>
      </c>
      <c r="D581" t="str">
        <f>TEXT(tblData[[#This Row],[Rental Date]],"mmmm")</f>
        <v>May</v>
      </c>
      <c r="E581" t="s">
        <v>38</v>
      </c>
      <c r="F581" t="str">
        <f>TEXT(WEEKNUM(tblData[[#This Row],[Rental Date]]),"00")</f>
        <v>21</v>
      </c>
      <c r="G581" s="1">
        <f>EOMONTH(tblData[[#This Row],[Rental Date]],0)</f>
        <v>46173</v>
      </c>
      <c r="H581" t="s">
        <v>204</v>
      </c>
      <c r="I581" t="s">
        <v>39</v>
      </c>
      <c r="J581" t="s">
        <v>127</v>
      </c>
      <c r="K581" t="s">
        <v>92</v>
      </c>
      <c r="L581">
        <v>1</v>
      </c>
      <c r="M581" s="2">
        <v>34</v>
      </c>
      <c r="N581" t="s">
        <v>41</v>
      </c>
      <c r="O581" s="3">
        <v>5</v>
      </c>
      <c r="P581" s="3">
        <v>0</v>
      </c>
      <c r="Q581" s="2">
        <v>39</v>
      </c>
      <c r="R581" t="s">
        <v>62</v>
      </c>
      <c r="S581" t="s">
        <v>54</v>
      </c>
      <c r="T581" t="s">
        <v>29</v>
      </c>
      <c r="U581" t="s">
        <v>30</v>
      </c>
    </row>
    <row r="582" spans="1:21" x14ac:dyDescent="0.35">
      <c r="A582" t="s">
        <v>660</v>
      </c>
      <c r="B582" s="1">
        <v>46164</v>
      </c>
      <c r="C582" t="str">
        <f>TEXT(tblData[[#This Row],[Rental Date]],"mmm")</f>
        <v>May</v>
      </c>
      <c r="D582" t="str">
        <f>TEXT(tblData[[#This Row],[Rental Date]],"mmmm")</f>
        <v>May</v>
      </c>
      <c r="E582" t="s">
        <v>38</v>
      </c>
      <c r="F582" t="str">
        <f>TEXT(WEEKNUM(tblData[[#This Row],[Rental Date]]),"00")</f>
        <v>21</v>
      </c>
      <c r="G582" s="1">
        <f>EOMONTH(tblData[[#This Row],[Rental Date]],0)</f>
        <v>46173</v>
      </c>
      <c r="H582" t="s">
        <v>204</v>
      </c>
      <c r="I582" t="s">
        <v>39</v>
      </c>
      <c r="J582" t="s">
        <v>33</v>
      </c>
      <c r="K582" t="s">
        <v>25</v>
      </c>
      <c r="L582">
        <v>1</v>
      </c>
      <c r="M582" s="2">
        <v>38</v>
      </c>
      <c r="N582" t="s">
        <v>87</v>
      </c>
      <c r="O582" s="3">
        <v>10</v>
      </c>
      <c r="P582" s="3">
        <v>0</v>
      </c>
      <c r="Q582" s="2">
        <v>48</v>
      </c>
      <c r="R582" t="s">
        <v>57</v>
      </c>
      <c r="S582" t="s">
        <v>35</v>
      </c>
      <c r="T582" t="s">
        <v>29</v>
      </c>
      <c r="U582" t="s">
        <v>58</v>
      </c>
    </row>
    <row r="583" spans="1:21" x14ac:dyDescent="0.35">
      <c r="A583" t="s">
        <v>661</v>
      </c>
      <c r="B583" s="1">
        <v>46164</v>
      </c>
      <c r="C583" t="str">
        <f>TEXT(tblData[[#This Row],[Rental Date]],"mmm")</f>
        <v>May</v>
      </c>
      <c r="D583" t="str">
        <f>TEXT(tblData[[#This Row],[Rental Date]],"mmmm")</f>
        <v>May</v>
      </c>
      <c r="E583" t="s">
        <v>38</v>
      </c>
      <c r="F583" t="str">
        <f>TEXT(WEEKNUM(tblData[[#This Row],[Rental Date]]),"00")</f>
        <v>21</v>
      </c>
      <c r="G583" s="1">
        <f>EOMONTH(tblData[[#This Row],[Rental Date]],0)</f>
        <v>46173</v>
      </c>
      <c r="H583" t="s">
        <v>204</v>
      </c>
      <c r="I583" t="s">
        <v>48</v>
      </c>
      <c r="J583" t="s">
        <v>49</v>
      </c>
      <c r="K583" t="s">
        <v>40</v>
      </c>
      <c r="L583">
        <v>1</v>
      </c>
      <c r="M583" s="2">
        <v>54</v>
      </c>
      <c r="N583" t="s">
        <v>26</v>
      </c>
      <c r="O583" s="3">
        <v>0</v>
      </c>
      <c r="P583" s="3">
        <v>0</v>
      </c>
      <c r="Q583" s="2">
        <v>54</v>
      </c>
      <c r="R583" t="s">
        <v>76</v>
      </c>
      <c r="S583" t="s">
        <v>46</v>
      </c>
      <c r="T583" t="s">
        <v>29</v>
      </c>
      <c r="U583" t="s">
        <v>30</v>
      </c>
    </row>
    <row r="584" spans="1:21" x14ac:dyDescent="0.35">
      <c r="A584" t="s">
        <v>662</v>
      </c>
      <c r="B584" s="1">
        <v>46164</v>
      </c>
      <c r="C584" t="str">
        <f>TEXT(tblData[[#This Row],[Rental Date]],"mmm")</f>
        <v>May</v>
      </c>
      <c r="D584" t="str">
        <f>TEXT(tblData[[#This Row],[Rental Date]],"mmmm")</f>
        <v>May</v>
      </c>
      <c r="E584" t="s">
        <v>38</v>
      </c>
      <c r="F584" t="str">
        <f>TEXT(WEEKNUM(tblData[[#This Row],[Rental Date]]),"00")</f>
        <v>21</v>
      </c>
      <c r="G584" s="1">
        <f>EOMONTH(tblData[[#This Row],[Rental Date]],0)</f>
        <v>46173</v>
      </c>
      <c r="H584" t="s">
        <v>204</v>
      </c>
      <c r="I584" t="s">
        <v>48</v>
      </c>
      <c r="J584" t="s">
        <v>127</v>
      </c>
      <c r="K584" t="s">
        <v>40</v>
      </c>
      <c r="L584">
        <v>1</v>
      </c>
      <c r="M584" s="2">
        <v>24</v>
      </c>
      <c r="N584" t="s">
        <v>70</v>
      </c>
      <c r="O584" s="3">
        <v>7</v>
      </c>
      <c r="P584" s="3">
        <v>1.55</v>
      </c>
      <c r="Q584" s="2">
        <v>29.45</v>
      </c>
      <c r="R584" t="s">
        <v>66</v>
      </c>
      <c r="S584" t="s">
        <v>28</v>
      </c>
      <c r="T584" t="s">
        <v>90</v>
      </c>
      <c r="U584" t="s">
        <v>58</v>
      </c>
    </row>
    <row r="585" spans="1:21" x14ac:dyDescent="0.35">
      <c r="A585" t="s">
        <v>663</v>
      </c>
      <c r="B585" s="1">
        <v>46164</v>
      </c>
      <c r="C585" t="str">
        <f>TEXT(tblData[[#This Row],[Rental Date]],"mmm")</f>
        <v>May</v>
      </c>
      <c r="D585" t="str">
        <f>TEXT(tblData[[#This Row],[Rental Date]],"mmmm")</f>
        <v>May</v>
      </c>
      <c r="E585" t="s">
        <v>38</v>
      </c>
      <c r="F585" t="str">
        <f>TEXT(WEEKNUM(tblData[[#This Row],[Rental Date]]),"00")</f>
        <v>21</v>
      </c>
      <c r="G585" s="1">
        <f>EOMONTH(tblData[[#This Row],[Rental Date]],0)</f>
        <v>46173</v>
      </c>
      <c r="H585" t="s">
        <v>204</v>
      </c>
      <c r="I585" t="s">
        <v>39</v>
      </c>
      <c r="J585" t="s">
        <v>44</v>
      </c>
      <c r="K585" t="s">
        <v>60</v>
      </c>
      <c r="L585">
        <v>1</v>
      </c>
      <c r="M585" s="2">
        <v>34</v>
      </c>
      <c r="N585" t="s">
        <v>87</v>
      </c>
      <c r="O585" s="3">
        <v>10</v>
      </c>
      <c r="P585" s="3">
        <v>0</v>
      </c>
      <c r="Q585" s="2">
        <v>44</v>
      </c>
      <c r="R585" t="s">
        <v>57</v>
      </c>
      <c r="S585" t="s">
        <v>50</v>
      </c>
      <c r="T585" t="s">
        <v>51</v>
      </c>
      <c r="U585" t="s">
        <v>30</v>
      </c>
    </row>
    <row r="586" spans="1:21" x14ac:dyDescent="0.35">
      <c r="A586" t="s">
        <v>664</v>
      </c>
      <c r="B586" s="1">
        <v>46164</v>
      </c>
      <c r="C586" t="str">
        <f>TEXT(tblData[[#This Row],[Rental Date]],"mmm")</f>
        <v>May</v>
      </c>
      <c r="D586" t="str">
        <f>TEXT(tblData[[#This Row],[Rental Date]],"mmmm")</f>
        <v>May</v>
      </c>
      <c r="E586" t="s">
        <v>38</v>
      </c>
      <c r="F586" t="str">
        <f>TEXT(WEEKNUM(tblData[[#This Row],[Rental Date]]),"00")</f>
        <v>21</v>
      </c>
      <c r="G586" s="1">
        <f>EOMONTH(tblData[[#This Row],[Rental Date]],0)</f>
        <v>46173</v>
      </c>
      <c r="H586" t="s">
        <v>204</v>
      </c>
      <c r="I586" t="s">
        <v>48</v>
      </c>
      <c r="J586" t="s">
        <v>138</v>
      </c>
      <c r="K586" t="s">
        <v>25</v>
      </c>
      <c r="L586">
        <v>1</v>
      </c>
      <c r="M586" s="2">
        <v>48</v>
      </c>
      <c r="N586" t="s">
        <v>89</v>
      </c>
      <c r="O586" s="3">
        <v>6</v>
      </c>
      <c r="P586" s="3">
        <v>0</v>
      </c>
      <c r="Q586" s="2">
        <v>54</v>
      </c>
      <c r="R586" t="s">
        <v>62</v>
      </c>
      <c r="S586" t="s">
        <v>28</v>
      </c>
      <c r="T586" t="s">
        <v>29</v>
      </c>
      <c r="U586" t="s">
        <v>58</v>
      </c>
    </row>
    <row r="587" spans="1:21" x14ac:dyDescent="0.35">
      <c r="A587" t="s">
        <v>665</v>
      </c>
      <c r="B587" s="1">
        <v>46164</v>
      </c>
      <c r="C587" t="str">
        <f>TEXT(tblData[[#This Row],[Rental Date]],"mmm")</f>
        <v>May</v>
      </c>
      <c r="D587" t="str">
        <f>TEXT(tblData[[#This Row],[Rental Date]],"mmmm")</f>
        <v>May</v>
      </c>
      <c r="E587" t="s">
        <v>38</v>
      </c>
      <c r="F587" t="str">
        <f>TEXT(WEEKNUM(tblData[[#This Row],[Rental Date]]),"00")</f>
        <v>21</v>
      </c>
      <c r="G587" s="1">
        <f>EOMONTH(tblData[[#This Row],[Rental Date]],0)</f>
        <v>46173</v>
      </c>
      <c r="H587" t="s">
        <v>204</v>
      </c>
      <c r="I587" t="s">
        <v>39</v>
      </c>
      <c r="J587" t="s">
        <v>65</v>
      </c>
      <c r="K587" t="s">
        <v>25</v>
      </c>
      <c r="L587">
        <v>1</v>
      </c>
      <c r="M587" s="2">
        <v>18</v>
      </c>
      <c r="N587" t="s">
        <v>89</v>
      </c>
      <c r="O587" s="3">
        <v>6</v>
      </c>
      <c r="P587" s="3">
        <v>0</v>
      </c>
      <c r="Q587" s="2">
        <v>24</v>
      </c>
      <c r="R587" t="s">
        <v>71</v>
      </c>
      <c r="S587" t="s">
        <v>46</v>
      </c>
      <c r="T587" t="s">
        <v>29</v>
      </c>
      <c r="U587" t="s">
        <v>30</v>
      </c>
    </row>
    <row r="588" spans="1:21" x14ac:dyDescent="0.35">
      <c r="A588" t="s">
        <v>666</v>
      </c>
      <c r="B588" s="1">
        <v>46164</v>
      </c>
      <c r="C588" t="str">
        <f>TEXT(tblData[[#This Row],[Rental Date]],"mmm")</f>
        <v>May</v>
      </c>
      <c r="D588" t="str">
        <f>TEXT(tblData[[#This Row],[Rental Date]],"mmmm")</f>
        <v>May</v>
      </c>
      <c r="E588" t="s">
        <v>38</v>
      </c>
      <c r="F588" t="str">
        <f>TEXT(WEEKNUM(tblData[[#This Row],[Rental Date]]),"00")</f>
        <v>21</v>
      </c>
      <c r="G588" s="1">
        <f>EOMONTH(tblData[[#This Row],[Rental Date]],0)</f>
        <v>46173</v>
      </c>
      <c r="H588" t="s">
        <v>204</v>
      </c>
      <c r="I588" t="s">
        <v>39</v>
      </c>
      <c r="J588" t="s">
        <v>33</v>
      </c>
      <c r="K588" t="s">
        <v>25</v>
      </c>
      <c r="L588">
        <v>1</v>
      </c>
      <c r="M588" s="2">
        <v>38</v>
      </c>
      <c r="N588" t="s">
        <v>26</v>
      </c>
      <c r="O588" s="3">
        <v>0</v>
      </c>
      <c r="P588" s="3">
        <v>0</v>
      </c>
      <c r="Q588" s="2">
        <v>38</v>
      </c>
      <c r="R588" t="s">
        <v>34</v>
      </c>
      <c r="S588" t="s">
        <v>46</v>
      </c>
      <c r="T588" t="s">
        <v>90</v>
      </c>
      <c r="U588" t="s">
        <v>36</v>
      </c>
    </row>
    <row r="589" spans="1:21" x14ac:dyDescent="0.35">
      <c r="A589" t="s">
        <v>667</v>
      </c>
      <c r="B589" s="1">
        <v>46164</v>
      </c>
      <c r="C589" t="str">
        <f>TEXT(tblData[[#This Row],[Rental Date]],"mmm")</f>
        <v>May</v>
      </c>
      <c r="D589" t="str">
        <f>TEXT(tblData[[#This Row],[Rental Date]],"mmmm")</f>
        <v>May</v>
      </c>
      <c r="E589" t="s">
        <v>38</v>
      </c>
      <c r="F589" t="str">
        <f>TEXT(WEEKNUM(tblData[[#This Row],[Rental Date]]),"00")</f>
        <v>21</v>
      </c>
      <c r="G589" s="1">
        <f>EOMONTH(tblData[[#This Row],[Rental Date]],0)</f>
        <v>46173</v>
      </c>
      <c r="H589" t="s">
        <v>204</v>
      </c>
      <c r="I589" t="s">
        <v>48</v>
      </c>
      <c r="J589" t="s">
        <v>49</v>
      </c>
      <c r="K589" t="s">
        <v>60</v>
      </c>
      <c r="L589">
        <v>1</v>
      </c>
      <c r="M589" s="2">
        <v>22</v>
      </c>
      <c r="N589" t="s">
        <v>89</v>
      </c>
      <c r="O589" s="3">
        <v>6</v>
      </c>
      <c r="P589" s="3">
        <v>0</v>
      </c>
      <c r="Q589" s="2">
        <v>28</v>
      </c>
      <c r="R589" t="s">
        <v>66</v>
      </c>
      <c r="S589" t="s">
        <v>28</v>
      </c>
      <c r="T589" t="s">
        <v>63</v>
      </c>
      <c r="U589" t="s">
        <v>58</v>
      </c>
    </row>
    <row r="590" spans="1:21" x14ac:dyDescent="0.35">
      <c r="A590" t="s">
        <v>668</v>
      </c>
      <c r="B590" s="1">
        <v>46165</v>
      </c>
      <c r="C590" t="str">
        <f>TEXT(tblData[[#This Row],[Rental Date]],"mmm")</f>
        <v>May</v>
      </c>
      <c r="D590" t="str">
        <f>TEXT(tblData[[#This Row],[Rental Date]],"mmmm")</f>
        <v>May</v>
      </c>
      <c r="E590" t="s">
        <v>56</v>
      </c>
      <c r="F590" t="str">
        <f>TEXT(WEEKNUM(tblData[[#This Row],[Rental Date]]),"00")</f>
        <v>21</v>
      </c>
      <c r="G590" s="1">
        <f>EOMONTH(tblData[[#This Row],[Rental Date]],0)</f>
        <v>46173</v>
      </c>
      <c r="H590" t="s">
        <v>204</v>
      </c>
      <c r="I590" t="s">
        <v>23</v>
      </c>
      <c r="J590" t="s">
        <v>127</v>
      </c>
      <c r="K590" t="s">
        <v>60</v>
      </c>
      <c r="L590">
        <v>1</v>
      </c>
      <c r="M590" s="2">
        <v>10.8</v>
      </c>
      <c r="N590" t="s">
        <v>89</v>
      </c>
      <c r="O590" s="3">
        <v>6</v>
      </c>
      <c r="P590" s="3">
        <v>0</v>
      </c>
      <c r="Q590" s="2">
        <v>16.8</v>
      </c>
      <c r="R590" t="s">
        <v>62</v>
      </c>
      <c r="S590" t="s">
        <v>54</v>
      </c>
      <c r="T590" t="s">
        <v>29</v>
      </c>
      <c r="U590" t="s">
        <v>79</v>
      </c>
    </row>
    <row r="591" spans="1:21" x14ac:dyDescent="0.35">
      <c r="A591" t="s">
        <v>669</v>
      </c>
      <c r="B591" s="1">
        <v>46165</v>
      </c>
      <c r="C591" t="str">
        <f>TEXT(tblData[[#This Row],[Rental Date]],"mmm")</f>
        <v>May</v>
      </c>
      <c r="D591" t="str">
        <f>TEXT(tblData[[#This Row],[Rental Date]],"mmmm")</f>
        <v>May</v>
      </c>
      <c r="E591" t="s">
        <v>56</v>
      </c>
      <c r="F591" t="str">
        <f>TEXT(WEEKNUM(tblData[[#This Row],[Rental Date]]),"00")</f>
        <v>21</v>
      </c>
      <c r="G591" s="1">
        <f>EOMONTH(tblData[[#This Row],[Rental Date]],0)</f>
        <v>46173</v>
      </c>
      <c r="H591" t="s">
        <v>204</v>
      </c>
      <c r="I591" t="s">
        <v>23</v>
      </c>
      <c r="J591" t="s">
        <v>44</v>
      </c>
      <c r="K591" t="s">
        <v>60</v>
      </c>
      <c r="L591">
        <v>1</v>
      </c>
      <c r="M591" s="2">
        <v>36.72</v>
      </c>
      <c r="N591" t="s">
        <v>26</v>
      </c>
      <c r="O591" s="3">
        <v>0</v>
      </c>
      <c r="P591" s="3">
        <v>0</v>
      </c>
      <c r="Q591" s="2">
        <v>36.72</v>
      </c>
      <c r="R591" t="s">
        <v>71</v>
      </c>
      <c r="S591" t="s">
        <v>35</v>
      </c>
      <c r="T591" t="s">
        <v>51</v>
      </c>
      <c r="U591" t="s">
        <v>30</v>
      </c>
    </row>
    <row r="592" spans="1:21" x14ac:dyDescent="0.35">
      <c r="A592" t="s">
        <v>670</v>
      </c>
      <c r="B592" s="1">
        <v>46165</v>
      </c>
      <c r="C592" t="str">
        <f>TEXT(tblData[[#This Row],[Rental Date]],"mmm")</f>
        <v>May</v>
      </c>
      <c r="D592" t="str">
        <f>TEXT(tblData[[#This Row],[Rental Date]],"mmmm")</f>
        <v>May</v>
      </c>
      <c r="E592" t="s">
        <v>56</v>
      </c>
      <c r="F592" t="str">
        <f>TEXT(WEEKNUM(tblData[[#This Row],[Rental Date]]),"00")</f>
        <v>21</v>
      </c>
      <c r="G592" s="1">
        <f>EOMONTH(tblData[[#This Row],[Rental Date]],0)</f>
        <v>46173</v>
      </c>
      <c r="H592" t="s">
        <v>204</v>
      </c>
      <c r="I592" t="s">
        <v>53</v>
      </c>
      <c r="J592" t="s">
        <v>127</v>
      </c>
      <c r="K592" t="s">
        <v>60</v>
      </c>
      <c r="L592">
        <v>1</v>
      </c>
      <c r="M592" s="2">
        <v>10.8</v>
      </c>
      <c r="N592" t="s">
        <v>41</v>
      </c>
      <c r="O592" s="3">
        <v>5</v>
      </c>
      <c r="P592" s="3">
        <v>2.37</v>
      </c>
      <c r="Q592" s="2">
        <v>13.43</v>
      </c>
      <c r="R592" t="s">
        <v>76</v>
      </c>
      <c r="S592" t="s">
        <v>46</v>
      </c>
      <c r="T592" t="s">
        <v>51</v>
      </c>
      <c r="U592" t="s">
        <v>58</v>
      </c>
    </row>
    <row r="593" spans="1:21" x14ac:dyDescent="0.35">
      <c r="A593" t="s">
        <v>671</v>
      </c>
      <c r="B593" s="1">
        <v>46165</v>
      </c>
      <c r="C593" t="str">
        <f>TEXT(tblData[[#This Row],[Rental Date]],"mmm")</f>
        <v>May</v>
      </c>
      <c r="D593" t="str">
        <f>TEXT(tblData[[#This Row],[Rental Date]],"mmmm")</f>
        <v>May</v>
      </c>
      <c r="E593" t="s">
        <v>56</v>
      </c>
      <c r="F593" t="str">
        <f>TEXT(WEEKNUM(tblData[[#This Row],[Rental Date]]),"00")</f>
        <v>21</v>
      </c>
      <c r="G593" s="1">
        <f>EOMONTH(tblData[[#This Row],[Rental Date]],0)</f>
        <v>46173</v>
      </c>
      <c r="H593" t="s">
        <v>204</v>
      </c>
      <c r="I593" t="s">
        <v>48</v>
      </c>
      <c r="J593" t="s">
        <v>78</v>
      </c>
      <c r="K593" t="s">
        <v>92</v>
      </c>
      <c r="L593">
        <v>1</v>
      </c>
      <c r="M593" s="2">
        <v>95.04</v>
      </c>
      <c r="N593" t="s">
        <v>87</v>
      </c>
      <c r="O593" s="3">
        <v>10</v>
      </c>
      <c r="P593" s="3">
        <v>0</v>
      </c>
      <c r="Q593" s="2">
        <v>105.04</v>
      </c>
      <c r="R593" t="s">
        <v>76</v>
      </c>
      <c r="S593" t="s">
        <v>46</v>
      </c>
      <c r="T593" t="s">
        <v>51</v>
      </c>
      <c r="U593" t="s">
        <v>30</v>
      </c>
    </row>
    <row r="594" spans="1:21" x14ac:dyDescent="0.35">
      <c r="A594" t="s">
        <v>672</v>
      </c>
      <c r="B594" s="1">
        <v>46165</v>
      </c>
      <c r="C594" t="str">
        <f>TEXT(tblData[[#This Row],[Rental Date]],"mmm")</f>
        <v>May</v>
      </c>
      <c r="D594" t="str">
        <f>TEXT(tblData[[#This Row],[Rental Date]],"mmmm")</f>
        <v>May</v>
      </c>
      <c r="E594" t="s">
        <v>56</v>
      </c>
      <c r="F594" t="str">
        <f>TEXT(WEEKNUM(tblData[[#This Row],[Rental Date]]),"00")</f>
        <v>21</v>
      </c>
      <c r="G594" s="1">
        <f>EOMONTH(tblData[[#This Row],[Rental Date]],0)</f>
        <v>46173</v>
      </c>
      <c r="H594" t="s">
        <v>204</v>
      </c>
      <c r="I594" t="s">
        <v>39</v>
      </c>
      <c r="J594" t="s">
        <v>86</v>
      </c>
      <c r="K594" t="s">
        <v>60</v>
      </c>
      <c r="L594">
        <v>1</v>
      </c>
      <c r="M594" s="2">
        <v>38.880000000000003</v>
      </c>
      <c r="N594" t="s">
        <v>26</v>
      </c>
      <c r="O594" s="3">
        <v>0</v>
      </c>
      <c r="P594" s="3">
        <v>0</v>
      </c>
      <c r="Q594" s="2">
        <v>38.880000000000003</v>
      </c>
      <c r="R594" t="s">
        <v>76</v>
      </c>
      <c r="S594" t="s">
        <v>46</v>
      </c>
      <c r="T594" t="s">
        <v>83</v>
      </c>
      <c r="U594" t="s">
        <v>30</v>
      </c>
    </row>
    <row r="595" spans="1:21" x14ac:dyDescent="0.35">
      <c r="A595" t="s">
        <v>673</v>
      </c>
      <c r="B595" s="1">
        <v>46165</v>
      </c>
      <c r="C595" t="str">
        <f>TEXT(tblData[[#This Row],[Rental Date]],"mmm")</f>
        <v>May</v>
      </c>
      <c r="D595" t="str">
        <f>TEXT(tblData[[#This Row],[Rental Date]],"mmmm")</f>
        <v>May</v>
      </c>
      <c r="E595" t="s">
        <v>56</v>
      </c>
      <c r="F595" t="str">
        <f>TEXT(WEEKNUM(tblData[[#This Row],[Rental Date]]),"00")</f>
        <v>21</v>
      </c>
      <c r="G595" s="1">
        <f>EOMONTH(tblData[[#This Row],[Rental Date]],0)</f>
        <v>46173</v>
      </c>
      <c r="H595" t="s">
        <v>204</v>
      </c>
      <c r="I595" t="s">
        <v>53</v>
      </c>
      <c r="J595" t="s">
        <v>78</v>
      </c>
      <c r="K595" t="s">
        <v>40</v>
      </c>
      <c r="L595">
        <v>1</v>
      </c>
      <c r="M595" s="2">
        <v>66.959999999999994</v>
      </c>
      <c r="N595" t="s">
        <v>61</v>
      </c>
      <c r="O595" s="3">
        <v>8</v>
      </c>
      <c r="P595" s="3">
        <v>11.24</v>
      </c>
      <c r="Q595" s="2">
        <v>63.72</v>
      </c>
      <c r="R595" t="s">
        <v>62</v>
      </c>
      <c r="S595" t="s">
        <v>28</v>
      </c>
      <c r="T595" t="s">
        <v>29</v>
      </c>
      <c r="U595" t="s">
        <v>79</v>
      </c>
    </row>
    <row r="596" spans="1:21" x14ac:dyDescent="0.35">
      <c r="A596" t="s">
        <v>674</v>
      </c>
      <c r="B596" s="1">
        <v>46165</v>
      </c>
      <c r="C596" t="str">
        <f>TEXT(tblData[[#This Row],[Rental Date]],"mmm")</f>
        <v>May</v>
      </c>
      <c r="D596" t="str">
        <f>TEXT(tblData[[#This Row],[Rental Date]],"mmmm")</f>
        <v>May</v>
      </c>
      <c r="E596" t="s">
        <v>56</v>
      </c>
      <c r="F596" t="str">
        <f>TEXT(WEEKNUM(tblData[[#This Row],[Rental Date]]),"00")</f>
        <v>21</v>
      </c>
      <c r="G596" s="1">
        <f>EOMONTH(tblData[[#This Row],[Rental Date]],0)</f>
        <v>46173</v>
      </c>
      <c r="H596" t="s">
        <v>204</v>
      </c>
      <c r="I596" t="s">
        <v>48</v>
      </c>
      <c r="J596" t="s">
        <v>65</v>
      </c>
      <c r="K596" t="s">
        <v>25</v>
      </c>
      <c r="L596">
        <v>1</v>
      </c>
      <c r="M596" s="2">
        <v>19.440000000000001</v>
      </c>
      <c r="N596" t="s">
        <v>26</v>
      </c>
      <c r="O596" s="3">
        <v>0</v>
      </c>
      <c r="P596" s="3">
        <v>0</v>
      </c>
      <c r="Q596" s="2">
        <v>19.440000000000001</v>
      </c>
      <c r="R596" t="s">
        <v>27</v>
      </c>
      <c r="S596" t="s">
        <v>35</v>
      </c>
      <c r="T596" t="s">
        <v>90</v>
      </c>
      <c r="U596" t="s">
        <v>58</v>
      </c>
    </row>
    <row r="597" spans="1:21" x14ac:dyDescent="0.35">
      <c r="A597" t="s">
        <v>675</v>
      </c>
      <c r="B597" s="1">
        <v>46165</v>
      </c>
      <c r="C597" t="str">
        <f>TEXT(tblData[[#This Row],[Rental Date]],"mmm")</f>
        <v>May</v>
      </c>
      <c r="D597" t="str">
        <f>TEXT(tblData[[#This Row],[Rental Date]],"mmmm")</f>
        <v>May</v>
      </c>
      <c r="E597" t="s">
        <v>56</v>
      </c>
      <c r="F597" t="str">
        <f>TEXT(WEEKNUM(tblData[[#This Row],[Rental Date]]),"00")</f>
        <v>21</v>
      </c>
      <c r="G597" s="1">
        <f>EOMONTH(tblData[[#This Row],[Rental Date]],0)</f>
        <v>46173</v>
      </c>
      <c r="H597" t="s">
        <v>204</v>
      </c>
      <c r="I597" t="s">
        <v>48</v>
      </c>
      <c r="J597" t="s">
        <v>78</v>
      </c>
      <c r="K597" t="s">
        <v>60</v>
      </c>
      <c r="L597">
        <v>1</v>
      </c>
      <c r="M597" s="2">
        <v>28.08</v>
      </c>
      <c r="N597" t="s">
        <v>41</v>
      </c>
      <c r="O597" s="3">
        <v>5</v>
      </c>
      <c r="P597" s="3">
        <v>0</v>
      </c>
      <c r="Q597" s="2">
        <v>33.08</v>
      </c>
      <c r="R597" t="s">
        <v>57</v>
      </c>
      <c r="S597" t="s">
        <v>46</v>
      </c>
      <c r="T597" t="s">
        <v>63</v>
      </c>
      <c r="U597" t="s">
        <v>30</v>
      </c>
    </row>
    <row r="598" spans="1:21" x14ac:dyDescent="0.35">
      <c r="A598" t="s">
        <v>676</v>
      </c>
      <c r="B598" s="1">
        <v>46165</v>
      </c>
      <c r="C598" t="str">
        <f>TEXT(tblData[[#This Row],[Rental Date]],"mmm")</f>
        <v>May</v>
      </c>
      <c r="D598" t="str">
        <f>TEXT(tblData[[#This Row],[Rental Date]],"mmmm")</f>
        <v>May</v>
      </c>
      <c r="E598" t="s">
        <v>56</v>
      </c>
      <c r="F598" t="str">
        <f>TEXT(WEEKNUM(tblData[[#This Row],[Rental Date]]),"00")</f>
        <v>21</v>
      </c>
      <c r="G598" s="1">
        <f>EOMONTH(tblData[[#This Row],[Rental Date]],0)</f>
        <v>46173</v>
      </c>
      <c r="H598" t="s">
        <v>204</v>
      </c>
      <c r="I598" t="s">
        <v>32</v>
      </c>
      <c r="J598" t="s">
        <v>111</v>
      </c>
      <c r="K598" t="s">
        <v>25</v>
      </c>
      <c r="L598">
        <v>1</v>
      </c>
      <c r="M598" s="2">
        <v>23.76</v>
      </c>
      <c r="N598" t="s">
        <v>26</v>
      </c>
      <c r="O598" s="3">
        <v>0</v>
      </c>
      <c r="P598" s="3">
        <v>0</v>
      </c>
      <c r="Q598" s="2">
        <v>23.76</v>
      </c>
      <c r="R598" t="s">
        <v>94</v>
      </c>
      <c r="S598" t="s">
        <v>54</v>
      </c>
      <c r="T598" t="s">
        <v>51</v>
      </c>
      <c r="U598" t="s">
        <v>30</v>
      </c>
    </row>
    <row r="599" spans="1:21" x14ac:dyDescent="0.35">
      <c r="A599" t="s">
        <v>677</v>
      </c>
      <c r="B599" s="1">
        <v>46165</v>
      </c>
      <c r="C599" t="str">
        <f>TEXT(tblData[[#This Row],[Rental Date]],"mmm")</f>
        <v>May</v>
      </c>
      <c r="D599" t="str">
        <f>TEXT(tblData[[#This Row],[Rental Date]],"mmmm")</f>
        <v>May</v>
      </c>
      <c r="E599" t="s">
        <v>56</v>
      </c>
      <c r="F599" t="str">
        <f>TEXT(WEEKNUM(tblData[[#This Row],[Rental Date]]),"00")</f>
        <v>21</v>
      </c>
      <c r="G599" s="1">
        <f>EOMONTH(tblData[[#This Row],[Rental Date]],0)</f>
        <v>46173</v>
      </c>
      <c r="H599" t="s">
        <v>204</v>
      </c>
      <c r="I599" t="s">
        <v>39</v>
      </c>
      <c r="J599" t="s">
        <v>33</v>
      </c>
      <c r="K599" t="s">
        <v>25</v>
      </c>
      <c r="L599">
        <v>1</v>
      </c>
      <c r="M599" s="2">
        <v>41.04</v>
      </c>
      <c r="N599" t="s">
        <v>70</v>
      </c>
      <c r="O599" s="3">
        <v>7</v>
      </c>
      <c r="P599" s="3">
        <v>0</v>
      </c>
      <c r="Q599" s="2">
        <v>48.04</v>
      </c>
      <c r="R599" t="s">
        <v>42</v>
      </c>
      <c r="S599" t="s">
        <v>28</v>
      </c>
      <c r="T599" t="s">
        <v>51</v>
      </c>
      <c r="U599" t="s">
        <v>36</v>
      </c>
    </row>
    <row r="600" spans="1:21" x14ac:dyDescent="0.35">
      <c r="A600" t="s">
        <v>678</v>
      </c>
      <c r="B600" s="1">
        <v>46165</v>
      </c>
      <c r="C600" t="str">
        <f>TEXT(tblData[[#This Row],[Rental Date]],"mmm")</f>
        <v>May</v>
      </c>
      <c r="D600" t="str">
        <f>TEXT(tblData[[#This Row],[Rental Date]],"mmmm")</f>
        <v>May</v>
      </c>
      <c r="E600" t="s">
        <v>56</v>
      </c>
      <c r="F600" t="str">
        <f>TEXT(WEEKNUM(tblData[[#This Row],[Rental Date]]),"00")</f>
        <v>21</v>
      </c>
      <c r="G600" s="1">
        <f>EOMONTH(tblData[[#This Row],[Rental Date]],0)</f>
        <v>46173</v>
      </c>
      <c r="H600" t="s">
        <v>204</v>
      </c>
      <c r="I600" t="s">
        <v>48</v>
      </c>
      <c r="J600" t="s">
        <v>111</v>
      </c>
      <c r="K600" t="s">
        <v>25</v>
      </c>
      <c r="L600">
        <v>1</v>
      </c>
      <c r="M600" s="2">
        <v>23.76</v>
      </c>
      <c r="N600" t="s">
        <v>26</v>
      </c>
      <c r="O600" s="3">
        <v>0</v>
      </c>
      <c r="P600" s="3">
        <v>0</v>
      </c>
      <c r="Q600" s="2">
        <v>23.76</v>
      </c>
      <c r="R600" t="s">
        <v>76</v>
      </c>
      <c r="S600" t="s">
        <v>46</v>
      </c>
      <c r="T600" t="s">
        <v>51</v>
      </c>
      <c r="U600" t="s">
        <v>30</v>
      </c>
    </row>
    <row r="601" spans="1:21" x14ac:dyDescent="0.35">
      <c r="A601" t="s">
        <v>679</v>
      </c>
      <c r="B601" s="1">
        <v>46165</v>
      </c>
      <c r="C601" t="str">
        <f>TEXT(tblData[[#This Row],[Rental Date]],"mmm")</f>
        <v>May</v>
      </c>
      <c r="D601" t="str">
        <f>TEXT(tblData[[#This Row],[Rental Date]],"mmmm")</f>
        <v>May</v>
      </c>
      <c r="E601" t="s">
        <v>56</v>
      </c>
      <c r="F601" t="str">
        <f>TEXT(WEEKNUM(tblData[[#This Row],[Rental Date]]),"00")</f>
        <v>21</v>
      </c>
      <c r="G601" s="1">
        <f>EOMONTH(tblData[[#This Row],[Rental Date]],0)</f>
        <v>46173</v>
      </c>
      <c r="H601" t="s">
        <v>204</v>
      </c>
      <c r="I601" t="s">
        <v>23</v>
      </c>
      <c r="J601" t="s">
        <v>65</v>
      </c>
      <c r="K601" t="s">
        <v>40</v>
      </c>
      <c r="L601">
        <v>1</v>
      </c>
      <c r="M601" s="2">
        <v>30.24</v>
      </c>
      <c r="N601" t="s">
        <v>61</v>
      </c>
      <c r="O601" s="3">
        <v>8</v>
      </c>
      <c r="P601" s="3">
        <v>0</v>
      </c>
      <c r="Q601" s="2">
        <v>38.24</v>
      </c>
      <c r="R601" t="s">
        <v>76</v>
      </c>
      <c r="S601" t="s">
        <v>28</v>
      </c>
      <c r="T601" t="s">
        <v>51</v>
      </c>
      <c r="U601" t="s">
        <v>30</v>
      </c>
    </row>
    <row r="602" spans="1:21" x14ac:dyDescent="0.35">
      <c r="A602" t="s">
        <v>680</v>
      </c>
      <c r="B602" s="1">
        <v>46165</v>
      </c>
      <c r="C602" t="str">
        <f>TEXT(tblData[[#This Row],[Rental Date]],"mmm")</f>
        <v>May</v>
      </c>
      <c r="D602" t="str">
        <f>TEXT(tblData[[#This Row],[Rental Date]],"mmmm")</f>
        <v>May</v>
      </c>
      <c r="E602" t="s">
        <v>56</v>
      </c>
      <c r="F602" t="str">
        <f>TEXT(WEEKNUM(tblData[[#This Row],[Rental Date]]),"00")</f>
        <v>21</v>
      </c>
      <c r="G602" s="1">
        <f>EOMONTH(tblData[[#This Row],[Rental Date]],0)</f>
        <v>46173</v>
      </c>
      <c r="H602" t="s">
        <v>204</v>
      </c>
      <c r="I602" t="s">
        <v>48</v>
      </c>
      <c r="J602" t="s">
        <v>33</v>
      </c>
      <c r="K602" t="s">
        <v>60</v>
      </c>
      <c r="L602">
        <v>1</v>
      </c>
      <c r="M602" s="2">
        <v>25.92</v>
      </c>
      <c r="N602" t="s">
        <v>41</v>
      </c>
      <c r="O602" s="3">
        <v>5</v>
      </c>
      <c r="P602" s="3">
        <v>0</v>
      </c>
      <c r="Q602" s="2">
        <v>30.92</v>
      </c>
      <c r="R602" t="s">
        <v>45</v>
      </c>
      <c r="S602" t="s">
        <v>50</v>
      </c>
      <c r="T602" t="s">
        <v>51</v>
      </c>
      <c r="U602" t="s">
        <v>58</v>
      </c>
    </row>
    <row r="603" spans="1:21" x14ac:dyDescent="0.35">
      <c r="A603" t="s">
        <v>681</v>
      </c>
      <c r="B603" s="1">
        <v>46165</v>
      </c>
      <c r="C603" t="str">
        <f>TEXT(tblData[[#This Row],[Rental Date]],"mmm")</f>
        <v>May</v>
      </c>
      <c r="D603" t="str">
        <f>TEXT(tblData[[#This Row],[Rental Date]],"mmmm")</f>
        <v>May</v>
      </c>
      <c r="E603" t="s">
        <v>56</v>
      </c>
      <c r="F603" t="str">
        <f>TEXT(WEEKNUM(tblData[[#This Row],[Rental Date]]),"00")</f>
        <v>21</v>
      </c>
      <c r="G603" s="1">
        <f>EOMONTH(tblData[[#This Row],[Rental Date]],0)</f>
        <v>46173</v>
      </c>
      <c r="H603" t="s">
        <v>204</v>
      </c>
      <c r="I603" t="s">
        <v>23</v>
      </c>
      <c r="J603" t="s">
        <v>44</v>
      </c>
      <c r="K603" t="s">
        <v>40</v>
      </c>
      <c r="L603">
        <v>1</v>
      </c>
      <c r="M603" s="2">
        <v>84.24</v>
      </c>
      <c r="N603" t="s">
        <v>26</v>
      </c>
      <c r="O603" s="3">
        <v>0</v>
      </c>
      <c r="P603" s="3">
        <v>0</v>
      </c>
      <c r="Q603" s="2">
        <v>84.24</v>
      </c>
      <c r="R603" t="s">
        <v>76</v>
      </c>
      <c r="S603" t="s">
        <v>54</v>
      </c>
      <c r="T603" t="s">
        <v>29</v>
      </c>
      <c r="U603" t="s">
        <v>30</v>
      </c>
    </row>
    <row r="604" spans="1:21" x14ac:dyDescent="0.35">
      <c r="A604" t="s">
        <v>682</v>
      </c>
      <c r="B604" s="1">
        <v>46165</v>
      </c>
      <c r="C604" t="str">
        <f>TEXT(tblData[[#This Row],[Rental Date]],"mmm")</f>
        <v>May</v>
      </c>
      <c r="D604" t="str">
        <f>TEXT(tblData[[#This Row],[Rental Date]],"mmmm")</f>
        <v>May</v>
      </c>
      <c r="E604" t="s">
        <v>56</v>
      </c>
      <c r="F604" t="str">
        <f>TEXT(WEEKNUM(tblData[[#This Row],[Rental Date]]),"00")</f>
        <v>21</v>
      </c>
      <c r="G604" s="1">
        <f>EOMONTH(tblData[[#This Row],[Rental Date]],0)</f>
        <v>46173</v>
      </c>
      <c r="H604" t="s">
        <v>204</v>
      </c>
      <c r="I604" t="s">
        <v>32</v>
      </c>
      <c r="J604" t="s">
        <v>78</v>
      </c>
      <c r="K604" t="s">
        <v>40</v>
      </c>
      <c r="L604">
        <v>1</v>
      </c>
      <c r="M604" s="2">
        <v>66.959999999999994</v>
      </c>
      <c r="N604" t="s">
        <v>89</v>
      </c>
      <c r="O604" s="3">
        <v>6</v>
      </c>
      <c r="P604" s="3">
        <v>3.65</v>
      </c>
      <c r="Q604" s="2">
        <v>69.31</v>
      </c>
      <c r="R604" t="s">
        <v>71</v>
      </c>
      <c r="S604" t="s">
        <v>35</v>
      </c>
      <c r="T604" t="s">
        <v>29</v>
      </c>
      <c r="U604" t="s">
        <v>79</v>
      </c>
    </row>
    <row r="605" spans="1:21" x14ac:dyDescent="0.35">
      <c r="A605" t="s">
        <v>683</v>
      </c>
      <c r="B605" s="1">
        <v>46166</v>
      </c>
      <c r="C605" t="str">
        <f>TEXT(tblData[[#This Row],[Rental Date]],"mmm")</f>
        <v>May</v>
      </c>
      <c r="D605" t="str">
        <f>TEXT(tblData[[#This Row],[Rental Date]],"mmmm")</f>
        <v>May</v>
      </c>
      <c r="E605" t="s">
        <v>68</v>
      </c>
      <c r="F605" t="str">
        <f>TEXT(WEEKNUM(tblData[[#This Row],[Rental Date]]),"00")</f>
        <v>22</v>
      </c>
      <c r="G605" s="1">
        <f>EOMONTH(tblData[[#This Row],[Rental Date]],0)</f>
        <v>46173</v>
      </c>
      <c r="H605" t="s">
        <v>204</v>
      </c>
      <c r="I605" t="s">
        <v>48</v>
      </c>
      <c r="J605" t="s">
        <v>138</v>
      </c>
      <c r="K605" t="s">
        <v>25</v>
      </c>
      <c r="L605">
        <v>1</v>
      </c>
      <c r="M605" s="2">
        <v>51.84</v>
      </c>
      <c r="N605" t="s">
        <v>87</v>
      </c>
      <c r="O605" s="3">
        <v>10</v>
      </c>
      <c r="P605" s="3">
        <v>0</v>
      </c>
      <c r="Q605" s="2">
        <v>61.84</v>
      </c>
      <c r="R605" t="s">
        <v>27</v>
      </c>
      <c r="S605" t="s">
        <v>35</v>
      </c>
      <c r="T605" t="s">
        <v>63</v>
      </c>
      <c r="U605" t="s">
        <v>30</v>
      </c>
    </row>
    <row r="606" spans="1:21" x14ac:dyDescent="0.35">
      <c r="A606" t="s">
        <v>684</v>
      </c>
      <c r="B606" s="1">
        <v>46166</v>
      </c>
      <c r="C606" t="str">
        <f>TEXT(tblData[[#This Row],[Rental Date]],"mmm")</f>
        <v>May</v>
      </c>
      <c r="D606" t="str">
        <f>TEXT(tblData[[#This Row],[Rental Date]],"mmmm")</f>
        <v>May</v>
      </c>
      <c r="E606" t="s">
        <v>68</v>
      </c>
      <c r="F606" t="str">
        <f>TEXT(WEEKNUM(tblData[[#This Row],[Rental Date]]),"00")</f>
        <v>22</v>
      </c>
      <c r="G606" s="1">
        <f>EOMONTH(tblData[[#This Row],[Rental Date]],0)</f>
        <v>46173</v>
      </c>
      <c r="H606" t="s">
        <v>204</v>
      </c>
      <c r="I606" t="s">
        <v>32</v>
      </c>
      <c r="J606" t="s">
        <v>111</v>
      </c>
      <c r="K606" t="s">
        <v>60</v>
      </c>
      <c r="L606">
        <v>1</v>
      </c>
      <c r="M606" s="2">
        <v>15.12</v>
      </c>
      <c r="N606" t="s">
        <v>41</v>
      </c>
      <c r="O606" s="3">
        <v>5</v>
      </c>
      <c r="P606" s="3">
        <v>0</v>
      </c>
      <c r="Q606" s="2">
        <v>20.12</v>
      </c>
      <c r="R606" t="s">
        <v>34</v>
      </c>
      <c r="S606" t="s">
        <v>28</v>
      </c>
      <c r="T606" t="s">
        <v>29</v>
      </c>
      <c r="U606" t="s">
        <v>30</v>
      </c>
    </row>
    <row r="607" spans="1:21" x14ac:dyDescent="0.35">
      <c r="A607" t="s">
        <v>685</v>
      </c>
      <c r="B607" s="1">
        <v>46166</v>
      </c>
      <c r="C607" t="str">
        <f>TEXT(tblData[[#This Row],[Rental Date]],"mmm")</f>
        <v>May</v>
      </c>
      <c r="D607" t="str">
        <f>TEXT(tblData[[#This Row],[Rental Date]],"mmmm")</f>
        <v>May</v>
      </c>
      <c r="E607" t="s">
        <v>68</v>
      </c>
      <c r="F607" t="str">
        <f>TEXT(WEEKNUM(tblData[[#This Row],[Rental Date]]),"00")</f>
        <v>22</v>
      </c>
      <c r="G607" s="1">
        <f>EOMONTH(tblData[[#This Row],[Rental Date]],0)</f>
        <v>46173</v>
      </c>
      <c r="H607" t="s">
        <v>204</v>
      </c>
      <c r="I607" t="s">
        <v>39</v>
      </c>
      <c r="J607" t="s">
        <v>44</v>
      </c>
      <c r="K607" t="s">
        <v>60</v>
      </c>
      <c r="L607">
        <v>1</v>
      </c>
      <c r="M607" s="2">
        <v>36.72</v>
      </c>
      <c r="N607" t="s">
        <v>87</v>
      </c>
      <c r="O607" s="3">
        <v>10</v>
      </c>
      <c r="P607" s="3">
        <v>2.34</v>
      </c>
      <c r="Q607" s="2">
        <v>44.38</v>
      </c>
      <c r="R607" t="s">
        <v>66</v>
      </c>
      <c r="S607" t="s">
        <v>50</v>
      </c>
      <c r="T607" t="s">
        <v>29</v>
      </c>
      <c r="U607" t="s">
        <v>36</v>
      </c>
    </row>
    <row r="608" spans="1:21" x14ac:dyDescent="0.35">
      <c r="A608" t="s">
        <v>686</v>
      </c>
      <c r="B608" s="1">
        <v>46166</v>
      </c>
      <c r="C608" t="str">
        <f>TEXT(tblData[[#This Row],[Rental Date]],"mmm")</f>
        <v>May</v>
      </c>
      <c r="D608" t="str">
        <f>TEXT(tblData[[#This Row],[Rental Date]],"mmmm")</f>
        <v>May</v>
      </c>
      <c r="E608" t="s">
        <v>68</v>
      </c>
      <c r="F608" t="str">
        <f>TEXT(WEEKNUM(tblData[[#This Row],[Rental Date]]),"00")</f>
        <v>22</v>
      </c>
      <c r="G608" s="1">
        <f>EOMONTH(tblData[[#This Row],[Rental Date]],0)</f>
        <v>46173</v>
      </c>
      <c r="H608" t="s">
        <v>204</v>
      </c>
      <c r="I608" t="s">
        <v>23</v>
      </c>
      <c r="J608" t="s">
        <v>33</v>
      </c>
      <c r="K608" t="s">
        <v>92</v>
      </c>
      <c r="L608">
        <v>1</v>
      </c>
      <c r="M608" s="2">
        <v>90.72</v>
      </c>
      <c r="N608" t="s">
        <v>26</v>
      </c>
      <c r="O608" s="3">
        <v>0</v>
      </c>
      <c r="P608" s="3">
        <v>4.54</v>
      </c>
      <c r="Q608" s="2">
        <v>86.18</v>
      </c>
      <c r="R608" t="s">
        <v>66</v>
      </c>
      <c r="S608" t="s">
        <v>28</v>
      </c>
      <c r="T608" t="s">
        <v>51</v>
      </c>
      <c r="U608" t="s">
        <v>30</v>
      </c>
    </row>
    <row r="609" spans="1:21" x14ac:dyDescent="0.35">
      <c r="A609" t="s">
        <v>687</v>
      </c>
      <c r="B609" s="1">
        <v>46166</v>
      </c>
      <c r="C609" t="str">
        <f>TEXT(tblData[[#This Row],[Rental Date]],"mmm")</f>
        <v>May</v>
      </c>
      <c r="D609" t="str">
        <f>TEXT(tblData[[#This Row],[Rental Date]],"mmmm")</f>
        <v>May</v>
      </c>
      <c r="E609" t="s">
        <v>68</v>
      </c>
      <c r="F609" t="str">
        <f>TEXT(WEEKNUM(tblData[[#This Row],[Rental Date]]),"00")</f>
        <v>22</v>
      </c>
      <c r="G609" s="1">
        <f>EOMONTH(tblData[[#This Row],[Rental Date]],0)</f>
        <v>46173</v>
      </c>
      <c r="H609" t="s">
        <v>204</v>
      </c>
      <c r="I609" t="s">
        <v>39</v>
      </c>
      <c r="J609" t="s">
        <v>49</v>
      </c>
      <c r="K609" t="s">
        <v>40</v>
      </c>
      <c r="L609">
        <v>1</v>
      </c>
      <c r="M609" s="2">
        <v>58.32</v>
      </c>
      <c r="N609" t="s">
        <v>70</v>
      </c>
      <c r="O609" s="3">
        <v>7</v>
      </c>
      <c r="P609" s="3">
        <v>0</v>
      </c>
      <c r="Q609" s="2">
        <v>65.319999999999993</v>
      </c>
      <c r="R609" t="s">
        <v>42</v>
      </c>
      <c r="S609" t="s">
        <v>46</v>
      </c>
      <c r="T609" t="s">
        <v>51</v>
      </c>
      <c r="U609" t="s">
        <v>58</v>
      </c>
    </row>
    <row r="610" spans="1:21" x14ac:dyDescent="0.35">
      <c r="A610" t="s">
        <v>688</v>
      </c>
      <c r="B610" s="1">
        <v>46167</v>
      </c>
      <c r="C610" t="str">
        <f>TEXT(tblData[[#This Row],[Rental Date]],"mmm")</f>
        <v>May</v>
      </c>
      <c r="D610" t="str">
        <f>TEXT(tblData[[#This Row],[Rental Date]],"mmmm")</f>
        <v>May</v>
      </c>
      <c r="E610" t="s">
        <v>74</v>
      </c>
      <c r="F610" t="str">
        <f>TEXT(WEEKNUM(tblData[[#This Row],[Rental Date]]),"00")</f>
        <v>22</v>
      </c>
      <c r="G610" s="1">
        <f>EOMONTH(tblData[[#This Row],[Rental Date]],0)</f>
        <v>46173</v>
      </c>
      <c r="H610" t="s">
        <v>204</v>
      </c>
      <c r="I610" t="s">
        <v>48</v>
      </c>
      <c r="J610" t="s">
        <v>33</v>
      </c>
      <c r="K610" t="s">
        <v>60</v>
      </c>
      <c r="L610">
        <v>1</v>
      </c>
      <c r="M610" s="2">
        <v>27.6</v>
      </c>
      <c r="N610" t="s">
        <v>87</v>
      </c>
      <c r="O610" s="3">
        <v>10</v>
      </c>
      <c r="P610" s="3">
        <v>0</v>
      </c>
      <c r="Q610" s="2">
        <v>37.6</v>
      </c>
      <c r="R610" t="s">
        <v>57</v>
      </c>
      <c r="S610" t="s">
        <v>50</v>
      </c>
      <c r="T610" t="s">
        <v>29</v>
      </c>
      <c r="U610" t="s">
        <v>30</v>
      </c>
    </row>
    <row r="611" spans="1:21" x14ac:dyDescent="0.35">
      <c r="A611" t="s">
        <v>689</v>
      </c>
      <c r="B611" s="1">
        <v>46167</v>
      </c>
      <c r="C611" t="str">
        <f>TEXT(tblData[[#This Row],[Rental Date]],"mmm")</f>
        <v>May</v>
      </c>
      <c r="D611" t="str">
        <f>TEXT(tblData[[#This Row],[Rental Date]],"mmmm")</f>
        <v>May</v>
      </c>
      <c r="E611" t="s">
        <v>74</v>
      </c>
      <c r="F611" t="str">
        <f>TEXT(WEEKNUM(tblData[[#This Row],[Rental Date]]),"00")</f>
        <v>22</v>
      </c>
      <c r="G611" s="1">
        <f>EOMONTH(tblData[[#This Row],[Rental Date]],0)</f>
        <v>46173</v>
      </c>
      <c r="H611" t="s">
        <v>204</v>
      </c>
      <c r="I611" t="s">
        <v>48</v>
      </c>
      <c r="J611" t="s">
        <v>33</v>
      </c>
      <c r="K611" t="s">
        <v>25</v>
      </c>
      <c r="L611">
        <v>1</v>
      </c>
      <c r="M611" s="2">
        <v>43.7</v>
      </c>
      <c r="N611" t="s">
        <v>26</v>
      </c>
      <c r="O611" s="3">
        <v>0</v>
      </c>
      <c r="P611" s="3">
        <v>0</v>
      </c>
      <c r="Q611" s="2">
        <v>43.7</v>
      </c>
      <c r="R611" t="s">
        <v>66</v>
      </c>
      <c r="S611" t="s">
        <v>54</v>
      </c>
      <c r="T611" t="s">
        <v>29</v>
      </c>
      <c r="U611" t="s">
        <v>36</v>
      </c>
    </row>
    <row r="612" spans="1:21" x14ac:dyDescent="0.35">
      <c r="A612" t="s">
        <v>690</v>
      </c>
      <c r="B612" s="1">
        <v>46167</v>
      </c>
      <c r="C612" t="str">
        <f>TEXT(tblData[[#This Row],[Rental Date]],"mmm")</f>
        <v>May</v>
      </c>
      <c r="D612" t="str">
        <f>TEXT(tblData[[#This Row],[Rental Date]],"mmmm")</f>
        <v>May</v>
      </c>
      <c r="E612" t="s">
        <v>74</v>
      </c>
      <c r="F612" t="str">
        <f>TEXT(WEEKNUM(tblData[[#This Row],[Rental Date]]),"00")</f>
        <v>22</v>
      </c>
      <c r="G612" s="1">
        <f>EOMONTH(tblData[[#This Row],[Rental Date]],0)</f>
        <v>46173</v>
      </c>
      <c r="H612" t="s">
        <v>204</v>
      </c>
      <c r="I612" t="s">
        <v>48</v>
      </c>
      <c r="J612" t="s">
        <v>111</v>
      </c>
      <c r="K612" t="s">
        <v>92</v>
      </c>
      <c r="L612">
        <v>1</v>
      </c>
      <c r="M612" s="2">
        <v>55.2</v>
      </c>
      <c r="N612" t="s">
        <v>26</v>
      </c>
      <c r="O612" s="3">
        <v>0</v>
      </c>
      <c r="P612" s="3">
        <v>0</v>
      </c>
      <c r="Q612" s="2">
        <v>55.2</v>
      </c>
      <c r="R612" t="s">
        <v>45</v>
      </c>
      <c r="S612" t="s">
        <v>46</v>
      </c>
      <c r="T612" t="s">
        <v>63</v>
      </c>
      <c r="U612" t="s">
        <v>58</v>
      </c>
    </row>
    <row r="613" spans="1:21" x14ac:dyDescent="0.35">
      <c r="A613" t="s">
        <v>691</v>
      </c>
      <c r="B613" s="1">
        <v>46167</v>
      </c>
      <c r="C613" t="str">
        <f>TEXT(tblData[[#This Row],[Rental Date]],"mmm")</f>
        <v>May</v>
      </c>
      <c r="D613" t="str">
        <f>TEXT(tblData[[#This Row],[Rental Date]],"mmmm")</f>
        <v>May</v>
      </c>
      <c r="E613" t="s">
        <v>74</v>
      </c>
      <c r="F613" t="str">
        <f>TEXT(WEEKNUM(tblData[[#This Row],[Rental Date]]),"00")</f>
        <v>22</v>
      </c>
      <c r="G613" s="1">
        <f>EOMONTH(tblData[[#This Row],[Rental Date]],0)</f>
        <v>46173</v>
      </c>
      <c r="H613" t="s">
        <v>204</v>
      </c>
      <c r="I613" t="s">
        <v>48</v>
      </c>
      <c r="J613" t="s">
        <v>111</v>
      </c>
      <c r="K613" t="s">
        <v>25</v>
      </c>
      <c r="L613">
        <v>1</v>
      </c>
      <c r="M613" s="2">
        <v>25.3</v>
      </c>
      <c r="N613" t="s">
        <v>87</v>
      </c>
      <c r="O613" s="3">
        <v>10</v>
      </c>
      <c r="P613" s="3">
        <v>0</v>
      </c>
      <c r="Q613" s="2">
        <v>35.299999999999997</v>
      </c>
      <c r="R613" t="s">
        <v>71</v>
      </c>
      <c r="S613" t="s">
        <v>54</v>
      </c>
      <c r="T613" t="s">
        <v>29</v>
      </c>
      <c r="U613" t="s">
        <v>58</v>
      </c>
    </row>
    <row r="614" spans="1:21" x14ac:dyDescent="0.35">
      <c r="A614" t="s">
        <v>692</v>
      </c>
      <c r="B614" s="1">
        <v>46167</v>
      </c>
      <c r="C614" t="str">
        <f>TEXT(tblData[[#This Row],[Rental Date]],"mmm")</f>
        <v>May</v>
      </c>
      <c r="D614" t="str">
        <f>TEXT(tblData[[#This Row],[Rental Date]],"mmmm")</f>
        <v>May</v>
      </c>
      <c r="E614" t="s">
        <v>74</v>
      </c>
      <c r="F614" t="str">
        <f>TEXT(WEEKNUM(tblData[[#This Row],[Rental Date]]),"00")</f>
        <v>22</v>
      </c>
      <c r="G614" s="1">
        <f>EOMONTH(tblData[[#This Row],[Rental Date]],0)</f>
        <v>46173</v>
      </c>
      <c r="H614" t="s">
        <v>204</v>
      </c>
      <c r="I614" t="s">
        <v>48</v>
      </c>
      <c r="J614" t="s">
        <v>33</v>
      </c>
      <c r="K614" t="s">
        <v>60</v>
      </c>
      <c r="L614">
        <v>1</v>
      </c>
      <c r="M614" s="2">
        <v>27.6</v>
      </c>
      <c r="N614" t="s">
        <v>89</v>
      </c>
      <c r="O614" s="3">
        <v>6</v>
      </c>
      <c r="P614" s="3">
        <v>0</v>
      </c>
      <c r="Q614" s="2">
        <v>33.6</v>
      </c>
      <c r="R614" t="s">
        <v>76</v>
      </c>
      <c r="S614" t="s">
        <v>28</v>
      </c>
      <c r="T614" t="s">
        <v>90</v>
      </c>
      <c r="U614" t="s">
        <v>58</v>
      </c>
    </row>
    <row r="615" spans="1:21" x14ac:dyDescent="0.35">
      <c r="A615" t="s">
        <v>693</v>
      </c>
      <c r="B615" s="1">
        <v>46167</v>
      </c>
      <c r="C615" t="str">
        <f>TEXT(tblData[[#This Row],[Rental Date]],"mmm")</f>
        <v>May</v>
      </c>
      <c r="D615" t="str">
        <f>TEXT(tblData[[#This Row],[Rental Date]],"mmmm")</f>
        <v>May</v>
      </c>
      <c r="E615" t="s">
        <v>74</v>
      </c>
      <c r="F615" t="str">
        <f>TEXT(WEEKNUM(tblData[[#This Row],[Rental Date]]),"00")</f>
        <v>22</v>
      </c>
      <c r="G615" s="1">
        <f>EOMONTH(tblData[[#This Row],[Rental Date]],0)</f>
        <v>46173</v>
      </c>
      <c r="H615" t="s">
        <v>204</v>
      </c>
      <c r="I615" t="s">
        <v>48</v>
      </c>
      <c r="J615" t="s">
        <v>33</v>
      </c>
      <c r="K615" t="s">
        <v>40</v>
      </c>
      <c r="L615">
        <v>1</v>
      </c>
      <c r="M615" s="2">
        <v>66.7</v>
      </c>
      <c r="N615" t="s">
        <v>26</v>
      </c>
      <c r="O615" s="3">
        <v>0</v>
      </c>
      <c r="P615" s="3">
        <v>0</v>
      </c>
      <c r="Q615" s="2">
        <v>66.7</v>
      </c>
      <c r="R615" t="s">
        <v>45</v>
      </c>
      <c r="S615" t="s">
        <v>35</v>
      </c>
      <c r="T615" t="s">
        <v>63</v>
      </c>
      <c r="U615" t="s">
        <v>30</v>
      </c>
    </row>
    <row r="616" spans="1:21" x14ac:dyDescent="0.35">
      <c r="A616" t="s">
        <v>694</v>
      </c>
      <c r="B616" s="1">
        <v>46167</v>
      </c>
      <c r="C616" t="str">
        <f>TEXT(tblData[[#This Row],[Rental Date]],"mmm")</f>
        <v>May</v>
      </c>
      <c r="D616" t="str">
        <f>TEXT(tblData[[#This Row],[Rental Date]],"mmmm")</f>
        <v>May</v>
      </c>
      <c r="E616" t="s">
        <v>74</v>
      </c>
      <c r="F616" t="str">
        <f>TEXT(WEEKNUM(tblData[[#This Row],[Rental Date]]),"00")</f>
        <v>22</v>
      </c>
      <c r="G616" s="1">
        <f>EOMONTH(tblData[[#This Row],[Rental Date]],0)</f>
        <v>46173</v>
      </c>
      <c r="H616" t="s">
        <v>204</v>
      </c>
      <c r="I616" t="s">
        <v>39</v>
      </c>
      <c r="J616" t="s">
        <v>49</v>
      </c>
      <c r="K616" t="s">
        <v>40</v>
      </c>
      <c r="L616">
        <v>1</v>
      </c>
      <c r="M616" s="2">
        <v>62.1</v>
      </c>
      <c r="N616" t="s">
        <v>61</v>
      </c>
      <c r="O616" s="3">
        <v>8</v>
      </c>
      <c r="P616" s="3">
        <v>0</v>
      </c>
      <c r="Q616" s="2">
        <v>70.099999999999994</v>
      </c>
      <c r="R616" t="s">
        <v>94</v>
      </c>
      <c r="S616" t="s">
        <v>50</v>
      </c>
      <c r="T616" t="s">
        <v>90</v>
      </c>
      <c r="U616" t="s">
        <v>58</v>
      </c>
    </row>
    <row r="617" spans="1:21" x14ac:dyDescent="0.35">
      <c r="A617" t="s">
        <v>695</v>
      </c>
      <c r="B617" s="1">
        <v>46167</v>
      </c>
      <c r="C617" t="str">
        <f>TEXT(tblData[[#This Row],[Rental Date]],"mmm")</f>
        <v>May</v>
      </c>
      <c r="D617" t="str">
        <f>TEXT(tblData[[#This Row],[Rental Date]],"mmmm")</f>
        <v>May</v>
      </c>
      <c r="E617" t="s">
        <v>74</v>
      </c>
      <c r="F617" t="str">
        <f>TEXT(WEEKNUM(tblData[[#This Row],[Rental Date]]),"00")</f>
        <v>22</v>
      </c>
      <c r="G617" s="1">
        <f>EOMONTH(tblData[[#This Row],[Rental Date]],0)</f>
        <v>46173</v>
      </c>
      <c r="H617" t="s">
        <v>204</v>
      </c>
      <c r="I617" t="s">
        <v>48</v>
      </c>
      <c r="J617" t="s">
        <v>111</v>
      </c>
      <c r="K617" t="s">
        <v>92</v>
      </c>
      <c r="L617">
        <v>1</v>
      </c>
      <c r="M617" s="2">
        <v>55.2</v>
      </c>
      <c r="N617" t="s">
        <v>70</v>
      </c>
      <c r="O617" s="3">
        <v>7</v>
      </c>
      <c r="P617" s="3">
        <v>0</v>
      </c>
      <c r="Q617" s="2">
        <v>62.2</v>
      </c>
      <c r="R617" t="s">
        <v>94</v>
      </c>
      <c r="S617" t="s">
        <v>50</v>
      </c>
      <c r="T617" t="s">
        <v>51</v>
      </c>
      <c r="U617" t="s">
        <v>79</v>
      </c>
    </row>
    <row r="618" spans="1:21" x14ac:dyDescent="0.35">
      <c r="A618" t="s">
        <v>696</v>
      </c>
      <c r="B618" s="1">
        <v>46167</v>
      </c>
      <c r="C618" t="str">
        <f>TEXT(tblData[[#This Row],[Rental Date]],"mmm")</f>
        <v>May</v>
      </c>
      <c r="D618" t="str">
        <f>TEXT(tblData[[#This Row],[Rental Date]],"mmmm")</f>
        <v>May</v>
      </c>
      <c r="E618" t="s">
        <v>74</v>
      </c>
      <c r="F618" t="str">
        <f>TEXT(WEEKNUM(tblData[[#This Row],[Rental Date]]),"00")</f>
        <v>22</v>
      </c>
      <c r="G618" s="1">
        <f>EOMONTH(tblData[[#This Row],[Rental Date]],0)</f>
        <v>46173</v>
      </c>
      <c r="H618" t="s">
        <v>204</v>
      </c>
      <c r="I618" t="s">
        <v>48</v>
      </c>
      <c r="J618" t="s">
        <v>78</v>
      </c>
      <c r="K618" t="s">
        <v>25</v>
      </c>
      <c r="L618">
        <v>1</v>
      </c>
      <c r="M618" s="2">
        <v>48.3</v>
      </c>
      <c r="N618" t="s">
        <v>41</v>
      </c>
      <c r="O618" s="3">
        <v>5</v>
      </c>
      <c r="P618" s="3">
        <v>0</v>
      </c>
      <c r="Q618" s="2">
        <v>53.3</v>
      </c>
      <c r="R618" t="s">
        <v>76</v>
      </c>
      <c r="S618" t="s">
        <v>46</v>
      </c>
      <c r="T618" t="s">
        <v>29</v>
      </c>
      <c r="U618" t="s">
        <v>58</v>
      </c>
    </row>
    <row r="619" spans="1:21" x14ac:dyDescent="0.35">
      <c r="A619" t="s">
        <v>697</v>
      </c>
      <c r="B619" s="1">
        <v>46167</v>
      </c>
      <c r="C619" t="str">
        <f>TEXT(tblData[[#This Row],[Rental Date]],"mmm")</f>
        <v>May</v>
      </c>
      <c r="D619" t="str">
        <f>TEXT(tblData[[#This Row],[Rental Date]],"mmmm")</f>
        <v>May</v>
      </c>
      <c r="E619" t="s">
        <v>74</v>
      </c>
      <c r="F619" t="str">
        <f>TEXT(WEEKNUM(tblData[[#This Row],[Rental Date]]),"00")</f>
        <v>22</v>
      </c>
      <c r="G619" s="1">
        <f>EOMONTH(tblData[[#This Row],[Rental Date]],0)</f>
        <v>46173</v>
      </c>
      <c r="H619" t="s">
        <v>204</v>
      </c>
      <c r="I619" t="s">
        <v>53</v>
      </c>
      <c r="J619" t="s">
        <v>33</v>
      </c>
      <c r="K619" t="s">
        <v>40</v>
      </c>
      <c r="L619">
        <v>1</v>
      </c>
      <c r="M619" s="2">
        <v>66.7</v>
      </c>
      <c r="N619" t="s">
        <v>41</v>
      </c>
      <c r="O619" s="3">
        <v>5</v>
      </c>
      <c r="P619" s="3">
        <v>7.17</v>
      </c>
      <c r="Q619" s="2">
        <v>64.53</v>
      </c>
      <c r="R619" t="s">
        <v>76</v>
      </c>
      <c r="S619" t="s">
        <v>54</v>
      </c>
      <c r="T619" t="s">
        <v>51</v>
      </c>
      <c r="U619" t="s">
        <v>30</v>
      </c>
    </row>
    <row r="620" spans="1:21" x14ac:dyDescent="0.35">
      <c r="A620" t="s">
        <v>698</v>
      </c>
      <c r="B620" s="1">
        <v>46167</v>
      </c>
      <c r="C620" t="str">
        <f>TEXT(tblData[[#This Row],[Rental Date]],"mmm")</f>
        <v>May</v>
      </c>
      <c r="D620" t="str">
        <f>TEXT(tblData[[#This Row],[Rental Date]],"mmmm")</f>
        <v>May</v>
      </c>
      <c r="E620" t="s">
        <v>74</v>
      </c>
      <c r="F620" t="str">
        <f>TEXT(WEEKNUM(tblData[[#This Row],[Rental Date]]),"00")</f>
        <v>22</v>
      </c>
      <c r="G620" s="1">
        <f>EOMONTH(tblData[[#This Row],[Rental Date]],0)</f>
        <v>46173</v>
      </c>
      <c r="H620" t="s">
        <v>204</v>
      </c>
      <c r="I620" t="s">
        <v>39</v>
      </c>
      <c r="J620" t="s">
        <v>127</v>
      </c>
      <c r="K620" t="s">
        <v>40</v>
      </c>
      <c r="L620">
        <v>1</v>
      </c>
      <c r="M620" s="2">
        <v>27.6</v>
      </c>
      <c r="N620" t="s">
        <v>26</v>
      </c>
      <c r="O620" s="3">
        <v>0</v>
      </c>
      <c r="P620" s="3">
        <v>0</v>
      </c>
      <c r="Q620" s="2">
        <v>27.6</v>
      </c>
      <c r="R620" t="s">
        <v>66</v>
      </c>
      <c r="S620" t="s">
        <v>46</v>
      </c>
      <c r="T620" t="s">
        <v>29</v>
      </c>
      <c r="U620" t="s">
        <v>79</v>
      </c>
    </row>
    <row r="621" spans="1:21" x14ac:dyDescent="0.35">
      <c r="A621" t="s">
        <v>699</v>
      </c>
      <c r="B621" s="1">
        <v>46167</v>
      </c>
      <c r="C621" t="str">
        <f>TEXT(tblData[[#This Row],[Rental Date]],"mmm")</f>
        <v>May</v>
      </c>
      <c r="D621" t="str">
        <f>TEXT(tblData[[#This Row],[Rental Date]],"mmmm")</f>
        <v>May</v>
      </c>
      <c r="E621" t="s">
        <v>74</v>
      </c>
      <c r="F621" t="str">
        <f>TEXT(WEEKNUM(tblData[[#This Row],[Rental Date]]),"00")</f>
        <v>22</v>
      </c>
      <c r="G621" s="1">
        <f>EOMONTH(tblData[[#This Row],[Rental Date]],0)</f>
        <v>46173</v>
      </c>
      <c r="H621" t="s">
        <v>204</v>
      </c>
      <c r="I621" t="s">
        <v>48</v>
      </c>
      <c r="J621" t="s">
        <v>127</v>
      </c>
      <c r="K621" t="s">
        <v>25</v>
      </c>
      <c r="L621">
        <v>1</v>
      </c>
      <c r="M621" s="2">
        <v>18.399999999999999</v>
      </c>
      <c r="N621" t="s">
        <v>26</v>
      </c>
      <c r="O621" s="3">
        <v>0</v>
      </c>
      <c r="P621" s="3">
        <v>0</v>
      </c>
      <c r="Q621" s="2">
        <v>18.399999999999999</v>
      </c>
      <c r="R621" t="s">
        <v>76</v>
      </c>
      <c r="S621" t="s">
        <v>35</v>
      </c>
      <c r="T621" t="s">
        <v>29</v>
      </c>
      <c r="U621" t="s">
        <v>30</v>
      </c>
    </row>
    <row r="622" spans="1:21" x14ac:dyDescent="0.35">
      <c r="A622" t="s">
        <v>700</v>
      </c>
      <c r="B622" s="1">
        <v>46167</v>
      </c>
      <c r="C622" t="str">
        <f>TEXT(tblData[[#This Row],[Rental Date]],"mmm")</f>
        <v>May</v>
      </c>
      <c r="D622" t="str">
        <f>TEXT(tblData[[#This Row],[Rental Date]],"mmmm")</f>
        <v>May</v>
      </c>
      <c r="E622" t="s">
        <v>74</v>
      </c>
      <c r="F622" t="str">
        <f>TEXT(WEEKNUM(tblData[[#This Row],[Rental Date]]),"00")</f>
        <v>22</v>
      </c>
      <c r="G622" s="1">
        <f>EOMONTH(tblData[[#This Row],[Rental Date]],0)</f>
        <v>46173</v>
      </c>
      <c r="H622" t="s">
        <v>204</v>
      </c>
      <c r="I622" t="s">
        <v>39</v>
      </c>
      <c r="J622" t="s">
        <v>65</v>
      </c>
      <c r="K622" t="s">
        <v>25</v>
      </c>
      <c r="L622">
        <v>1</v>
      </c>
      <c r="M622" s="2">
        <v>20.7</v>
      </c>
      <c r="N622" t="s">
        <v>87</v>
      </c>
      <c r="O622" s="3">
        <v>10</v>
      </c>
      <c r="P622" s="3">
        <v>0</v>
      </c>
      <c r="Q622" s="2">
        <v>30.7</v>
      </c>
      <c r="R622" t="s">
        <v>94</v>
      </c>
      <c r="S622" t="s">
        <v>50</v>
      </c>
      <c r="T622" t="s">
        <v>90</v>
      </c>
      <c r="U622" t="s">
        <v>30</v>
      </c>
    </row>
    <row r="623" spans="1:21" x14ac:dyDescent="0.35">
      <c r="A623" t="s">
        <v>701</v>
      </c>
      <c r="B623" s="1">
        <v>46167</v>
      </c>
      <c r="C623" t="str">
        <f>TEXT(tblData[[#This Row],[Rental Date]],"mmm")</f>
        <v>May</v>
      </c>
      <c r="D623" t="str">
        <f>TEXT(tblData[[#This Row],[Rental Date]],"mmmm")</f>
        <v>May</v>
      </c>
      <c r="E623" t="s">
        <v>74</v>
      </c>
      <c r="F623" t="str">
        <f>TEXT(WEEKNUM(tblData[[#This Row],[Rental Date]]),"00")</f>
        <v>22</v>
      </c>
      <c r="G623" s="1">
        <f>EOMONTH(tblData[[#This Row],[Rental Date]],0)</f>
        <v>46173</v>
      </c>
      <c r="H623" t="s">
        <v>204</v>
      </c>
      <c r="I623" t="s">
        <v>39</v>
      </c>
      <c r="J623" t="s">
        <v>49</v>
      </c>
      <c r="K623" t="s">
        <v>40</v>
      </c>
      <c r="L623">
        <v>1</v>
      </c>
      <c r="M623" s="2">
        <v>62.1</v>
      </c>
      <c r="N623" t="s">
        <v>89</v>
      </c>
      <c r="O623" s="3">
        <v>6</v>
      </c>
      <c r="P623" s="3">
        <v>0</v>
      </c>
      <c r="Q623" s="2">
        <v>68.099999999999994</v>
      </c>
      <c r="R623" t="s">
        <v>62</v>
      </c>
      <c r="S623" t="s">
        <v>46</v>
      </c>
      <c r="T623" t="s">
        <v>90</v>
      </c>
      <c r="U623" t="s">
        <v>58</v>
      </c>
    </row>
    <row r="624" spans="1:21" x14ac:dyDescent="0.35">
      <c r="A624" t="s">
        <v>702</v>
      </c>
      <c r="B624" s="1">
        <v>46168</v>
      </c>
      <c r="C624" t="str">
        <f>TEXT(tblData[[#This Row],[Rental Date]],"mmm")</f>
        <v>May</v>
      </c>
      <c r="D624" t="str">
        <f>TEXT(tblData[[#This Row],[Rental Date]],"mmmm")</f>
        <v>May</v>
      </c>
      <c r="E624" t="s">
        <v>102</v>
      </c>
      <c r="F624" t="str">
        <f>TEXT(WEEKNUM(tblData[[#This Row],[Rental Date]]),"00")</f>
        <v>22</v>
      </c>
      <c r="G624" s="1">
        <f>EOMONTH(tblData[[#This Row],[Rental Date]],0)</f>
        <v>46173</v>
      </c>
      <c r="H624" t="s">
        <v>204</v>
      </c>
      <c r="I624" t="s">
        <v>23</v>
      </c>
      <c r="J624" t="s">
        <v>65</v>
      </c>
      <c r="K624" t="s">
        <v>40</v>
      </c>
      <c r="L624">
        <v>1</v>
      </c>
      <c r="M624" s="2">
        <v>28</v>
      </c>
      <c r="N624" t="s">
        <v>26</v>
      </c>
      <c r="O624" s="3">
        <v>0</v>
      </c>
      <c r="P624" s="3">
        <v>0</v>
      </c>
      <c r="Q624" s="2">
        <v>28</v>
      </c>
      <c r="R624" t="s">
        <v>66</v>
      </c>
      <c r="S624" t="s">
        <v>50</v>
      </c>
      <c r="T624" t="s">
        <v>51</v>
      </c>
      <c r="U624" t="s">
        <v>30</v>
      </c>
    </row>
    <row r="625" spans="1:21" x14ac:dyDescent="0.35">
      <c r="A625" t="s">
        <v>703</v>
      </c>
      <c r="B625" s="1">
        <v>46168</v>
      </c>
      <c r="C625" t="str">
        <f>TEXT(tblData[[#This Row],[Rental Date]],"mmm")</f>
        <v>May</v>
      </c>
      <c r="D625" t="str">
        <f>TEXT(tblData[[#This Row],[Rental Date]],"mmmm")</f>
        <v>May</v>
      </c>
      <c r="E625" t="s">
        <v>102</v>
      </c>
      <c r="F625" t="str">
        <f>TEXT(WEEKNUM(tblData[[#This Row],[Rental Date]]),"00")</f>
        <v>22</v>
      </c>
      <c r="G625" s="1">
        <f>EOMONTH(tblData[[#This Row],[Rental Date]],0)</f>
        <v>46173</v>
      </c>
      <c r="H625" t="s">
        <v>204</v>
      </c>
      <c r="I625" t="s">
        <v>32</v>
      </c>
      <c r="J625" t="s">
        <v>78</v>
      </c>
      <c r="K625" t="s">
        <v>60</v>
      </c>
      <c r="L625">
        <v>1</v>
      </c>
      <c r="M625" s="2">
        <v>26</v>
      </c>
      <c r="N625" t="s">
        <v>61</v>
      </c>
      <c r="O625" s="3">
        <v>8</v>
      </c>
      <c r="P625" s="3">
        <v>0</v>
      </c>
      <c r="Q625" s="2">
        <v>34</v>
      </c>
      <c r="R625" t="s">
        <v>57</v>
      </c>
      <c r="S625" t="s">
        <v>28</v>
      </c>
      <c r="T625" t="s">
        <v>90</v>
      </c>
      <c r="U625" t="s">
        <v>30</v>
      </c>
    </row>
    <row r="626" spans="1:21" x14ac:dyDescent="0.35">
      <c r="A626" t="s">
        <v>704</v>
      </c>
      <c r="B626" s="1">
        <v>46168</v>
      </c>
      <c r="C626" t="str">
        <f>TEXT(tblData[[#This Row],[Rental Date]],"mmm")</f>
        <v>May</v>
      </c>
      <c r="D626" t="str">
        <f>TEXT(tblData[[#This Row],[Rental Date]],"mmmm")</f>
        <v>May</v>
      </c>
      <c r="E626" t="s">
        <v>102</v>
      </c>
      <c r="F626" t="str">
        <f>TEXT(WEEKNUM(tblData[[#This Row],[Rental Date]]),"00")</f>
        <v>22</v>
      </c>
      <c r="G626" s="1">
        <f>EOMONTH(tblData[[#This Row],[Rental Date]],0)</f>
        <v>46173</v>
      </c>
      <c r="H626" t="s">
        <v>204</v>
      </c>
      <c r="I626" t="s">
        <v>48</v>
      </c>
      <c r="J626" t="s">
        <v>127</v>
      </c>
      <c r="K626" t="s">
        <v>25</v>
      </c>
      <c r="L626">
        <v>1</v>
      </c>
      <c r="M626" s="2">
        <v>16</v>
      </c>
      <c r="N626" t="s">
        <v>26</v>
      </c>
      <c r="O626" s="3">
        <v>0</v>
      </c>
      <c r="P626" s="3">
        <v>0</v>
      </c>
      <c r="Q626" s="2">
        <v>16</v>
      </c>
      <c r="R626" t="s">
        <v>66</v>
      </c>
      <c r="S626" t="s">
        <v>46</v>
      </c>
      <c r="T626" t="s">
        <v>90</v>
      </c>
      <c r="U626" t="s">
        <v>79</v>
      </c>
    </row>
    <row r="627" spans="1:21" x14ac:dyDescent="0.35">
      <c r="A627" t="s">
        <v>705</v>
      </c>
      <c r="B627" s="1">
        <v>46168</v>
      </c>
      <c r="C627" t="str">
        <f>TEXT(tblData[[#This Row],[Rental Date]],"mmm")</f>
        <v>May</v>
      </c>
      <c r="D627" t="str">
        <f>TEXT(tblData[[#This Row],[Rental Date]],"mmmm")</f>
        <v>May</v>
      </c>
      <c r="E627" t="s">
        <v>102</v>
      </c>
      <c r="F627" t="str">
        <f>TEXT(WEEKNUM(tblData[[#This Row],[Rental Date]]),"00")</f>
        <v>22</v>
      </c>
      <c r="G627" s="1">
        <f>EOMONTH(tblData[[#This Row],[Rental Date]],0)</f>
        <v>46173</v>
      </c>
      <c r="H627" t="s">
        <v>204</v>
      </c>
      <c r="I627" t="s">
        <v>39</v>
      </c>
      <c r="J627" t="s">
        <v>86</v>
      </c>
      <c r="K627" t="s">
        <v>60</v>
      </c>
      <c r="L627">
        <v>1</v>
      </c>
      <c r="M627" s="2">
        <v>36</v>
      </c>
      <c r="N627" t="s">
        <v>26</v>
      </c>
      <c r="O627" s="3">
        <v>0</v>
      </c>
      <c r="P627" s="3">
        <v>1.8</v>
      </c>
      <c r="Q627" s="2">
        <v>34.200000000000003</v>
      </c>
      <c r="R627" t="s">
        <v>76</v>
      </c>
      <c r="S627" t="s">
        <v>54</v>
      </c>
      <c r="T627" t="s">
        <v>29</v>
      </c>
      <c r="U627" t="s">
        <v>30</v>
      </c>
    </row>
    <row r="628" spans="1:21" x14ac:dyDescent="0.35">
      <c r="A628" t="s">
        <v>706</v>
      </c>
      <c r="B628" s="1">
        <v>46168</v>
      </c>
      <c r="C628" t="str">
        <f>TEXT(tblData[[#This Row],[Rental Date]],"mmm")</f>
        <v>May</v>
      </c>
      <c r="D628" t="str">
        <f>TEXT(tblData[[#This Row],[Rental Date]],"mmmm")</f>
        <v>May</v>
      </c>
      <c r="E628" t="s">
        <v>102</v>
      </c>
      <c r="F628" t="str">
        <f>TEXT(WEEKNUM(tblData[[#This Row],[Rental Date]]),"00")</f>
        <v>22</v>
      </c>
      <c r="G628" s="1">
        <f>EOMONTH(tblData[[#This Row],[Rental Date]],0)</f>
        <v>46173</v>
      </c>
      <c r="H628" t="s">
        <v>204</v>
      </c>
      <c r="I628" t="s">
        <v>23</v>
      </c>
      <c r="J628" t="s">
        <v>127</v>
      </c>
      <c r="K628" t="s">
        <v>25</v>
      </c>
      <c r="L628">
        <v>1</v>
      </c>
      <c r="M628" s="2">
        <v>16</v>
      </c>
      <c r="N628" t="s">
        <v>26</v>
      </c>
      <c r="O628" s="3">
        <v>0</v>
      </c>
      <c r="P628" s="3">
        <v>0</v>
      </c>
      <c r="Q628" s="2">
        <v>16</v>
      </c>
      <c r="R628" t="s">
        <v>34</v>
      </c>
      <c r="S628" t="s">
        <v>54</v>
      </c>
      <c r="T628" t="s">
        <v>29</v>
      </c>
      <c r="U628" t="s">
        <v>30</v>
      </c>
    </row>
    <row r="629" spans="1:21" x14ac:dyDescent="0.35">
      <c r="A629" t="s">
        <v>707</v>
      </c>
      <c r="B629" s="1">
        <v>46169</v>
      </c>
      <c r="C629" t="str">
        <f>TEXT(tblData[[#This Row],[Rental Date]],"mmm")</f>
        <v>May</v>
      </c>
      <c r="D629" t="str">
        <f>TEXT(tblData[[#This Row],[Rental Date]],"mmmm")</f>
        <v>May</v>
      </c>
      <c r="E629" t="s">
        <v>109</v>
      </c>
      <c r="F629" t="str">
        <f>TEXT(WEEKNUM(tblData[[#This Row],[Rental Date]]),"00")</f>
        <v>22</v>
      </c>
      <c r="G629" s="1">
        <f>EOMONTH(tblData[[#This Row],[Rental Date]],0)</f>
        <v>46173</v>
      </c>
      <c r="H629" t="s">
        <v>204</v>
      </c>
      <c r="I629" t="s">
        <v>48</v>
      </c>
      <c r="J629" t="s">
        <v>78</v>
      </c>
      <c r="K629" t="s">
        <v>60</v>
      </c>
      <c r="L629">
        <v>1</v>
      </c>
      <c r="M629" s="2">
        <v>26</v>
      </c>
      <c r="N629" t="s">
        <v>26</v>
      </c>
      <c r="O629" s="3">
        <v>0</v>
      </c>
      <c r="P629" s="3">
        <v>0</v>
      </c>
      <c r="Q629" s="2">
        <v>26</v>
      </c>
      <c r="R629" t="s">
        <v>94</v>
      </c>
      <c r="S629" t="s">
        <v>35</v>
      </c>
      <c r="T629" t="s">
        <v>29</v>
      </c>
      <c r="U629" t="s">
        <v>30</v>
      </c>
    </row>
    <row r="630" spans="1:21" x14ac:dyDescent="0.35">
      <c r="A630" t="s">
        <v>708</v>
      </c>
      <c r="B630" s="1">
        <v>46169</v>
      </c>
      <c r="C630" t="str">
        <f>TEXT(tblData[[#This Row],[Rental Date]],"mmm")</f>
        <v>May</v>
      </c>
      <c r="D630" t="str">
        <f>TEXT(tblData[[#This Row],[Rental Date]],"mmmm")</f>
        <v>May</v>
      </c>
      <c r="E630" t="s">
        <v>109</v>
      </c>
      <c r="F630" t="str">
        <f>TEXT(WEEKNUM(tblData[[#This Row],[Rental Date]]),"00")</f>
        <v>22</v>
      </c>
      <c r="G630" s="1">
        <f>EOMONTH(tblData[[#This Row],[Rental Date]],0)</f>
        <v>46173</v>
      </c>
      <c r="H630" t="s">
        <v>204</v>
      </c>
      <c r="I630" t="s">
        <v>48</v>
      </c>
      <c r="J630" t="s">
        <v>33</v>
      </c>
      <c r="K630" t="s">
        <v>25</v>
      </c>
      <c r="L630">
        <v>1</v>
      </c>
      <c r="M630" s="2">
        <v>38</v>
      </c>
      <c r="N630" t="s">
        <v>26</v>
      </c>
      <c r="O630" s="3">
        <v>0</v>
      </c>
      <c r="P630" s="3">
        <v>0</v>
      </c>
      <c r="Q630" s="2">
        <v>38</v>
      </c>
      <c r="R630" t="s">
        <v>57</v>
      </c>
      <c r="S630" t="s">
        <v>28</v>
      </c>
      <c r="T630" t="s">
        <v>29</v>
      </c>
      <c r="U630" t="s">
        <v>30</v>
      </c>
    </row>
    <row r="631" spans="1:21" x14ac:dyDescent="0.35">
      <c r="A631" t="s">
        <v>709</v>
      </c>
      <c r="B631" s="1">
        <v>46169</v>
      </c>
      <c r="C631" t="str">
        <f>TEXT(tblData[[#This Row],[Rental Date]],"mmm")</f>
        <v>May</v>
      </c>
      <c r="D631" t="str">
        <f>TEXT(tblData[[#This Row],[Rental Date]],"mmmm")</f>
        <v>May</v>
      </c>
      <c r="E631" t="s">
        <v>109</v>
      </c>
      <c r="F631" t="str">
        <f>TEXT(WEEKNUM(tblData[[#This Row],[Rental Date]]),"00")</f>
        <v>22</v>
      </c>
      <c r="G631" s="1">
        <f>EOMONTH(tblData[[#This Row],[Rental Date]],0)</f>
        <v>46173</v>
      </c>
      <c r="H631" t="s">
        <v>204</v>
      </c>
      <c r="I631" t="s">
        <v>48</v>
      </c>
      <c r="J631" t="s">
        <v>44</v>
      </c>
      <c r="K631" t="s">
        <v>25</v>
      </c>
      <c r="L631">
        <v>1</v>
      </c>
      <c r="M631" s="2">
        <v>52</v>
      </c>
      <c r="N631" t="s">
        <v>61</v>
      </c>
      <c r="O631" s="3">
        <v>8</v>
      </c>
      <c r="P631" s="3">
        <v>0</v>
      </c>
      <c r="Q631" s="2">
        <v>60</v>
      </c>
      <c r="R631" t="s">
        <v>42</v>
      </c>
      <c r="S631" t="s">
        <v>54</v>
      </c>
      <c r="T631" t="s">
        <v>29</v>
      </c>
      <c r="U631" t="s">
        <v>30</v>
      </c>
    </row>
    <row r="632" spans="1:21" x14ac:dyDescent="0.35">
      <c r="A632" t="s">
        <v>710</v>
      </c>
      <c r="B632" s="1">
        <v>46169</v>
      </c>
      <c r="C632" t="str">
        <f>TEXT(tblData[[#This Row],[Rental Date]],"mmm")</f>
        <v>May</v>
      </c>
      <c r="D632" t="str">
        <f>TEXT(tblData[[#This Row],[Rental Date]],"mmmm")</f>
        <v>May</v>
      </c>
      <c r="E632" t="s">
        <v>109</v>
      </c>
      <c r="F632" t="str">
        <f>TEXT(WEEKNUM(tblData[[#This Row],[Rental Date]]),"00")</f>
        <v>22</v>
      </c>
      <c r="G632" s="1">
        <f>EOMONTH(tblData[[#This Row],[Rental Date]],0)</f>
        <v>46173</v>
      </c>
      <c r="H632" t="s">
        <v>204</v>
      </c>
      <c r="I632" t="s">
        <v>32</v>
      </c>
      <c r="J632" t="s">
        <v>78</v>
      </c>
      <c r="K632" t="s">
        <v>25</v>
      </c>
      <c r="L632">
        <v>1</v>
      </c>
      <c r="M632" s="2">
        <v>42</v>
      </c>
      <c r="N632" t="s">
        <v>26</v>
      </c>
      <c r="O632" s="3">
        <v>0</v>
      </c>
      <c r="P632" s="3">
        <v>0</v>
      </c>
      <c r="Q632" s="2">
        <v>42</v>
      </c>
      <c r="R632" t="s">
        <v>45</v>
      </c>
      <c r="S632" t="s">
        <v>46</v>
      </c>
      <c r="T632" t="s">
        <v>29</v>
      </c>
      <c r="U632" t="s">
        <v>58</v>
      </c>
    </row>
    <row r="633" spans="1:21" x14ac:dyDescent="0.35">
      <c r="A633" t="s">
        <v>711</v>
      </c>
      <c r="B633" s="1">
        <v>46170</v>
      </c>
      <c r="C633" t="str">
        <f>TEXT(tblData[[#This Row],[Rental Date]],"mmm")</f>
        <v>May</v>
      </c>
      <c r="D633" t="str">
        <f>TEXT(tblData[[#This Row],[Rental Date]],"mmmm")</f>
        <v>May</v>
      </c>
      <c r="E633" t="s">
        <v>21</v>
      </c>
      <c r="F633" t="str">
        <f>TEXT(WEEKNUM(tblData[[#This Row],[Rental Date]]),"00")</f>
        <v>22</v>
      </c>
      <c r="G633" s="1">
        <f>EOMONTH(tblData[[#This Row],[Rental Date]],0)</f>
        <v>46173</v>
      </c>
      <c r="H633" t="s">
        <v>204</v>
      </c>
      <c r="I633" t="s">
        <v>48</v>
      </c>
      <c r="J633" t="s">
        <v>24</v>
      </c>
      <c r="K633" t="s">
        <v>60</v>
      </c>
      <c r="L633">
        <v>1</v>
      </c>
      <c r="M633" s="2">
        <v>32</v>
      </c>
      <c r="N633" t="s">
        <v>26</v>
      </c>
      <c r="O633" s="3">
        <v>0</v>
      </c>
      <c r="P633" s="3">
        <v>0</v>
      </c>
      <c r="Q633" s="2">
        <v>32</v>
      </c>
      <c r="R633" t="s">
        <v>45</v>
      </c>
      <c r="S633" t="s">
        <v>54</v>
      </c>
      <c r="T633" t="s">
        <v>51</v>
      </c>
      <c r="U633" t="s">
        <v>30</v>
      </c>
    </row>
    <row r="634" spans="1:21" x14ac:dyDescent="0.35">
      <c r="A634" t="s">
        <v>712</v>
      </c>
      <c r="B634" s="1">
        <v>46170</v>
      </c>
      <c r="C634" t="str">
        <f>TEXT(tblData[[#This Row],[Rental Date]],"mmm")</f>
        <v>May</v>
      </c>
      <c r="D634" t="str">
        <f>TEXT(tblData[[#This Row],[Rental Date]],"mmmm")</f>
        <v>May</v>
      </c>
      <c r="E634" t="s">
        <v>21</v>
      </c>
      <c r="F634" t="str">
        <f>TEXT(WEEKNUM(tblData[[#This Row],[Rental Date]]),"00")</f>
        <v>22</v>
      </c>
      <c r="G634" s="1">
        <f>EOMONTH(tblData[[#This Row],[Rental Date]],0)</f>
        <v>46173</v>
      </c>
      <c r="H634" t="s">
        <v>204</v>
      </c>
      <c r="I634" t="s">
        <v>23</v>
      </c>
      <c r="J634" t="s">
        <v>65</v>
      </c>
      <c r="K634" t="s">
        <v>60</v>
      </c>
      <c r="L634">
        <v>1</v>
      </c>
      <c r="M634" s="2">
        <v>12</v>
      </c>
      <c r="N634" t="s">
        <v>61</v>
      </c>
      <c r="O634" s="3">
        <v>8</v>
      </c>
      <c r="P634" s="3">
        <v>0</v>
      </c>
      <c r="Q634" s="2">
        <v>20</v>
      </c>
      <c r="R634" t="s">
        <v>76</v>
      </c>
      <c r="S634" t="s">
        <v>54</v>
      </c>
      <c r="T634" t="s">
        <v>29</v>
      </c>
      <c r="U634" t="s">
        <v>36</v>
      </c>
    </row>
    <row r="635" spans="1:21" x14ac:dyDescent="0.35">
      <c r="A635" t="s">
        <v>713</v>
      </c>
      <c r="B635" s="1">
        <v>46170</v>
      </c>
      <c r="C635" t="str">
        <f>TEXT(tblData[[#This Row],[Rental Date]],"mmm")</f>
        <v>May</v>
      </c>
      <c r="D635" t="str">
        <f>TEXT(tblData[[#This Row],[Rental Date]],"mmmm")</f>
        <v>May</v>
      </c>
      <c r="E635" t="s">
        <v>21</v>
      </c>
      <c r="F635" t="str">
        <f>TEXT(WEEKNUM(tblData[[#This Row],[Rental Date]]),"00")</f>
        <v>22</v>
      </c>
      <c r="G635" s="1">
        <f>EOMONTH(tblData[[#This Row],[Rental Date]],0)</f>
        <v>46173</v>
      </c>
      <c r="H635" t="s">
        <v>204</v>
      </c>
      <c r="I635" t="s">
        <v>48</v>
      </c>
      <c r="J635" t="s">
        <v>138</v>
      </c>
      <c r="K635" t="s">
        <v>60</v>
      </c>
      <c r="L635">
        <v>1</v>
      </c>
      <c r="M635" s="2">
        <v>30</v>
      </c>
      <c r="N635" t="s">
        <v>26</v>
      </c>
      <c r="O635" s="3">
        <v>0</v>
      </c>
      <c r="P635" s="3">
        <v>0</v>
      </c>
      <c r="Q635" s="2">
        <v>30</v>
      </c>
      <c r="R635" t="s">
        <v>62</v>
      </c>
      <c r="S635" t="s">
        <v>28</v>
      </c>
      <c r="T635" t="s">
        <v>29</v>
      </c>
      <c r="U635" t="s">
        <v>58</v>
      </c>
    </row>
    <row r="636" spans="1:21" x14ac:dyDescent="0.35">
      <c r="A636" t="s">
        <v>714</v>
      </c>
      <c r="B636" s="1">
        <v>46170</v>
      </c>
      <c r="C636" t="str">
        <f>TEXT(tblData[[#This Row],[Rental Date]],"mmm")</f>
        <v>May</v>
      </c>
      <c r="D636" t="str">
        <f>TEXT(tblData[[#This Row],[Rental Date]],"mmmm")</f>
        <v>May</v>
      </c>
      <c r="E636" t="s">
        <v>21</v>
      </c>
      <c r="F636" t="str">
        <f>TEXT(WEEKNUM(tblData[[#This Row],[Rental Date]]),"00")</f>
        <v>22</v>
      </c>
      <c r="G636" s="1">
        <f>EOMONTH(tblData[[#This Row],[Rental Date]],0)</f>
        <v>46173</v>
      </c>
      <c r="H636" t="s">
        <v>204</v>
      </c>
      <c r="I636" t="s">
        <v>48</v>
      </c>
      <c r="J636" t="s">
        <v>33</v>
      </c>
      <c r="K636" t="s">
        <v>25</v>
      </c>
      <c r="L636">
        <v>1</v>
      </c>
      <c r="M636" s="2">
        <v>38</v>
      </c>
      <c r="N636" t="s">
        <v>26</v>
      </c>
      <c r="O636" s="3">
        <v>0</v>
      </c>
      <c r="P636" s="3">
        <v>0</v>
      </c>
      <c r="Q636" s="2">
        <v>38</v>
      </c>
      <c r="R636" t="s">
        <v>34</v>
      </c>
      <c r="S636" t="s">
        <v>50</v>
      </c>
      <c r="T636" t="s">
        <v>29</v>
      </c>
      <c r="U636" t="s">
        <v>30</v>
      </c>
    </row>
    <row r="637" spans="1:21" x14ac:dyDescent="0.35">
      <c r="A637" t="s">
        <v>715</v>
      </c>
      <c r="B637" s="1">
        <v>46170</v>
      </c>
      <c r="C637" t="str">
        <f>TEXT(tblData[[#This Row],[Rental Date]],"mmm")</f>
        <v>May</v>
      </c>
      <c r="D637" t="str">
        <f>TEXT(tblData[[#This Row],[Rental Date]],"mmmm")</f>
        <v>May</v>
      </c>
      <c r="E637" t="s">
        <v>21</v>
      </c>
      <c r="F637" t="str">
        <f>TEXT(WEEKNUM(tblData[[#This Row],[Rental Date]]),"00")</f>
        <v>22</v>
      </c>
      <c r="G637" s="1">
        <f>EOMONTH(tblData[[#This Row],[Rental Date]],0)</f>
        <v>46173</v>
      </c>
      <c r="H637" t="s">
        <v>204</v>
      </c>
      <c r="I637" t="s">
        <v>23</v>
      </c>
      <c r="J637" t="s">
        <v>33</v>
      </c>
      <c r="K637" t="s">
        <v>60</v>
      </c>
      <c r="L637">
        <v>1</v>
      </c>
      <c r="M637" s="2">
        <v>24</v>
      </c>
      <c r="N637" t="s">
        <v>41</v>
      </c>
      <c r="O637" s="3">
        <v>5</v>
      </c>
      <c r="P637" s="3">
        <v>0</v>
      </c>
      <c r="Q637" s="2">
        <v>29</v>
      </c>
      <c r="R637" t="s">
        <v>42</v>
      </c>
      <c r="S637" t="s">
        <v>35</v>
      </c>
      <c r="T637" t="s">
        <v>51</v>
      </c>
      <c r="U637" t="s">
        <v>30</v>
      </c>
    </row>
    <row r="638" spans="1:21" x14ac:dyDescent="0.35">
      <c r="A638" t="s">
        <v>716</v>
      </c>
      <c r="B638" s="1">
        <v>46170</v>
      </c>
      <c r="C638" t="str">
        <f>TEXT(tblData[[#This Row],[Rental Date]],"mmm")</f>
        <v>May</v>
      </c>
      <c r="D638" t="str">
        <f>TEXT(tblData[[#This Row],[Rental Date]],"mmmm")</f>
        <v>May</v>
      </c>
      <c r="E638" t="s">
        <v>21</v>
      </c>
      <c r="F638" t="str">
        <f>TEXT(WEEKNUM(tblData[[#This Row],[Rental Date]]),"00")</f>
        <v>22</v>
      </c>
      <c r="G638" s="1">
        <f>EOMONTH(tblData[[#This Row],[Rental Date]],0)</f>
        <v>46173</v>
      </c>
      <c r="H638" t="s">
        <v>204</v>
      </c>
      <c r="I638" t="s">
        <v>39</v>
      </c>
      <c r="J638" t="s">
        <v>44</v>
      </c>
      <c r="K638" t="s">
        <v>92</v>
      </c>
      <c r="L638">
        <v>1</v>
      </c>
      <c r="M638" s="2">
        <v>112</v>
      </c>
      <c r="N638" t="s">
        <v>41</v>
      </c>
      <c r="O638" s="3">
        <v>5</v>
      </c>
      <c r="P638" s="3">
        <v>0</v>
      </c>
      <c r="Q638" s="2">
        <v>117</v>
      </c>
      <c r="R638" t="s">
        <v>57</v>
      </c>
      <c r="S638" t="s">
        <v>35</v>
      </c>
      <c r="T638" t="s">
        <v>29</v>
      </c>
      <c r="U638" t="s">
        <v>30</v>
      </c>
    </row>
    <row r="639" spans="1:21" x14ac:dyDescent="0.35">
      <c r="A639" t="s">
        <v>717</v>
      </c>
      <c r="B639" s="1">
        <v>46170</v>
      </c>
      <c r="C639" t="str">
        <f>TEXT(tblData[[#This Row],[Rental Date]],"mmm")</f>
        <v>May</v>
      </c>
      <c r="D639" t="str">
        <f>TEXT(tblData[[#This Row],[Rental Date]],"mmmm")</f>
        <v>May</v>
      </c>
      <c r="E639" t="s">
        <v>21</v>
      </c>
      <c r="F639" t="str">
        <f>TEXT(WEEKNUM(tblData[[#This Row],[Rental Date]]),"00")</f>
        <v>22</v>
      </c>
      <c r="G639" s="1">
        <f>EOMONTH(tblData[[#This Row],[Rental Date]],0)</f>
        <v>46173</v>
      </c>
      <c r="H639" t="s">
        <v>204</v>
      </c>
      <c r="I639" t="s">
        <v>48</v>
      </c>
      <c r="J639" t="s">
        <v>33</v>
      </c>
      <c r="K639" t="s">
        <v>60</v>
      </c>
      <c r="L639">
        <v>1</v>
      </c>
      <c r="M639" s="2">
        <v>24</v>
      </c>
      <c r="N639" t="s">
        <v>87</v>
      </c>
      <c r="O639" s="3">
        <v>10</v>
      </c>
      <c r="P639" s="3">
        <v>0</v>
      </c>
      <c r="Q639" s="2">
        <v>34</v>
      </c>
      <c r="R639" t="s">
        <v>42</v>
      </c>
      <c r="S639" t="s">
        <v>46</v>
      </c>
      <c r="T639" t="s">
        <v>29</v>
      </c>
      <c r="U639" t="s">
        <v>30</v>
      </c>
    </row>
    <row r="640" spans="1:21" x14ac:dyDescent="0.35">
      <c r="A640" t="s">
        <v>718</v>
      </c>
      <c r="B640" s="1">
        <v>46170</v>
      </c>
      <c r="C640" t="str">
        <f>TEXT(tblData[[#This Row],[Rental Date]],"mmm")</f>
        <v>May</v>
      </c>
      <c r="D640" t="str">
        <f>TEXT(tblData[[#This Row],[Rental Date]],"mmmm")</f>
        <v>May</v>
      </c>
      <c r="E640" t="s">
        <v>21</v>
      </c>
      <c r="F640" t="str">
        <f>TEXT(WEEKNUM(tblData[[#This Row],[Rental Date]]),"00")</f>
        <v>22</v>
      </c>
      <c r="G640" s="1">
        <f>EOMONTH(tblData[[#This Row],[Rental Date]],0)</f>
        <v>46173</v>
      </c>
      <c r="H640" t="s">
        <v>204</v>
      </c>
      <c r="I640" t="s">
        <v>48</v>
      </c>
      <c r="J640" t="s">
        <v>33</v>
      </c>
      <c r="K640" t="s">
        <v>25</v>
      </c>
      <c r="L640">
        <v>1</v>
      </c>
      <c r="M640" s="2">
        <v>38</v>
      </c>
      <c r="N640" t="s">
        <v>26</v>
      </c>
      <c r="O640" s="3">
        <v>0</v>
      </c>
      <c r="P640" s="3">
        <v>0</v>
      </c>
      <c r="Q640" s="2">
        <v>38</v>
      </c>
      <c r="R640" t="s">
        <v>66</v>
      </c>
      <c r="S640" t="s">
        <v>54</v>
      </c>
      <c r="T640" t="s">
        <v>29</v>
      </c>
      <c r="U640" t="s">
        <v>79</v>
      </c>
    </row>
    <row r="641" spans="1:21" x14ac:dyDescent="0.35">
      <c r="A641" t="s">
        <v>719</v>
      </c>
      <c r="B641" s="1">
        <v>46170</v>
      </c>
      <c r="C641" t="str">
        <f>TEXT(tblData[[#This Row],[Rental Date]],"mmm")</f>
        <v>May</v>
      </c>
      <c r="D641" t="str">
        <f>TEXT(tblData[[#This Row],[Rental Date]],"mmmm")</f>
        <v>May</v>
      </c>
      <c r="E641" t="s">
        <v>21</v>
      </c>
      <c r="F641" t="str">
        <f>TEXT(WEEKNUM(tblData[[#This Row],[Rental Date]]),"00")</f>
        <v>22</v>
      </c>
      <c r="G641" s="1">
        <f>EOMONTH(tblData[[#This Row],[Rental Date]],0)</f>
        <v>46173</v>
      </c>
      <c r="H641" t="s">
        <v>204</v>
      </c>
      <c r="I641" t="s">
        <v>39</v>
      </c>
      <c r="J641" t="s">
        <v>44</v>
      </c>
      <c r="K641" t="s">
        <v>60</v>
      </c>
      <c r="L641">
        <v>1</v>
      </c>
      <c r="M641" s="2">
        <v>34</v>
      </c>
      <c r="N641" t="s">
        <v>26</v>
      </c>
      <c r="O641" s="3">
        <v>0</v>
      </c>
      <c r="P641" s="3">
        <v>0</v>
      </c>
      <c r="Q641" s="2">
        <v>34</v>
      </c>
      <c r="R641" t="s">
        <v>45</v>
      </c>
      <c r="S641" t="s">
        <v>50</v>
      </c>
      <c r="T641" t="s">
        <v>29</v>
      </c>
      <c r="U641" t="s">
        <v>30</v>
      </c>
    </row>
    <row r="642" spans="1:21" x14ac:dyDescent="0.35">
      <c r="A642" t="s">
        <v>720</v>
      </c>
      <c r="B642" s="1">
        <v>46170</v>
      </c>
      <c r="C642" t="str">
        <f>TEXT(tblData[[#This Row],[Rental Date]],"mmm")</f>
        <v>May</v>
      </c>
      <c r="D642" t="str">
        <f>TEXT(tblData[[#This Row],[Rental Date]],"mmmm")</f>
        <v>May</v>
      </c>
      <c r="E642" t="s">
        <v>21</v>
      </c>
      <c r="F642" t="str">
        <f>TEXT(WEEKNUM(tblData[[#This Row],[Rental Date]]),"00")</f>
        <v>22</v>
      </c>
      <c r="G642" s="1">
        <f>EOMONTH(tblData[[#This Row],[Rental Date]],0)</f>
        <v>46173</v>
      </c>
      <c r="H642" t="s">
        <v>204</v>
      </c>
      <c r="I642" t="s">
        <v>48</v>
      </c>
      <c r="J642" t="s">
        <v>127</v>
      </c>
      <c r="K642" t="s">
        <v>25</v>
      </c>
      <c r="L642">
        <v>1</v>
      </c>
      <c r="M642" s="2">
        <v>16</v>
      </c>
      <c r="N642" t="s">
        <v>26</v>
      </c>
      <c r="O642" s="3">
        <v>0</v>
      </c>
      <c r="P642" s="3">
        <v>0.8</v>
      </c>
      <c r="Q642" s="2">
        <v>15.2</v>
      </c>
      <c r="R642" t="s">
        <v>34</v>
      </c>
      <c r="S642" t="s">
        <v>46</v>
      </c>
      <c r="T642" t="s">
        <v>29</v>
      </c>
      <c r="U642" t="s">
        <v>58</v>
      </c>
    </row>
    <row r="643" spans="1:21" x14ac:dyDescent="0.35">
      <c r="A643" t="s">
        <v>721</v>
      </c>
      <c r="B643" s="1">
        <v>46170</v>
      </c>
      <c r="C643" t="str">
        <f>TEXT(tblData[[#This Row],[Rental Date]],"mmm")</f>
        <v>May</v>
      </c>
      <c r="D643" t="str">
        <f>TEXT(tblData[[#This Row],[Rental Date]],"mmmm")</f>
        <v>May</v>
      </c>
      <c r="E643" t="s">
        <v>21</v>
      </c>
      <c r="F643" t="str">
        <f>TEXT(WEEKNUM(tblData[[#This Row],[Rental Date]]),"00")</f>
        <v>22</v>
      </c>
      <c r="G643" s="1">
        <f>EOMONTH(tblData[[#This Row],[Rental Date]],0)</f>
        <v>46173</v>
      </c>
      <c r="H643" t="s">
        <v>204</v>
      </c>
      <c r="I643" t="s">
        <v>39</v>
      </c>
      <c r="J643" t="s">
        <v>78</v>
      </c>
      <c r="K643" t="s">
        <v>40</v>
      </c>
      <c r="L643">
        <v>1</v>
      </c>
      <c r="M643" s="2">
        <v>62</v>
      </c>
      <c r="N643" t="s">
        <v>26</v>
      </c>
      <c r="O643" s="3">
        <v>0</v>
      </c>
      <c r="P643" s="3">
        <v>0</v>
      </c>
      <c r="Q643" s="2">
        <v>62</v>
      </c>
      <c r="R643" t="s">
        <v>57</v>
      </c>
      <c r="S643" t="s">
        <v>54</v>
      </c>
      <c r="T643" t="s">
        <v>29</v>
      </c>
      <c r="U643" t="s">
        <v>30</v>
      </c>
    </row>
    <row r="644" spans="1:21" x14ac:dyDescent="0.35">
      <c r="A644" t="s">
        <v>722</v>
      </c>
      <c r="B644" s="1">
        <v>46171</v>
      </c>
      <c r="C644" t="str">
        <f>TEXT(tblData[[#This Row],[Rental Date]],"mmm")</f>
        <v>May</v>
      </c>
      <c r="D644" t="str">
        <f>TEXT(tblData[[#This Row],[Rental Date]],"mmmm")</f>
        <v>May</v>
      </c>
      <c r="E644" t="s">
        <v>38</v>
      </c>
      <c r="F644" t="str">
        <f>TEXT(WEEKNUM(tblData[[#This Row],[Rental Date]]),"00")</f>
        <v>22</v>
      </c>
      <c r="G644" s="1">
        <f>EOMONTH(tblData[[#This Row],[Rental Date]],0)</f>
        <v>46173</v>
      </c>
      <c r="H644" t="s">
        <v>204</v>
      </c>
      <c r="I644" t="s">
        <v>48</v>
      </c>
      <c r="J644" t="s">
        <v>111</v>
      </c>
      <c r="K644" t="s">
        <v>25</v>
      </c>
      <c r="L644">
        <v>1</v>
      </c>
      <c r="M644" s="2">
        <v>22</v>
      </c>
      <c r="N644" t="s">
        <v>70</v>
      </c>
      <c r="O644" s="3">
        <v>7</v>
      </c>
      <c r="P644" s="3">
        <v>0</v>
      </c>
      <c r="Q644" s="2">
        <v>29</v>
      </c>
      <c r="R644" t="s">
        <v>27</v>
      </c>
      <c r="S644" t="s">
        <v>46</v>
      </c>
      <c r="T644" t="s">
        <v>51</v>
      </c>
      <c r="U644" t="s">
        <v>79</v>
      </c>
    </row>
    <row r="645" spans="1:21" x14ac:dyDescent="0.35">
      <c r="A645" t="s">
        <v>723</v>
      </c>
      <c r="B645" s="1">
        <v>46171</v>
      </c>
      <c r="C645" t="str">
        <f>TEXT(tblData[[#This Row],[Rental Date]],"mmm")</f>
        <v>May</v>
      </c>
      <c r="D645" t="str">
        <f>TEXT(tblData[[#This Row],[Rental Date]],"mmmm")</f>
        <v>May</v>
      </c>
      <c r="E645" t="s">
        <v>38</v>
      </c>
      <c r="F645" t="str">
        <f>TEXT(WEEKNUM(tblData[[#This Row],[Rental Date]]),"00")</f>
        <v>22</v>
      </c>
      <c r="G645" s="1">
        <f>EOMONTH(tblData[[#This Row],[Rental Date]],0)</f>
        <v>46173</v>
      </c>
      <c r="H645" t="s">
        <v>204</v>
      </c>
      <c r="I645" t="s">
        <v>48</v>
      </c>
      <c r="J645" t="s">
        <v>33</v>
      </c>
      <c r="K645" t="s">
        <v>25</v>
      </c>
      <c r="L645">
        <v>1</v>
      </c>
      <c r="M645" s="2">
        <v>38</v>
      </c>
      <c r="N645" t="s">
        <v>41</v>
      </c>
      <c r="O645" s="3">
        <v>5</v>
      </c>
      <c r="P645" s="3">
        <v>0</v>
      </c>
      <c r="Q645" s="2">
        <v>43</v>
      </c>
      <c r="R645" t="s">
        <v>57</v>
      </c>
      <c r="S645" t="s">
        <v>46</v>
      </c>
      <c r="T645" t="s">
        <v>29</v>
      </c>
      <c r="U645" t="s">
        <v>30</v>
      </c>
    </row>
    <row r="646" spans="1:21" x14ac:dyDescent="0.35">
      <c r="A646" t="s">
        <v>724</v>
      </c>
      <c r="B646" s="1">
        <v>46171</v>
      </c>
      <c r="C646" t="str">
        <f>TEXT(tblData[[#This Row],[Rental Date]],"mmm")</f>
        <v>May</v>
      </c>
      <c r="D646" t="str">
        <f>TEXT(tblData[[#This Row],[Rental Date]],"mmmm")</f>
        <v>May</v>
      </c>
      <c r="E646" t="s">
        <v>38</v>
      </c>
      <c r="F646" t="str">
        <f>TEXT(WEEKNUM(tblData[[#This Row],[Rental Date]]),"00")</f>
        <v>22</v>
      </c>
      <c r="G646" s="1">
        <f>EOMONTH(tblData[[#This Row],[Rental Date]],0)</f>
        <v>46173</v>
      </c>
      <c r="H646" t="s">
        <v>204</v>
      </c>
      <c r="I646" t="s">
        <v>32</v>
      </c>
      <c r="J646" t="s">
        <v>49</v>
      </c>
      <c r="K646" t="s">
        <v>60</v>
      </c>
      <c r="L646">
        <v>1</v>
      </c>
      <c r="M646" s="2">
        <v>22</v>
      </c>
      <c r="N646" t="s">
        <v>87</v>
      </c>
      <c r="O646" s="3">
        <v>10</v>
      </c>
      <c r="P646" s="3">
        <v>3.2</v>
      </c>
      <c r="Q646" s="2">
        <v>28.8</v>
      </c>
      <c r="R646" t="s">
        <v>66</v>
      </c>
      <c r="S646" t="s">
        <v>28</v>
      </c>
      <c r="T646" t="s">
        <v>29</v>
      </c>
      <c r="U646" t="s">
        <v>58</v>
      </c>
    </row>
    <row r="647" spans="1:21" x14ac:dyDescent="0.35">
      <c r="A647" t="s">
        <v>725</v>
      </c>
      <c r="B647" s="1">
        <v>46171</v>
      </c>
      <c r="C647" t="str">
        <f>TEXT(tblData[[#This Row],[Rental Date]],"mmm")</f>
        <v>May</v>
      </c>
      <c r="D647" t="str">
        <f>TEXT(tblData[[#This Row],[Rental Date]],"mmmm")</f>
        <v>May</v>
      </c>
      <c r="E647" t="s">
        <v>38</v>
      </c>
      <c r="F647" t="str">
        <f>TEXT(WEEKNUM(tblData[[#This Row],[Rental Date]]),"00")</f>
        <v>22</v>
      </c>
      <c r="G647" s="1">
        <f>EOMONTH(tblData[[#This Row],[Rental Date]],0)</f>
        <v>46173</v>
      </c>
      <c r="H647" t="s">
        <v>204</v>
      </c>
      <c r="I647" t="s">
        <v>39</v>
      </c>
      <c r="J647" t="s">
        <v>24</v>
      </c>
      <c r="K647" t="s">
        <v>60</v>
      </c>
      <c r="L647">
        <v>1</v>
      </c>
      <c r="M647" s="2">
        <v>32</v>
      </c>
      <c r="N647" t="s">
        <v>75</v>
      </c>
      <c r="O647" s="3">
        <v>12</v>
      </c>
      <c r="P647" s="3">
        <v>0</v>
      </c>
      <c r="Q647" s="2">
        <v>44</v>
      </c>
      <c r="R647" t="s">
        <v>62</v>
      </c>
      <c r="S647" t="s">
        <v>50</v>
      </c>
      <c r="T647" t="s">
        <v>29</v>
      </c>
      <c r="U647" t="s">
        <v>36</v>
      </c>
    </row>
    <row r="648" spans="1:21" x14ac:dyDescent="0.35">
      <c r="A648" t="s">
        <v>726</v>
      </c>
      <c r="B648" s="1">
        <v>46171</v>
      </c>
      <c r="C648" t="str">
        <f>TEXT(tblData[[#This Row],[Rental Date]],"mmm")</f>
        <v>May</v>
      </c>
      <c r="D648" t="str">
        <f>TEXT(tblData[[#This Row],[Rental Date]],"mmmm")</f>
        <v>May</v>
      </c>
      <c r="E648" t="s">
        <v>38</v>
      </c>
      <c r="F648" t="str">
        <f>TEXT(WEEKNUM(tblData[[#This Row],[Rental Date]]),"00")</f>
        <v>22</v>
      </c>
      <c r="G648" s="1">
        <f>EOMONTH(tblData[[#This Row],[Rental Date]],0)</f>
        <v>46173</v>
      </c>
      <c r="H648" t="s">
        <v>204</v>
      </c>
      <c r="I648" t="s">
        <v>48</v>
      </c>
      <c r="J648" t="s">
        <v>44</v>
      </c>
      <c r="K648" t="s">
        <v>92</v>
      </c>
      <c r="L648">
        <v>1</v>
      </c>
      <c r="M648" s="2">
        <v>112</v>
      </c>
      <c r="N648" t="s">
        <v>70</v>
      </c>
      <c r="O648" s="3">
        <v>7</v>
      </c>
      <c r="P648" s="3">
        <v>0</v>
      </c>
      <c r="Q648" s="2">
        <v>119</v>
      </c>
      <c r="R648" t="s">
        <v>71</v>
      </c>
      <c r="S648" t="s">
        <v>54</v>
      </c>
      <c r="T648" t="s">
        <v>51</v>
      </c>
      <c r="U648" t="s">
        <v>79</v>
      </c>
    </row>
    <row r="649" spans="1:21" x14ac:dyDescent="0.35">
      <c r="A649" t="s">
        <v>727</v>
      </c>
      <c r="B649" s="1">
        <v>46171</v>
      </c>
      <c r="C649" t="str">
        <f>TEXT(tblData[[#This Row],[Rental Date]],"mmm")</f>
        <v>May</v>
      </c>
      <c r="D649" t="str">
        <f>TEXT(tblData[[#This Row],[Rental Date]],"mmmm")</f>
        <v>May</v>
      </c>
      <c r="E649" t="s">
        <v>38</v>
      </c>
      <c r="F649" t="str">
        <f>TEXT(WEEKNUM(tblData[[#This Row],[Rental Date]]),"00")</f>
        <v>22</v>
      </c>
      <c r="G649" s="1">
        <f>EOMONTH(tblData[[#This Row],[Rental Date]],0)</f>
        <v>46173</v>
      </c>
      <c r="H649" t="s">
        <v>204</v>
      </c>
      <c r="I649" t="s">
        <v>23</v>
      </c>
      <c r="J649" t="s">
        <v>127</v>
      </c>
      <c r="K649" t="s">
        <v>60</v>
      </c>
      <c r="L649">
        <v>1</v>
      </c>
      <c r="M649" s="2">
        <v>10</v>
      </c>
      <c r="N649" t="s">
        <v>26</v>
      </c>
      <c r="O649" s="3">
        <v>0</v>
      </c>
      <c r="P649" s="3">
        <v>0</v>
      </c>
      <c r="Q649" s="2">
        <v>10</v>
      </c>
      <c r="R649" t="s">
        <v>94</v>
      </c>
      <c r="S649" t="s">
        <v>28</v>
      </c>
      <c r="T649" t="s">
        <v>29</v>
      </c>
      <c r="U649" t="s">
        <v>30</v>
      </c>
    </row>
    <row r="650" spans="1:21" x14ac:dyDescent="0.35">
      <c r="A650" t="s">
        <v>728</v>
      </c>
      <c r="B650" s="1">
        <v>46171</v>
      </c>
      <c r="C650" t="str">
        <f>TEXT(tblData[[#This Row],[Rental Date]],"mmm")</f>
        <v>May</v>
      </c>
      <c r="D650" t="str">
        <f>TEXT(tblData[[#This Row],[Rental Date]],"mmmm")</f>
        <v>May</v>
      </c>
      <c r="E650" t="s">
        <v>38</v>
      </c>
      <c r="F650" t="str">
        <f>TEXT(WEEKNUM(tblData[[#This Row],[Rental Date]]),"00")</f>
        <v>22</v>
      </c>
      <c r="G650" s="1">
        <f>EOMONTH(tblData[[#This Row],[Rental Date]],0)</f>
        <v>46173</v>
      </c>
      <c r="H650" t="s">
        <v>204</v>
      </c>
      <c r="I650" t="s">
        <v>48</v>
      </c>
      <c r="J650" t="s">
        <v>49</v>
      </c>
      <c r="K650" t="s">
        <v>25</v>
      </c>
      <c r="L650">
        <v>1</v>
      </c>
      <c r="M650" s="2">
        <v>36</v>
      </c>
      <c r="N650" t="s">
        <v>75</v>
      </c>
      <c r="O650" s="3">
        <v>12</v>
      </c>
      <c r="P650" s="3">
        <v>0</v>
      </c>
      <c r="Q650" s="2">
        <v>48</v>
      </c>
      <c r="R650" t="s">
        <v>42</v>
      </c>
      <c r="S650" t="s">
        <v>50</v>
      </c>
      <c r="T650" t="s">
        <v>29</v>
      </c>
      <c r="U650" t="s">
        <v>79</v>
      </c>
    </row>
    <row r="651" spans="1:21" x14ac:dyDescent="0.35">
      <c r="A651" t="s">
        <v>729</v>
      </c>
      <c r="B651" s="1">
        <v>46171</v>
      </c>
      <c r="C651" t="str">
        <f>TEXT(tblData[[#This Row],[Rental Date]],"mmm")</f>
        <v>May</v>
      </c>
      <c r="D651" t="str">
        <f>TEXT(tblData[[#This Row],[Rental Date]],"mmmm")</f>
        <v>May</v>
      </c>
      <c r="E651" t="s">
        <v>38</v>
      </c>
      <c r="F651" t="str">
        <f>TEXT(WEEKNUM(tblData[[#This Row],[Rental Date]]),"00")</f>
        <v>22</v>
      </c>
      <c r="G651" s="1">
        <f>EOMONTH(tblData[[#This Row],[Rental Date]],0)</f>
        <v>46173</v>
      </c>
      <c r="H651" t="s">
        <v>204</v>
      </c>
      <c r="I651" t="s">
        <v>48</v>
      </c>
      <c r="J651" t="s">
        <v>44</v>
      </c>
      <c r="K651" t="s">
        <v>60</v>
      </c>
      <c r="L651">
        <v>1</v>
      </c>
      <c r="M651" s="2">
        <v>34</v>
      </c>
      <c r="N651" t="s">
        <v>26</v>
      </c>
      <c r="O651" s="3">
        <v>0</v>
      </c>
      <c r="P651" s="3">
        <v>0</v>
      </c>
      <c r="Q651" s="2">
        <v>34</v>
      </c>
      <c r="R651" t="s">
        <v>45</v>
      </c>
      <c r="S651" t="s">
        <v>46</v>
      </c>
      <c r="T651" t="s">
        <v>90</v>
      </c>
      <c r="U651" t="s">
        <v>30</v>
      </c>
    </row>
    <row r="652" spans="1:21" x14ac:dyDescent="0.35">
      <c r="A652" t="s">
        <v>730</v>
      </c>
      <c r="B652" s="1">
        <v>46171</v>
      </c>
      <c r="C652" t="str">
        <f>TEXT(tblData[[#This Row],[Rental Date]],"mmm")</f>
        <v>May</v>
      </c>
      <c r="D652" t="str">
        <f>TEXT(tblData[[#This Row],[Rental Date]],"mmmm")</f>
        <v>May</v>
      </c>
      <c r="E652" t="s">
        <v>38</v>
      </c>
      <c r="F652" t="str">
        <f>TEXT(WEEKNUM(tblData[[#This Row],[Rental Date]]),"00")</f>
        <v>22</v>
      </c>
      <c r="G652" s="1">
        <f>EOMONTH(tblData[[#This Row],[Rental Date]],0)</f>
        <v>46173</v>
      </c>
      <c r="H652" t="s">
        <v>204</v>
      </c>
      <c r="I652" t="s">
        <v>48</v>
      </c>
      <c r="J652" t="s">
        <v>33</v>
      </c>
      <c r="K652" t="s">
        <v>40</v>
      </c>
      <c r="L652">
        <v>1</v>
      </c>
      <c r="M652" s="2">
        <v>58</v>
      </c>
      <c r="N652" t="s">
        <v>70</v>
      </c>
      <c r="O652" s="3">
        <v>7</v>
      </c>
      <c r="P652" s="3">
        <v>0</v>
      </c>
      <c r="Q652" s="2">
        <v>65</v>
      </c>
      <c r="R652" t="s">
        <v>57</v>
      </c>
      <c r="S652" t="s">
        <v>35</v>
      </c>
      <c r="T652" t="s">
        <v>29</v>
      </c>
      <c r="U652" t="s">
        <v>30</v>
      </c>
    </row>
    <row r="653" spans="1:21" x14ac:dyDescent="0.35">
      <c r="A653" t="s">
        <v>731</v>
      </c>
      <c r="B653" s="1">
        <v>46171</v>
      </c>
      <c r="C653" t="str">
        <f>TEXT(tblData[[#This Row],[Rental Date]],"mmm")</f>
        <v>May</v>
      </c>
      <c r="D653" t="str">
        <f>TEXT(tblData[[#This Row],[Rental Date]],"mmmm")</f>
        <v>May</v>
      </c>
      <c r="E653" t="s">
        <v>38</v>
      </c>
      <c r="F653" t="str">
        <f>TEXT(WEEKNUM(tblData[[#This Row],[Rental Date]]),"00")</f>
        <v>22</v>
      </c>
      <c r="G653" s="1">
        <f>EOMONTH(tblData[[#This Row],[Rental Date]],0)</f>
        <v>46173</v>
      </c>
      <c r="H653" t="s">
        <v>204</v>
      </c>
      <c r="I653" t="s">
        <v>48</v>
      </c>
      <c r="J653" t="s">
        <v>111</v>
      </c>
      <c r="K653" t="s">
        <v>25</v>
      </c>
      <c r="L653">
        <v>1</v>
      </c>
      <c r="M653" s="2">
        <v>22</v>
      </c>
      <c r="N653" t="s">
        <v>41</v>
      </c>
      <c r="O653" s="3">
        <v>5</v>
      </c>
      <c r="P653" s="3">
        <v>0</v>
      </c>
      <c r="Q653" s="2">
        <v>27</v>
      </c>
      <c r="R653" t="s">
        <v>76</v>
      </c>
      <c r="S653" t="s">
        <v>54</v>
      </c>
      <c r="T653" t="s">
        <v>90</v>
      </c>
      <c r="U653" t="s">
        <v>30</v>
      </c>
    </row>
    <row r="654" spans="1:21" x14ac:dyDescent="0.35">
      <c r="A654" t="s">
        <v>732</v>
      </c>
      <c r="B654" s="1">
        <v>46172</v>
      </c>
      <c r="C654" t="str">
        <f>TEXT(tblData[[#This Row],[Rental Date]],"mmm")</f>
        <v>May</v>
      </c>
      <c r="D654" t="str">
        <f>TEXT(tblData[[#This Row],[Rental Date]],"mmmm")</f>
        <v>May</v>
      </c>
      <c r="E654" t="s">
        <v>56</v>
      </c>
      <c r="F654" t="str">
        <f>TEXT(WEEKNUM(tblData[[#This Row],[Rental Date]]),"00")</f>
        <v>22</v>
      </c>
      <c r="G654" s="1">
        <f>EOMONTH(tblData[[#This Row],[Rental Date]],0)</f>
        <v>46173</v>
      </c>
      <c r="H654" t="s">
        <v>204</v>
      </c>
      <c r="I654" t="s">
        <v>48</v>
      </c>
      <c r="J654" t="s">
        <v>127</v>
      </c>
      <c r="K654" t="s">
        <v>25</v>
      </c>
      <c r="L654">
        <v>1</v>
      </c>
      <c r="M654" s="2">
        <v>17.28</v>
      </c>
      <c r="N654" t="s">
        <v>26</v>
      </c>
      <c r="O654" s="3">
        <v>0</v>
      </c>
      <c r="P654" s="3">
        <v>0</v>
      </c>
      <c r="Q654" s="2">
        <v>17.28</v>
      </c>
      <c r="R654" t="s">
        <v>45</v>
      </c>
      <c r="S654" t="s">
        <v>28</v>
      </c>
      <c r="T654" t="s">
        <v>83</v>
      </c>
      <c r="U654" t="s">
        <v>30</v>
      </c>
    </row>
    <row r="655" spans="1:21" x14ac:dyDescent="0.35">
      <c r="A655" t="s">
        <v>733</v>
      </c>
      <c r="B655" s="1">
        <v>46172</v>
      </c>
      <c r="C655" t="str">
        <f>TEXT(tblData[[#This Row],[Rental Date]],"mmm")</f>
        <v>May</v>
      </c>
      <c r="D655" t="str">
        <f>TEXT(tblData[[#This Row],[Rental Date]],"mmmm")</f>
        <v>May</v>
      </c>
      <c r="E655" t="s">
        <v>56</v>
      </c>
      <c r="F655" t="str">
        <f>TEXT(WEEKNUM(tblData[[#This Row],[Rental Date]]),"00")</f>
        <v>22</v>
      </c>
      <c r="G655" s="1">
        <f>EOMONTH(tblData[[#This Row],[Rental Date]],0)</f>
        <v>46173</v>
      </c>
      <c r="H655" t="s">
        <v>204</v>
      </c>
      <c r="I655" t="s">
        <v>23</v>
      </c>
      <c r="J655" t="s">
        <v>127</v>
      </c>
      <c r="K655" t="s">
        <v>40</v>
      </c>
      <c r="L655">
        <v>1</v>
      </c>
      <c r="M655" s="2">
        <v>25.92</v>
      </c>
      <c r="N655" t="s">
        <v>26</v>
      </c>
      <c r="O655" s="3">
        <v>0</v>
      </c>
      <c r="P655" s="3">
        <v>0</v>
      </c>
      <c r="Q655" s="2">
        <v>25.92</v>
      </c>
      <c r="R655" t="s">
        <v>94</v>
      </c>
      <c r="S655" t="s">
        <v>28</v>
      </c>
      <c r="T655" t="s">
        <v>90</v>
      </c>
      <c r="U655" t="s">
        <v>58</v>
      </c>
    </row>
    <row r="656" spans="1:21" x14ac:dyDescent="0.35">
      <c r="A656" t="s">
        <v>734</v>
      </c>
      <c r="B656" s="1">
        <v>46172</v>
      </c>
      <c r="C656" t="str">
        <f>TEXT(tblData[[#This Row],[Rental Date]],"mmm")</f>
        <v>May</v>
      </c>
      <c r="D656" t="str">
        <f>TEXT(tblData[[#This Row],[Rental Date]],"mmmm")</f>
        <v>May</v>
      </c>
      <c r="E656" t="s">
        <v>56</v>
      </c>
      <c r="F656" t="str">
        <f>TEXT(WEEKNUM(tblData[[#This Row],[Rental Date]]),"00")</f>
        <v>22</v>
      </c>
      <c r="G656" s="1">
        <f>EOMONTH(tblData[[#This Row],[Rental Date]],0)</f>
        <v>46173</v>
      </c>
      <c r="H656" t="s">
        <v>204</v>
      </c>
      <c r="I656" t="s">
        <v>48</v>
      </c>
      <c r="J656" t="s">
        <v>49</v>
      </c>
      <c r="K656" t="s">
        <v>40</v>
      </c>
      <c r="L656">
        <v>1</v>
      </c>
      <c r="M656" s="2">
        <v>58.32</v>
      </c>
      <c r="N656" t="s">
        <v>26</v>
      </c>
      <c r="O656" s="3">
        <v>0</v>
      </c>
      <c r="P656" s="3">
        <v>0</v>
      </c>
      <c r="Q656" s="2">
        <v>58.32</v>
      </c>
      <c r="R656" t="s">
        <v>71</v>
      </c>
      <c r="S656" t="s">
        <v>54</v>
      </c>
      <c r="T656" t="s">
        <v>29</v>
      </c>
      <c r="U656" t="s">
        <v>30</v>
      </c>
    </row>
    <row r="657" spans="1:21" x14ac:dyDescent="0.35">
      <c r="A657" t="s">
        <v>735</v>
      </c>
      <c r="B657" s="1">
        <v>46172</v>
      </c>
      <c r="C657" t="str">
        <f>TEXT(tblData[[#This Row],[Rental Date]],"mmm")</f>
        <v>May</v>
      </c>
      <c r="D657" t="str">
        <f>TEXT(tblData[[#This Row],[Rental Date]],"mmmm")</f>
        <v>May</v>
      </c>
      <c r="E657" t="s">
        <v>56</v>
      </c>
      <c r="F657" t="str">
        <f>TEXT(WEEKNUM(tblData[[#This Row],[Rental Date]]),"00")</f>
        <v>22</v>
      </c>
      <c r="G657" s="1">
        <f>EOMONTH(tblData[[#This Row],[Rental Date]],0)</f>
        <v>46173</v>
      </c>
      <c r="H657" t="s">
        <v>204</v>
      </c>
      <c r="I657" t="s">
        <v>32</v>
      </c>
      <c r="J657" t="s">
        <v>65</v>
      </c>
      <c r="K657" t="s">
        <v>25</v>
      </c>
      <c r="L657">
        <v>1</v>
      </c>
      <c r="M657" s="2">
        <v>19.440000000000001</v>
      </c>
      <c r="N657" t="s">
        <v>26</v>
      </c>
      <c r="O657" s="3">
        <v>0</v>
      </c>
      <c r="P657" s="3">
        <v>0</v>
      </c>
      <c r="Q657" s="2">
        <v>19.440000000000001</v>
      </c>
      <c r="R657" t="s">
        <v>42</v>
      </c>
      <c r="S657" t="s">
        <v>46</v>
      </c>
      <c r="T657" t="s">
        <v>29</v>
      </c>
      <c r="U657" t="s">
        <v>30</v>
      </c>
    </row>
    <row r="658" spans="1:21" x14ac:dyDescent="0.35">
      <c r="A658" t="s">
        <v>736</v>
      </c>
      <c r="B658" s="1">
        <v>46172</v>
      </c>
      <c r="C658" t="str">
        <f>TEXT(tblData[[#This Row],[Rental Date]],"mmm")</f>
        <v>May</v>
      </c>
      <c r="D658" t="str">
        <f>TEXT(tblData[[#This Row],[Rental Date]],"mmmm")</f>
        <v>May</v>
      </c>
      <c r="E658" t="s">
        <v>56</v>
      </c>
      <c r="F658" t="str">
        <f>TEXT(WEEKNUM(tblData[[#This Row],[Rental Date]]),"00")</f>
        <v>22</v>
      </c>
      <c r="G658" s="1">
        <f>EOMONTH(tblData[[#This Row],[Rental Date]],0)</f>
        <v>46173</v>
      </c>
      <c r="H658" t="s">
        <v>204</v>
      </c>
      <c r="I658" t="s">
        <v>48</v>
      </c>
      <c r="J658" t="s">
        <v>65</v>
      </c>
      <c r="K658" t="s">
        <v>25</v>
      </c>
      <c r="L658">
        <v>1</v>
      </c>
      <c r="M658" s="2">
        <v>19.440000000000001</v>
      </c>
      <c r="N658" t="s">
        <v>26</v>
      </c>
      <c r="O658" s="3">
        <v>0</v>
      </c>
      <c r="P658" s="3">
        <v>0</v>
      </c>
      <c r="Q658" s="2">
        <v>19.440000000000001</v>
      </c>
      <c r="R658" t="s">
        <v>94</v>
      </c>
      <c r="S658" t="s">
        <v>50</v>
      </c>
      <c r="T658" t="s">
        <v>29</v>
      </c>
      <c r="U658" t="s">
        <v>30</v>
      </c>
    </row>
    <row r="659" spans="1:21" x14ac:dyDescent="0.35">
      <c r="A659" t="s">
        <v>737</v>
      </c>
      <c r="B659" s="1">
        <v>46172</v>
      </c>
      <c r="C659" t="str">
        <f>TEXT(tblData[[#This Row],[Rental Date]],"mmm")</f>
        <v>May</v>
      </c>
      <c r="D659" t="str">
        <f>TEXT(tblData[[#This Row],[Rental Date]],"mmmm")</f>
        <v>May</v>
      </c>
      <c r="E659" t="s">
        <v>56</v>
      </c>
      <c r="F659" t="str">
        <f>TEXT(WEEKNUM(tblData[[#This Row],[Rental Date]]),"00")</f>
        <v>22</v>
      </c>
      <c r="G659" s="1">
        <f>EOMONTH(tblData[[#This Row],[Rental Date]],0)</f>
        <v>46173</v>
      </c>
      <c r="H659" t="s">
        <v>204</v>
      </c>
      <c r="I659" t="s">
        <v>23</v>
      </c>
      <c r="J659" t="s">
        <v>78</v>
      </c>
      <c r="K659" t="s">
        <v>25</v>
      </c>
      <c r="L659">
        <v>1</v>
      </c>
      <c r="M659" s="2">
        <v>45.36</v>
      </c>
      <c r="N659" t="s">
        <v>26</v>
      </c>
      <c r="O659" s="3">
        <v>0</v>
      </c>
      <c r="P659" s="3">
        <v>0</v>
      </c>
      <c r="Q659" s="2">
        <v>45.36</v>
      </c>
      <c r="R659" t="s">
        <v>57</v>
      </c>
      <c r="S659" t="s">
        <v>35</v>
      </c>
      <c r="T659" t="s">
        <v>51</v>
      </c>
      <c r="U659" t="s">
        <v>30</v>
      </c>
    </row>
    <row r="660" spans="1:21" x14ac:dyDescent="0.35">
      <c r="A660" t="s">
        <v>738</v>
      </c>
      <c r="B660" s="1">
        <v>46172</v>
      </c>
      <c r="C660" t="str">
        <f>TEXT(tblData[[#This Row],[Rental Date]],"mmm")</f>
        <v>May</v>
      </c>
      <c r="D660" t="str">
        <f>TEXT(tblData[[#This Row],[Rental Date]],"mmmm")</f>
        <v>May</v>
      </c>
      <c r="E660" t="s">
        <v>56</v>
      </c>
      <c r="F660" t="str">
        <f>TEXT(WEEKNUM(tblData[[#This Row],[Rental Date]]),"00")</f>
        <v>22</v>
      </c>
      <c r="G660" s="1">
        <f>EOMONTH(tblData[[#This Row],[Rental Date]],0)</f>
        <v>46173</v>
      </c>
      <c r="H660" t="s">
        <v>204</v>
      </c>
      <c r="I660" t="s">
        <v>23</v>
      </c>
      <c r="J660" t="s">
        <v>33</v>
      </c>
      <c r="K660" t="s">
        <v>40</v>
      </c>
      <c r="L660">
        <v>1</v>
      </c>
      <c r="M660" s="2">
        <v>62.64</v>
      </c>
      <c r="N660" t="s">
        <v>41</v>
      </c>
      <c r="O660" s="3">
        <v>5</v>
      </c>
      <c r="P660" s="3">
        <v>3.38</v>
      </c>
      <c r="Q660" s="2">
        <v>64.260000000000005</v>
      </c>
      <c r="R660" t="s">
        <v>45</v>
      </c>
      <c r="S660" t="s">
        <v>35</v>
      </c>
      <c r="T660" t="s">
        <v>29</v>
      </c>
      <c r="U660" t="s">
        <v>79</v>
      </c>
    </row>
    <row r="661" spans="1:21" x14ac:dyDescent="0.35">
      <c r="A661" t="s">
        <v>739</v>
      </c>
      <c r="B661" s="1">
        <v>46172</v>
      </c>
      <c r="C661" t="str">
        <f>TEXT(tblData[[#This Row],[Rental Date]],"mmm")</f>
        <v>May</v>
      </c>
      <c r="D661" t="str">
        <f>TEXT(tblData[[#This Row],[Rental Date]],"mmmm")</f>
        <v>May</v>
      </c>
      <c r="E661" t="s">
        <v>56</v>
      </c>
      <c r="F661" t="str">
        <f>TEXT(WEEKNUM(tblData[[#This Row],[Rental Date]]),"00")</f>
        <v>22</v>
      </c>
      <c r="G661" s="1">
        <f>EOMONTH(tblData[[#This Row],[Rental Date]],0)</f>
        <v>46173</v>
      </c>
      <c r="H661" t="s">
        <v>204</v>
      </c>
      <c r="I661" t="s">
        <v>48</v>
      </c>
      <c r="J661" t="s">
        <v>49</v>
      </c>
      <c r="K661" t="s">
        <v>40</v>
      </c>
      <c r="L661">
        <v>1</v>
      </c>
      <c r="M661" s="2">
        <v>58.32</v>
      </c>
      <c r="N661" t="s">
        <v>61</v>
      </c>
      <c r="O661" s="3">
        <v>8</v>
      </c>
      <c r="P661" s="3">
        <v>0</v>
      </c>
      <c r="Q661" s="2">
        <v>66.319999999999993</v>
      </c>
      <c r="R661" t="s">
        <v>27</v>
      </c>
      <c r="S661" t="s">
        <v>35</v>
      </c>
      <c r="T661" t="s">
        <v>29</v>
      </c>
      <c r="U661" t="s">
        <v>30</v>
      </c>
    </row>
    <row r="662" spans="1:21" x14ac:dyDescent="0.35">
      <c r="A662" t="s">
        <v>740</v>
      </c>
      <c r="B662" s="1">
        <v>46173</v>
      </c>
      <c r="C662" t="str">
        <f>TEXT(tblData[[#This Row],[Rental Date]],"mmm")</f>
        <v>May</v>
      </c>
      <c r="D662" t="str">
        <f>TEXT(tblData[[#This Row],[Rental Date]],"mmmm")</f>
        <v>May</v>
      </c>
      <c r="E662" t="s">
        <v>68</v>
      </c>
      <c r="F662" t="str">
        <f>TEXT(WEEKNUM(tblData[[#This Row],[Rental Date]]),"00")</f>
        <v>23</v>
      </c>
      <c r="G662" s="1">
        <f>EOMONTH(tblData[[#This Row],[Rental Date]],0)</f>
        <v>46173</v>
      </c>
      <c r="H662" t="s">
        <v>204</v>
      </c>
      <c r="I662" t="s">
        <v>48</v>
      </c>
      <c r="J662" t="s">
        <v>49</v>
      </c>
      <c r="K662" t="s">
        <v>25</v>
      </c>
      <c r="L662">
        <v>1</v>
      </c>
      <c r="M662" s="2">
        <v>38.880000000000003</v>
      </c>
      <c r="N662" t="s">
        <v>26</v>
      </c>
      <c r="O662" s="3">
        <v>0</v>
      </c>
      <c r="P662" s="3">
        <v>0</v>
      </c>
      <c r="Q662" s="2">
        <v>38.880000000000003</v>
      </c>
      <c r="R662" t="s">
        <v>62</v>
      </c>
      <c r="S662" t="s">
        <v>28</v>
      </c>
      <c r="T662" t="s">
        <v>51</v>
      </c>
      <c r="U662" t="s">
        <v>30</v>
      </c>
    </row>
    <row r="663" spans="1:21" x14ac:dyDescent="0.35">
      <c r="A663" t="s">
        <v>741</v>
      </c>
      <c r="B663" s="1">
        <v>46173</v>
      </c>
      <c r="C663" t="str">
        <f>TEXT(tblData[[#This Row],[Rental Date]],"mmm")</f>
        <v>May</v>
      </c>
      <c r="D663" t="str">
        <f>TEXT(tblData[[#This Row],[Rental Date]],"mmmm")</f>
        <v>May</v>
      </c>
      <c r="E663" t="s">
        <v>68</v>
      </c>
      <c r="F663" t="str">
        <f>TEXT(WEEKNUM(tblData[[#This Row],[Rental Date]]),"00")</f>
        <v>23</v>
      </c>
      <c r="G663" s="1">
        <f>EOMONTH(tblData[[#This Row],[Rental Date]],0)</f>
        <v>46173</v>
      </c>
      <c r="H663" t="s">
        <v>204</v>
      </c>
      <c r="I663" t="s">
        <v>48</v>
      </c>
      <c r="J663" t="s">
        <v>86</v>
      </c>
      <c r="K663" t="s">
        <v>60</v>
      </c>
      <c r="L663">
        <v>1</v>
      </c>
      <c r="M663" s="2">
        <v>38.880000000000003</v>
      </c>
      <c r="N663" t="s">
        <v>89</v>
      </c>
      <c r="O663" s="3">
        <v>6</v>
      </c>
      <c r="P663" s="3">
        <v>0</v>
      </c>
      <c r="Q663" s="2">
        <v>44.88</v>
      </c>
      <c r="R663" t="s">
        <v>57</v>
      </c>
      <c r="S663" t="s">
        <v>46</v>
      </c>
      <c r="T663" t="s">
        <v>29</v>
      </c>
      <c r="U663" t="s">
        <v>30</v>
      </c>
    </row>
    <row r="664" spans="1:21" x14ac:dyDescent="0.35">
      <c r="A664" t="s">
        <v>742</v>
      </c>
      <c r="B664" s="1">
        <v>46173</v>
      </c>
      <c r="C664" t="str">
        <f>TEXT(tblData[[#This Row],[Rental Date]],"mmm")</f>
        <v>May</v>
      </c>
      <c r="D664" t="str">
        <f>TEXT(tblData[[#This Row],[Rental Date]],"mmmm")</f>
        <v>May</v>
      </c>
      <c r="E664" t="s">
        <v>68</v>
      </c>
      <c r="F664" t="str">
        <f>TEXT(WEEKNUM(tblData[[#This Row],[Rental Date]]),"00")</f>
        <v>23</v>
      </c>
      <c r="G664" s="1">
        <f>EOMONTH(tblData[[#This Row],[Rental Date]],0)</f>
        <v>46173</v>
      </c>
      <c r="H664" t="s">
        <v>204</v>
      </c>
      <c r="I664" t="s">
        <v>48</v>
      </c>
      <c r="J664" t="s">
        <v>33</v>
      </c>
      <c r="K664" t="s">
        <v>25</v>
      </c>
      <c r="L664">
        <v>1</v>
      </c>
      <c r="M664" s="2">
        <v>41.04</v>
      </c>
      <c r="N664" t="s">
        <v>87</v>
      </c>
      <c r="O664" s="3">
        <v>10</v>
      </c>
      <c r="P664" s="3">
        <v>0</v>
      </c>
      <c r="Q664" s="2">
        <v>51.04</v>
      </c>
      <c r="R664" t="s">
        <v>27</v>
      </c>
      <c r="S664" t="s">
        <v>35</v>
      </c>
      <c r="T664" t="s">
        <v>51</v>
      </c>
      <c r="U664" t="s">
        <v>36</v>
      </c>
    </row>
    <row r="665" spans="1:21" x14ac:dyDescent="0.35">
      <c r="A665" t="s">
        <v>743</v>
      </c>
      <c r="B665" s="1">
        <v>46173</v>
      </c>
      <c r="C665" t="str">
        <f>TEXT(tblData[[#This Row],[Rental Date]],"mmm")</f>
        <v>May</v>
      </c>
      <c r="D665" t="str">
        <f>TEXT(tblData[[#This Row],[Rental Date]],"mmmm")</f>
        <v>May</v>
      </c>
      <c r="E665" t="s">
        <v>68</v>
      </c>
      <c r="F665" t="str">
        <f>TEXT(WEEKNUM(tblData[[#This Row],[Rental Date]]),"00")</f>
        <v>23</v>
      </c>
      <c r="G665" s="1">
        <f>EOMONTH(tblData[[#This Row],[Rental Date]],0)</f>
        <v>46173</v>
      </c>
      <c r="H665" t="s">
        <v>204</v>
      </c>
      <c r="I665" t="s">
        <v>48</v>
      </c>
      <c r="J665" t="s">
        <v>44</v>
      </c>
      <c r="K665" t="s">
        <v>92</v>
      </c>
      <c r="L665">
        <v>1</v>
      </c>
      <c r="M665" s="2">
        <v>120.96</v>
      </c>
      <c r="N665" t="s">
        <v>26</v>
      </c>
      <c r="O665" s="3">
        <v>0</v>
      </c>
      <c r="P665" s="3">
        <v>0</v>
      </c>
      <c r="Q665" s="2">
        <v>120.96</v>
      </c>
      <c r="R665" t="s">
        <v>94</v>
      </c>
      <c r="S665" t="s">
        <v>35</v>
      </c>
      <c r="T665" t="s">
        <v>90</v>
      </c>
      <c r="U665" t="s">
        <v>58</v>
      </c>
    </row>
    <row r="666" spans="1:21" x14ac:dyDescent="0.35">
      <c r="A666" t="s">
        <v>744</v>
      </c>
      <c r="B666" s="1">
        <v>46173</v>
      </c>
      <c r="C666" t="str">
        <f>TEXT(tblData[[#This Row],[Rental Date]],"mmm")</f>
        <v>May</v>
      </c>
      <c r="D666" t="str">
        <f>TEXT(tblData[[#This Row],[Rental Date]],"mmmm")</f>
        <v>May</v>
      </c>
      <c r="E666" t="s">
        <v>68</v>
      </c>
      <c r="F666" t="str">
        <f>TEXT(WEEKNUM(tblData[[#This Row],[Rental Date]]),"00")</f>
        <v>23</v>
      </c>
      <c r="G666" s="1">
        <f>EOMONTH(tblData[[#This Row],[Rental Date]],0)</f>
        <v>46173</v>
      </c>
      <c r="H666" t="s">
        <v>204</v>
      </c>
      <c r="I666" t="s">
        <v>39</v>
      </c>
      <c r="J666" t="s">
        <v>44</v>
      </c>
      <c r="K666" t="s">
        <v>25</v>
      </c>
      <c r="L666">
        <v>1</v>
      </c>
      <c r="M666" s="2">
        <v>56.16</v>
      </c>
      <c r="N666" t="s">
        <v>41</v>
      </c>
      <c r="O666" s="3">
        <v>5</v>
      </c>
      <c r="P666" s="3">
        <v>0</v>
      </c>
      <c r="Q666" s="2">
        <v>61.16</v>
      </c>
      <c r="R666" t="s">
        <v>76</v>
      </c>
      <c r="S666" t="s">
        <v>28</v>
      </c>
      <c r="T666" t="s">
        <v>51</v>
      </c>
      <c r="U666" t="s">
        <v>30</v>
      </c>
    </row>
    <row r="667" spans="1:21" x14ac:dyDescent="0.35">
      <c r="A667" t="s">
        <v>745</v>
      </c>
      <c r="B667" s="1">
        <v>46173</v>
      </c>
      <c r="C667" t="str">
        <f>TEXT(tblData[[#This Row],[Rental Date]],"mmm")</f>
        <v>May</v>
      </c>
      <c r="D667" t="str">
        <f>TEXT(tblData[[#This Row],[Rental Date]],"mmmm")</f>
        <v>May</v>
      </c>
      <c r="E667" t="s">
        <v>68</v>
      </c>
      <c r="F667" t="str">
        <f>TEXT(WEEKNUM(tblData[[#This Row],[Rental Date]]),"00")</f>
        <v>23</v>
      </c>
      <c r="G667" s="1">
        <f>EOMONTH(tblData[[#This Row],[Rental Date]],0)</f>
        <v>46173</v>
      </c>
      <c r="H667" t="s">
        <v>204</v>
      </c>
      <c r="I667" t="s">
        <v>39</v>
      </c>
      <c r="J667" t="s">
        <v>24</v>
      </c>
      <c r="K667" t="s">
        <v>60</v>
      </c>
      <c r="L667">
        <v>1</v>
      </c>
      <c r="M667" s="2">
        <v>34.56</v>
      </c>
      <c r="N667" t="s">
        <v>26</v>
      </c>
      <c r="O667" s="3">
        <v>0</v>
      </c>
      <c r="P667" s="3">
        <v>0</v>
      </c>
      <c r="Q667" s="2">
        <v>34.56</v>
      </c>
      <c r="R667" t="s">
        <v>66</v>
      </c>
      <c r="S667" t="s">
        <v>35</v>
      </c>
      <c r="T667" t="s">
        <v>63</v>
      </c>
      <c r="U667" t="s">
        <v>79</v>
      </c>
    </row>
    <row r="668" spans="1:21" x14ac:dyDescent="0.35">
      <c r="A668" t="s">
        <v>746</v>
      </c>
      <c r="B668" s="1">
        <v>46173</v>
      </c>
      <c r="C668" t="str">
        <f>TEXT(tblData[[#This Row],[Rental Date]],"mmm")</f>
        <v>May</v>
      </c>
      <c r="D668" t="str">
        <f>TEXT(tblData[[#This Row],[Rental Date]],"mmmm")</f>
        <v>May</v>
      </c>
      <c r="E668" t="s">
        <v>68</v>
      </c>
      <c r="F668" t="str">
        <f>TEXT(WEEKNUM(tblData[[#This Row],[Rental Date]]),"00")</f>
        <v>23</v>
      </c>
      <c r="G668" s="1">
        <f>EOMONTH(tblData[[#This Row],[Rental Date]],0)</f>
        <v>46173</v>
      </c>
      <c r="H668" t="s">
        <v>204</v>
      </c>
      <c r="I668" t="s">
        <v>48</v>
      </c>
      <c r="J668" t="s">
        <v>127</v>
      </c>
      <c r="K668" t="s">
        <v>40</v>
      </c>
      <c r="L668">
        <v>1</v>
      </c>
      <c r="M668" s="2">
        <v>25.92</v>
      </c>
      <c r="N668" t="s">
        <v>26</v>
      </c>
      <c r="O668" s="3">
        <v>0</v>
      </c>
      <c r="P668" s="3">
        <v>0</v>
      </c>
      <c r="Q668" s="2">
        <v>25.92</v>
      </c>
      <c r="R668" t="s">
        <v>71</v>
      </c>
      <c r="S668" t="s">
        <v>54</v>
      </c>
      <c r="T668" t="s">
        <v>63</v>
      </c>
      <c r="U668" t="s">
        <v>30</v>
      </c>
    </row>
    <row r="669" spans="1:21" x14ac:dyDescent="0.35">
      <c r="A669" t="s">
        <v>747</v>
      </c>
      <c r="B669" s="1">
        <v>46173</v>
      </c>
      <c r="C669" t="str">
        <f>TEXT(tblData[[#This Row],[Rental Date]],"mmm")</f>
        <v>May</v>
      </c>
      <c r="D669" t="str">
        <f>TEXT(tblData[[#This Row],[Rental Date]],"mmmm")</f>
        <v>May</v>
      </c>
      <c r="E669" t="s">
        <v>68</v>
      </c>
      <c r="F669" t="str">
        <f>TEXT(WEEKNUM(tblData[[#This Row],[Rental Date]]),"00")</f>
        <v>23</v>
      </c>
      <c r="G669" s="1">
        <f>EOMONTH(tblData[[#This Row],[Rental Date]],0)</f>
        <v>46173</v>
      </c>
      <c r="H669" t="s">
        <v>204</v>
      </c>
      <c r="I669" t="s">
        <v>48</v>
      </c>
      <c r="J669" t="s">
        <v>78</v>
      </c>
      <c r="K669" t="s">
        <v>40</v>
      </c>
      <c r="L669">
        <v>1</v>
      </c>
      <c r="M669" s="2">
        <v>66.959999999999994</v>
      </c>
      <c r="N669" t="s">
        <v>26</v>
      </c>
      <c r="O669" s="3">
        <v>0</v>
      </c>
      <c r="P669" s="3">
        <v>0</v>
      </c>
      <c r="Q669" s="2">
        <v>66.959999999999994</v>
      </c>
      <c r="R669" t="s">
        <v>71</v>
      </c>
      <c r="S669" t="s">
        <v>28</v>
      </c>
      <c r="T669" t="s">
        <v>29</v>
      </c>
      <c r="U669" t="s">
        <v>30</v>
      </c>
    </row>
    <row r="670" spans="1:21" x14ac:dyDescent="0.35">
      <c r="A670" t="s">
        <v>748</v>
      </c>
      <c r="B670" s="1">
        <v>46174</v>
      </c>
      <c r="C670" t="str">
        <f>TEXT(tblData[[#This Row],[Rental Date]],"mmm")</f>
        <v>Jun</v>
      </c>
      <c r="D670" t="str">
        <f>TEXT(tblData[[#This Row],[Rental Date]],"mmmm")</f>
        <v>June</v>
      </c>
      <c r="E670" t="s">
        <v>74</v>
      </c>
      <c r="F670" t="str">
        <f>TEXT(WEEKNUM(tblData[[#This Row],[Rental Date]]),"00")</f>
        <v>23</v>
      </c>
      <c r="G670" s="1">
        <f>EOMONTH(tblData[[#This Row],[Rental Date]],0)</f>
        <v>46203</v>
      </c>
      <c r="H670" t="s">
        <v>749</v>
      </c>
      <c r="I670" t="s">
        <v>23</v>
      </c>
      <c r="J670" t="s">
        <v>111</v>
      </c>
      <c r="K670" t="s">
        <v>25</v>
      </c>
      <c r="L670">
        <v>1</v>
      </c>
      <c r="M670" s="2">
        <v>24.64</v>
      </c>
      <c r="N670" t="s">
        <v>26</v>
      </c>
      <c r="O670" s="3">
        <v>0</v>
      </c>
      <c r="P670" s="3">
        <v>0</v>
      </c>
      <c r="Q670" s="2">
        <v>24.64</v>
      </c>
      <c r="R670" t="s">
        <v>76</v>
      </c>
      <c r="S670" t="s">
        <v>46</v>
      </c>
      <c r="T670" t="s">
        <v>29</v>
      </c>
      <c r="U670" t="s">
        <v>30</v>
      </c>
    </row>
    <row r="671" spans="1:21" x14ac:dyDescent="0.35">
      <c r="A671" t="s">
        <v>750</v>
      </c>
      <c r="B671" s="1">
        <v>46174</v>
      </c>
      <c r="C671" t="str">
        <f>TEXT(tblData[[#This Row],[Rental Date]],"mmm")</f>
        <v>Jun</v>
      </c>
      <c r="D671" t="str">
        <f>TEXT(tblData[[#This Row],[Rental Date]],"mmmm")</f>
        <v>June</v>
      </c>
      <c r="E671" t="s">
        <v>74</v>
      </c>
      <c r="F671" t="str">
        <f>TEXT(WEEKNUM(tblData[[#This Row],[Rental Date]]),"00")</f>
        <v>23</v>
      </c>
      <c r="G671" s="1">
        <f>EOMONTH(tblData[[#This Row],[Rental Date]],0)</f>
        <v>46203</v>
      </c>
      <c r="H671" t="s">
        <v>749</v>
      </c>
      <c r="I671" t="s">
        <v>39</v>
      </c>
      <c r="J671" t="s">
        <v>49</v>
      </c>
      <c r="K671" t="s">
        <v>25</v>
      </c>
      <c r="L671">
        <v>1</v>
      </c>
      <c r="M671" s="2">
        <v>40.32</v>
      </c>
      <c r="N671" t="s">
        <v>26</v>
      </c>
      <c r="O671" s="3">
        <v>0</v>
      </c>
      <c r="P671" s="3">
        <v>0</v>
      </c>
      <c r="Q671" s="2">
        <v>40.32</v>
      </c>
      <c r="R671" t="s">
        <v>76</v>
      </c>
      <c r="S671" t="s">
        <v>50</v>
      </c>
      <c r="T671" t="s">
        <v>51</v>
      </c>
      <c r="U671" t="s">
        <v>30</v>
      </c>
    </row>
    <row r="672" spans="1:21" x14ac:dyDescent="0.35">
      <c r="A672" t="s">
        <v>751</v>
      </c>
      <c r="B672" s="1">
        <v>46174</v>
      </c>
      <c r="C672" t="str">
        <f>TEXT(tblData[[#This Row],[Rental Date]],"mmm")</f>
        <v>Jun</v>
      </c>
      <c r="D672" t="str">
        <f>TEXT(tblData[[#This Row],[Rental Date]],"mmmm")</f>
        <v>June</v>
      </c>
      <c r="E672" t="s">
        <v>74</v>
      </c>
      <c r="F672" t="str">
        <f>TEXT(WEEKNUM(tblData[[#This Row],[Rental Date]]),"00")</f>
        <v>23</v>
      </c>
      <c r="G672" s="1">
        <f>EOMONTH(tblData[[#This Row],[Rental Date]],0)</f>
        <v>46203</v>
      </c>
      <c r="H672" t="s">
        <v>749</v>
      </c>
      <c r="I672" t="s">
        <v>48</v>
      </c>
      <c r="J672" t="s">
        <v>65</v>
      </c>
      <c r="K672" t="s">
        <v>40</v>
      </c>
      <c r="L672">
        <v>1</v>
      </c>
      <c r="M672" s="2">
        <v>31.36</v>
      </c>
      <c r="N672" t="s">
        <v>26</v>
      </c>
      <c r="O672" s="3">
        <v>0</v>
      </c>
      <c r="P672" s="3">
        <v>0</v>
      </c>
      <c r="Q672" s="2">
        <v>31.36</v>
      </c>
      <c r="R672" t="s">
        <v>62</v>
      </c>
      <c r="S672" t="s">
        <v>50</v>
      </c>
      <c r="T672" t="s">
        <v>51</v>
      </c>
      <c r="U672" t="s">
        <v>30</v>
      </c>
    </row>
    <row r="673" spans="1:21" x14ac:dyDescent="0.35">
      <c r="A673" t="s">
        <v>752</v>
      </c>
      <c r="B673" s="1">
        <v>46174</v>
      </c>
      <c r="C673" t="str">
        <f>TEXT(tblData[[#This Row],[Rental Date]],"mmm")</f>
        <v>Jun</v>
      </c>
      <c r="D673" t="str">
        <f>TEXT(tblData[[#This Row],[Rental Date]],"mmmm")</f>
        <v>June</v>
      </c>
      <c r="E673" t="s">
        <v>74</v>
      </c>
      <c r="F673" t="str">
        <f>TEXT(WEEKNUM(tblData[[#This Row],[Rental Date]]),"00")</f>
        <v>23</v>
      </c>
      <c r="G673" s="1">
        <f>EOMONTH(tblData[[#This Row],[Rental Date]],0)</f>
        <v>46203</v>
      </c>
      <c r="H673" t="s">
        <v>749</v>
      </c>
      <c r="I673" t="s">
        <v>39</v>
      </c>
      <c r="J673" t="s">
        <v>33</v>
      </c>
      <c r="K673" t="s">
        <v>92</v>
      </c>
      <c r="L673">
        <v>1</v>
      </c>
      <c r="M673" s="2">
        <v>94.08</v>
      </c>
      <c r="N673" t="s">
        <v>87</v>
      </c>
      <c r="O673" s="3">
        <v>10</v>
      </c>
      <c r="P673" s="3">
        <v>0</v>
      </c>
      <c r="Q673" s="2">
        <v>104.08</v>
      </c>
      <c r="R673" t="s">
        <v>57</v>
      </c>
      <c r="S673" t="s">
        <v>54</v>
      </c>
      <c r="T673" t="s">
        <v>29</v>
      </c>
      <c r="U673" t="s">
        <v>58</v>
      </c>
    </row>
    <row r="674" spans="1:21" x14ac:dyDescent="0.35">
      <c r="A674" t="s">
        <v>753</v>
      </c>
      <c r="B674" s="1">
        <v>46174</v>
      </c>
      <c r="C674" t="str">
        <f>TEXT(tblData[[#This Row],[Rental Date]],"mmm")</f>
        <v>Jun</v>
      </c>
      <c r="D674" t="str">
        <f>TEXT(tblData[[#This Row],[Rental Date]],"mmmm")</f>
        <v>June</v>
      </c>
      <c r="E674" t="s">
        <v>74</v>
      </c>
      <c r="F674" t="str">
        <f>TEXT(WEEKNUM(tblData[[#This Row],[Rental Date]]),"00")</f>
        <v>23</v>
      </c>
      <c r="G674" s="1">
        <f>EOMONTH(tblData[[#This Row],[Rental Date]],0)</f>
        <v>46203</v>
      </c>
      <c r="H674" t="s">
        <v>749</v>
      </c>
      <c r="I674" t="s">
        <v>48</v>
      </c>
      <c r="J674" t="s">
        <v>127</v>
      </c>
      <c r="K674" t="s">
        <v>92</v>
      </c>
      <c r="L674">
        <v>1</v>
      </c>
      <c r="M674" s="2">
        <v>38.08</v>
      </c>
      <c r="N674" t="s">
        <v>87</v>
      </c>
      <c r="O674" s="3">
        <v>10</v>
      </c>
      <c r="P674" s="3">
        <v>2.4</v>
      </c>
      <c r="Q674" s="2">
        <v>45.68</v>
      </c>
      <c r="R674" t="s">
        <v>57</v>
      </c>
      <c r="S674" t="s">
        <v>46</v>
      </c>
      <c r="T674" t="s">
        <v>29</v>
      </c>
      <c r="U674" t="s">
        <v>30</v>
      </c>
    </row>
    <row r="675" spans="1:21" x14ac:dyDescent="0.35">
      <c r="A675" t="s">
        <v>754</v>
      </c>
      <c r="B675" s="1">
        <v>46174</v>
      </c>
      <c r="C675" t="str">
        <f>TEXT(tblData[[#This Row],[Rental Date]],"mmm")</f>
        <v>Jun</v>
      </c>
      <c r="D675" t="str">
        <f>TEXT(tblData[[#This Row],[Rental Date]],"mmmm")</f>
        <v>June</v>
      </c>
      <c r="E675" t="s">
        <v>74</v>
      </c>
      <c r="F675" t="str">
        <f>TEXT(WEEKNUM(tblData[[#This Row],[Rental Date]]),"00")</f>
        <v>23</v>
      </c>
      <c r="G675" s="1">
        <f>EOMONTH(tblData[[#This Row],[Rental Date]],0)</f>
        <v>46203</v>
      </c>
      <c r="H675" t="s">
        <v>749</v>
      </c>
      <c r="I675" t="s">
        <v>23</v>
      </c>
      <c r="J675" t="s">
        <v>127</v>
      </c>
      <c r="K675" t="s">
        <v>25</v>
      </c>
      <c r="L675">
        <v>1</v>
      </c>
      <c r="M675" s="2">
        <v>17.920000000000002</v>
      </c>
      <c r="N675" t="s">
        <v>41</v>
      </c>
      <c r="O675" s="3">
        <v>5</v>
      </c>
      <c r="P675" s="3">
        <v>0</v>
      </c>
      <c r="Q675" s="2">
        <v>22.92</v>
      </c>
      <c r="R675" t="s">
        <v>27</v>
      </c>
      <c r="S675" t="s">
        <v>46</v>
      </c>
      <c r="T675" t="s">
        <v>29</v>
      </c>
      <c r="U675" t="s">
        <v>30</v>
      </c>
    </row>
    <row r="676" spans="1:21" x14ac:dyDescent="0.35">
      <c r="A676" t="s">
        <v>755</v>
      </c>
      <c r="B676" s="1">
        <v>46174</v>
      </c>
      <c r="C676" t="str">
        <f>TEXT(tblData[[#This Row],[Rental Date]],"mmm")</f>
        <v>Jun</v>
      </c>
      <c r="D676" t="str">
        <f>TEXT(tblData[[#This Row],[Rental Date]],"mmmm")</f>
        <v>June</v>
      </c>
      <c r="E676" t="s">
        <v>74</v>
      </c>
      <c r="F676" t="str">
        <f>TEXT(WEEKNUM(tblData[[#This Row],[Rental Date]]),"00")</f>
        <v>23</v>
      </c>
      <c r="G676" s="1">
        <f>EOMONTH(tblData[[#This Row],[Rental Date]],0)</f>
        <v>46203</v>
      </c>
      <c r="H676" t="s">
        <v>749</v>
      </c>
      <c r="I676" t="s">
        <v>39</v>
      </c>
      <c r="J676" t="s">
        <v>33</v>
      </c>
      <c r="K676" t="s">
        <v>60</v>
      </c>
      <c r="L676">
        <v>1</v>
      </c>
      <c r="M676" s="2">
        <v>26.88</v>
      </c>
      <c r="N676" t="s">
        <v>61</v>
      </c>
      <c r="O676" s="3">
        <v>8</v>
      </c>
      <c r="P676" s="3">
        <v>0</v>
      </c>
      <c r="Q676" s="2">
        <v>34.880000000000003</v>
      </c>
      <c r="R676" t="s">
        <v>57</v>
      </c>
      <c r="S676" t="s">
        <v>46</v>
      </c>
      <c r="T676" t="s">
        <v>63</v>
      </c>
      <c r="U676" t="s">
        <v>30</v>
      </c>
    </row>
    <row r="677" spans="1:21" x14ac:dyDescent="0.35">
      <c r="A677" t="s">
        <v>756</v>
      </c>
      <c r="B677" s="1">
        <v>46174</v>
      </c>
      <c r="C677" t="str">
        <f>TEXT(tblData[[#This Row],[Rental Date]],"mmm")</f>
        <v>Jun</v>
      </c>
      <c r="D677" t="str">
        <f>TEXT(tblData[[#This Row],[Rental Date]],"mmmm")</f>
        <v>June</v>
      </c>
      <c r="E677" t="s">
        <v>74</v>
      </c>
      <c r="F677" t="str">
        <f>TEXT(WEEKNUM(tblData[[#This Row],[Rental Date]]),"00")</f>
        <v>23</v>
      </c>
      <c r="G677" s="1">
        <f>EOMONTH(tblData[[#This Row],[Rental Date]],0)</f>
        <v>46203</v>
      </c>
      <c r="H677" t="s">
        <v>749</v>
      </c>
      <c r="I677" t="s">
        <v>48</v>
      </c>
      <c r="J677" t="s">
        <v>44</v>
      </c>
      <c r="K677" t="s">
        <v>25</v>
      </c>
      <c r="L677">
        <v>1</v>
      </c>
      <c r="M677" s="2">
        <v>58.24</v>
      </c>
      <c r="N677" t="s">
        <v>61</v>
      </c>
      <c r="O677" s="3">
        <v>8</v>
      </c>
      <c r="P677" s="3">
        <v>0</v>
      </c>
      <c r="Q677" s="2">
        <v>66.239999999999995</v>
      </c>
      <c r="R677" t="s">
        <v>45</v>
      </c>
      <c r="S677" t="s">
        <v>46</v>
      </c>
      <c r="T677" t="s">
        <v>29</v>
      </c>
      <c r="U677" t="s">
        <v>30</v>
      </c>
    </row>
    <row r="678" spans="1:21" x14ac:dyDescent="0.35">
      <c r="A678" t="s">
        <v>757</v>
      </c>
      <c r="B678" s="1">
        <v>46174</v>
      </c>
      <c r="C678" t="str">
        <f>TEXT(tblData[[#This Row],[Rental Date]],"mmm")</f>
        <v>Jun</v>
      </c>
      <c r="D678" t="str">
        <f>TEXT(tblData[[#This Row],[Rental Date]],"mmmm")</f>
        <v>June</v>
      </c>
      <c r="E678" t="s">
        <v>74</v>
      </c>
      <c r="F678" t="str">
        <f>TEXT(WEEKNUM(tblData[[#This Row],[Rental Date]]),"00")</f>
        <v>23</v>
      </c>
      <c r="G678" s="1">
        <f>EOMONTH(tblData[[#This Row],[Rental Date]],0)</f>
        <v>46203</v>
      </c>
      <c r="H678" t="s">
        <v>749</v>
      </c>
      <c r="I678" t="s">
        <v>48</v>
      </c>
      <c r="J678" t="s">
        <v>49</v>
      </c>
      <c r="K678" t="s">
        <v>60</v>
      </c>
      <c r="L678">
        <v>1</v>
      </c>
      <c r="M678" s="2">
        <v>24.64</v>
      </c>
      <c r="N678" t="s">
        <v>26</v>
      </c>
      <c r="O678" s="3">
        <v>0</v>
      </c>
      <c r="P678" s="3">
        <v>0</v>
      </c>
      <c r="Q678" s="2">
        <v>24.64</v>
      </c>
      <c r="R678" t="s">
        <v>66</v>
      </c>
      <c r="S678" t="s">
        <v>54</v>
      </c>
      <c r="T678" t="s">
        <v>51</v>
      </c>
      <c r="U678" t="s">
        <v>58</v>
      </c>
    </row>
    <row r="679" spans="1:21" x14ac:dyDescent="0.35">
      <c r="A679" t="s">
        <v>758</v>
      </c>
      <c r="B679" s="1">
        <v>46174</v>
      </c>
      <c r="C679" t="str">
        <f>TEXT(tblData[[#This Row],[Rental Date]],"mmm")</f>
        <v>Jun</v>
      </c>
      <c r="D679" t="str">
        <f>TEXT(tblData[[#This Row],[Rental Date]],"mmmm")</f>
        <v>June</v>
      </c>
      <c r="E679" t="s">
        <v>74</v>
      </c>
      <c r="F679" t="str">
        <f>TEXT(WEEKNUM(tblData[[#This Row],[Rental Date]]),"00")</f>
        <v>23</v>
      </c>
      <c r="G679" s="1">
        <f>EOMONTH(tblData[[#This Row],[Rental Date]],0)</f>
        <v>46203</v>
      </c>
      <c r="H679" t="s">
        <v>749</v>
      </c>
      <c r="I679" t="s">
        <v>23</v>
      </c>
      <c r="J679" t="s">
        <v>24</v>
      </c>
      <c r="K679" t="s">
        <v>25</v>
      </c>
      <c r="L679">
        <v>1</v>
      </c>
      <c r="M679" s="2">
        <v>56</v>
      </c>
      <c r="N679" t="s">
        <v>26</v>
      </c>
      <c r="O679" s="3">
        <v>0</v>
      </c>
      <c r="P679" s="3">
        <v>0</v>
      </c>
      <c r="Q679" s="2">
        <v>56</v>
      </c>
      <c r="R679" t="s">
        <v>66</v>
      </c>
      <c r="S679" t="s">
        <v>50</v>
      </c>
      <c r="T679" t="s">
        <v>29</v>
      </c>
      <c r="U679" t="s">
        <v>79</v>
      </c>
    </row>
    <row r="680" spans="1:21" x14ac:dyDescent="0.35">
      <c r="A680" t="s">
        <v>759</v>
      </c>
      <c r="B680" s="1">
        <v>46174</v>
      </c>
      <c r="C680" t="str">
        <f>TEXT(tblData[[#This Row],[Rental Date]],"mmm")</f>
        <v>Jun</v>
      </c>
      <c r="D680" t="str">
        <f>TEXT(tblData[[#This Row],[Rental Date]],"mmmm")</f>
        <v>June</v>
      </c>
      <c r="E680" t="s">
        <v>74</v>
      </c>
      <c r="F680" t="str">
        <f>TEXT(WEEKNUM(tblData[[#This Row],[Rental Date]]),"00")</f>
        <v>23</v>
      </c>
      <c r="G680" s="1">
        <f>EOMONTH(tblData[[#This Row],[Rental Date]],0)</f>
        <v>46203</v>
      </c>
      <c r="H680" t="s">
        <v>749</v>
      </c>
      <c r="I680" t="s">
        <v>48</v>
      </c>
      <c r="J680" t="s">
        <v>65</v>
      </c>
      <c r="K680" t="s">
        <v>25</v>
      </c>
      <c r="L680">
        <v>1</v>
      </c>
      <c r="M680" s="2">
        <v>20.16</v>
      </c>
      <c r="N680" t="s">
        <v>26</v>
      </c>
      <c r="O680" s="3">
        <v>0</v>
      </c>
      <c r="P680" s="3">
        <v>0</v>
      </c>
      <c r="Q680" s="2">
        <v>20.16</v>
      </c>
      <c r="R680" t="s">
        <v>66</v>
      </c>
      <c r="S680" t="s">
        <v>50</v>
      </c>
      <c r="T680" t="s">
        <v>90</v>
      </c>
      <c r="U680" t="s">
        <v>58</v>
      </c>
    </row>
    <row r="681" spans="1:21" x14ac:dyDescent="0.35">
      <c r="A681" t="s">
        <v>760</v>
      </c>
      <c r="B681" s="1">
        <v>46175</v>
      </c>
      <c r="C681" t="str">
        <f>TEXT(tblData[[#This Row],[Rental Date]],"mmm")</f>
        <v>Jun</v>
      </c>
      <c r="D681" t="str">
        <f>TEXT(tblData[[#This Row],[Rental Date]],"mmmm")</f>
        <v>June</v>
      </c>
      <c r="E681" t="s">
        <v>102</v>
      </c>
      <c r="F681" t="str">
        <f>TEXT(WEEKNUM(tblData[[#This Row],[Rental Date]]),"00")</f>
        <v>23</v>
      </c>
      <c r="G681" s="1">
        <f>EOMONTH(tblData[[#This Row],[Rental Date]],0)</f>
        <v>46203</v>
      </c>
      <c r="H681" t="s">
        <v>749</v>
      </c>
      <c r="I681" t="s">
        <v>39</v>
      </c>
      <c r="J681" t="s">
        <v>78</v>
      </c>
      <c r="K681" t="s">
        <v>60</v>
      </c>
      <c r="L681">
        <v>1</v>
      </c>
      <c r="M681" s="2">
        <v>29.12</v>
      </c>
      <c r="N681" t="s">
        <v>87</v>
      </c>
      <c r="O681" s="3">
        <v>10</v>
      </c>
      <c r="P681" s="3">
        <v>0</v>
      </c>
      <c r="Q681" s="2">
        <v>39.119999999999997</v>
      </c>
      <c r="R681" t="s">
        <v>71</v>
      </c>
      <c r="S681" t="s">
        <v>54</v>
      </c>
      <c r="T681" t="s">
        <v>29</v>
      </c>
      <c r="U681" t="s">
        <v>30</v>
      </c>
    </row>
    <row r="682" spans="1:21" x14ac:dyDescent="0.35">
      <c r="A682" t="s">
        <v>761</v>
      </c>
      <c r="B682" s="1">
        <v>46175</v>
      </c>
      <c r="C682" t="str">
        <f>TEXT(tblData[[#This Row],[Rental Date]],"mmm")</f>
        <v>Jun</v>
      </c>
      <c r="D682" t="str">
        <f>TEXT(tblData[[#This Row],[Rental Date]],"mmmm")</f>
        <v>June</v>
      </c>
      <c r="E682" t="s">
        <v>102</v>
      </c>
      <c r="F682" t="str">
        <f>TEXT(WEEKNUM(tblData[[#This Row],[Rental Date]]),"00")</f>
        <v>23</v>
      </c>
      <c r="G682" s="1">
        <f>EOMONTH(tblData[[#This Row],[Rental Date]],0)</f>
        <v>46203</v>
      </c>
      <c r="H682" t="s">
        <v>749</v>
      </c>
      <c r="I682" t="s">
        <v>23</v>
      </c>
      <c r="J682" t="s">
        <v>33</v>
      </c>
      <c r="K682" t="s">
        <v>25</v>
      </c>
      <c r="L682">
        <v>1</v>
      </c>
      <c r="M682" s="2">
        <v>42.56</v>
      </c>
      <c r="N682" t="s">
        <v>26</v>
      </c>
      <c r="O682" s="3">
        <v>0</v>
      </c>
      <c r="P682" s="3">
        <v>0</v>
      </c>
      <c r="Q682" s="2">
        <v>42.56</v>
      </c>
      <c r="R682" t="s">
        <v>34</v>
      </c>
      <c r="S682" t="s">
        <v>35</v>
      </c>
      <c r="T682" t="s">
        <v>29</v>
      </c>
      <c r="U682" t="s">
        <v>30</v>
      </c>
    </row>
    <row r="683" spans="1:21" x14ac:dyDescent="0.35">
      <c r="A683" t="s">
        <v>762</v>
      </c>
      <c r="B683" s="1">
        <v>46175</v>
      </c>
      <c r="C683" t="str">
        <f>TEXT(tblData[[#This Row],[Rental Date]],"mmm")</f>
        <v>Jun</v>
      </c>
      <c r="D683" t="str">
        <f>TEXT(tblData[[#This Row],[Rental Date]],"mmmm")</f>
        <v>June</v>
      </c>
      <c r="E683" t="s">
        <v>102</v>
      </c>
      <c r="F683" t="str">
        <f>TEXT(WEEKNUM(tblData[[#This Row],[Rental Date]]),"00")</f>
        <v>23</v>
      </c>
      <c r="G683" s="1">
        <f>EOMONTH(tblData[[#This Row],[Rental Date]],0)</f>
        <v>46203</v>
      </c>
      <c r="H683" t="s">
        <v>749</v>
      </c>
      <c r="I683" t="s">
        <v>48</v>
      </c>
      <c r="J683" t="s">
        <v>24</v>
      </c>
      <c r="K683" t="s">
        <v>60</v>
      </c>
      <c r="L683">
        <v>1</v>
      </c>
      <c r="M683" s="2">
        <v>35.840000000000003</v>
      </c>
      <c r="N683" t="s">
        <v>75</v>
      </c>
      <c r="O683" s="3">
        <v>12</v>
      </c>
      <c r="P683" s="3">
        <v>0</v>
      </c>
      <c r="Q683" s="2">
        <v>47.84</v>
      </c>
      <c r="R683" t="s">
        <v>62</v>
      </c>
      <c r="S683" t="s">
        <v>50</v>
      </c>
      <c r="T683" t="s">
        <v>51</v>
      </c>
      <c r="U683" t="s">
        <v>30</v>
      </c>
    </row>
    <row r="684" spans="1:21" x14ac:dyDescent="0.35">
      <c r="A684" t="s">
        <v>763</v>
      </c>
      <c r="B684" s="1">
        <v>46175</v>
      </c>
      <c r="C684" t="str">
        <f>TEXT(tblData[[#This Row],[Rental Date]],"mmm")</f>
        <v>Jun</v>
      </c>
      <c r="D684" t="str">
        <f>TEXT(tblData[[#This Row],[Rental Date]],"mmmm")</f>
        <v>June</v>
      </c>
      <c r="E684" t="s">
        <v>102</v>
      </c>
      <c r="F684" t="str">
        <f>TEXT(WEEKNUM(tblData[[#This Row],[Rental Date]]),"00")</f>
        <v>23</v>
      </c>
      <c r="G684" s="1">
        <f>EOMONTH(tblData[[#This Row],[Rental Date]],0)</f>
        <v>46203</v>
      </c>
      <c r="H684" t="s">
        <v>749</v>
      </c>
      <c r="I684" t="s">
        <v>48</v>
      </c>
      <c r="J684" t="s">
        <v>65</v>
      </c>
      <c r="K684" t="s">
        <v>60</v>
      </c>
      <c r="L684">
        <v>1</v>
      </c>
      <c r="M684" s="2">
        <v>13.44</v>
      </c>
      <c r="N684" t="s">
        <v>70</v>
      </c>
      <c r="O684" s="3">
        <v>7</v>
      </c>
      <c r="P684" s="3">
        <v>1.02</v>
      </c>
      <c r="Q684" s="2">
        <v>19.420000000000002</v>
      </c>
      <c r="R684" t="s">
        <v>94</v>
      </c>
      <c r="S684" t="s">
        <v>28</v>
      </c>
      <c r="T684" t="s">
        <v>90</v>
      </c>
      <c r="U684" t="s">
        <v>30</v>
      </c>
    </row>
    <row r="685" spans="1:21" x14ac:dyDescent="0.35">
      <c r="A685" t="s">
        <v>764</v>
      </c>
      <c r="B685" s="1">
        <v>46175</v>
      </c>
      <c r="C685" t="str">
        <f>TEXT(tblData[[#This Row],[Rental Date]],"mmm")</f>
        <v>Jun</v>
      </c>
      <c r="D685" t="str">
        <f>TEXT(tblData[[#This Row],[Rental Date]],"mmmm")</f>
        <v>June</v>
      </c>
      <c r="E685" t="s">
        <v>102</v>
      </c>
      <c r="F685" t="str">
        <f>TEXT(WEEKNUM(tblData[[#This Row],[Rental Date]]),"00")</f>
        <v>23</v>
      </c>
      <c r="G685" s="1">
        <f>EOMONTH(tblData[[#This Row],[Rental Date]],0)</f>
        <v>46203</v>
      </c>
      <c r="H685" t="s">
        <v>749</v>
      </c>
      <c r="I685" t="s">
        <v>39</v>
      </c>
      <c r="J685" t="s">
        <v>44</v>
      </c>
      <c r="K685" t="s">
        <v>25</v>
      </c>
      <c r="L685">
        <v>1</v>
      </c>
      <c r="M685" s="2">
        <v>58.24</v>
      </c>
      <c r="N685" t="s">
        <v>26</v>
      </c>
      <c r="O685" s="3">
        <v>0</v>
      </c>
      <c r="P685" s="3">
        <v>0</v>
      </c>
      <c r="Q685" s="2">
        <v>58.24</v>
      </c>
      <c r="R685" t="s">
        <v>45</v>
      </c>
      <c r="S685" t="s">
        <v>50</v>
      </c>
      <c r="T685" t="s">
        <v>29</v>
      </c>
      <c r="U685" t="s">
        <v>58</v>
      </c>
    </row>
    <row r="686" spans="1:21" x14ac:dyDescent="0.35">
      <c r="A686" t="s">
        <v>765</v>
      </c>
      <c r="B686" s="1">
        <v>46175</v>
      </c>
      <c r="C686" t="str">
        <f>TEXT(tblData[[#This Row],[Rental Date]],"mmm")</f>
        <v>Jun</v>
      </c>
      <c r="D686" t="str">
        <f>TEXT(tblData[[#This Row],[Rental Date]],"mmmm")</f>
        <v>June</v>
      </c>
      <c r="E686" t="s">
        <v>102</v>
      </c>
      <c r="F686" t="str">
        <f>TEXT(WEEKNUM(tblData[[#This Row],[Rental Date]]),"00")</f>
        <v>23</v>
      </c>
      <c r="G686" s="1">
        <f>EOMONTH(tblData[[#This Row],[Rental Date]],0)</f>
        <v>46203</v>
      </c>
      <c r="H686" t="s">
        <v>749</v>
      </c>
      <c r="I686" t="s">
        <v>39</v>
      </c>
      <c r="J686" t="s">
        <v>33</v>
      </c>
      <c r="K686" t="s">
        <v>25</v>
      </c>
      <c r="L686">
        <v>1</v>
      </c>
      <c r="M686" s="2">
        <v>42.56</v>
      </c>
      <c r="N686" t="s">
        <v>89</v>
      </c>
      <c r="O686" s="3">
        <v>6</v>
      </c>
      <c r="P686" s="3">
        <v>0</v>
      </c>
      <c r="Q686" s="2">
        <v>48.56</v>
      </c>
      <c r="R686" t="s">
        <v>45</v>
      </c>
      <c r="S686" t="s">
        <v>46</v>
      </c>
      <c r="T686" t="s">
        <v>51</v>
      </c>
      <c r="U686" t="s">
        <v>30</v>
      </c>
    </row>
    <row r="687" spans="1:21" x14ac:dyDescent="0.35">
      <c r="A687" t="s">
        <v>766</v>
      </c>
      <c r="B687" s="1">
        <v>46175</v>
      </c>
      <c r="C687" t="str">
        <f>TEXT(tblData[[#This Row],[Rental Date]],"mmm")</f>
        <v>Jun</v>
      </c>
      <c r="D687" t="str">
        <f>TEXT(tblData[[#This Row],[Rental Date]],"mmmm")</f>
        <v>June</v>
      </c>
      <c r="E687" t="s">
        <v>102</v>
      </c>
      <c r="F687" t="str">
        <f>TEXT(WEEKNUM(tblData[[#This Row],[Rental Date]]),"00")</f>
        <v>23</v>
      </c>
      <c r="G687" s="1">
        <f>EOMONTH(tblData[[#This Row],[Rental Date]],0)</f>
        <v>46203</v>
      </c>
      <c r="H687" t="s">
        <v>749</v>
      </c>
      <c r="I687" t="s">
        <v>48</v>
      </c>
      <c r="J687" t="s">
        <v>49</v>
      </c>
      <c r="K687" t="s">
        <v>92</v>
      </c>
      <c r="L687">
        <v>1</v>
      </c>
      <c r="M687" s="2">
        <v>85.12</v>
      </c>
      <c r="N687" t="s">
        <v>26</v>
      </c>
      <c r="O687" s="3">
        <v>0</v>
      </c>
      <c r="P687" s="3">
        <v>0</v>
      </c>
      <c r="Q687" s="2">
        <v>85.12</v>
      </c>
      <c r="R687" t="s">
        <v>57</v>
      </c>
      <c r="S687" t="s">
        <v>46</v>
      </c>
      <c r="T687" t="s">
        <v>83</v>
      </c>
      <c r="U687" t="s">
        <v>30</v>
      </c>
    </row>
    <row r="688" spans="1:21" x14ac:dyDescent="0.35">
      <c r="A688" t="s">
        <v>767</v>
      </c>
      <c r="B688" s="1">
        <v>46175</v>
      </c>
      <c r="C688" t="str">
        <f>TEXT(tblData[[#This Row],[Rental Date]],"mmm")</f>
        <v>Jun</v>
      </c>
      <c r="D688" t="str">
        <f>TEXT(tblData[[#This Row],[Rental Date]],"mmmm")</f>
        <v>June</v>
      </c>
      <c r="E688" t="s">
        <v>102</v>
      </c>
      <c r="F688" t="str">
        <f>TEXT(WEEKNUM(tblData[[#This Row],[Rental Date]]),"00")</f>
        <v>23</v>
      </c>
      <c r="G688" s="1">
        <f>EOMONTH(tblData[[#This Row],[Rental Date]],0)</f>
        <v>46203</v>
      </c>
      <c r="H688" t="s">
        <v>749</v>
      </c>
      <c r="I688" t="s">
        <v>39</v>
      </c>
      <c r="J688" t="s">
        <v>127</v>
      </c>
      <c r="K688" t="s">
        <v>25</v>
      </c>
      <c r="L688">
        <v>1</v>
      </c>
      <c r="M688" s="2">
        <v>17.920000000000002</v>
      </c>
      <c r="N688" t="s">
        <v>61</v>
      </c>
      <c r="O688" s="3">
        <v>8</v>
      </c>
      <c r="P688" s="3">
        <v>0</v>
      </c>
      <c r="Q688" s="2">
        <v>25.92</v>
      </c>
      <c r="R688" t="s">
        <v>57</v>
      </c>
      <c r="S688" t="s">
        <v>28</v>
      </c>
      <c r="T688" t="s">
        <v>29</v>
      </c>
      <c r="U688" t="s">
        <v>58</v>
      </c>
    </row>
    <row r="689" spans="1:21" x14ac:dyDescent="0.35">
      <c r="A689" t="s">
        <v>768</v>
      </c>
      <c r="B689" s="1">
        <v>46176</v>
      </c>
      <c r="C689" t="str">
        <f>TEXT(tblData[[#This Row],[Rental Date]],"mmm")</f>
        <v>Jun</v>
      </c>
      <c r="D689" t="str">
        <f>TEXT(tblData[[#This Row],[Rental Date]],"mmmm")</f>
        <v>June</v>
      </c>
      <c r="E689" t="s">
        <v>109</v>
      </c>
      <c r="F689" t="str">
        <f>TEXT(WEEKNUM(tblData[[#This Row],[Rental Date]]),"00")</f>
        <v>23</v>
      </c>
      <c r="G689" s="1">
        <f>EOMONTH(tblData[[#This Row],[Rental Date]],0)</f>
        <v>46203</v>
      </c>
      <c r="H689" t="s">
        <v>749</v>
      </c>
      <c r="I689" t="s">
        <v>23</v>
      </c>
      <c r="J689" t="s">
        <v>78</v>
      </c>
      <c r="K689" t="s">
        <v>92</v>
      </c>
      <c r="L689">
        <v>1</v>
      </c>
      <c r="M689" s="2">
        <v>98.56</v>
      </c>
      <c r="N689" t="s">
        <v>26</v>
      </c>
      <c r="O689" s="3">
        <v>0</v>
      </c>
      <c r="P689" s="3">
        <v>0</v>
      </c>
      <c r="Q689" s="2">
        <v>98.56</v>
      </c>
      <c r="R689" t="s">
        <v>34</v>
      </c>
      <c r="S689" t="s">
        <v>35</v>
      </c>
      <c r="T689" t="s">
        <v>90</v>
      </c>
      <c r="U689" t="s">
        <v>30</v>
      </c>
    </row>
    <row r="690" spans="1:21" x14ac:dyDescent="0.35">
      <c r="A690" t="s">
        <v>769</v>
      </c>
      <c r="B690" s="1">
        <v>46176</v>
      </c>
      <c r="C690" t="str">
        <f>TEXT(tblData[[#This Row],[Rental Date]],"mmm")</f>
        <v>Jun</v>
      </c>
      <c r="D690" t="str">
        <f>TEXT(tblData[[#This Row],[Rental Date]],"mmmm")</f>
        <v>June</v>
      </c>
      <c r="E690" t="s">
        <v>109</v>
      </c>
      <c r="F690" t="str">
        <f>TEXT(WEEKNUM(tblData[[#This Row],[Rental Date]]),"00")</f>
        <v>23</v>
      </c>
      <c r="G690" s="1">
        <f>EOMONTH(tblData[[#This Row],[Rental Date]],0)</f>
        <v>46203</v>
      </c>
      <c r="H690" t="s">
        <v>749</v>
      </c>
      <c r="I690" t="s">
        <v>48</v>
      </c>
      <c r="J690" t="s">
        <v>127</v>
      </c>
      <c r="K690" t="s">
        <v>60</v>
      </c>
      <c r="L690">
        <v>1</v>
      </c>
      <c r="M690" s="2">
        <v>11.2</v>
      </c>
      <c r="N690" t="s">
        <v>61</v>
      </c>
      <c r="O690" s="3">
        <v>8</v>
      </c>
      <c r="P690" s="3">
        <v>0</v>
      </c>
      <c r="Q690" s="2">
        <v>19.2</v>
      </c>
      <c r="R690" t="s">
        <v>27</v>
      </c>
      <c r="S690" t="s">
        <v>35</v>
      </c>
      <c r="T690" t="s">
        <v>51</v>
      </c>
      <c r="U690" t="s">
        <v>30</v>
      </c>
    </row>
    <row r="691" spans="1:21" x14ac:dyDescent="0.35">
      <c r="A691" t="s">
        <v>770</v>
      </c>
      <c r="B691" s="1">
        <v>46176</v>
      </c>
      <c r="C691" t="str">
        <f>TEXT(tblData[[#This Row],[Rental Date]],"mmm")</f>
        <v>Jun</v>
      </c>
      <c r="D691" t="str">
        <f>TEXT(tblData[[#This Row],[Rental Date]],"mmmm")</f>
        <v>June</v>
      </c>
      <c r="E691" t="s">
        <v>109</v>
      </c>
      <c r="F691" t="str">
        <f>TEXT(WEEKNUM(tblData[[#This Row],[Rental Date]]),"00")</f>
        <v>23</v>
      </c>
      <c r="G691" s="1">
        <f>EOMONTH(tblData[[#This Row],[Rental Date]],0)</f>
        <v>46203</v>
      </c>
      <c r="H691" t="s">
        <v>749</v>
      </c>
      <c r="I691" t="s">
        <v>48</v>
      </c>
      <c r="J691" t="s">
        <v>33</v>
      </c>
      <c r="K691" t="s">
        <v>60</v>
      </c>
      <c r="L691">
        <v>1</v>
      </c>
      <c r="M691" s="2">
        <v>26.88</v>
      </c>
      <c r="N691" t="s">
        <v>89</v>
      </c>
      <c r="O691" s="3">
        <v>6</v>
      </c>
      <c r="P691" s="3">
        <v>0</v>
      </c>
      <c r="Q691" s="2">
        <v>32.880000000000003</v>
      </c>
      <c r="R691" t="s">
        <v>62</v>
      </c>
      <c r="S691" t="s">
        <v>54</v>
      </c>
      <c r="T691" t="s">
        <v>29</v>
      </c>
      <c r="U691" t="s">
        <v>30</v>
      </c>
    </row>
    <row r="692" spans="1:21" x14ac:dyDescent="0.35">
      <c r="A692" t="s">
        <v>771</v>
      </c>
      <c r="B692" s="1">
        <v>46176</v>
      </c>
      <c r="C692" t="str">
        <f>TEXT(tblData[[#This Row],[Rental Date]],"mmm")</f>
        <v>Jun</v>
      </c>
      <c r="D692" t="str">
        <f>TEXT(tblData[[#This Row],[Rental Date]],"mmmm")</f>
        <v>June</v>
      </c>
      <c r="E692" t="s">
        <v>109</v>
      </c>
      <c r="F692" t="str">
        <f>TEXT(WEEKNUM(tblData[[#This Row],[Rental Date]]),"00")</f>
        <v>23</v>
      </c>
      <c r="G692" s="1">
        <f>EOMONTH(tblData[[#This Row],[Rental Date]],0)</f>
        <v>46203</v>
      </c>
      <c r="H692" t="s">
        <v>749</v>
      </c>
      <c r="I692" t="s">
        <v>39</v>
      </c>
      <c r="J692" t="s">
        <v>44</v>
      </c>
      <c r="K692" t="s">
        <v>40</v>
      </c>
      <c r="L692">
        <v>1</v>
      </c>
      <c r="M692" s="2">
        <v>87.36</v>
      </c>
      <c r="N692" t="s">
        <v>26</v>
      </c>
      <c r="O692" s="3">
        <v>0</v>
      </c>
      <c r="P692" s="3">
        <v>0</v>
      </c>
      <c r="Q692" s="2">
        <v>87.36</v>
      </c>
      <c r="R692" t="s">
        <v>34</v>
      </c>
      <c r="S692" t="s">
        <v>35</v>
      </c>
      <c r="T692" t="s">
        <v>29</v>
      </c>
      <c r="U692" t="s">
        <v>30</v>
      </c>
    </row>
    <row r="693" spans="1:21" x14ac:dyDescent="0.35">
      <c r="A693" t="s">
        <v>772</v>
      </c>
      <c r="B693" s="1">
        <v>46176</v>
      </c>
      <c r="C693" t="str">
        <f>TEXT(tblData[[#This Row],[Rental Date]],"mmm")</f>
        <v>Jun</v>
      </c>
      <c r="D693" t="str">
        <f>TEXT(tblData[[#This Row],[Rental Date]],"mmmm")</f>
        <v>June</v>
      </c>
      <c r="E693" t="s">
        <v>109</v>
      </c>
      <c r="F693" t="str">
        <f>TEXT(WEEKNUM(tblData[[#This Row],[Rental Date]]),"00")</f>
        <v>23</v>
      </c>
      <c r="G693" s="1">
        <f>EOMONTH(tblData[[#This Row],[Rental Date]],0)</f>
        <v>46203</v>
      </c>
      <c r="H693" t="s">
        <v>749</v>
      </c>
      <c r="I693" t="s">
        <v>23</v>
      </c>
      <c r="J693" t="s">
        <v>78</v>
      </c>
      <c r="K693" t="s">
        <v>25</v>
      </c>
      <c r="L693">
        <v>1</v>
      </c>
      <c r="M693" s="2">
        <v>47.04</v>
      </c>
      <c r="N693" t="s">
        <v>26</v>
      </c>
      <c r="O693" s="3">
        <v>0</v>
      </c>
      <c r="P693" s="3">
        <v>0</v>
      </c>
      <c r="Q693" s="2">
        <v>47.04</v>
      </c>
      <c r="R693" t="s">
        <v>34</v>
      </c>
      <c r="S693" t="s">
        <v>28</v>
      </c>
      <c r="T693" t="s">
        <v>29</v>
      </c>
      <c r="U693" t="s">
        <v>30</v>
      </c>
    </row>
    <row r="694" spans="1:21" x14ac:dyDescent="0.35">
      <c r="A694" t="s">
        <v>773</v>
      </c>
      <c r="B694" s="1">
        <v>46176</v>
      </c>
      <c r="C694" t="str">
        <f>TEXT(tblData[[#This Row],[Rental Date]],"mmm")</f>
        <v>Jun</v>
      </c>
      <c r="D694" t="str">
        <f>TEXT(tblData[[#This Row],[Rental Date]],"mmmm")</f>
        <v>June</v>
      </c>
      <c r="E694" t="s">
        <v>109</v>
      </c>
      <c r="F694" t="str">
        <f>TEXT(WEEKNUM(tblData[[#This Row],[Rental Date]]),"00")</f>
        <v>23</v>
      </c>
      <c r="G694" s="1">
        <f>EOMONTH(tblData[[#This Row],[Rental Date]],0)</f>
        <v>46203</v>
      </c>
      <c r="H694" t="s">
        <v>749</v>
      </c>
      <c r="I694" t="s">
        <v>32</v>
      </c>
      <c r="J694" t="s">
        <v>78</v>
      </c>
      <c r="K694" t="s">
        <v>60</v>
      </c>
      <c r="L694">
        <v>1</v>
      </c>
      <c r="M694" s="2">
        <v>29.12</v>
      </c>
      <c r="N694" t="s">
        <v>41</v>
      </c>
      <c r="O694" s="3">
        <v>5</v>
      </c>
      <c r="P694" s="3">
        <v>3.41</v>
      </c>
      <c r="Q694" s="2">
        <v>30.71</v>
      </c>
      <c r="R694" t="s">
        <v>66</v>
      </c>
      <c r="S694" t="s">
        <v>35</v>
      </c>
      <c r="T694" t="s">
        <v>63</v>
      </c>
      <c r="U694" t="s">
        <v>30</v>
      </c>
    </row>
    <row r="695" spans="1:21" x14ac:dyDescent="0.35">
      <c r="A695" t="s">
        <v>774</v>
      </c>
      <c r="B695" s="1">
        <v>46176</v>
      </c>
      <c r="C695" t="str">
        <f>TEXT(tblData[[#This Row],[Rental Date]],"mmm")</f>
        <v>Jun</v>
      </c>
      <c r="D695" t="str">
        <f>TEXT(tblData[[#This Row],[Rental Date]],"mmmm")</f>
        <v>June</v>
      </c>
      <c r="E695" t="s">
        <v>109</v>
      </c>
      <c r="F695" t="str">
        <f>TEXT(WEEKNUM(tblData[[#This Row],[Rental Date]]),"00")</f>
        <v>23</v>
      </c>
      <c r="G695" s="1">
        <f>EOMONTH(tblData[[#This Row],[Rental Date]],0)</f>
        <v>46203</v>
      </c>
      <c r="H695" t="s">
        <v>749</v>
      </c>
      <c r="I695" t="s">
        <v>32</v>
      </c>
      <c r="J695" t="s">
        <v>138</v>
      </c>
      <c r="K695" t="s">
        <v>60</v>
      </c>
      <c r="L695">
        <v>1</v>
      </c>
      <c r="M695" s="2">
        <v>33.6</v>
      </c>
      <c r="N695" t="s">
        <v>26</v>
      </c>
      <c r="O695" s="3">
        <v>0</v>
      </c>
      <c r="P695" s="3">
        <v>0</v>
      </c>
      <c r="Q695" s="2">
        <v>33.6</v>
      </c>
      <c r="R695" t="s">
        <v>34</v>
      </c>
      <c r="S695" t="s">
        <v>35</v>
      </c>
      <c r="T695" t="s">
        <v>29</v>
      </c>
      <c r="U695" t="s">
        <v>58</v>
      </c>
    </row>
    <row r="696" spans="1:21" x14ac:dyDescent="0.35">
      <c r="A696" t="s">
        <v>775</v>
      </c>
      <c r="B696" s="1">
        <v>46176</v>
      </c>
      <c r="C696" t="str">
        <f>TEXT(tblData[[#This Row],[Rental Date]],"mmm")</f>
        <v>Jun</v>
      </c>
      <c r="D696" t="str">
        <f>TEXT(tblData[[#This Row],[Rental Date]],"mmmm")</f>
        <v>June</v>
      </c>
      <c r="E696" t="s">
        <v>109</v>
      </c>
      <c r="F696" t="str">
        <f>TEXT(WEEKNUM(tblData[[#This Row],[Rental Date]]),"00")</f>
        <v>23</v>
      </c>
      <c r="G696" s="1">
        <f>EOMONTH(tblData[[#This Row],[Rental Date]],0)</f>
        <v>46203</v>
      </c>
      <c r="H696" t="s">
        <v>749</v>
      </c>
      <c r="I696" t="s">
        <v>39</v>
      </c>
      <c r="J696" t="s">
        <v>111</v>
      </c>
      <c r="K696" t="s">
        <v>25</v>
      </c>
      <c r="L696">
        <v>1</v>
      </c>
      <c r="M696" s="2">
        <v>24.64</v>
      </c>
      <c r="N696" t="s">
        <v>89</v>
      </c>
      <c r="O696" s="3">
        <v>6</v>
      </c>
      <c r="P696" s="3">
        <v>0</v>
      </c>
      <c r="Q696" s="2">
        <v>30.64</v>
      </c>
      <c r="R696" t="s">
        <v>62</v>
      </c>
      <c r="S696" t="s">
        <v>46</v>
      </c>
      <c r="T696" t="s">
        <v>63</v>
      </c>
      <c r="U696" t="s">
        <v>79</v>
      </c>
    </row>
    <row r="697" spans="1:21" x14ac:dyDescent="0.35">
      <c r="A697" t="s">
        <v>776</v>
      </c>
      <c r="B697" s="1">
        <v>46176</v>
      </c>
      <c r="C697" t="str">
        <f>TEXT(tblData[[#This Row],[Rental Date]],"mmm")</f>
        <v>Jun</v>
      </c>
      <c r="D697" t="str">
        <f>TEXT(tblData[[#This Row],[Rental Date]],"mmmm")</f>
        <v>June</v>
      </c>
      <c r="E697" t="s">
        <v>109</v>
      </c>
      <c r="F697" t="str">
        <f>TEXT(WEEKNUM(tblData[[#This Row],[Rental Date]]),"00")</f>
        <v>23</v>
      </c>
      <c r="G697" s="1">
        <f>EOMONTH(tblData[[#This Row],[Rental Date]],0)</f>
        <v>46203</v>
      </c>
      <c r="H697" t="s">
        <v>749</v>
      </c>
      <c r="I697" t="s">
        <v>48</v>
      </c>
      <c r="J697" t="s">
        <v>24</v>
      </c>
      <c r="K697" t="s">
        <v>40</v>
      </c>
      <c r="L697">
        <v>1</v>
      </c>
      <c r="M697" s="2">
        <v>85.12</v>
      </c>
      <c r="N697" t="s">
        <v>26</v>
      </c>
      <c r="O697" s="3">
        <v>0</v>
      </c>
      <c r="P697" s="3">
        <v>0</v>
      </c>
      <c r="Q697" s="2">
        <v>85.12</v>
      </c>
      <c r="R697" t="s">
        <v>66</v>
      </c>
      <c r="S697" t="s">
        <v>54</v>
      </c>
      <c r="T697" t="s">
        <v>29</v>
      </c>
      <c r="U697" t="s">
        <v>30</v>
      </c>
    </row>
    <row r="698" spans="1:21" x14ac:dyDescent="0.35">
      <c r="A698" t="s">
        <v>777</v>
      </c>
      <c r="B698" s="1">
        <v>46177</v>
      </c>
      <c r="C698" t="str">
        <f>TEXT(tblData[[#This Row],[Rental Date]],"mmm")</f>
        <v>Jun</v>
      </c>
      <c r="D698" t="str">
        <f>TEXT(tblData[[#This Row],[Rental Date]],"mmmm")</f>
        <v>June</v>
      </c>
      <c r="E698" t="s">
        <v>21</v>
      </c>
      <c r="F698" t="str">
        <f>TEXT(WEEKNUM(tblData[[#This Row],[Rental Date]]),"00")</f>
        <v>23</v>
      </c>
      <c r="G698" s="1">
        <f>EOMONTH(tblData[[#This Row],[Rental Date]],0)</f>
        <v>46203</v>
      </c>
      <c r="H698" t="s">
        <v>749</v>
      </c>
      <c r="I698" t="s">
        <v>39</v>
      </c>
      <c r="J698" t="s">
        <v>33</v>
      </c>
      <c r="K698" t="s">
        <v>25</v>
      </c>
      <c r="L698">
        <v>1</v>
      </c>
      <c r="M698" s="2">
        <v>42.56</v>
      </c>
      <c r="N698" t="s">
        <v>70</v>
      </c>
      <c r="O698" s="3">
        <v>7</v>
      </c>
      <c r="P698" s="3">
        <v>0</v>
      </c>
      <c r="Q698" s="2">
        <v>49.56</v>
      </c>
      <c r="R698" t="s">
        <v>57</v>
      </c>
      <c r="S698" t="s">
        <v>50</v>
      </c>
      <c r="T698" t="s">
        <v>29</v>
      </c>
      <c r="U698" t="s">
        <v>30</v>
      </c>
    </row>
    <row r="699" spans="1:21" x14ac:dyDescent="0.35">
      <c r="A699" t="s">
        <v>778</v>
      </c>
      <c r="B699" s="1">
        <v>46177</v>
      </c>
      <c r="C699" t="str">
        <f>TEXT(tblData[[#This Row],[Rental Date]],"mmm")</f>
        <v>Jun</v>
      </c>
      <c r="D699" t="str">
        <f>TEXT(tblData[[#This Row],[Rental Date]],"mmmm")</f>
        <v>June</v>
      </c>
      <c r="E699" t="s">
        <v>21</v>
      </c>
      <c r="F699" t="str">
        <f>TEXT(WEEKNUM(tblData[[#This Row],[Rental Date]]),"00")</f>
        <v>23</v>
      </c>
      <c r="G699" s="1">
        <f>EOMONTH(tblData[[#This Row],[Rental Date]],0)</f>
        <v>46203</v>
      </c>
      <c r="H699" t="s">
        <v>749</v>
      </c>
      <c r="I699" t="s">
        <v>39</v>
      </c>
      <c r="J699" t="s">
        <v>78</v>
      </c>
      <c r="K699" t="s">
        <v>92</v>
      </c>
      <c r="L699">
        <v>1</v>
      </c>
      <c r="M699" s="2">
        <v>98.56</v>
      </c>
      <c r="N699" t="s">
        <v>26</v>
      </c>
      <c r="O699" s="3">
        <v>0</v>
      </c>
      <c r="P699" s="3">
        <v>0</v>
      </c>
      <c r="Q699" s="2">
        <v>98.56</v>
      </c>
      <c r="R699" t="s">
        <v>62</v>
      </c>
      <c r="S699" t="s">
        <v>35</v>
      </c>
      <c r="T699" t="s">
        <v>90</v>
      </c>
      <c r="U699" t="s">
        <v>30</v>
      </c>
    </row>
    <row r="700" spans="1:21" x14ac:dyDescent="0.35">
      <c r="A700" t="s">
        <v>779</v>
      </c>
      <c r="B700" s="1">
        <v>46177</v>
      </c>
      <c r="C700" t="str">
        <f>TEXT(tblData[[#This Row],[Rental Date]],"mmm")</f>
        <v>Jun</v>
      </c>
      <c r="D700" t="str">
        <f>TEXT(tblData[[#This Row],[Rental Date]],"mmmm")</f>
        <v>June</v>
      </c>
      <c r="E700" t="s">
        <v>21</v>
      </c>
      <c r="F700" t="str">
        <f>TEXT(WEEKNUM(tblData[[#This Row],[Rental Date]]),"00")</f>
        <v>23</v>
      </c>
      <c r="G700" s="1">
        <f>EOMONTH(tblData[[#This Row],[Rental Date]],0)</f>
        <v>46203</v>
      </c>
      <c r="H700" t="s">
        <v>749</v>
      </c>
      <c r="I700" t="s">
        <v>48</v>
      </c>
      <c r="J700" t="s">
        <v>44</v>
      </c>
      <c r="K700" t="s">
        <v>25</v>
      </c>
      <c r="L700">
        <v>1</v>
      </c>
      <c r="M700" s="2">
        <v>58.24</v>
      </c>
      <c r="N700" t="s">
        <v>26</v>
      </c>
      <c r="O700" s="3">
        <v>0</v>
      </c>
      <c r="P700" s="3">
        <v>0</v>
      </c>
      <c r="Q700" s="2">
        <v>58.24</v>
      </c>
      <c r="R700" t="s">
        <v>45</v>
      </c>
      <c r="S700" t="s">
        <v>54</v>
      </c>
      <c r="T700" t="s">
        <v>90</v>
      </c>
      <c r="U700" t="s">
        <v>30</v>
      </c>
    </row>
    <row r="701" spans="1:21" x14ac:dyDescent="0.35">
      <c r="A701" t="s">
        <v>780</v>
      </c>
      <c r="B701" s="1">
        <v>46177</v>
      </c>
      <c r="C701" t="str">
        <f>TEXT(tblData[[#This Row],[Rental Date]],"mmm")</f>
        <v>Jun</v>
      </c>
      <c r="D701" t="str">
        <f>TEXT(tblData[[#This Row],[Rental Date]],"mmmm")</f>
        <v>June</v>
      </c>
      <c r="E701" t="s">
        <v>21</v>
      </c>
      <c r="F701" t="str">
        <f>TEXT(WEEKNUM(tblData[[#This Row],[Rental Date]]),"00")</f>
        <v>23</v>
      </c>
      <c r="G701" s="1">
        <f>EOMONTH(tblData[[#This Row],[Rental Date]],0)</f>
        <v>46203</v>
      </c>
      <c r="H701" t="s">
        <v>749</v>
      </c>
      <c r="I701" t="s">
        <v>23</v>
      </c>
      <c r="J701" t="s">
        <v>111</v>
      </c>
      <c r="K701" t="s">
        <v>60</v>
      </c>
      <c r="L701">
        <v>1</v>
      </c>
      <c r="M701" s="2">
        <v>15.68</v>
      </c>
      <c r="N701" t="s">
        <v>26</v>
      </c>
      <c r="O701" s="3">
        <v>0</v>
      </c>
      <c r="P701" s="3">
        <v>0</v>
      </c>
      <c r="Q701" s="2">
        <v>15.68</v>
      </c>
      <c r="R701" t="s">
        <v>94</v>
      </c>
      <c r="S701" t="s">
        <v>28</v>
      </c>
      <c r="T701" t="s">
        <v>29</v>
      </c>
      <c r="U701" t="s">
        <v>30</v>
      </c>
    </row>
    <row r="702" spans="1:21" x14ac:dyDescent="0.35">
      <c r="A702" t="s">
        <v>781</v>
      </c>
      <c r="B702" s="1">
        <v>46177</v>
      </c>
      <c r="C702" t="str">
        <f>TEXT(tblData[[#This Row],[Rental Date]],"mmm")</f>
        <v>Jun</v>
      </c>
      <c r="D702" t="str">
        <f>TEXT(tblData[[#This Row],[Rental Date]],"mmmm")</f>
        <v>June</v>
      </c>
      <c r="E702" t="s">
        <v>21</v>
      </c>
      <c r="F702" t="str">
        <f>TEXT(WEEKNUM(tblData[[#This Row],[Rental Date]]),"00")</f>
        <v>23</v>
      </c>
      <c r="G702" s="1">
        <f>EOMONTH(tblData[[#This Row],[Rental Date]],0)</f>
        <v>46203</v>
      </c>
      <c r="H702" t="s">
        <v>749</v>
      </c>
      <c r="I702" t="s">
        <v>23</v>
      </c>
      <c r="J702" t="s">
        <v>78</v>
      </c>
      <c r="K702" t="s">
        <v>25</v>
      </c>
      <c r="L702">
        <v>1</v>
      </c>
      <c r="M702" s="2">
        <v>47.04</v>
      </c>
      <c r="N702" t="s">
        <v>26</v>
      </c>
      <c r="O702" s="3">
        <v>0</v>
      </c>
      <c r="P702" s="3">
        <v>0</v>
      </c>
      <c r="Q702" s="2">
        <v>47.04</v>
      </c>
      <c r="R702" t="s">
        <v>94</v>
      </c>
      <c r="S702" t="s">
        <v>50</v>
      </c>
      <c r="T702" t="s">
        <v>29</v>
      </c>
      <c r="U702" t="s">
        <v>30</v>
      </c>
    </row>
    <row r="703" spans="1:21" x14ac:dyDescent="0.35">
      <c r="A703" t="s">
        <v>782</v>
      </c>
      <c r="B703" s="1">
        <v>46177</v>
      </c>
      <c r="C703" t="str">
        <f>TEXT(tblData[[#This Row],[Rental Date]],"mmm")</f>
        <v>Jun</v>
      </c>
      <c r="D703" t="str">
        <f>TEXT(tblData[[#This Row],[Rental Date]],"mmmm")</f>
        <v>June</v>
      </c>
      <c r="E703" t="s">
        <v>21</v>
      </c>
      <c r="F703" t="str">
        <f>TEXT(WEEKNUM(tblData[[#This Row],[Rental Date]]),"00")</f>
        <v>23</v>
      </c>
      <c r="G703" s="1">
        <f>EOMONTH(tblData[[#This Row],[Rental Date]],0)</f>
        <v>46203</v>
      </c>
      <c r="H703" t="s">
        <v>749</v>
      </c>
      <c r="I703" t="s">
        <v>48</v>
      </c>
      <c r="J703" t="s">
        <v>65</v>
      </c>
      <c r="K703" t="s">
        <v>25</v>
      </c>
      <c r="L703">
        <v>1</v>
      </c>
      <c r="M703" s="2">
        <v>20.16</v>
      </c>
      <c r="N703" t="s">
        <v>41</v>
      </c>
      <c r="O703" s="3">
        <v>5</v>
      </c>
      <c r="P703" s="3">
        <v>0</v>
      </c>
      <c r="Q703" s="2">
        <v>25.16</v>
      </c>
      <c r="R703" t="s">
        <v>45</v>
      </c>
      <c r="S703" t="s">
        <v>28</v>
      </c>
      <c r="T703" t="s">
        <v>29</v>
      </c>
      <c r="U703" t="s">
        <v>58</v>
      </c>
    </row>
    <row r="704" spans="1:21" x14ac:dyDescent="0.35">
      <c r="A704" t="s">
        <v>783</v>
      </c>
      <c r="B704" s="1">
        <v>46177</v>
      </c>
      <c r="C704" t="str">
        <f>TEXT(tblData[[#This Row],[Rental Date]],"mmm")</f>
        <v>Jun</v>
      </c>
      <c r="D704" t="str">
        <f>TEXT(tblData[[#This Row],[Rental Date]],"mmmm")</f>
        <v>June</v>
      </c>
      <c r="E704" t="s">
        <v>21</v>
      </c>
      <c r="F704" t="str">
        <f>TEXT(WEEKNUM(tblData[[#This Row],[Rental Date]]),"00")</f>
        <v>23</v>
      </c>
      <c r="G704" s="1">
        <f>EOMONTH(tblData[[#This Row],[Rental Date]],0)</f>
        <v>46203</v>
      </c>
      <c r="H704" t="s">
        <v>749</v>
      </c>
      <c r="I704" t="s">
        <v>48</v>
      </c>
      <c r="J704" t="s">
        <v>24</v>
      </c>
      <c r="K704" t="s">
        <v>25</v>
      </c>
      <c r="L704">
        <v>1</v>
      </c>
      <c r="M704" s="2">
        <v>56</v>
      </c>
      <c r="N704" t="s">
        <v>61</v>
      </c>
      <c r="O704" s="3">
        <v>8</v>
      </c>
      <c r="P704" s="3">
        <v>0</v>
      </c>
      <c r="Q704" s="2">
        <v>64</v>
      </c>
      <c r="R704" t="s">
        <v>45</v>
      </c>
      <c r="S704" t="s">
        <v>35</v>
      </c>
      <c r="T704" t="s">
        <v>83</v>
      </c>
      <c r="U704" t="s">
        <v>79</v>
      </c>
    </row>
    <row r="705" spans="1:21" x14ac:dyDescent="0.35">
      <c r="A705" t="s">
        <v>784</v>
      </c>
      <c r="B705" s="1">
        <v>46177</v>
      </c>
      <c r="C705" t="str">
        <f>TEXT(tblData[[#This Row],[Rental Date]],"mmm")</f>
        <v>Jun</v>
      </c>
      <c r="D705" t="str">
        <f>TEXT(tblData[[#This Row],[Rental Date]],"mmmm")</f>
        <v>June</v>
      </c>
      <c r="E705" t="s">
        <v>21</v>
      </c>
      <c r="F705" t="str">
        <f>TEXT(WEEKNUM(tblData[[#This Row],[Rental Date]]),"00")</f>
        <v>23</v>
      </c>
      <c r="G705" s="1">
        <f>EOMONTH(tblData[[#This Row],[Rental Date]],0)</f>
        <v>46203</v>
      </c>
      <c r="H705" t="s">
        <v>749</v>
      </c>
      <c r="I705" t="s">
        <v>39</v>
      </c>
      <c r="J705" t="s">
        <v>86</v>
      </c>
      <c r="K705" t="s">
        <v>25</v>
      </c>
      <c r="L705">
        <v>1</v>
      </c>
      <c r="M705" s="2">
        <v>64.959999999999994</v>
      </c>
      <c r="N705" t="s">
        <v>89</v>
      </c>
      <c r="O705" s="3">
        <v>6</v>
      </c>
      <c r="P705" s="3">
        <v>3.55</v>
      </c>
      <c r="Q705" s="2">
        <v>67.41</v>
      </c>
      <c r="R705" t="s">
        <v>71</v>
      </c>
      <c r="S705" t="s">
        <v>46</v>
      </c>
      <c r="T705" t="s">
        <v>29</v>
      </c>
      <c r="U705" t="s">
        <v>30</v>
      </c>
    </row>
    <row r="706" spans="1:21" x14ac:dyDescent="0.35">
      <c r="A706" t="s">
        <v>785</v>
      </c>
      <c r="B706" s="1">
        <v>46177</v>
      </c>
      <c r="C706" t="str">
        <f>TEXT(tblData[[#This Row],[Rental Date]],"mmm")</f>
        <v>Jun</v>
      </c>
      <c r="D706" t="str">
        <f>TEXT(tblData[[#This Row],[Rental Date]],"mmmm")</f>
        <v>June</v>
      </c>
      <c r="E706" t="s">
        <v>21</v>
      </c>
      <c r="F706" t="str">
        <f>TEXT(WEEKNUM(tblData[[#This Row],[Rental Date]]),"00")</f>
        <v>23</v>
      </c>
      <c r="G706" s="1">
        <f>EOMONTH(tblData[[#This Row],[Rental Date]],0)</f>
        <v>46203</v>
      </c>
      <c r="H706" t="s">
        <v>749</v>
      </c>
      <c r="I706" t="s">
        <v>39</v>
      </c>
      <c r="J706" t="s">
        <v>33</v>
      </c>
      <c r="K706" t="s">
        <v>25</v>
      </c>
      <c r="L706">
        <v>1</v>
      </c>
      <c r="M706" s="2">
        <v>42.56</v>
      </c>
      <c r="N706" t="s">
        <v>70</v>
      </c>
      <c r="O706" s="3">
        <v>7</v>
      </c>
      <c r="P706" s="3">
        <v>0</v>
      </c>
      <c r="Q706" s="2">
        <v>49.56</v>
      </c>
      <c r="R706" t="s">
        <v>34</v>
      </c>
      <c r="S706" t="s">
        <v>35</v>
      </c>
      <c r="T706" t="s">
        <v>29</v>
      </c>
      <c r="U706" t="s">
        <v>30</v>
      </c>
    </row>
    <row r="707" spans="1:21" x14ac:dyDescent="0.35">
      <c r="A707" t="s">
        <v>786</v>
      </c>
      <c r="B707" s="1">
        <v>46177</v>
      </c>
      <c r="C707" t="str">
        <f>TEXT(tblData[[#This Row],[Rental Date]],"mmm")</f>
        <v>Jun</v>
      </c>
      <c r="D707" t="str">
        <f>TEXT(tblData[[#This Row],[Rental Date]],"mmmm")</f>
        <v>June</v>
      </c>
      <c r="E707" t="s">
        <v>21</v>
      </c>
      <c r="F707" t="str">
        <f>TEXT(WEEKNUM(tblData[[#This Row],[Rental Date]]),"00")</f>
        <v>23</v>
      </c>
      <c r="G707" s="1">
        <f>EOMONTH(tblData[[#This Row],[Rental Date]],0)</f>
        <v>46203</v>
      </c>
      <c r="H707" t="s">
        <v>749</v>
      </c>
      <c r="I707" t="s">
        <v>23</v>
      </c>
      <c r="J707" t="s">
        <v>44</v>
      </c>
      <c r="K707" t="s">
        <v>60</v>
      </c>
      <c r="L707">
        <v>1</v>
      </c>
      <c r="M707" s="2">
        <v>38.08</v>
      </c>
      <c r="N707" t="s">
        <v>26</v>
      </c>
      <c r="O707" s="3">
        <v>0</v>
      </c>
      <c r="P707" s="3">
        <v>0</v>
      </c>
      <c r="Q707" s="2">
        <v>38.08</v>
      </c>
      <c r="R707" t="s">
        <v>66</v>
      </c>
      <c r="S707" t="s">
        <v>54</v>
      </c>
      <c r="T707" t="s">
        <v>29</v>
      </c>
      <c r="U707" t="s">
        <v>30</v>
      </c>
    </row>
    <row r="708" spans="1:21" x14ac:dyDescent="0.35">
      <c r="A708" t="s">
        <v>787</v>
      </c>
      <c r="B708" s="1">
        <v>46177</v>
      </c>
      <c r="C708" t="str">
        <f>TEXT(tblData[[#This Row],[Rental Date]],"mmm")</f>
        <v>Jun</v>
      </c>
      <c r="D708" t="str">
        <f>TEXT(tblData[[#This Row],[Rental Date]],"mmmm")</f>
        <v>June</v>
      </c>
      <c r="E708" t="s">
        <v>21</v>
      </c>
      <c r="F708" t="str">
        <f>TEXT(WEEKNUM(tblData[[#This Row],[Rental Date]]),"00")</f>
        <v>23</v>
      </c>
      <c r="G708" s="1">
        <f>EOMONTH(tblData[[#This Row],[Rental Date]],0)</f>
        <v>46203</v>
      </c>
      <c r="H708" t="s">
        <v>749</v>
      </c>
      <c r="I708" t="s">
        <v>23</v>
      </c>
      <c r="J708" t="s">
        <v>49</v>
      </c>
      <c r="K708" t="s">
        <v>25</v>
      </c>
      <c r="L708">
        <v>1</v>
      </c>
      <c r="M708" s="2">
        <v>40.32</v>
      </c>
      <c r="N708" t="s">
        <v>26</v>
      </c>
      <c r="O708" s="3">
        <v>0</v>
      </c>
      <c r="P708" s="3">
        <v>0</v>
      </c>
      <c r="Q708" s="2">
        <v>40.32</v>
      </c>
      <c r="R708" t="s">
        <v>94</v>
      </c>
      <c r="S708" t="s">
        <v>46</v>
      </c>
      <c r="T708" t="s">
        <v>51</v>
      </c>
      <c r="U708" t="s">
        <v>30</v>
      </c>
    </row>
    <row r="709" spans="1:21" x14ac:dyDescent="0.35">
      <c r="A709" t="s">
        <v>788</v>
      </c>
      <c r="B709" s="1">
        <v>46177</v>
      </c>
      <c r="C709" t="str">
        <f>TEXT(tblData[[#This Row],[Rental Date]],"mmm")</f>
        <v>Jun</v>
      </c>
      <c r="D709" t="str">
        <f>TEXT(tblData[[#This Row],[Rental Date]],"mmmm")</f>
        <v>June</v>
      </c>
      <c r="E709" t="s">
        <v>21</v>
      </c>
      <c r="F709" t="str">
        <f>TEXT(WEEKNUM(tblData[[#This Row],[Rental Date]]),"00")</f>
        <v>23</v>
      </c>
      <c r="G709" s="1">
        <f>EOMONTH(tblData[[#This Row],[Rental Date]],0)</f>
        <v>46203</v>
      </c>
      <c r="H709" t="s">
        <v>749</v>
      </c>
      <c r="I709" t="s">
        <v>39</v>
      </c>
      <c r="J709" t="s">
        <v>78</v>
      </c>
      <c r="K709" t="s">
        <v>60</v>
      </c>
      <c r="L709">
        <v>1</v>
      </c>
      <c r="M709" s="2">
        <v>29.12</v>
      </c>
      <c r="N709" t="s">
        <v>41</v>
      </c>
      <c r="O709" s="3">
        <v>5</v>
      </c>
      <c r="P709" s="3">
        <v>0</v>
      </c>
      <c r="Q709" s="2">
        <v>34.119999999999997</v>
      </c>
      <c r="R709" t="s">
        <v>76</v>
      </c>
      <c r="S709" t="s">
        <v>35</v>
      </c>
      <c r="T709" t="s">
        <v>83</v>
      </c>
      <c r="U709" t="s">
        <v>58</v>
      </c>
    </row>
    <row r="710" spans="1:21" x14ac:dyDescent="0.35">
      <c r="A710" t="s">
        <v>789</v>
      </c>
      <c r="B710" s="1">
        <v>46177</v>
      </c>
      <c r="C710" t="str">
        <f>TEXT(tblData[[#This Row],[Rental Date]],"mmm")</f>
        <v>Jun</v>
      </c>
      <c r="D710" t="str">
        <f>TEXT(tblData[[#This Row],[Rental Date]],"mmmm")</f>
        <v>June</v>
      </c>
      <c r="E710" t="s">
        <v>21</v>
      </c>
      <c r="F710" t="str">
        <f>TEXT(WEEKNUM(tblData[[#This Row],[Rental Date]]),"00")</f>
        <v>23</v>
      </c>
      <c r="G710" s="1">
        <f>EOMONTH(tblData[[#This Row],[Rental Date]],0)</f>
        <v>46203</v>
      </c>
      <c r="H710" t="s">
        <v>749</v>
      </c>
      <c r="I710" t="s">
        <v>39</v>
      </c>
      <c r="J710" t="s">
        <v>33</v>
      </c>
      <c r="K710" t="s">
        <v>25</v>
      </c>
      <c r="L710">
        <v>1</v>
      </c>
      <c r="M710" s="2">
        <v>42.56</v>
      </c>
      <c r="N710" t="s">
        <v>26</v>
      </c>
      <c r="O710" s="3">
        <v>0</v>
      </c>
      <c r="P710" s="3">
        <v>0</v>
      </c>
      <c r="Q710" s="2">
        <v>42.56</v>
      </c>
      <c r="R710" t="s">
        <v>71</v>
      </c>
      <c r="S710" t="s">
        <v>50</v>
      </c>
      <c r="T710" t="s">
        <v>29</v>
      </c>
      <c r="U710" t="s">
        <v>30</v>
      </c>
    </row>
    <row r="711" spans="1:21" x14ac:dyDescent="0.35">
      <c r="A711" t="s">
        <v>790</v>
      </c>
      <c r="B711" s="1">
        <v>46177</v>
      </c>
      <c r="C711" t="str">
        <f>TEXT(tblData[[#This Row],[Rental Date]],"mmm")</f>
        <v>Jun</v>
      </c>
      <c r="D711" t="str">
        <f>TEXT(tblData[[#This Row],[Rental Date]],"mmmm")</f>
        <v>June</v>
      </c>
      <c r="E711" t="s">
        <v>21</v>
      </c>
      <c r="F711" t="str">
        <f>TEXT(WEEKNUM(tblData[[#This Row],[Rental Date]]),"00")</f>
        <v>23</v>
      </c>
      <c r="G711" s="1">
        <f>EOMONTH(tblData[[#This Row],[Rental Date]],0)</f>
        <v>46203</v>
      </c>
      <c r="H711" t="s">
        <v>749</v>
      </c>
      <c r="I711" t="s">
        <v>48</v>
      </c>
      <c r="J711" t="s">
        <v>49</v>
      </c>
      <c r="K711" t="s">
        <v>60</v>
      </c>
      <c r="L711">
        <v>1</v>
      </c>
      <c r="M711" s="2">
        <v>24.64</v>
      </c>
      <c r="N711" t="s">
        <v>26</v>
      </c>
      <c r="O711" s="3">
        <v>0</v>
      </c>
      <c r="P711" s="3">
        <v>0</v>
      </c>
      <c r="Q711" s="2">
        <v>24.64</v>
      </c>
      <c r="R711" t="s">
        <v>42</v>
      </c>
      <c r="S711" t="s">
        <v>54</v>
      </c>
      <c r="T711" t="s">
        <v>29</v>
      </c>
      <c r="U711" t="s">
        <v>58</v>
      </c>
    </row>
    <row r="712" spans="1:21" x14ac:dyDescent="0.35">
      <c r="A712" t="s">
        <v>791</v>
      </c>
      <c r="B712" s="1">
        <v>46177</v>
      </c>
      <c r="C712" t="str">
        <f>TEXT(tblData[[#This Row],[Rental Date]],"mmm")</f>
        <v>Jun</v>
      </c>
      <c r="D712" t="str">
        <f>TEXT(tblData[[#This Row],[Rental Date]],"mmmm")</f>
        <v>June</v>
      </c>
      <c r="E712" t="s">
        <v>21</v>
      </c>
      <c r="F712" t="str">
        <f>TEXT(WEEKNUM(tblData[[#This Row],[Rental Date]]),"00")</f>
        <v>23</v>
      </c>
      <c r="G712" s="1">
        <f>EOMONTH(tblData[[#This Row],[Rental Date]],0)</f>
        <v>46203</v>
      </c>
      <c r="H712" t="s">
        <v>749</v>
      </c>
      <c r="I712" t="s">
        <v>23</v>
      </c>
      <c r="J712" t="s">
        <v>127</v>
      </c>
      <c r="K712" t="s">
        <v>25</v>
      </c>
      <c r="L712">
        <v>1</v>
      </c>
      <c r="M712" s="2">
        <v>17.920000000000002</v>
      </c>
      <c r="N712" t="s">
        <v>26</v>
      </c>
      <c r="O712" s="3">
        <v>0</v>
      </c>
      <c r="P712" s="3">
        <v>0</v>
      </c>
      <c r="Q712" s="2">
        <v>17.920000000000002</v>
      </c>
      <c r="R712" t="s">
        <v>76</v>
      </c>
      <c r="S712" t="s">
        <v>54</v>
      </c>
      <c r="T712" t="s">
        <v>29</v>
      </c>
      <c r="U712" t="s">
        <v>30</v>
      </c>
    </row>
    <row r="713" spans="1:21" x14ac:dyDescent="0.35">
      <c r="A713" t="s">
        <v>792</v>
      </c>
      <c r="B713" s="1">
        <v>46178</v>
      </c>
      <c r="C713" t="str">
        <f>TEXT(tblData[[#This Row],[Rental Date]],"mmm")</f>
        <v>Jun</v>
      </c>
      <c r="D713" t="str">
        <f>TEXT(tblData[[#This Row],[Rental Date]],"mmmm")</f>
        <v>June</v>
      </c>
      <c r="E713" t="s">
        <v>38</v>
      </c>
      <c r="F713" t="str">
        <f>TEXT(WEEKNUM(tblData[[#This Row],[Rental Date]]),"00")</f>
        <v>23</v>
      </c>
      <c r="G713" s="1">
        <f>EOMONTH(tblData[[#This Row],[Rental Date]],0)</f>
        <v>46203</v>
      </c>
      <c r="H713" t="s">
        <v>749</v>
      </c>
      <c r="I713" t="s">
        <v>32</v>
      </c>
      <c r="J713" t="s">
        <v>44</v>
      </c>
      <c r="K713" t="s">
        <v>60</v>
      </c>
      <c r="L713">
        <v>1</v>
      </c>
      <c r="M713" s="2">
        <v>38.08</v>
      </c>
      <c r="N713" t="s">
        <v>26</v>
      </c>
      <c r="O713" s="3">
        <v>0</v>
      </c>
      <c r="P713" s="3">
        <v>1.9</v>
      </c>
      <c r="Q713" s="2">
        <v>36.18</v>
      </c>
      <c r="R713" t="s">
        <v>76</v>
      </c>
      <c r="S713" t="s">
        <v>35</v>
      </c>
      <c r="T713" t="s">
        <v>90</v>
      </c>
      <c r="U713" t="s">
        <v>30</v>
      </c>
    </row>
    <row r="714" spans="1:21" x14ac:dyDescent="0.35">
      <c r="A714" t="s">
        <v>793</v>
      </c>
      <c r="B714" s="1">
        <v>46178</v>
      </c>
      <c r="C714" t="str">
        <f>TEXT(tblData[[#This Row],[Rental Date]],"mmm")</f>
        <v>Jun</v>
      </c>
      <c r="D714" t="str">
        <f>TEXT(tblData[[#This Row],[Rental Date]],"mmmm")</f>
        <v>June</v>
      </c>
      <c r="E714" t="s">
        <v>38</v>
      </c>
      <c r="F714" t="str">
        <f>TEXT(WEEKNUM(tblData[[#This Row],[Rental Date]]),"00")</f>
        <v>23</v>
      </c>
      <c r="G714" s="1">
        <f>EOMONTH(tblData[[#This Row],[Rental Date]],0)</f>
        <v>46203</v>
      </c>
      <c r="H714" t="s">
        <v>749</v>
      </c>
      <c r="I714" t="s">
        <v>39</v>
      </c>
      <c r="J714" t="s">
        <v>33</v>
      </c>
      <c r="K714" t="s">
        <v>60</v>
      </c>
      <c r="L714">
        <v>1</v>
      </c>
      <c r="M714" s="2">
        <v>26.88</v>
      </c>
      <c r="N714" t="s">
        <v>61</v>
      </c>
      <c r="O714" s="3">
        <v>8</v>
      </c>
      <c r="P714" s="3">
        <v>0</v>
      </c>
      <c r="Q714" s="2">
        <v>34.880000000000003</v>
      </c>
      <c r="R714" t="s">
        <v>34</v>
      </c>
      <c r="S714" t="s">
        <v>28</v>
      </c>
      <c r="T714" t="s">
        <v>29</v>
      </c>
      <c r="U714" t="s">
        <v>30</v>
      </c>
    </row>
    <row r="715" spans="1:21" x14ac:dyDescent="0.35">
      <c r="A715" t="s">
        <v>794</v>
      </c>
      <c r="B715" s="1">
        <v>46178</v>
      </c>
      <c r="C715" t="str">
        <f>TEXT(tblData[[#This Row],[Rental Date]],"mmm")</f>
        <v>Jun</v>
      </c>
      <c r="D715" t="str">
        <f>TEXT(tblData[[#This Row],[Rental Date]],"mmmm")</f>
        <v>June</v>
      </c>
      <c r="E715" t="s">
        <v>38</v>
      </c>
      <c r="F715" t="str">
        <f>TEXT(WEEKNUM(tblData[[#This Row],[Rental Date]]),"00")</f>
        <v>23</v>
      </c>
      <c r="G715" s="1">
        <f>EOMONTH(tblData[[#This Row],[Rental Date]],0)</f>
        <v>46203</v>
      </c>
      <c r="H715" t="s">
        <v>749</v>
      </c>
      <c r="I715" t="s">
        <v>39</v>
      </c>
      <c r="J715" t="s">
        <v>78</v>
      </c>
      <c r="K715" t="s">
        <v>25</v>
      </c>
      <c r="L715">
        <v>1</v>
      </c>
      <c r="M715" s="2">
        <v>47.04</v>
      </c>
      <c r="N715" t="s">
        <v>89</v>
      </c>
      <c r="O715" s="3">
        <v>6</v>
      </c>
      <c r="P715" s="3">
        <v>0</v>
      </c>
      <c r="Q715" s="2">
        <v>53.04</v>
      </c>
      <c r="R715" t="s">
        <v>62</v>
      </c>
      <c r="S715" t="s">
        <v>50</v>
      </c>
      <c r="T715" t="s">
        <v>29</v>
      </c>
      <c r="U715" t="s">
        <v>79</v>
      </c>
    </row>
    <row r="716" spans="1:21" x14ac:dyDescent="0.35">
      <c r="A716" t="s">
        <v>795</v>
      </c>
      <c r="B716" s="1">
        <v>46178</v>
      </c>
      <c r="C716" t="str">
        <f>TEXT(tblData[[#This Row],[Rental Date]],"mmm")</f>
        <v>Jun</v>
      </c>
      <c r="D716" t="str">
        <f>TEXT(tblData[[#This Row],[Rental Date]],"mmmm")</f>
        <v>June</v>
      </c>
      <c r="E716" t="s">
        <v>38</v>
      </c>
      <c r="F716" t="str">
        <f>TEXT(WEEKNUM(tblData[[#This Row],[Rental Date]]),"00")</f>
        <v>23</v>
      </c>
      <c r="G716" s="1">
        <f>EOMONTH(tblData[[#This Row],[Rental Date]],0)</f>
        <v>46203</v>
      </c>
      <c r="H716" t="s">
        <v>749</v>
      </c>
      <c r="I716" t="s">
        <v>39</v>
      </c>
      <c r="J716" t="s">
        <v>78</v>
      </c>
      <c r="K716" t="s">
        <v>40</v>
      </c>
      <c r="L716">
        <v>1</v>
      </c>
      <c r="M716" s="2">
        <v>69.44</v>
      </c>
      <c r="N716" t="s">
        <v>26</v>
      </c>
      <c r="O716" s="3">
        <v>0</v>
      </c>
      <c r="P716" s="3">
        <v>0</v>
      </c>
      <c r="Q716" s="2">
        <v>69.44</v>
      </c>
      <c r="R716" t="s">
        <v>45</v>
      </c>
      <c r="S716" t="s">
        <v>46</v>
      </c>
      <c r="T716" t="s">
        <v>51</v>
      </c>
      <c r="U716" t="s">
        <v>30</v>
      </c>
    </row>
    <row r="717" spans="1:21" x14ac:dyDescent="0.35">
      <c r="A717" t="s">
        <v>796</v>
      </c>
      <c r="B717" s="1">
        <v>46178</v>
      </c>
      <c r="C717" t="str">
        <f>TEXT(tblData[[#This Row],[Rental Date]],"mmm")</f>
        <v>Jun</v>
      </c>
      <c r="D717" t="str">
        <f>TEXT(tblData[[#This Row],[Rental Date]],"mmmm")</f>
        <v>June</v>
      </c>
      <c r="E717" t="s">
        <v>38</v>
      </c>
      <c r="F717" t="str">
        <f>TEXT(WEEKNUM(tblData[[#This Row],[Rental Date]]),"00")</f>
        <v>23</v>
      </c>
      <c r="G717" s="1">
        <f>EOMONTH(tblData[[#This Row],[Rental Date]],0)</f>
        <v>46203</v>
      </c>
      <c r="H717" t="s">
        <v>749</v>
      </c>
      <c r="I717" t="s">
        <v>39</v>
      </c>
      <c r="J717" t="s">
        <v>65</v>
      </c>
      <c r="K717" t="s">
        <v>40</v>
      </c>
      <c r="L717">
        <v>1</v>
      </c>
      <c r="M717" s="2">
        <v>31.36</v>
      </c>
      <c r="N717" t="s">
        <v>26</v>
      </c>
      <c r="O717" s="3">
        <v>0</v>
      </c>
      <c r="P717" s="3">
        <v>0</v>
      </c>
      <c r="Q717" s="2">
        <v>31.36</v>
      </c>
      <c r="R717" t="s">
        <v>66</v>
      </c>
      <c r="S717" t="s">
        <v>46</v>
      </c>
      <c r="T717" t="s">
        <v>29</v>
      </c>
      <c r="U717" t="s">
        <v>30</v>
      </c>
    </row>
    <row r="718" spans="1:21" x14ac:dyDescent="0.35">
      <c r="A718" t="s">
        <v>797</v>
      </c>
      <c r="B718" s="1">
        <v>46178</v>
      </c>
      <c r="C718" t="str">
        <f>TEXT(tblData[[#This Row],[Rental Date]],"mmm")</f>
        <v>Jun</v>
      </c>
      <c r="D718" t="str">
        <f>TEXT(tblData[[#This Row],[Rental Date]],"mmmm")</f>
        <v>June</v>
      </c>
      <c r="E718" t="s">
        <v>38</v>
      </c>
      <c r="F718" t="str">
        <f>TEXT(WEEKNUM(tblData[[#This Row],[Rental Date]]),"00")</f>
        <v>23</v>
      </c>
      <c r="G718" s="1">
        <f>EOMONTH(tblData[[#This Row],[Rental Date]],0)</f>
        <v>46203</v>
      </c>
      <c r="H718" t="s">
        <v>749</v>
      </c>
      <c r="I718" t="s">
        <v>48</v>
      </c>
      <c r="J718" t="s">
        <v>33</v>
      </c>
      <c r="K718" t="s">
        <v>40</v>
      </c>
      <c r="L718">
        <v>1</v>
      </c>
      <c r="M718" s="2">
        <v>64.959999999999994</v>
      </c>
      <c r="N718" t="s">
        <v>89</v>
      </c>
      <c r="O718" s="3">
        <v>6</v>
      </c>
      <c r="P718" s="3">
        <v>0</v>
      </c>
      <c r="Q718" s="2">
        <v>70.959999999999994</v>
      </c>
      <c r="R718" t="s">
        <v>66</v>
      </c>
      <c r="S718" t="s">
        <v>50</v>
      </c>
      <c r="T718" t="s">
        <v>29</v>
      </c>
      <c r="U718" t="s">
        <v>30</v>
      </c>
    </row>
    <row r="719" spans="1:21" x14ac:dyDescent="0.35">
      <c r="A719" t="s">
        <v>798</v>
      </c>
      <c r="B719" s="1">
        <v>46178</v>
      </c>
      <c r="C719" t="str">
        <f>TEXT(tblData[[#This Row],[Rental Date]],"mmm")</f>
        <v>Jun</v>
      </c>
      <c r="D719" t="str">
        <f>TEXT(tblData[[#This Row],[Rental Date]],"mmmm")</f>
        <v>June</v>
      </c>
      <c r="E719" t="s">
        <v>38</v>
      </c>
      <c r="F719" t="str">
        <f>TEXT(WEEKNUM(tblData[[#This Row],[Rental Date]]),"00")</f>
        <v>23</v>
      </c>
      <c r="G719" s="1">
        <f>EOMONTH(tblData[[#This Row],[Rental Date]],0)</f>
        <v>46203</v>
      </c>
      <c r="H719" t="s">
        <v>749</v>
      </c>
      <c r="I719" t="s">
        <v>39</v>
      </c>
      <c r="J719" t="s">
        <v>33</v>
      </c>
      <c r="K719" t="s">
        <v>25</v>
      </c>
      <c r="L719">
        <v>1</v>
      </c>
      <c r="M719" s="2">
        <v>42.56</v>
      </c>
      <c r="N719" t="s">
        <v>26</v>
      </c>
      <c r="O719" s="3">
        <v>0</v>
      </c>
      <c r="P719" s="3">
        <v>0</v>
      </c>
      <c r="Q719" s="2">
        <v>42.56</v>
      </c>
      <c r="R719" t="s">
        <v>66</v>
      </c>
      <c r="S719" t="s">
        <v>28</v>
      </c>
      <c r="T719" t="s">
        <v>29</v>
      </c>
      <c r="U719" t="s">
        <v>58</v>
      </c>
    </row>
    <row r="720" spans="1:21" x14ac:dyDescent="0.35">
      <c r="A720" t="s">
        <v>799</v>
      </c>
      <c r="B720" s="1">
        <v>46178</v>
      </c>
      <c r="C720" t="str">
        <f>TEXT(tblData[[#This Row],[Rental Date]],"mmm")</f>
        <v>Jun</v>
      </c>
      <c r="D720" t="str">
        <f>TEXT(tblData[[#This Row],[Rental Date]],"mmmm")</f>
        <v>June</v>
      </c>
      <c r="E720" t="s">
        <v>38</v>
      </c>
      <c r="F720" t="str">
        <f>TEXT(WEEKNUM(tblData[[#This Row],[Rental Date]]),"00")</f>
        <v>23</v>
      </c>
      <c r="G720" s="1">
        <f>EOMONTH(tblData[[#This Row],[Rental Date]],0)</f>
        <v>46203</v>
      </c>
      <c r="H720" t="s">
        <v>749</v>
      </c>
      <c r="I720" t="s">
        <v>39</v>
      </c>
      <c r="J720" t="s">
        <v>65</v>
      </c>
      <c r="K720" t="s">
        <v>40</v>
      </c>
      <c r="L720">
        <v>1</v>
      </c>
      <c r="M720" s="2">
        <v>31.36</v>
      </c>
      <c r="N720" t="s">
        <v>26</v>
      </c>
      <c r="O720" s="3">
        <v>0</v>
      </c>
      <c r="P720" s="3">
        <v>1.57</v>
      </c>
      <c r="Q720" s="2">
        <v>29.79</v>
      </c>
      <c r="R720" t="s">
        <v>62</v>
      </c>
      <c r="S720" t="s">
        <v>46</v>
      </c>
      <c r="T720" t="s">
        <v>51</v>
      </c>
      <c r="U720" t="s">
        <v>30</v>
      </c>
    </row>
    <row r="721" spans="1:21" x14ac:dyDescent="0.35">
      <c r="A721" t="s">
        <v>800</v>
      </c>
      <c r="B721" s="1">
        <v>46178</v>
      </c>
      <c r="C721" t="str">
        <f>TEXT(tblData[[#This Row],[Rental Date]],"mmm")</f>
        <v>Jun</v>
      </c>
      <c r="D721" t="str">
        <f>TEXT(tblData[[#This Row],[Rental Date]],"mmmm")</f>
        <v>June</v>
      </c>
      <c r="E721" t="s">
        <v>38</v>
      </c>
      <c r="F721" t="str">
        <f>TEXT(WEEKNUM(tblData[[#This Row],[Rental Date]]),"00")</f>
        <v>23</v>
      </c>
      <c r="G721" s="1">
        <f>EOMONTH(tblData[[#This Row],[Rental Date]],0)</f>
        <v>46203</v>
      </c>
      <c r="H721" t="s">
        <v>749</v>
      </c>
      <c r="I721" t="s">
        <v>39</v>
      </c>
      <c r="J721" t="s">
        <v>49</v>
      </c>
      <c r="K721" t="s">
        <v>60</v>
      </c>
      <c r="L721">
        <v>1</v>
      </c>
      <c r="M721" s="2">
        <v>24.64</v>
      </c>
      <c r="N721" t="s">
        <v>89</v>
      </c>
      <c r="O721" s="3">
        <v>6</v>
      </c>
      <c r="P721" s="3">
        <v>0</v>
      </c>
      <c r="Q721" s="2">
        <v>30.64</v>
      </c>
      <c r="R721" t="s">
        <v>45</v>
      </c>
      <c r="S721" t="s">
        <v>46</v>
      </c>
      <c r="T721" t="s">
        <v>29</v>
      </c>
      <c r="U721" t="s">
        <v>30</v>
      </c>
    </row>
    <row r="722" spans="1:21" x14ac:dyDescent="0.35">
      <c r="A722" t="s">
        <v>801</v>
      </c>
      <c r="B722" s="1">
        <v>46178</v>
      </c>
      <c r="C722" t="str">
        <f>TEXT(tblData[[#This Row],[Rental Date]],"mmm")</f>
        <v>Jun</v>
      </c>
      <c r="D722" t="str">
        <f>TEXT(tblData[[#This Row],[Rental Date]],"mmmm")</f>
        <v>June</v>
      </c>
      <c r="E722" t="s">
        <v>38</v>
      </c>
      <c r="F722" t="str">
        <f>TEXT(WEEKNUM(tblData[[#This Row],[Rental Date]]),"00")</f>
        <v>23</v>
      </c>
      <c r="G722" s="1">
        <f>EOMONTH(tblData[[#This Row],[Rental Date]],0)</f>
        <v>46203</v>
      </c>
      <c r="H722" t="s">
        <v>749</v>
      </c>
      <c r="I722" t="s">
        <v>39</v>
      </c>
      <c r="J722" t="s">
        <v>78</v>
      </c>
      <c r="K722" t="s">
        <v>40</v>
      </c>
      <c r="L722">
        <v>1</v>
      </c>
      <c r="M722" s="2">
        <v>69.44</v>
      </c>
      <c r="N722" t="s">
        <v>89</v>
      </c>
      <c r="O722" s="3">
        <v>6</v>
      </c>
      <c r="P722" s="3">
        <v>3.77</v>
      </c>
      <c r="Q722" s="2">
        <v>71.67</v>
      </c>
      <c r="R722" t="s">
        <v>62</v>
      </c>
      <c r="S722" t="s">
        <v>35</v>
      </c>
      <c r="T722" t="s">
        <v>29</v>
      </c>
      <c r="U722" t="s">
        <v>30</v>
      </c>
    </row>
    <row r="723" spans="1:21" x14ac:dyDescent="0.35">
      <c r="A723" t="s">
        <v>802</v>
      </c>
      <c r="B723" s="1">
        <v>46178</v>
      </c>
      <c r="C723" t="str">
        <f>TEXT(tblData[[#This Row],[Rental Date]],"mmm")</f>
        <v>Jun</v>
      </c>
      <c r="D723" t="str">
        <f>TEXT(tblData[[#This Row],[Rental Date]],"mmmm")</f>
        <v>June</v>
      </c>
      <c r="E723" t="s">
        <v>38</v>
      </c>
      <c r="F723" t="str">
        <f>TEXT(WEEKNUM(tblData[[#This Row],[Rental Date]]),"00")</f>
        <v>23</v>
      </c>
      <c r="G723" s="1">
        <f>EOMONTH(tblData[[#This Row],[Rental Date]],0)</f>
        <v>46203</v>
      </c>
      <c r="H723" t="s">
        <v>749</v>
      </c>
      <c r="I723" t="s">
        <v>39</v>
      </c>
      <c r="J723" t="s">
        <v>24</v>
      </c>
      <c r="K723" t="s">
        <v>25</v>
      </c>
      <c r="L723">
        <v>1</v>
      </c>
      <c r="M723" s="2">
        <v>56</v>
      </c>
      <c r="N723" t="s">
        <v>26</v>
      </c>
      <c r="O723" s="3">
        <v>0</v>
      </c>
      <c r="P723" s="3">
        <v>0</v>
      </c>
      <c r="Q723" s="2">
        <v>56</v>
      </c>
      <c r="R723" t="s">
        <v>66</v>
      </c>
      <c r="S723" t="s">
        <v>50</v>
      </c>
      <c r="T723" t="s">
        <v>51</v>
      </c>
      <c r="U723" t="s">
        <v>58</v>
      </c>
    </row>
    <row r="724" spans="1:21" x14ac:dyDescent="0.35">
      <c r="A724" t="s">
        <v>803</v>
      </c>
      <c r="B724" s="1">
        <v>46178</v>
      </c>
      <c r="C724" t="str">
        <f>TEXT(tblData[[#This Row],[Rental Date]],"mmm")</f>
        <v>Jun</v>
      </c>
      <c r="D724" t="str">
        <f>TEXT(tblData[[#This Row],[Rental Date]],"mmmm")</f>
        <v>June</v>
      </c>
      <c r="E724" t="s">
        <v>38</v>
      </c>
      <c r="F724" t="str">
        <f>TEXT(WEEKNUM(tblData[[#This Row],[Rental Date]]),"00")</f>
        <v>23</v>
      </c>
      <c r="G724" s="1">
        <f>EOMONTH(tblData[[#This Row],[Rental Date]],0)</f>
        <v>46203</v>
      </c>
      <c r="H724" t="s">
        <v>749</v>
      </c>
      <c r="I724" t="s">
        <v>39</v>
      </c>
      <c r="J724" t="s">
        <v>33</v>
      </c>
      <c r="K724" t="s">
        <v>25</v>
      </c>
      <c r="L724">
        <v>1</v>
      </c>
      <c r="M724" s="2">
        <v>42.56</v>
      </c>
      <c r="N724" t="s">
        <v>70</v>
      </c>
      <c r="O724" s="3">
        <v>7</v>
      </c>
      <c r="P724" s="3">
        <v>0</v>
      </c>
      <c r="Q724" s="2">
        <v>49.56</v>
      </c>
      <c r="R724" t="s">
        <v>62</v>
      </c>
      <c r="S724" t="s">
        <v>50</v>
      </c>
      <c r="T724" t="s">
        <v>63</v>
      </c>
      <c r="U724" t="s">
        <v>79</v>
      </c>
    </row>
    <row r="725" spans="1:21" x14ac:dyDescent="0.35">
      <c r="A725" t="s">
        <v>804</v>
      </c>
      <c r="B725" s="1">
        <v>46178</v>
      </c>
      <c r="C725" t="str">
        <f>TEXT(tblData[[#This Row],[Rental Date]],"mmm")</f>
        <v>Jun</v>
      </c>
      <c r="D725" t="str">
        <f>TEXT(tblData[[#This Row],[Rental Date]],"mmmm")</f>
        <v>June</v>
      </c>
      <c r="E725" t="s">
        <v>38</v>
      </c>
      <c r="F725" t="str">
        <f>TEXT(WEEKNUM(tblData[[#This Row],[Rental Date]]),"00")</f>
        <v>23</v>
      </c>
      <c r="G725" s="1">
        <f>EOMONTH(tblData[[#This Row],[Rental Date]],0)</f>
        <v>46203</v>
      </c>
      <c r="H725" t="s">
        <v>749</v>
      </c>
      <c r="I725" t="s">
        <v>48</v>
      </c>
      <c r="J725" t="s">
        <v>33</v>
      </c>
      <c r="K725" t="s">
        <v>60</v>
      </c>
      <c r="L725">
        <v>1</v>
      </c>
      <c r="M725" s="2">
        <v>26.88</v>
      </c>
      <c r="N725" t="s">
        <v>89</v>
      </c>
      <c r="O725" s="3">
        <v>6</v>
      </c>
      <c r="P725" s="3">
        <v>0</v>
      </c>
      <c r="Q725" s="2">
        <v>32.880000000000003</v>
      </c>
      <c r="R725" t="s">
        <v>27</v>
      </c>
      <c r="S725" t="s">
        <v>35</v>
      </c>
      <c r="T725" t="s">
        <v>90</v>
      </c>
      <c r="U725" t="s">
        <v>30</v>
      </c>
    </row>
    <row r="726" spans="1:21" x14ac:dyDescent="0.35">
      <c r="A726" t="s">
        <v>805</v>
      </c>
      <c r="B726" s="1">
        <v>46178</v>
      </c>
      <c r="C726" t="str">
        <f>TEXT(tblData[[#This Row],[Rental Date]],"mmm")</f>
        <v>Jun</v>
      </c>
      <c r="D726" t="str">
        <f>TEXT(tblData[[#This Row],[Rental Date]],"mmmm")</f>
        <v>June</v>
      </c>
      <c r="E726" t="s">
        <v>38</v>
      </c>
      <c r="F726" t="str">
        <f>TEXT(WEEKNUM(tblData[[#This Row],[Rental Date]]),"00")</f>
        <v>23</v>
      </c>
      <c r="G726" s="1">
        <f>EOMONTH(tblData[[#This Row],[Rental Date]],0)</f>
        <v>46203</v>
      </c>
      <c r="H726" t="s">
        <v>749</v>
      </c>
      <c r="I726" t="s">
        <v>23</v>
      </c>
      <c r="J726" t="s">
        <v>33</v>
      </c>
      <c r="K726" t="s">
        <v>60</v>
      </c>
      <c r="L726">
        <v>1</v>
      </c>
      <c r="M726" s="2">
        <v>26.88</v>
      </c>
      <c r="N726" t="s">
        <v>26</v>
      </c>
      <c r="O726" s="3">
        <v>0</v>
      </c>
      <c r="P726" s="3">
        <v>0</v>
      </c>
      <c r="Q726" s="2">
        <v>26.88</v>
      </c>
      <c r="R726" t="s">
        <v>57</v>
      </c>
      <c r="S726" t="s">
        <v>35</v>
      </c>
      <c r="T726" t="s">
        <v>29</v>
      </c>
      <c r="U726" t="s">
        <v>30</v>
      </c>
    </row>
    <row r="727" spans="1:21" x14ac:dyDescent="0.35">
      <c r="A727" t="s">
        <v>806</v>
      </c>
      <c r="B727" s="1">
        <v>46178</v>
      </c>
      <c r="C727" t="str">
        <f>TEXT(tblData[[#This Row],[Rental Date]],"mmm")</f>
        <v>Jun</v>
      </c>
      <c r="D727" t="str">
        <f>TEXT(tblData[[#This Row],[Rental Date]],"mmmm")</f>
        <v>June</v>
      </c>
      <c r="E727" t="s">
        <v>38</v>
      </c>
      <c r="F727" t="str">
        <f>TEXT(WEEKNUM(tblData[[#This Row],[Rental Date]]),"00")</f>
        <v>23</v>
      </c>
      <c r="G727" s="1">
        <f>EOMONTH(tblData[[#This Row],[Rental Date]],0)</f>
        <v>46203</v>
      </c>
      <c r="H727" t="s">
        <v>749</v>
      </c>
      <c r="I727" t="s">
        <v>39</v>
      </c>
      <c r="J727" t="s">
        <v>44</v>
      </c>
      <c r="K727" t="s">
        <v>40</v>
      </c>
      <c r="L727">
        <v>1</v>
      </c>
      <c r="M727" s="2">
        <v>87.36</v>
      </c>
      <c r="N727" t="s">
        <v>89</v>
      </c>
      <c r="O727" s="3">
        <v>6</v>
      </c>
      <c r="P727" s="3">
        <v>0</v>
      </c>
      <c r="Q727" s="2">
        <v>93.36</v>
      </c>
      <c r="R727" t="s">
        <v>57</v>
      </c>
      <c r="S727" t="s">
        <v>46</v>
      </c>
      <c r="T727" t="s">
        <v>29</v>
      </c>
      <c r="U727" t="s">
        <v>58</v>
      </c>
    </row>
    <row r="728" spans="1:21" x14ac:dyDescent="0.35">
      <c r="A728" t="s">
        <v>807</v>
      </c>
      <c r="B728" s="1">
        <v>46178</v>
      </c>
      <c r="C728" t="str">
        <f>TEXT(tblData[[#This Row],[Rental Date]],"mmm")</f>
        <v>Jun</v>
      </c>
      <c r="D728" t="str">
        <f>TEXT(tblData[[#This Row],[Rental Date]],"mmmm")</f>
        <v>June</v>
      </c>
      <c r="E728" t="s">
        <v>38</v>
      </c>
      <c r="F728" t="str">
        <f>TEXT(WEEKNUM(tblData[[#This Row],[Rental Date]]),"00")</f>
        <v>23</v>
      </c>
      <c r="G728" s="1">
        <f>EOMONTH(tblData[[#This Row],[Rental Date]],0)</f>
        <v>46203</v>
      </c>
      <c r="H728" t="s">
        <v>749</v>
      </c>
      <c r="I728" t="s">
        <v>48</v>
      </c>
      <c r="J728" t="s">
        <v>111</v>
      </c>
      <c r="K728" t="s">
        <v>92</v>
      </c>
      <c r="L728">
        <v>1</v>
      </c>
      <c r="M728" s="2">
        <v>53.76</v>
      </c>
      <c r="N728" t="s">
        <v>61</v>
      </c>
      <c r="O728" s="3">
        <v>8</v>
      </c>
      <c r="P728" s="3">
        <v>0</v>
      </c>
      <c r="Q728" s="2">
        <v>61.76</v>
      </c>
      <c r="R728" t="s">
        <v>57</v>
      </c>
      <c r="S728" t="s">
        <v>46</v>
      </c>
      <c r="T728" t="s">
        <v>90</v>
      </c>
      <c r="U728" t="s">
        <v>30</v>
      </c>
    </row>
    <row r="729" spans="1:21" x14ac:dyDescent="0.35">
      <c r="A729" t="s">
        <v>808</v>
      </c>
      <c r="B729" s="1">
        <v>46178</v>
      </c>
      <c r="C729" t="str">
        <f>TEXT(tblData[[#This Row],[Rental Date]],"mmm")</f>
        <v>Jun</v>
      </c>
      <c r="D729" t="str">
        <f>TEXT(tblData[[#This Row],[Rental Date]],"mmmm")</f>
        <v>June</v>
      </c>
      <c r="E729" t="s">
        <v>38</v>
      </c>
      <c r="F729" t="str">
        <f>TEXT(WEEKNUM(tblData[[#This Row],[Rental Date]]),"00")</f>
        <v>23</v>
      </c>
      <c r="G729" s="1">
        <f>EOMONTH(tblData[[#This Row],[Rental Date]],0)</f>
        <v>46203</v>
      </c>
      <c r="H729" t="s">
        <v>749</v>
      </c>
      <c r="I729" t="s">
        <v>23</v>
      </c>
      <c r="J729" t="s">
        <v>24</v>
      </c>
      <c r="K729" t="s">
        <v>25</v>
      </c>
      <c r="L729">
        <v>1</v>
      </c>
      <c r="M729" s="2">
        <v>56</v>
      </c>
      <c r="N729" t="s">
        <v>61</v>
      </c>
      <c r="O729" s="3">
        <v>8</v>
      </c>
      <c r="P729" s="3">
        <v>0</v>
      </c>
      <c r="Q729" s="2">
        <v>64</v>
      </c>
      <c r="R729" t="s">
        <v>34</v>
      </c>
      <c r="S729" t="s">
        <v>54</v>
      </c>
      <c r="T729" t="s">
        <v>29</v>
      </c>
      <c r="U729" t="s">
        <v>30</v>
      </c>
    </row>
    <row r="730" spans="1:21" x14ac:dyDescent="0.35">
      <c r="A730" t="s">
        <v>809</v>
      </c>
      <c r="B730" s="1">
        <v>46178</v>
      </c>
      <c r="C730" t="str">
        <f>TEXT(tblData[[#This Row],[Rental Date]],"mmm")</f>
        <v>Jun</v>
      </c>
      <c r="D730" t="str">
        <f>TEXT(tblData[[#This Row],[Rental Date]],"mmmm")</f>
        <v>June</v>
      </c>
      <c r="E730" t="s">
        <v>38</v>
      </c>
      <c r="F730" t="str">
        <f>TEXT(WEEKNUM(tblData[[#This Row],[Rental Date]]),"00")</f>
        <v>23</v>
      </c>
      <c r="G730" s="1">
        <f>EOMONTH(tblData[[#This Row],[Rental Date]],0)</f>
        <v>46203</v>
      </c>
      <c r="H730" t="s">
        <v>749</v>
      </c>
      <c r="I730" t="s">
        <v>39</v>
      </c>
      <c r="J730" t="s">
        <v>24</v>
      </c>
      <c r="K730" t="s">
        <v>40</v>
      </c>
      <c r="L730">
        <v>1</v>
      </c>
      <c r="M730" s="2">
        <v>85.12</v>
      </c>
      <c r="N730" t="s">
        <v>87</v>
      </c>
      <c r="O730" s="3">
        <v>10</v>
      </c>
      <c r="P730" s="3">
        <v>0</v>
      </c>
      <c r="Q730" s="2">
        <v>95.12</v>
      </c>
      <c r="R730" t="s">
        <v>45</v>
      </c>
      <c r="S730" t="s">
        <v>54</v>
      </c>
      <c r="T730" t="s">
        <v>29</v>
      </c>
      <c r="U730" t="s">
        <v>58</v>
      </c>
    </row>
    <row r="731" spans="1:21" x14ac:dyDescent="0.35">
      <c r="A731" t="s">
        <v>810</v>
      </c>
      <c r="B731" s="1">
        <v>46178</v>
      </c>
      <c r="C731" t="str">
        <f>TEXT(tblData[[#This Row],[Rental Date]],"mmm")</f>
        <v>Jun</v>
      </c>
      <c r="D731" t="str">
        <f>TEXT(tblData[[#This Row],[Rental Date]],"mmmm")</f>
        <v>June</v>
      </c>
      <c r="E731" t="s">
        <v>38</v>
      </c>
      <c r="F731" t="str">
        <f>TEXT(WEEKNUM(tblData[[#This Row],[Rental Date]]),"00")</f>
        <v>23</v>
      </c>
      <c r="G731" s="1">
        <f>EOMONTH(tblData[[#This Row],[Rental Date]],0)</f>
        <v>46203</v>
      </c>
      <c r="H731" t="s">
        <v>749</v>
      </c>
      <c r="I731" t="s">
        <v>39</v>
      </c>
      <c r="J731" t="s">
        <v>49</v>
      </c>
      <c r="K731" t="s">
        <v>92</v>
      </c>
      <c r="L731">
        <v>1</v>
      </c>
      <c r="M731" s="2">
        <v>85.12</v>
      </c>
      <c r="N731" t="s">
        <v>26</v>
      </c>
      <c r="O731" s="3">
        <v>0</v>
      </c>
      <c r="P731" s="3">
        <v>0</v>
      </c>
      <c r="Q731" s="2">
        <v>85.12</v>
      </c>
      <c r="R731" t="s">
        <v>45</v>
      </c>
      <c r="S731" t="s">
        <v>46</v>
      </c>
      <c r="T731" t="s">
        <v>29</v>
      </c>
      <c r="U731" t="s">
        <v>30</v>
      </c>
    </row>
    <row r="732" spans="1:21" x14ac:dyDescent="0.35">
      <c r="A732" t="s">
        <v>811</v>
      </c>
      <c r="B732" s="1">
        <v>46178</v>
      </c>
      <c r="C732" t="str">
        <f>TEXT(tblData[[#This Row],[Rental Date]],"mmm")</f>
        <v>Jun</v>
      </c>
      <c r="D732" t="str">
        <f>TEXT(tblData[[#This Row],[Rental Date]],"mmmm")</f>
        <v>June</v>
      </c>
      <c r="E732" t="s">
        <v>38</v>
      </c>
      <c r="F732" t="str">
        <f>TEXT(WEEKNUM(tblData[[#This Row],[Rental Date]]),"00")</f>
        <v>23</v>
      </c>
      <c r="G732" s="1">
        <f>EOMONTH(tblData[[#This Row],[Rental Date]],0)</f>
        <v>46203</v>
      </c>
      <c r="H732" t="s">
        <v>749</v>
      </c>
      <c r="I732" t="s">
        <v>23</v>
      </c>
      <c r="J732" t="s">
        <v>111</v>
      </c>
      <c r="K732" t="s">
        <v>25</v>
      </c>
      <c r="L732">
        <v>1</v>
      </c>
      <c r="M732" s="2">
        <v>24.64</v>
      </c>
      <c r="N732" t="s">
        <v>26</v>
      </c>
      <c r="O732" s="3">
        <v>0</v>
      </c>
      <c r="P732" s="3">
        <v>0</v>
      </c>
      <c r="Q732" s="2">
        <v>24.64</v>
      </c>
      <c r="R732" t="s">
        <v>62</v>
      </c>
      <c r="S732" t="s">
        <v>28</v>
      </c>
      <c r="T732" t="s">
        <v>29</v>
      </c>
      <c r="U732" t="s">
        <v>30</v>
      </c>
    </row>
    <row r="733" spans="1:21" x14ac:dyDescent="0.35">
      <c r="A733" t="s">
        <v>812</v>
      </c>
      <c r="B733" s="1">
        <v>46178</v>
      </c>
      <c r="C733" t="str">
        <f>TEXT(tblData[[#This Row],[Rental Date]],"mmm")</f>
        <v>Jun</v>
      </c>
      <c r="D733" t="str">
        <f>TEXT(tblData[[#This Row],[Rental Date]],"mmmm")</f>
        <v>June</v>
      </c>
      <c r="E733" t="s">
        <v>38</v>
      </c>
      <c r="F733" t="str">
        <f>TEXT(WEEKNUM(tblData[[#This Row],[Rental Date]]),"00")</f>
        <v>23</v>
      </c>
      <c r="G733" s="1">
        <f>EOMONTH(tblData[[#This Row],[Rental Date]],0)</f>
        <v>46203</v>
      </c>
      <c r="H733" t="s">
        <v>749</v>
      </c>
      <c r="I733" t="s">
        <v>48</v>
      </c>
      <c r="J733" t="s">
        <v>44</v>
      </c>
      <c r="K733" t="s">
        <v>60</v>
      </c>
      <c r="L733">
        <v>1</v>
      </c>
      <c r="M733" s="2">
        <v>38.08</v>
      </c>
      <c r="N733" t="s">
        <v>26</v>
      </c>
      <c r="O733" s="3">
        <v>0</v>
      </c>
      <c r="P733" s="3">
        <v>0</v>
      </c>
      <c r="Q733" s="2">
        <v>38.08</v>
      </c>
      <c r="R733" t="s">
        <v>57</v>
      </c>
      <c r="S733" t="s">
        <v>50</v>
      </c>
      <c r="T733" t="s">
        <v>29</v>
      </c>
      <c r="U733" t="s">
        <v>30</v>
      </c>
    </row>
    <row r="734" spans="1:21" x14ac:dyDescent="0.35">
      <c r="A734" t="s">
        <v>813</v>
      </c>
      <c r="B734" s="1">
        <v>46178</v>
      </c>
      <c r="C734" t="str">
        <f>TEXT(tblData[[#This Row],[Rental Date]],"mmm")</f>
        <v>Jun</v>
      </c>
      <c r="D734" t="str">
        <f>TEXT(tblData[[#This Row],[Rental Date]],"mmmm")</f>
        <v>June</v>
      </c>
      <c r="E734" t="s">
        <v>38</v>
      </c>
      <c r="F734" t="str">
        <f>TEXT(WEEKNUM(tblData[[#This Row],[Rental Date]]),"00")</f>
        <v>23</v>
      </c>
      <c r="G734" s="1">
        <f>EOMONTH(tblData[[#This Row],[Rental Date]],0)</f>
        <v>46203</v>
      </c>
      <c r="H734" t="s">
        <v>749</v>
      </c>
      <c r="I734" t="s">
        <v>48</v>
      </c>
      <c r="J734" t="s">
        <v>24</v>
      </c>
      <c r="K734" t="s">
        <v>40</v>
      </c>
      <c r="L734">
        <v>1</v>
      </c>
      <c r="M734" s="2">
        <v>85.12</v>
      </c>
      <c r="N734" t="s">
        <v>87</v>
      </c>
      <c r="O734" s="3">
        <v>10</v>
      </c>
      <c r="P734" s="3">
        <v>0</v>
      </c>
      <c r="Q734" s="2">
        <v>95.12</v>
      </c>
      <c r="R734" t="s">
        <v>71</v>
      </c>
      <c r="S734" t="s">
        <v>28</v>
      </c>
      <c r="T734" t="s">
        <v>63</v>
      </c>
      <c r="U734" t="s">
        <v>30</v>
      </c>
    </row>
    <row r="735" spans="1:21" x14ac:dyDescent="0.35">
      <c r="A735" t="s">
        <v>814</v>
      </c>
      <c r="B735" s="1">
        <v>46178</v>
      </c>
      <c r="C735" t="str">
        <f>TEXT(tblData[[#This Row],[Rental Date]],"mmm")</f>
        <v>Jun</v>
      </c>
      <c r="D735" t="str">
        <f>TEXT(tblData[[#This Row],[Rental Date]],"mmmm")</f>
        <v>June</v>
      </c>
      <c r="E735" t="s">
        <v>38</v>
      </c>
      <c r="F735" t="str">
        <f>TEXT(WEEKNUM(tblData[[#This Row],[Rental Date]]),"00")</f>
        <v>23</v>
      </c>
      <c r="G735" s="1">
        <f>EOMONTH(tblData[[#This Row],[Rental Date]],0)</f>
        <v>46203</v>
      </c>
      <c r="H735" t="s">
        <v>749</v>
      </c>
      <c r="I735" t="s">
        <v>48</v>
      </c>
      <c r="J735" t="s">
        <v>33</v>
      </c>
      <c r="K735" t="s">
        <v>25</v>
      </c>
      <c r="L735">
        <v>1</v>
      </c>
      <c r="M735" s="2">
        <v>42.56</v>
      </c>
      <c r="N735" t="s">
        <v>26</v>
      </c>
      <c r="O735" s="3">
        <v>0</v>
      </c>
      <c r="P735" s="3">
        <v>0</v>
      </c>
      <c r="Q735" s="2">
        <v>42.56</v>
      </c>
      <c r="R735" t="s">
        <v>42</v>
      </c>
      <c r="S735" t="s">
        <v>50</v>
      </c>
      <c r="T735" t="s">
        <v>29</v>
      </c>
      <c r="U735" t="s">
        <v>30</v>
      </c>
    </row>
    <row r="736" spans="1:21" x14ac:dyDescent="0.35">
      <c r="A736" t="s">
        <v>815</v>
      </c>
      <c r="B736" s="1">
        <v>46178</v>
      </c>
      <c r="C736" t="str">
        <f>TEXT(tblData[[#This Row],[Rental Date]],"mmm")</f>
        <v>Jun</v>
      </c>
      <c r="D736" t="str">
        <f>TEXT(tblData[[#This Row],[Rental Date]],"mmmm")</f>
        <v>June</v>
      </c>
      <c r="E736" t="s">
        <v>38</v>
      </c>
      <c r="F736" t="str">
        <f>TEXT(WEEKNUM(tblData[[#This Row],[Rental Date]]),"00")</f>
        <v>23</v>
      </c>
      <c r="G736" s="1">
        <f>EOMONTH(tblData[[#This Row],[Rental Date]],0)</f>
        <v>46203</v>
      </c>
      <c r="H736" t="s">
        <v>749</v>
      </c>
      <c r="I736" t="s">
        <v>39</v>
      </c>
      <c r="J736" t="s">
        <v>49</v>
      </c>
      <c r="K736" t="s">
        <v>60</v>
      </c>
      <c r="L736">
        <v>1</v>
      </c>
      <c r="M736" s="2">
        <v>24.64</v>
      </c>
      <c r="N736" t="s">
        <v>87</v>
      </c>
      <c r="O736" s="3">
        <v>10</v>
      </c>
      <c r="P736" s="3">
        <v>0</v>
      </c>
      <c r="Q736" s="2">
        <v>34.64</v>
      </c>
      <c r="R736" t="s">
        <v>66</v>
      </c>
      <c r="S736" t="s">
        <v>28</v>
      </c>
      <c r="T736" t="s">
        <v>29</v>
      </c>
      <c r="U736" t="s">
        <v>79</v>
      </c>
    </row>
    <row r="737" spans="1:21" x14ac:dyDescent="0.35">
      <c r="A737" t="s">
        <v>816</v>
      </c>
      <c r="B737" s="1">
        <v>46178</v>
      </c>
      <c r="C737" t="str">
        <f>TEXT(tblData[[#This Row],[Rental Date]],"mmm")</f>
        <v>Jun</v>
      </c>
      <c r="D737" t="str">
        <f>TEXT(tblData[[#This Row],[Rental Date]],"mmmm")</f>
        <v>June</v>
      </c>
      <c r="E737" t="s">
        <v>38</v>
      </c>
      <c r="F737" t="str">
        <f>TEXT(WEEKNUM(tblData[[#This Row],[Rental Date]]),"00")</f>
        <v>23</v>
      </c>
      <c r="G737" s="1">
        <f>EOMONTH(tblData[[#This Row],[Rental Date]],0)</f>
        <v>46203</v>
      </c>
      <c r="H737" t="s">
        <v>749</v>
      </c>
      <c r="I737" t="s">
        <v>39</v>
      </c>
      <c r="J737" t="s">
        <v>33</v>
      </c>
      <c r="K737" t="s">
        <v>25</v>
      </c>
      <c r="L737">
        <v>1</v>
      </c>
      <c r="M737" s="2">
        <v>42.56</v>
      </c>
      <c r="N737" t="s">
        <v>26</v>
      </c>
      <c r="O737" s="3">
        <v>0</v>
      </c>
      <c r="P737" s="3">
        <v>2.13</v>
      </c>
      <c r="Q737" s="2">
        <v>40.43</v>
      </c>
      <c r="R737" t="s">
        <v>42</v>
      </c>
      <c r="S737" t="s">
        <v>54</v>
      </c>
      <c r="T737" t="s">
        <v>63</v>
      </c>
      <c r="U737" t="s">
        <v>30</v>
      </c>
    </row>
    <row r="738" spans="1:21" x14ac:dyDescent="0.35">
      <c r="A738" t="s">
        <v>817</v>
      </c>
      <c r="B738" s="1">
        <v>46179</v>
      </c>
      <c r="C738" t="str">
        <f>TEXT(tblData[[#This Row],[Rental Date]],"mmm")</f>
        <v>Jun</v>
      </c>
      <c r="D738" t="str">
        <f>TEXT(tblData[[#This Row],[Rental Date]],"mmmm")</f>
        <v>June</v>
      </c>
      <c r="E738" t="s">
        <v>56</v>
      </c>
      <c r="F738" t="str">
        <f>TEXT(WEEKNUM(tblData[[#This Row],[Rental Date]]),"00")</f>
        <v>23</v>
      </c>
      <c r="G738" s="1">
        <f>EOMONTH(tblData[[#This Row],[Rental Date]],0)</f>
        <v>46203</v>
      </c>
      <c r="H738" t="s">
        <v>749</v>
      </c>
      <c r="I738" t="s">
        <v>39</v>
      </c>
      <c r="J738" t="s">
        <v>65</v>
      </c>
      <c r="K738" t="s">
        <v>25</v>
      </c>
      <c r="L738">
        <v>1</v>
      </c>
      <c r="M738" s="2">
        <v>21.6</v>
      </c>
      <c r="N738" t="s">
        <v>26</v>
      </c>
      <c r="O738" s="3">
        <v>0</v>
      </c>
      <c r="P738" s="3">
        <v>0</v>
      </c>
      <c r="Q738" s="2">
        <v>21.6</v>
      </c>
      <c r="R738" t="s">
        <v>94</v>
      </c>
      <c r="S738" t="s">
        <v>54</v>
      </c>
      <c r="T738" t="s">
        <v>51</v>
      </c>
      <c r="U738" t="s">
        <v>30</v>
      </c>
    </row>
    <row r="739" spans="1:21" x14ac:dyDescent="0.35">
      <c r="A739" t="s">
        <v>818</v>
      </c>
      <c r="B739" s="1">
        <v>46179</v>
      </c>
      <c r="C739" t="str">
        <f>TEXT(tblData[[#This Row],[Rental Date]],"mmm")</f>
        <v>Jun</v>
      </c>
      <c r="D739" t="str">
        <f>TEXT(tblData[[#This Row],[Rental Date]],"mmmm")</f>
        <v>June</v>
      </c>
      <c r="E739" t="s">
        <v>56</v>
      </c>
      <c r="F739" t="str">
        <f>TEXT(WEEKNUM(tblData[[#This Row],[Rental Date]]),"00")</f>
        <v>23</v>
      </c>
      <c r="G739" s="1">
        <f>EOMONTH(tblData[[#This Row],[Rental Date]],0)</f>
        <v>46203</v>
      </c>
      <c r="H739" t="s">
        <v>749</v>
      </c>
      <c r="I739" t="s">
        <v>32</v>
      </c>
      <c r="J739" t="s">
        <v>24</v>
      </c>
      <c r="K739" t="s">
        <v>40</v>
      </c>
      <c r="L739">
        <v>1</v>
      </c>
      <c r="M739" s="2">
        <v>91.2</v>
      </c>
      <c r="N739" t="s">
        <v>26</v>
      </c>
      <c r="O739" s="3">
        <v>0</v>
      </c>
      <c r="P739" s="3">
        <v>0</v>
      </c>
      <c r="Q739" s="2">
        <v>91.2</v>
      </c>
      <c r="R739" t="s">
        <v>62</v>
      </c>
      <c r="S739" t="s">
        <v>35</v>
      </c>
      <c r="T739" t="s">
        <v>29</v>
      </c>
      <c r="U739" t="s">
        <v>36</v>
      </c>
    </row>
    <row r="740" spans="1:21" x14ac:dyDescent="0.35">
      <c r="A740" t="s">
        <v>819</v>
      </c>
      <c r="B740" s="1">
        <v>46179</v>
      </c>
      <c r="C740" t="str">
        <f>TEXT(tblData[[#This Row],[Rental Date]],"mmm")</f>
        <v>Jun</v>
      </c>
      <c r="D740" t="str">
        <f>TEXT(tblData[[#This Row],[Rental Date]],"mmmm")</f>
        <v>June</v>
      </c>
      <c r="E740" t="s">
        <v>56</v>
      </c>
      <c r="F740" t="str">
        <f>TEXT(WEEKNUM(tblData[[#This Row],[Rental Date]]),"00")</f>
        <v>23</v>
      </c>
      <c r="G740" s="1">
        <f>EOMONTH(tblData[[#This Row],[Rental Date]],0)</f>
        <v>46203</v>
      </c>
      <c r="H740" t="s">
        <v>749</v>
      </c>
      <c r="I740" t="s">
        <v>48</v>
      </c>
      <c r="J740" t="s">
        <v>86</v>
      </c>
      <c r="K740" t="s">
        <v>40</v>
      </c>
      <c r="L740">
        <v>1</v>
      </c>
      <c r="M740" s="2">
        <v>103.2</v>
      </c>
      <c r="N740" t="s">
        <v>26</v>
      </c>
      <c r="O740" s="3">
        <v>0</v>
      </c>
      <c r="P740" s="3">
        <v>0</v>
      </c>
      <c r="Q740" s="2">
        <v>103.2</v>
      </c>
      <c r="R740" t="s">
        <v>71</v>
      </c>
      <c r="S740" t="s">
        <v>50</v>
      </c>
      <c r="T740" t="s">
        <v>83</v>
      </c>
      <c r="U740" t="s">
        <v>79</v>
      </c>
    </row>
    <row r="741" spans="1:21" x14ac:dyDescent="0.35">
      <c r="A741" t="s">
        <v>820</v>
      </c>
      <c r="B741" s="1">
        <v>46179</v>
      </c>
      <c r="C741" t="str">
        <f>TEXT(tblData[[#This Row],[Rental Date]],"mmm")</f>
        <v>Jun</v>
      </c>
      <c r="D741" t="str">
        <f>TEXT(tblData[[#This Row],[Rental Date]],"mmmm")</f>
        <v>June</v>
      </c>
      <c r="E741" t="s">
        <v>56</v>
      </c>
      <c r="F741" t="str">
        <f>TEXT(WEEKNUM(tblData[[#This Row],[Rental Date]]),"00")</f>
        <v>23</v>
      </c>
      <c r="G741" s="1">
        <f>EOMONTH(tblData[[#This Row],[Rental Date]],0)</f>
        <v>46203</v>
      </c>
      <c r="H741" t="s">
        <v>749</v>
      </c>
      <c r="I741" t="s">
        <v>23</v>
      </c>
      <c r="J741" t="s">
        <v>86</v>
      </c>
      <c r="K741" t="s">
        <v>60</v>
      </c>
      <c r="L741">
        <v>1</v>
      </c>
      <c r="M741" s="2">
        <v>43.2</v>
      </c>
      <c r="N741" t="s">
        <v>26</v>
      </c>
      <c r="O741" s="3">
        <v>0</v>
      </c>
      <c r="P741" s="3">
        <v>0</v>
      </c>
      <c r="Q741" s="2">
        <v>43.2</v>
      </c>
      <c r="R741" t="s">
        <v>62</v>
      </c>
      <c r="S741" t="s">
        <v>28</v>
      </c>
      <c r="T741" t="s">
        <v>51</v>
      </c>
      <c r="U741" t="s">
        <v>58</v>
      </c>
    </row>
    <row r="742" spans="1:21" x14ac:dyDescent="0.35">
      <c r="A742" t="s">
        <v>821</v>
      </c>
      <c r="B742" s="1">
        <v>46179</v>
      </c>
      <c r="C742" t="str">
        <f>TEXT(tblData[[#This Row],[Rental Date]],"mmm")</f>
        <v>Jun</v>
      </c>
      <c r="D742" t="str">
        <f>TEXT(tblData[[#This Row],[Rental Date]],"mmmm")</f>
        <v>June</v>
      </c>
      <c r="E742" t="s">
        <v>56</v>
      </c>
      <c r="F742" t="str">
        <f>TEXT(WEEKNUM(tblData[[#This Row],[Rental Date]]),"00")</f>
        <v>23</v>
      </c>
      <c r="G742" s="1">
        <f>EOMONTH(tblData[[#This Row],[Rental Date]],0)</f>
        <v>46203</v>
      </c>
      <c r="H742" t="s">
        <v>749</v>
      </c>
      <c r="I742" t="s">
        <v>32</v>
      </c>
      <c r="J742" t="s">
        <v>78</v>
      </c>
      <c r="K742" t="s">
        <v>40</v>
      </c>
      <c r="L742">
        <v>1</v>
      </c>
      <c r="M742" s="2">
        <v>74.400000000000006</v>
      </c>
      <c r="N742" t="s">
        <v>89</v>
      </c>
      <c r="O742" s="3">
        <v>6</v>
      </c>
      <c r="P742" s="3">
        <v>0</v>
      </c>
      <c r="Q742" s="2">
        <v>80.400000000000006</v>
      </c>
      <c r="R742" t="s">
        <v>57</v>
      </c>
      <c r="S742" t="s">
        <v>46</v>
      </c>
      <c r="T742" t="s">
        <v>63</v>
      </c>
      <c r="U742" t="s">
        <v>58</v>
      </c>
    </row>
    <row r="743" spans="1:21" x14ac:dyDescent="0.35">
      <c r="A743" t="s">
        <v>822</v>
      </c>
      <c r="B743" s="1">
        <v>46179</v>
      </c>
      <c r="C743" t="str">
        <f>TEXT(tblData[[#This Row],[Rental Date]],"mmm")</f>
        <v>Jun</v>
      </c>
      <c r="D743" t="str">
        <f>TEXT(tblData[[#This Row],[Rental Date]],"mmmm")</f>
        <v>June</v>
      </c>
      <c r="E743" t="s">
        <v>56</v>
      </c>
      <c r="F743" t="str">
        <f>TEXT(WEEKNUM(tblData[[#This Row],[Rental Date]]),"00")</f>
        <v>23</v>
      </c>
      <c r="G743" s="1">
        <f>EOMONTH(tblData[[#This Row],[Rental Date]],0)</f>
        <v>46203</v>
      </c>
      <c r="H743" t="s">
        <v>749</v>
      </c>
      <c r="I743" t="s">
        <v>39</v>
      </c>
      <c r="J743" t="s">
        <v>127</v>
      </c>
      <c r="K743" t="s">
        <v>25</v>
      </c>
      <c r="L743">
        <v>1</v>
      </c>
      <c r="M743" s="2">
        <v>19.2</v>
      </c>
      <c r="N743" t="s">
        <v>26</v>
      </c>
      <c r="O743" s="3">
        <v>0</v>
      </c>
      <c r="P743" s="3">
        <v>0</v>
      </c>
      <c r="Q743" s="2">
        <v>19.2</v>
      </c>
      <c r="R743" t="s">
        <v>34</v>
      </c>
      <c r="S743" t="s">
        <v>54</v>
      </c>
      <c r="T743" t="s">
        <v>83</v>
      </c>
      <c r="U743" t="s">
        <v>30</v>
      </c>
    </row>
    <row r="744" spans="1:21" x14ac:dyDescent="0.35">
      <c r="A744" t="s">
        <v>823</v>
      </c>
      <c r="B744" s="1">
        <v>46179</v>
      </c>
      <c r="C744" t="str">
        <f>TEXT(tblData[[#This Row],[Rental Date]],"mmm")</f>
        <v>Jun</v>
      </c>
      <c r="D744" t="str">
        <f>TEXT(tblData[[#This Row],[Rental Date]],"mmmm")</f>
        <v>June</v>
      </c>
      <c r="E744" t="s">
        <v>56</v>
      </c>
      <c r="F744" t="str">
        <f>TEXT(WEEKNUM(tblData[[#This Row],[Rental Date]]),"00")</f>
        <v>23</v>
      </c>
      <c r="G744" s="1">
        <f>EOMONTH(tblData[[#This Row],[Rental Date]],0)</f>
        <v>46203</v>
      </c>
      <c r="H744" t="s">
        <v>749</v>
      </c>
      <c r="I744" t="s">
        <v>48</v>
      </c>
      <c r="J744" t="s">
        <v>65</v>
      </c>
      <c r="K744" t="s">
        <v>60</v>
      </c>
      <c r="L744">
        <v>1</v>
      </c>
      <c r="M744" s="2">
        <v>14.4</v>
      </c>
      <c r="N744" t="s">
        <v>26</v>
      </c>
      <c r="O744" s="3">
        <v>0</v>
      </c>
      <c r="P744" s="3">
        <v>0</v>
      </c>
      <c r="Q744" s="2">
        <v>14.4</v>
      </c>
      <c r="R744" t="s">
        <v>34</v>
      </c>
      <c r="S744" t="s">
        <v>46</v>
      </c>
      <c r="T744" t="s">
        <v>51</v>
      </c>
      <c r="U744" t="s">
        <v>30</v>
      </c>
    </row>
    <row r="745" spans="1:21" x14ac:dyDescent="0.35">
      <c r="A745" t="s">
        <v>824</v>
      </c>
      <c r="B745" s="1">
        <v>46179</v>
      </c>
      <c r="C745" t="str">
        <f>TEXT(tblData[[#This Row],[Rental Date]],"mmm")</f>
        <v>Jun</v>
      </c>
      <c r="D745" t="str">
        <f>TEXT(tblData[[#This Row],[Rental Date]],"mmmm")</f>
        <v>June</v>
      </c>
      <c r="E745" t="s">
        <v>56</v>
      </c>
      <c r="F745" t="str">
        <f>TEXT(WEEKNUM(tblData[[#This Row],[Rental Date]]),"00")</f>
        <v>23</v>
      </c>
      <c r="G745" s="1">
        <f>EOMONTH(tblData[[#This Row],[Rental Date]],0)</f>
        <v>46203</v>
      </c>
      <c r="H745" t="s">
        <v>749</v>
      </c>
      <c r="I745" t="s">
        <v>53</v>
      </c>
      <c r="J745" t="s">
        <v>44</v>
      </c>
      <c r="K745" t="s">
        <v>60</v>
      </c>
      <c r="L745">
        <v>1</v>
      </c>
      <c r="M745" s="2">
        <v>40.799999999999997</v>
      </c>
      <c r="N745" t="s">
        <v>26</v>
      </c>
      <c r="O745" s="3">
        <v>0</v>
      </c>
      <c r="P745" s="3">
        <v>4.08</v>
      </c>
      <c r="Q745" s="2">
        <v>36.72</v>
      </c>
      <c r="R745" t="s">
        <v>76</v>
      </c>
      <c r="S745" t="s">
        <v>54</v>
      </c>
      <c r="T745" t="s">
        <v>63</v>
      </c>
      <c r="U745" t="s">
        <v>30</v>
      </c>
    </row>
    <row r="746" spans="1:21" x14ac:dyDescent="0.35">
      <c r="A746" t="s">
        <v>825</v>
      </c>
      <c r="B746" s="1">
        <v>46179</v>
      </c>
      <c r="C746" t="str">
        <f>TEXT(tblData[[#This Row],[Rental Date]],"mmm")</f>
        <v>Jun</v>
      </c>
      <c r="D746" t="str">
        <f>TEXT(tblData[[#This Row],[Rental Date]],"mmmm")</f>
        <v>June</v>
      </c>
      <c r="E746" t="s">
        <v>56</v>
      </c>
      <c r="F746" t="str">
        <f>TEXT(WEEKNUM(tblData[[#This Row],[Rental Date]]),"00")</f>
        <v>23</v>
      </c>
      <c r="G746" s="1">
        <f>EOMONTH(tblData[[#This Row],[Rental Date]],0)</f>
        <v>46203</v>
      </c>
      <c r="H746" t="s">
        <v>749</v>
      </c>
      <c r="I746" t="s">
        <v>39</v>
      </c>
      <c r="J746" t="s">
        <v>33</v>
      </c>
      <c r="K746" t="s">
        <v>60</v>
      </c>
      <c r="L746">
        <v>1</v>
      </c>
      <c r="M746" s="2">
        <v>28.8</v>
      </c>
      <c r="N746" t="s">
        <v>89</v>
      </c>
      <c r="O746" s="3">
        <v>6</v>
      </c>
      <c r="P746" s="3">
        <v>0</v>
      </c>
      <c r="Q746" s="2">
        <v>34.799999999999997</v>
      </c>
      <c r="R746" t="s">
        <v>71</v>
      </c>
      <c r="S746" t="s">
        <v>28</v>
      </c>
      <c r="T746" t="s">
        <v>51</v>
      </c>
      <c r="U746" t="s">
        <v>30</v>
      </c>
    </row>
    <row r="747" spans="1:21" x14ac:dyDescent="0.35">
      <c r="A747" t="s">
        <v>826</v>
      </c>
      <c r="B747" s="1">
        <v>46179</v>
      </c>
      <c r="C747" t="str">
        <f>TEXT(tblData[[#This Row],[Rental Date]],"mmm")</f>
        <v>Jun</v>
      </c>
      <c r="D747" t="str">
        <f>TEXT(tblData[[#This Row],[Rental Date]],"mmmm")</f>
        <v>June</v>
      </c>
      <c r="E747" t="s">
        <v>56</v>
      </c>
      <c r="F747" t="str">
        <f>TEXT(WEEKNUM(tblData[[#This Row],[Rental Date]]),"00")</f>
        <v>23</v>
      </c>
      <c r="G747" s="1">
        <f>EOMONTH(tblData[[#This Row],[Rental Date]],0)</f>
        <v>46203</v>
      </c>
      <c r="H747" t="s">
        <v>749</v>
      </c>
      <c r="I747" t="s">
        <v>48</v>
      </c>
      <c r="J747" t="s">
        <v>86</v>
      </c>
      <c r="K747" t="s">
        <v>60</v>
      </c>
      <c r="L747">
        <v>1</v>
      </c>
      <c r="M747" s="2">
        <v>43.2</v>
      </c>
      <c r="N747" t="s">
        <v>75</v>
      </c>
      <c r="O747" s="3">
        <v>12</v>
      </c>
      <c r="P747" s="3">
        <v>0</v>
      </c>
      <c r="Q747" s="2">
        <v>55.2</v>
      </c>
      <c r="R747" t="s">
        <v>42</v>
      </c>
      <c r="S747" t="s">
        <v>50</v>
      </c>
      <c r="T747" t="s">
        <v>51</v>
      </c>
      <c r="U747" t="s">
        <v>58</v>
      </c>
    </row>
    <row r="748" spans="1:21" x14ac:dyDescent="0.35">
      <c r="A748" t="s">
        <v>827</v>
      </c>
      <c r="B748" s="1">
        <v>46179</v>
      </c>
      <c r="C748" t="str">
        <f>TEXT(tblData[[#This Row],[Rental Date]],"mmm")</f>
        <v>Jun</v>
      </c>
      <c r="D748" t="str">
        <f>TEXT(tblData[[#This Row],[Rental Date]],"mmmm")</f>
        <v>June</v>
      </c>
      <c r="E748" t="s">
        <v>56</v>
      </c>
      <c r="F748" t="str">
        <f>TEXT(WEEKNUM(tblData[[#This Row],[Rental Date]]),"00")</f>
        <v>23</v>
      </c>
      <c r="G748" s="1">
        <f>EOMONTH(tblData[[#This Row],[Rental Date]],0)</f>
        <v>46203</v>
      </c>
      <c r="H748" t="s">
        <v>749</v>
      </c>
      <c r="I748" t="s">
        <v>48</v>
      </c>
      <c r="J748" t="s">
        <v>44</v>
      </c>
      <c r="K748" t="s">
        <v>60</v>
      </c>
      <c r="L748">
        <v>1</v>
      </c>
      <c r="M748" s="2">
        <v>40.799999999999997</v>
      </c>
      <c r="N748" t="s">
        <v>26</v>
      </c>
      <c r="O748" s="3">
        <v>0</v>
      </c>
      <c r="P748" s="3">
        <v>0</v>
      </c>
      <c r="Q748" s="2">
        <v>40.799999999999997</v>
      </c>
      <c r="R748" t="s">
        <v>76</v>
      </c>
      <c r="S748" t="s">
        <v>46</v>
      </c>
      <c r="T748" t="s">
        <v>51</v>
      </c>
      <c r="U748" t="s">
        <v>30</v>
      </c>
    </row>
    <row r="749" spans="1:21" x14ac:dyDescent="0.35">
      <c r="A749" t="s">
        <v>828</v>
      </c>
      <c r="B749" s="1">
        <v>46179</v>
      </c>
      <c r="C749" t="str">
        <f>TEXT(tblData[[#This Row],[Rental Date]],"mmm")</f>
        <v>Jun</v>
      </c>
      <c r="D749" t="str">
        <f>TEXT(tblData[[#This Row],[Rental Date]],"mmmm")</f>
        <v>June</v>
      </c>
      <c r="E749" t="s">
        <v>56</v>
      </c>
      <c r="F749" t="str">
        <f>TEXT(WEEKNUM(tblData[[#This Row],[Rental Date]]),"00")</f>
        <v>23</v>
      </c>
      <c r="G749" s="1">
        <f>EOMONTH(tblData[[#This Row],[Rental Date]],0)</f>
        <v>46203</v>
      </c>
      <c r="H749" t="s">
        <v>749</v>
      </c>
      <c r="I749" t="s">
        <v>39</v>
      </c>
      <c r="J749" t="s">
        <v>33</v>
      </c>
      <c r="K749" t="s">
        <v>60</v>
      </c>
      <c r="L749">
        <v>1</v>
      </c>
      <c r="M749" s="2">
        <v>28.8</v>
      </c>
      <c r="N749" t="s">
        <v>26</v>
      </c>
      <c r="O749" s="3">
        <v>0</v>
      </c>
      <c r="P749" s="3">
        <v>0</v>
      </c>
      <c r="Q749" s="2">
        <v>28.8</v>
      </c>
      <c r="R749" t="s">
        <v>42</v>
      </c>
      <c r="S749" t="s">
        <v>28</v>
      </c>
      <c r="T749" t="s">
        <v>29</v>
      </c>
      <c r="U749" t="s">
        <v>79</v>
      </c>
    </row>
    <row r="750" spans="1:21" x14ac:dyDescent="0.35">
      <c r="A750" t="s">
        <v>829</v>
      </c>
      <c r="B750" s="1">
        <v>46179</v>
      </c>
      <c r="C750" t="str">
        <f>TEXT(tblData[[#This Row],[Rental Date]],"mmm")</f>
        <v>Jun</v>
      </c>
      <c r="D750" t="str">
        <f>TEXT(tblData[[#This Row],[Rental Date]],"mmmm")</f>
        <v>June</v>
      </c>
      <c r="E750" t="s">
        <v>56</v>
      </c>
      <c r="F750" t="str">
        <f>TEXT(WEEKNUM(tblData[[#This Row],[Rental Date]]),"00")</f>
        <v>23</v>
      </c>
      <c r="G750" s="1">
        <f>EOMONTH(tblData[[#This Row],[Rental Date]],0)</f>
        <v>46203</v>
      </c>
      <c r="H750" t="s">
        <v>749</v>
      </c>
      <c r="I750" t="s">
        <v>48</v>
      </c>
      <c r="J750" t="s">
        <v>33</v>
      </c>
      <c r="K750" t="s">
        <v>25</v>
      </c>
      <c r="L750">
        <v>1</v>
      </c>
      <c r="M750" s="2">
        <v>45.6</v>
      </c>
      <c r="N750" t="s">
        <v>89</v>
      </c>
      <c r="O750" s="3">
        <v>6</v>
      </c>
      <c r="P750" s="3">
        <v>0</v>
      </c>
      <c r="Q750" s="2">
        <v>51.6</v>
      </c>
      <c r="R750" t="s">
        <v>62</v>
      </c>
      <c r="S750" t="s">
        <v>28</v>
      </c>
      <c r="T750" t="s">
        <v>29</v>
      </c>
      <c r="U750" t="s">
        <v>30</v>
      </c>
    </row>
    <row r="751" spans="1:21" x14ac:dyDescent="0.35">
      <c r="A751" t="s">
        <v>830</v>
      </c>
      <c r="B751" s="1">
        <v>46179</v>
      </c>
      <c r="C751" t="str">
        <f>TEXT(tblData[[#This Row],[Rental Date]],"mmm")</f>
        <v>Jun</v>
      </c>
      <c r="D751" t="str">
        <f>TEXT(tblData[[#This Row],[Rental Date]],"mmmm")</f>
        <v>June</v>
      </c>
      <c r="E751" t="s">
        <v>56</v>
      </c>
      <c r="F751" t="str">
        <f>TEXT(WEEKNUM(tblData[[#This Row],[Rental Date]]),"00")</f>
        <v>23</v>
      </c>
      <c r="G751" s="1">
        <f>EOMONTH(tblData[[#This Row],[Rental Date]],0)</f>
        <v>46203</v>
      </c>
      <c r="H751" t="s">
        <v>749</v>
      </c>
      <c r="I751" t="s">
        <v>48</v>
      </c>
      <c r="J751" t="s">
        <v>78</v>
      </c>
      <c r="K751" t="s">
        <v>92</v>
      </c>
      <c r="L751">
        <v>1</v>
      </c>
      <c r="M751" s="2">
        <v>105.6</v>
      </c>
      <c r="N751" t="s">
        <v>26</v>
      </c>
      <c r="O751" s="3">
        <v>0</v>
      </c>
      <c r="P751" s="3">
        <v>0</v>
      </c>
      <c r="Q751" s="2">
        <v>105.6</v>
      </c>
      <c r="R751" t="s">
        <v>45</v>
      </c>
      <c r="S751" t="s">
        <v>50</v>
      </c>
      <c r="T751" t="s">
        <v>51</v>
      </c>
      <c r="U751" t="s">
        <v>30</v>
      </c>
    </row>
    <row r="752" spans="1:21" x14ac:dyDescent="0.35">
      <c r="A752" t="s">
        <v>831</v>
      </c>
      <c r="B752" s="1">
        <v>46179</v>
      </c>
      <c r="C752" t="str">
        <f>TEXT(tblData[[#This Row],[Rental Date]],"mmm")</f>
        <v>Jun</v>
      </c>
      <c r="D752" t="str">
        <f>TEXT(tblData[[#This Row],[Rental Date]],"mmmm")</f>
        <v>June</v>
      </c>
      <c r="E752" t="s">
        <v>56</v>
      </c>
      <c r="F752" t="str">
        <f>TEXT(WEEKNUM(tblData[[#This Row],[Rental Date]]),"00")</f>
        <v>23</v>
      </c>
      <c r="G752" s="1">
        <f>EOMONTH(tblData[[#This Row],[Rental Date]],0)</f>
        <v>46203</v>
      </c>
      <c r="H752" t="s">
        <v>749</v>
      </c>
      <c r="I752" t="s">
        <v>53</v>
      </c>
      <c r="J752" t="s">
        <v>111</v>
      </c>
      <c r="K752" t="s">
        <v>25</v>
      </c>
      <c r="L752">
        <v>1</v>
      </c>
      <c r="M752" s="2">
        <v>26.4</v>
      </c>
      <c r="N752" t="s">
        <v>26</v>
      </c>
      <c r="O752" s="3">
        <v>0</v>
      </c>
      <c r="P752" s="3">
        <v>2.64</v>
      </c>
      <c r="Q752" s="2">
        <v>23.76</v>
      </c>
      <c r="R752" t="s">
        <v>27</v>
      </c>
      <c r="S752" t="s">
        <v>50</v>
      </c>
      <c r="T752" t="s">
        <v>29</v>
      </c>
      <c r="U752" t="s">
        <v>30</v>
      </c>
    </row>
    <row r="753" spans="1:21" x14ac:dyDescent="0.35">
      <c r="A753" t="s">
        <v>832</v>
      </c>
      <c r="B753" s="1">
        <v>46179</v>
      </c>
      <c r="C753" t="str">
        <f>TEXT(tblData[[#This Row],[Rental Date]],"mmm")</f>
        <v>Jun</v>
      </c>
      <c r="D753" t="str">
        <f>TEXT(tblData[[#This Row],[Rental Date]],"mmmm")</f>
        <v>June</v>
      </c>
      <c r="E753" t="s">
        <v>56</v>
      </c>
      <c r="F753" t="str">
        <f>TEXT(WEEKNUM(tblData[[#This Row],[Rental Date]]),"00")</f>
        <v>23</v>
      </c>
      <c r="G753" s="1">
        <f>EOMONTH(tblData[[#This Row],[Rental Date]],0)</f>
        <v>46203</v>
      </c>
      <c r="H753" t="s">
        <v>749</v>
      </c>
      <c r="I753" t="s">
        <v>39</v>
      </c>
      <c r="J753" t="s">
        <v>33</v>
      </c>
      <c r="K753" t="s">
        <v>60</v>
      </c>
      <c r="L753">
        <v>1</v>
      </c>
      <c r="M753" s="2">
        <v>28.8</v>
      </c>
      <c r="N753" t="s">
        <v>41</v>
      </c>
      <c r="O753" s="3">
        <v>5</v>
      </c>
      <c r="P753" s="3">
        <v>0</v>
      </c>
      <c r="Q753" s="2">
        <v>33.799999999999997</v>
      </c>
      <c r="R753" t="s">
        <v>62</v>
      </c>
      <c r="S753" t="s">
        <v>28</v>
      </c>
      <c r="T753" t="s">
        <v>51</v>
      </c>
      <c r="U753" t="s">
        <v>30</v>
      </c>
    </row>
    <row r="754" spans="1:21" x14ac:dyDescent="0.35">
      <c r="A754" t="s">
        <v>833</v>
      </c>
      <c r="B754" s="1">
        <v>46179</v>
      </c>
      <c r="C754" t="str">
        <f>TEXT(tblData[[#This Row],[Rental Date]],"mmm")</f>
        <v>Jun</v>
      </c>
      <c r="D754" t="str">
        <f>TEXT(tblData[[#This Row],[Rental Date]],"mmmm")</f>
        <v>June</v>
      </c>
      <c r="E754" t="s">
        <v>56</v>
      </c>
      <c r="F754" t="str">
        <f>TEXT(WEEKNUM(tblData[[#This Row],[Rental Date]]),"00")</f>
        <v>23</v>
      </c>
      <c r="G754" s="1">
        <f>EOMONTH(tblData[[#This Row],[Rental Date]],0)</f>
        <v>46203</v>
      </c>
      <c r="H754" t="s">
        <v>749</v>
      </c>
      <c r="I754" t="s">
        <v>23</v>
      </c>
      <c r="J754" t="s">
        <v>44</v>
      </c>
      <c r="K754" t="s">
        <v>25</v>
      </c>
      <c r="L754">
        <v>1</v>
      </c>
      <c r="M754" s="2">
        <v>62.4</v>
      </c>
      <c r="N754" t="s">
        <v>26</v>
      </c>
      <c r="O754" s="3">
        <v>0</v>
      </c>
      <c r="P754" s="3">
        <v>3.12</v>
      </c>
      <c r="Q754" s="2">
        <v>59.28</v>
      </c>
      <c r="R754" t="s">
        <v>57</v>
      </c>
      <c r="S754" t="s">
        <v>50</v>
      </c>
      <c r="T754" t="s">
        <v>51</v>
      </c>
      <c r="U754" t="s">
        <v>30</v>
      </c>
    </row>
    <row r="755" spans="1:21" x14ac:dyDescent="0.35">
      <c r="A755" t="s">
        <v>834</v>
      </c>
      <c r="B755" s="1">
        <v>46179</v>
      </c>
      <c r="C755" t="str">
        <f>TEXT(tblData[[#This Row],[Rental Date]],"mmm")</f>
        <v>Jun</v>
      </c>
      <c r="D755" t="str">
        <f>TEXT(tblData[[#This Row],[Rental Date]],"mmmm")</f>
        <v>June</v>
      </c>
      <c r="E755" t="s">
        <v>56</v>
      </c>
      <c r="F755" t="str">
        <f>TEXT(WEEKNUM(tblData[[#This Row],[Rental Date]]),"00")</f>
        <v>23</v>
      </c>
      <c r="G755" s="1">
        <f>EOMONTH(tblData[[#This Row],[Rental Date]],0)</f>
        <v>46203</v>
      </c>
      <c r="H755" t="s">
        <v>749</v>
      </c>
      <c r="I755" t="s">
        <v>48</v>
      </c>
      <c r="J755" t="s">
        <v>24</v>
      </c>
      <c r="K755" t="s">
        <v>60</v>
      </c>
      <c r="L755">
        <v>1</v>
      </c>
      <c r="M755" s="2">
        <v>38.4</v>
      </c>
      <c r="N755" t="s">
        <v>26</v>
      </c>
      <c r="O755" s="3">
        <v>0</v>
      </c>
      <c r="P755" s="3">
        <v>0</v>
      </c>
      <c r="Q755" s="2">
        <v>38.4</v>
      </c>
      <c r="R755" t="s">
        <v>66</v>
      </c>
      <c r="S755" t="s">
        <v>46</v>
      </c>
      <c r="T755" t="s">
        <v>90</v>
      </c>
      <c r="U755" t="s">
        <v>30</v>
      </c>
    </row>
    <row r="756" spans="1:21" x14ac:dyDescent="0.35">
      <c r="A756" t="s">
        <v>835</v>
      </c>
      <c r="B756" s="1">
        <v>46179</v>
      </c>
      <c r="C756" t="str">
        <f>TEXT(tblData[[#This Row],[Rental Date]],"mmm")</f>
        <v>Jun</v>
      </c>
      <c r="D756" t="str">
        <f>TEXT(tblData[[#This Row],[Rental Date]],"mmmm")</f>
        <v>June</v>
      </c>
      <c r="E756" t="s">
        <v>56</v>
      </c>
      <c r="F756" t="str">
        <f>TEXT(WEEKNUM(tblData[[#This Row],[Rental Date]]),"00")</f>
        <v>23</v>
      </c>
      <c r="G756" s="1">
        <f>EOMONTH(tblData[[#This Row],[Rental Date]],0)</f>
        <v>46203</v>
      </c>
      <c r="H756" t="s">
        <v>749</v>
      </c>
      <c r="I756" t="s">
        <v>53</v>
      </c>
      <c r="J756" t="s">
        <v>78</v>
      </c>
      <c r="K756" t="s">
        <v>60</v>
      </c>
      <c r="L756">
        <v>1</v>
      </c>
      <c r="M756" s="2">
        <v>31.2</v>
      </c>
      <c r="N756" t="s">
        <v>87</v>
      </c>
      <c r="O756" s="3">
        <v>10</v>
      </c>
      <c r="P756" s="3">
        <v>4.12</v>
      </c>
      <c r="Q756" s="2">
        <v>37.08</v>
      </c>
      <c r="R756" t="s">
        <v>76</v>
      </c>
      <c r="S756" t="s">
        <v>35</v>
      </c>
      <c r="T756" t="s">
        <v>51</v>
      </c>
      <c r="U756" t="s">
        <v>79</v>
      </c>
    </row>
    <row r="757" spans="1:21" x14ac:dyDescent="0.35">
      <c r="A757" t="s">
        <v>836</v>
      </c>
      <c r="B757" s="1">
        <v>46180</v>
      </c>
      <c r="C757" t="str">
        <f>TEXT(tblData[[#This Row],[Rental Date]],"mmm")</f>
        <v>Jun</v>
      </c>
      <c r="D757" t="str">
        <f>TEXT(tblData[[#This Row],[Rental Date]],"mmmm")</f>
        <v>June</v>
      </c>
      <c r="E757" t="s">
        <v>68</v>
      </c>
      <c r="F757" t="str">
        <f>TEXT(WEEKNUM(tblData[[#This Row],[Rental Date]]),"00")</f>
        <v>24</v>
      </c>
      <c r="G757" s="1">
        <f>EOMONTH(tblData[[#This Row],[Rental Date]],0)</f>
        <v>46203</v>
      </c>
      <c r="H757" t="s">
        <v>749</v>
      </c>
      <c r="I757" t="s">
        <v>48</v>
      </c>
      <c r="J757" t="s">
        <v>49</v>
      </c>
      <c r="K757" t="s">
        <v>25</v>
      </c>
      <c r="L757">
        <v>1</v>
      </c>
      <c r="M757" s="2">
        <v>43.2</v>
      </c>
      <c r="N757" t="s">
        <v>26</v>
      </c>
      <c r="O757" s="3">
        <v>0</v>
      </c>
      <c r="P757" s="3">
        <v>0</v>
      </c>
      <c r="Q757" s="2">
        <v>43.2</v>
      </c>
      <c r="R757" t="s">
        <v>34</v>
      </c>
      <c r="S757" t="s">
        <v>28</v>
      </c>
      <c r="T757" t="s">
        <v>90</v>
      </c>
      <c r="U757" t="s">
        <v>30</v>
      </c>
    </row>
    <row r="758" spans="1:21" x14ac:dyDescent="0.35">
      <c r="A758" t="s">
        <v>837</v>
      </c>
      <c r="B758" s="1">
        <v>46180</v>
      </c>
      <c r="C758" t="str">
        <f>TEXT(tblData[[#This Row],[Rental Date]],"mmm")</f>
        <v>Jun</v>
      </c>
      <c r="D758" t="str">
        <f>TEXT(tblData[[#This Row],[Rental Date]],"mmmm")</f>
        <v>June</v>
      </c>
      <c r="E758" t="s">
        <v>68</v>
      </c>
      <c r="F758" t="str">
        <f>TEXT(WEEKNUM(tblData[[#This Row],[Rental Date]]),"00")</f>
        <v>24</v>
      </c>
      <c r="G758" s="1">
        <f>EOMONTH(tblData[[#This Row],[Rental Date]],0)</f>
        <v>46203</v>
      </c>
      <c r="H758" t="s">
        <v>749</v>
      </c>
      <c r="I758" t="s">
        <v>48</v>
      </c>
      <c r="J758" t="s">
        <v>33</v>
      </c>
      <c r="K758" t="s">
        <v>60</v>
      </c>
      <c r="L758">
        <v>1</v>
      </c>
      <c r="M758" s="2">
        <v>28.8</v>
      </c>
      <c r="N758" t="s">
        <v>26</v>
      </c>
      <c r="O758" s="3">
        <v>0</v>
      </c>
      <c r="P758" s="3">
        <v>0</v>
      </c>
      <c r="Q758" s="2">
        <v>28.8</v>
      </c>
      <c r="R758" t="s">
        <v>42</v>
      </c>
      <c r="S758" t="s">
        <v>28</v>
      </c>
      <c r="T758" t="s">
        <v>83</v>
      </c>
      <c r="U758" t="s">
        <v>30</v>
      </c>
    </row>
    <row r="759" spans="1:21" x14ac:dyDescent="0.35">
      <c r="A759" t="s">
        <v>838</v>
      </c>
      <c r="B759" s="1">
        <v>46180</v>
      </c>
      <c r="C759" t="str">
        <f>TEXT(tblData[[#This Row],[Rental Date]],"mmm")</f>
        <v>Jun</v>
      </c>
      <c r="D759" t="str">
        <f>TEXT(tblData[[#This Row],[Rental Date]],"mmmm")</f>
        <v>June</v>
      </c>
      <c r="E759" t="s">
        <v>68</v>
      </c>
      <c r="F759" t="str">
        <f>TEXT(WEEKNUM(tblData[[#This Row],[Rental Date]]),"00")</f>
        <v>24</v>
      </c>
      <c r="G759" s="1">
        <f>EOMONTH(tblData[[#This Row],[Rental Date]],0)</f>
        <v>46203</v>
      </c>
      <c r="H759" t="s">
        <v>749</v>
      </c>
      <c r="I759" t="s">
        <v>48</v>
      </c>
      <c r="J759" t="s">
        <v>78</v>
      </c>
      <c r="K759" t="s">
        <v>25</v>
      </c>
      <c r="L759">
        <v>1</v>
      </c>
      <c r="M759" s="2">
        <v>50.4</v>
      </c>
      <c r="N759" t="s">
        <v>26</v>
      </c>
      <c r="O759" s="3">
        <v>0</v>
      </c>
      <c r="P759" s="3">
        <v>0</v>
      </c>
      <c r="Q759" s="2">
        <v>50.4</v>
      </c>
      <c r="R759" t="s">
        <v>27</v>
      </c>
      <c r="S759" t="s">
        <v>50</v>
      </c>
      <c r="T759" t="s">
        <v>51</v>
      </c>
      <c r="U759" t="s">
        <v>30</v>
      </c>
    </row>
    <row r="760" spans="1:21" x14ac:dyDescent="0.35">
      <c r="A760" t="s">
        <v>839</v>
      </c>
      <c r="B760" s="1">
        <v>46180</v>
      </c>
      <c r="C760" t="str">
        <f>TEXT(tblData[[#This Row],[Rental Date]],"mmm")</f>
        <v>Jun</v>
      </c>
      <c r="D760" t="str">
        <f>TEXT(tblData[[#This Row],[Rental Date]],"mmmm")</f>
        <v>June</v>
      </c>
      <c r="E760" t="s">
        <v>68</v>
      </c>
      <c r="F760" t="str">
        <f>TEXT(WEEKNUM(tblData[[#This Row],[Rental Date]]),"00")</f>
        <v>24</v>
      </c>
      <c r="G760" s="1">
        <f>EOMONTH(tblData[[#This Row],[Rental Date]],0)</f>
        <v>46203</v>
      </c>
      <c r="H760" t="s">
        <v>749</v>
      </c>
      <c r="I760" t="s">
        <v>48</v>
      </c>
      <c r="J760" t="s">
        <v>78</v>
      </c>
      <c r="K760" t="s">
        <v>25</v>
      </c>
      <c r="L760">
        <v>1</v>
      </c>
      <c r="M760" s="2">
        <v>50.4</v>
      </c>
      <c r="N760" t="s">
        <v>26</v>
      </c>
      <c r="O760" s="3">
        <v>0</v>
      </c>
      <c r="P760" s="3">
        <v>0</v>
      </c>
      <c r="Q760" s="2">
        <v>50.4</v>
      </c>
      <c r="R760" t="s">
        <v>66</v>
      </c>
      <c r="S760" t="s">
        <v>28</v>
      </c>
      <c r="T760" t="s">
        <v>51</v>
      </c>
      <c r="U760" t="s">
        <v>30</v>
      </c>
    </row>
    <row r="761" spans="1:21" x14ac:dyDescent="0.35">
      <c r="A761" t="s">
        <v>840</v>
      </c>
      <c r="B761" s="1">
        <v>46180</v>
      </c>
      <c r="C761" t="str">
        <f>TEXT(tblData[[#This Row],[Rental Date]],"mmm")</f>
        <v>Jun</v>
      </c>
      <c r="D761" t="str">
        <f>TEXT(tblData[[#This Row],[Rental Date]],"mmmm")</f>
        <v>June</v>
      </c>
      <c r="E761" t="s">
        <v>68</v>
      </c>
      <c r="F761" t="str">
        <f>TEXT(WEEKNUM(tblData[[#This Row],[Rental Date]]),"00")</f>
        <v>24</v>
      </c>
      <c r="G761" s="1">
        <f>EOMONTH(tblData[[#This Row],[Rental Date]],0)</f>
        <v>46203</v>
      </c>
      <c r="H761" t="s">
        <v>749</v>
      </c>
      <c r="I761" t="s">
        <v>39</v>
      </c>
      <c r="J761" t="s">
        <v>65</v>
      </c>
      <c r="K761" t="s">
        <v>92</v>
      </c>
      <c r="L761">
        <v>1</v>
      </c>
      <c r="M761" s="2">
        <v>48</v>
      </c>
      <c r="N761" t="s">
        <v>61</v>
      </c>
      <c r="O761" s="3">
        <v>8</v>
      </c>
      <c r="P761" s="3">
        <v>0</v>
      </c>
      <c r="Q761" s="2">
        <v>56</v>
      </c>
      <c r="R761" t="s">
        <v>66</v>
      </c>
      <c r="S761" t="s">
        <v>35</v>
      </c>
      <c r="T761" t="s">
        <v>90</v>
      </c>
      <c r="U761" t="s">
        <v>58</v>
      </c>
    </row>
    <row r="762" spans="1:21" x14ac:dyDescent="0.35">
      <c r="A762" t="s">
        <v>841</v>
      </c>
      <c r="B762" s="1">
        <v>46180</v>
      </c>
      <c r="C762" t="str">
        <f>TEXT(tblData[[#This Row],[Rental Date]],"mmm")</f>
        <v>Jun</v>
      </c>
      <c r="D762" t="str">
        <f>TEXT(tblData[[#This Row],[Rental Date]],"mmmm")</f>
        <v>June</v>
      </c>
      <c r="E762" t="s">
        <v>68</v>
      </c>
      <c r="F762" t="str">
        <f>TEXT(WEEKNUM(tblData[[#This Row],[Rental Date]]),"00")</f>
        <v>24</v>
      </c>
      <c r="G762" s="1">
        <f>EOMONTH(tblData[[#This Row],[Rental Date]],0)</f>
        <v>46203</v>
      </c>
      <c r="H762" t="s">
        <v>749</v>
      </c>
      <c r="I762" t="s">
        <v>39</v>
      </c>
      <c r="J762" t="s">
        <v>111</v>
      </c>
      <c r="K762" t="s">
        <v>92</v>
      </c>
      <c r="L762">
        <v>1</v>
      </c>
      <c r="M762" s="2">
        <v>57.6</v>
      </c>
      <c r="N762" t="s">
        <v>70</v>
      </c>
      <c r="O762" s="3">
        <v>7</v>
      </c>
      <c r="P762" s="3">
        <v>0</v>
      </c>
      <c r="Q762" s="2">
        <v>64.599999999999994</v>
      </c>
      <c r="R762" t="s">
        <v>45</v>
      </c>
      <c r="S762" t="s">
        <v>28</v>
      </c>
      <c r="T762" t="s">
        <v>90</v>
      </c>
      <c r="U762" t="s">
        <v>30</v>
      </c>
    </row>
    <row r="763" spans="1:21" x14ac:dyDescent="0.35">
      <c r="A763" t="s">
        <v>842</v>
      </c>
      <c r="B763" s="1">
        <v>46180</v>
      </c>
      <c r="C763" t="str">
        <f>TEXT(tblData[[#This Row],[Rental Date]],"mmm")</f>
        <v>Jun</v>
      </c>
      <c r="D763" t="str">
        <f>TEXT(tblData[[#This Row],[Rental Date]],"mmmm")</f>
        <v>June</v>
      </c>
      <c r="E763" t="s">
        <v>68</v>
      </c>
      <c r="F763" t="str">
        <f>TEXT(WEEKNUM(tblData[[#This Row],[Rental Date]]),"00")</f>
        <v>24</v>
      </c>
      <c r="G763" s="1">
        <f>EOMONTH(tblData[[#This Row],[Rental Date]],0)</f>
        <v>46203</v>
      </c>
      <c r="H763" t="s">
        <v>749</v>
      </c>
      <c r="I763" t="s">
        <v>48</v>
      </c>
      <c r="J763" t="s">
        <v>78</v>
      </c>
      <c r="K763" t="s">
        <v>92</v>
      </c>
      <c r="L763">
        <v>1</v>
      </c>
      <c r="M763" s="2">
        <v>105.6</v>
      </c>
      <c r="N763" t="s">
        <v>26</v>
      </c>
      <c r="O763" s="3">
        <v>0</v>
      </c>
      <c r="P763" s="3">
        <v>0</v>
      </c>
      <c r="Q763" s="2">
        <v>105.6</v>
      </c>
      <c r="R763" t="s">
        <v>94</v>
      </c>
      <c r="S763" t="s">
        <v>50</v>
      </c>
      <c r="T763" t="s">
        <v>29</v>
      </c>
      <c r="U763" t="s">
        <v>58</v>
      </c>
    </row>
    <row r="764" spans="1:21" x14ac:dyDescent="0.35">
      <c r="A764" t="s">
        <v>843</v>
      </c>
      <c r="B764" s="1">
        <v>46180</v>
      </c>
      <c r="C764" t="str">
        <f>TEXT(tblData[[#This Row],[Rental Date]],"mmm")</f>
        <v>Jun</v>
      </c>
      <c r="D764" t="str">
        <f>TEXT(tblData[[#This Row],[Rental Date]],"mmmm")</f>
        <v>June</v>
      </c>
      <c r="E764" t="s">
        <v>68</v>
      </c>
      <c r="F764" t="str">
        <f>TEXT(WEEKNUM(tblData[[#This Row],[Rental Date]]),"00")</f>
        <v>24</v>
      </c>
      <c r="G764" s="1">
        <f>EOMONTH(tblData[[#This Row],[Rental Date]],0)</f>
        <v>46203</v>
      </c>
      <c r="H764" t="s">
        <v>749</v>
      </c>
      <c r="I764" t="s">
        <v>39</v>
      </c>
      <c r="J764" t="s">
        <v>49</v>
      </c>
      <c r="K764" t="s">
        <v>40</v>
      </c>
      <c r="L764">
        <v>1</v>
      </c>
      <c r="M764" s="2">
        <v>64.8</v>
      </c>
      <c r="N764" t="s">
        <v>26</v>
      </c>
      <c r="O764" s="3">
        <v>0</v>
      </c>
      <c r="P764" s="3">
        <v>3.24</v>
      </c>
      <c r="Q764" s="2">
        <v>61.56</v>
      </c>
      <c r="R764" t="s">
        <v>66</v>
      </c>
      <c r="S764" t="s">
        <v>46</v>
      </c>
      <c r="T764" t="s">
        <v>51</v>
      </c>
      <c r="U764" t="s">
        <v>30</v>
      </c>
    </row>
    <row r="765" spans="1:21" x14ac:dyDescent="0.35">
      <c r="A765" t="s">
        <v>844</v>
      </c>
      <c r="B765" s="1">
        <v>46180</v>
      </c>
      <c r="C765" t="str">
        <f>TEXT(tblData[[#This Row],[Rental Date]],"mmm")</f>
        <v>Jun</v>
      </c>
      <c r="D765" t="str">
        <f>TEXT(tblData[[#This Row],[Rental Date]],"mmmm")</f>
        <v>June</v>
      </c>
      <c r="E765" t="s">
        <v>68</v>
      </c>
      <c r="F765" t="str">
        <f>TEXT(WEEKNUM(tblData[[#This Row],[Rental Date]]),"00")</f>
        <v>24</v>
      </c>
      <c r="G765" s="1">
        <f>EOMONTH(tblData[[#This Row],[Rental Date]],0)</f>
        <v>46203</v>
      </c>
      <c r="H765" t="s">
        <v>749</v>
      </c>
      <c r="I765" t="s">
        <v>23</v>
      </c>
      <c r="J765" t="s">
        <v>127</v>
      </c>
      <c r="K765" t="s">
        <v>25</v>
      </c>
      <c r="L765">
        <v>1</v>
      </c>
      <c r="M765" s="2">
        <v>19.2</v>
      </c>
      <c r="N765" t="s">
        <v>26</v>
      </c>
      <c r="O765" s="3">
        <v>0</v>
      </c>
      <c r="P765" s="3">
        <v>0</v>
      </c>
      <c r="Q765" s="2">
        <v>19.2</v>
      </c>
      <c r="R765" t="s">
        <v>71</v>
      </c>
      <c r="S765" t="s">
        <v>35</v>
      </c>
      <c r="T765" t="s">
        <v>29</v>
      </c>
      <c r="U765" t="s">
        <v>30</v>
      </c>
    </row>
    <row r="766" spans="1:21" x14ac:dyDescent="0.35">
      <c r="A766" t="s">
        <v>845</v>
      </c>
      <c r="B766" s="1">
        <v>46180</v>
      </c>
      <c r="C766" t="str">
        <f>TEXT(tblData[[#This Row],[Rental Date]],"mmm")</f>
        <v>Jun</v>
      </c>
      <c r="D766" t="str">
        <f>TEXT(tblData[[#This Row],[Rental Date]],"mmmm")</f>
        <v>June</v>
      </c>
      <c r="E766" t="s">
        <v>68</v>
      </c>
      <c r="F766" t="str">
        <f>TEXT(WEEKNUM(tblData[[#This Row],[Rental Date]]),"00")</f>
        <v>24</v>
      </c>
      <c r="G766" s="1">
        <f>EOMONTH(tblData[[#This Row],[Rental Date]],0)</f>
        <v>46203</v>
      </c>
      <c r="H766" t="s">
        <v>749</v>
      </c>
      <c r="I766" t="s">
        <v>39</v>
      </c>
      <c r="J766" t="s">
        <v>138</v>
      </c>
      <c r="K766" t="s">
        <v>60</v>
      </c>
      <c r="L766">
        <v>1</v>
      </c>
      <c r="M766" s="2">
        <v>36</v>
      </c>
      <c r="N766" t="s">
        <v>26</v>
      </c>
      <c r="O766" s="3">
        <v>0</v>
      </c>
      <c r="P766" s="3">
        <v>0</v>
      </c>
      <c r="Q766" s="2">
        <v>36</v>
      </c>
      <c r="R766" t="s">
        <v>27</v>
      </c>
      <c r="S766" t="s">
        <v>35</v>
      </c>
      <c r="T766" t="s">
        <v>29</v>
      </c>
      <c r="U766" t="s">
        <v>30</v>
      </c>
    </row>
    <row r="767" spans="1:21" x14ac:dyDescent="0.35">
      <c r="A767" t="s">
        <v>846</v>
      </c>
      <c r="B767" s="1">
        <v>46180</v>
      </c>
      <c r="C767" t="str">
        <f>TEXT(tblData[[#This Row],[Rental Date]],"mmm")</f>
        <v>Jun</v>
      </c>
      <c r="D767" t="str">
        <f>TEXT(tblData[[#This Row],[Rental Date]],"mmmm")</f>
        <v>June</v>
      </c>
      <c r="E767" t="s">
        <v>68</v>
      </c>
      <c r="F767" t="str">
        <f>TEXT(WEEKNUM(tblData[[#This Row],[Rental Date]]),"00")</f>
        <v>24</v>
      </c>
      <c r="G767" s="1">
        <f>EOMONTH(tblData[[#This Row],[Rental Date]],0)</f>
        <v>46203</v>
      </c>
      <c r="H767" t="s">
        <v>749</v>
      </c>
      <c r="I767" t="s">
        <v>23</v>
      </c>
      <c r="J767" t="s">
        <v>44</v>
      </c>
      <c r="K767" t="s">
        <v>40</v>
      </c>
      <c r="L767">
        <v>1</v>
      </c>
      <c r="M767" s="2">
        <v>93.6</v>
      </c>
      <c r="N767" t="s">
        <v>61</v>
      </c>
      <c r="O767" s="3">
        <v>8</v>
      </c>
      <c r="P767" s="3">
        <v>0</v>
      </c>
      <c r="Q767" s="2">
        <v>101.6</v>
      </c>
      <c r="R767" t="s">
        <v>62</v>
      </c>
      <c r="S767" t="s">
        <v>28</v>
      </c>
      <c r="T767" t="s">
        <v>29</v>
      </c>
      <c r="U767" t="s">
        <v>30</v>
      </c>
    </row>
    <row r="768" spans="1:21" x14ac:dyDescent="0.35">
      <c r="A768" t="s">
        <v>847</v>
      </c>
      <c r="B768" s="1">
        <v>46180</v>
      </c>
      <c r="C768" t="str">
        <f>TEXT(tblData[[#This Row],[Rental Date]],"mmm")</f>
        <v>Jun</v>
      </c>
      <c r="D768" t="str">
        <f>TEXT(tblData[[#This Row],[Rental Date]],"mmmm")</f>
        <v>June</v>
      </c>
      <c r="E768" t="s">
        <v>68</v>
      </c>
      <c r="F768" t="str">
        <f>TEXT(WEEKNUM(tblData[[#This Row],[Rental Date]]),"00")</f>
        <v>24</v>
      </c>
      <c r="G768" s="1">
        <f>EOMONTH(tblData[[#This Row],[Rental Date]],0)</f>
        <v>46203</v>
      </c>
      <c r="H768" t="s">
        <v>749</v>
      </c>
      <c r="I768" t="s">
        <v>48</v>
      </c>
      <c r="J768" t="s">
        <v>78</v>
      </c>
      <c r="K768" t="s">
        <v>92</v>
      </c>
      <c r="L768">
        <v>1</v>
      </c>
      <c r="M768" s="2">
        <v>105.6</v>
      </c>
      <c r="N768" t="s">
        <v>26</v>
      </c>
      <c r="O768" s="3">
        <v>0</v>
      </c>
      <c r="P768" s="3">
        <v>0</v>
      </c>
      <c r="Q768" s="2">
        <v>105.6</v>
      </c>
      <c r="R768" t="s">
        <v>45</v>
      </c>
      <c r="S768" t="s">
        <v>54</v>
      </c>
      <c r="T768" t="s">
        <v>29</v>
      </c>
      <c r="U768" t="s">
        <v>79</v>
      </c>
    </row>
    <row r="769" spans="1:21" x14ac:dyDescent="0.35">
      <c r="A769" t="s">
        <v>848</v>
      </c>
      <c r="B769" s="1">
        <v>46180</v>
      </c>
      <c r="C769" t="str">
        <f>TEXT(tblData[[#This Row],[Rental Date]],"mmm")</f>
        <v>Jun</v>
      </c>
      <c r="D769" t="str">
        <f>TEXT(tblData[[#This Row],[Rental Date]],"mmmm")</f>
        <v>June</v>
      </c>
      <c r="E769" t="s">
        <v>68</v>
      </c>
      <c r="F769" t="str">
        <f>TEXT(WEEKNUM(tblData[[#This Row],[Rental Date]]),"00")</f>
        <v>24</v>
      </c>
      <c r="G769" s="1">
        <f>EOMONTH(tblData[[#This Row],[Rental Date]],0)</f>
        <v>46203</v>
      </c>
      <c r="H769" t="s">
        <v>749</v>
      </c>
      <c r="I769" t="s">
        <v>48</v>
      </c>
      <c r="J769" t="s">
        <v>33</v>
      </c>
      <c r="K769" t="s">
        <v>60</v>
      </c>
      <c r="L769">
        <v>1</v>
      </c>
      <c r="M769" s="2">
        <v>28.8</v>
      </c>
      <c r="N769" t="s">
        <v>26</v>
      </c>
      <c r="O769" s="3">
        <v>0</v>
      </c>
      <c r="P769" s="3">
        <v>0</v>
      </c>
      <c r="Q769" s="2">
        <v>28.8</v>
      </c>
      <c r="R769" t="s">
        <v>76</v>
      </c>
      <c r="S769" t="s">
        <v>28</v>
      </c>
      <c r="T769" t="s">
        <v>63</v>
      </c>
      <c r="U769" t="s">
        <v>30</v>
      </c>
    </row>
    <row r="770" spans="1:21" x14ac:dyDescent="0.35">
      <c r="A770" t="s">
        <v>849</v>
      </c>
      <c r="B770" s="1">
        <v>46180</v>
      </c>
      <c r="C770" t="str">
        <f>TEXT(tblData[[#This Row],[Rental Date]],"mmm")</f>
        <v>Jun</v>
      </c>
      <c r="D770" t="str">
        <f>TEXT(tblData[[#This Row],[Rental Date]],"mmmm")</f>
        <v>June</v>
      </c>
      <c r="E770" t="s">
        <v>68</v>
      </c>
      <c r="F770" t="str">
        <f>TEXT(WEEKNUM(tblData[[#This Row],[Rental Date]]),"00")</f>
        <v>24</v>
      </c>
      <c r="G770" s="1">
        <f>EOMONTH(tblData[[#This Row],[Rental Date]],0)</f>
        <v>46203</v>
      </c>
      <c r="H770" t="s">
        <v>749</v>
      </c>
      <c r="I770" t="s">
        <v>39</v>
      </c>
      <c r="J770" t="s">
        <v>65</v>
      </c>
      <c r="K770" t="s">
        <v>60</v>
      </c>
      <c r="L770">
        <v>1</v>
      </c>
      <c r="M770" s="2">
        <v>14.4</v>
      </c>
      <c r="N770" t="s">
        <v>26</v>
      </c>
      <c r="O770" s="3">
        <v>0</v>
      </c>
      <c r="P770" s="3">
        <v>0</v>
      </c>
      <c r="Q770" s="2">
        <v>14.4</v>
      </c>
      <c r="R770" t="s">
        <v>45</v>
      </c>
      <c r="S770" t="s">
        <v>54</v>
      </c>
      <c r="T770" t="s">
        <v>51</v>
      </c>
      <c r="U770" t="s">
        <v>30</v>
      </c>
    </row>
    <row r="771" spans="1:21" x14ac:dyDescent="0.35">
      <c r="A771" t="s">
        <v>850</v>
      </c>
      <c r="B771" s="1">
        <v>46180</v>
      </c>
      <c r="C771" t="str">
        <f>TEXT(tblData[[#This Row],[Rental Date]],"mmm")</f>
        <v>Jun</v>
      </c>
      <c r="D771" t="str">
        <f>TEXT(tblData[[#This Row],[Rental Date]],"mmmm")</f>
        <v>June</v>
      </c>
      <c r="E771" t="s">
        <v>68</v>
      </c>
      <c r="F771" t="str">
        <f>TEXT(WEEKNUM(tblData[[#This Row],[Rental Date]]),"00")</f>
        <v>24</v>
      </c>
      <c r="G771" s="1">
        <f>EOMONTH(tblData[[#This Row],[Rental Date]],0)</f>
        <v>46203</v>
      </c>
      <c r="H771" t="s">
        <v>749</v>
      </c>
      <c r="I771" t="s">
        <v>48</v>
      </c>
      <c r="J771" t="s">
        <v>86</v>
      </c>
      <c r="K771" t="s">
        <v>25</v>
      </c>
      <c r="L771">
        <v>1</v>
      </c>
      <c r="M771" s="2">
        <v>69.599999999999994</v>
      </c>
      <c r="N771" t="s">
        <v>26</v>
      </c>
      <c r="O771" s="3">
        <v>0</v>
      </c>
      <c r="P771" s="3">
        <v>0</v>
      </c>
      <c r="Q771" s="2">
        <v>69.599999999999994</v>
      </c>
      <c r="R771" t="s">
        <v>66</v>
      </c>
      <c r="S771" t="s">
        <v>28</v>
      </c>
      <c r="T771" t="s">
        <v>51</v>
      </c>
      <c r="U771" t="s">
        <v>30</v>
      </c>
    </row>
    <row r="772" spans="1:21" x14ac:dyDescent="0.35">
      <c r="A772" t="s">
        <v>851</v>
      </c>
      <c r="B772" s="1">
        <v>46180</v>
      </c>
      <c r="C772" t="str">
        <f>TEXT(tblData[[#This Row],[Rental Date]],"mmm")</f>
        <v>Jun</v>
      </c>
      <c r="D772" t="str">
        <f>TEXT(tblData[[#This Row],[Rental Date]],"mmmm")</f>
        <v>June</v>
      </c>
      <c r="E772" t="s">
        <v>68</v>
      </c>
      <c r="F772" t="str">
        <f>TEXT(WEEKNUM(tblData[[#This Row],[Rental Date]]),"00")</f>
        <v>24</v>
      </c>
      <c r="G772" s="1">
        <f>EOMONTH(tblData[[#This Row],[Rental Date]],0)</f>
        <v>46203</v>
      </c>
      <c r="H772" t="s">
        <v>749</v>
      </c>
      <c r="I772" t="s">
        <v>48</v>
      </c>
      <c r="J772" t="s">
        <v>78</v>
      </c>
      <c r="K772" t="s">
        <v>25</v>
      </c>
      <c r="L772">
        <v>1</v>
      </c>
      <c r="M772" s="2">
        <v>50.4</v>
      </c>
      <c r="N772" t="s">
        <v>89</v>
      </c>
      <c r="O772" s="3">
        <v>6</v>
      </c>
      <c r="P772" s="3">
        <v>0</v>
      </c>
      <c r="Q772" s="2">
        <v>56.4</v>
      </c>
      <c r="R772" t="s">
        <v>94</v>
      </c>
      <c r="S772" t="s">
        <v>46</v>
      </c>
      <c r="T772" t="s">
        <v>51</v>
      </c>
      <c r="U772" t="s">
        <v>30</v>
      </c>
    </row>
    <row r="773" spans="1:21" x14ac:dyDescent="0.35">
      <c r="A773" t="s">
        <v>852</v>
      </c>
      <c r="B773" s="1">
        <v>46180</v>
      </c>
      <c r="C773" t="str">
        <f>TEXT(tblData[[#This Row],[Rental Date]],"mmm")</f>
        <v>Jun</v>
      </c>
      <c r="D773" t="str">
        <f>TEXT(tblData[[#This Row],[Rental Date]],"mmmm")</f>
        <v>June</v>
      </c>
      <c r="E773" t="s">
        <v>68</v>
      </c>
      <c r="F773" t="str">
        <f>TEXT(WEEKNUM(tblData[[#This Row],[Rental Date]]),"00")</f>
        <v>24</v>
      </c>
      <c r="G773" s="1">
        <f>EOMONTH(tblData[[#This Row],[Rental Date]],0)</f>
        <v>46203</v>
      </c>
      <c r="H773" t="s">
        <v>749</v>
      </c>
      <c r="I773" t="s">
        <v>48</v>
      </c>
      <c r="J773" t="s">
        <v>44</v>
      </c>
      <c r="K773" t="s">
        <v>25</v>
      </c>
      <c r="L773">
        <v>1</v>
      </c>
      <c r="M773" s="2">
        <v>62.4</v>
      </c>
      <c r="N773" t="s">
        <v>89</v>
      </c>
      <c r="O773" s="3">
        <v>6</v>
      </c>
      <c r="P773" s="3">
        <v>0</v>
      </c>
      <c r="Q773" s="2">
        <v>68.400000000000006</v>
      </c>
      <c r="R773" t="s">
        <v>45</v>
      </c>
      <c r="S773" t="s">
        <v>54</v>
      </c>
      <c r="T773" t="s">
        <v>29</v>
      </c>
      <c r="U773" t="s">
        <v>30</v>
      </c>
    </row>
    <row r="774" spans="1:21" x14ac:dyDescent="0.35">
      <c r="A774" t="s">
        <v>853</v>
      </c>
      <c r="B774" s="1">
        <v>46180</v>
      </c>
      <c r="C774" t="str">
        <f>TEXT(tblData[[#This Row],[Rental Date]],"mmm")</f>
        <v>Jun</v>
      </c>
      <c r="D774" t="str">
        <f>TEXT(tblData[[#This Row],[Rental Date]],"mmmm")</f>
        <v>June</v>
      </c>
      <c r="E774" t="s">
        <v>68</v>
      </c>
      <c r="F774" t="str">
        <f>TEXT(WEEKNUM(tblData[[#This Row],[Rental Date]]),"00")</f>
        <v>24</v>
      </c>
      <c r="G774" s="1">
        <f>EOMONTH(tblData[[#This Row],[Rental Date]],0)</f>
        <v>46203</v>
      </c>
      <c r="H774" t="s">
        <v>749</v>
      </c>
      <c r="I774" t="s">
        <v>39</v>
      </c>
      <c r="J774" t="s">
        <v>78</v>
      </c>
      <c r="K774" t="s">
        <v>40</v>
      </c>
      <c r="L774">
        <v>1</v>
      </c>
      <c r="M774" s="2">
        <v>74.400000000000006</v>
      </c>
      <c r="N774" t="s">
        <v>87</v>
      </c>
      <c r="O774" s="3">
        <v>10</v>
      </c>
      <c r="P774" s="3">
        <v>0</v>
      </c>
      <c r="Q774" s="2">
        <v>84.4</v>
      </c>
      <c r="R774" t="s">
        <v>45</v>
      </c>
      <c r="S774" t="s">
        <v>35</v>
      </c>
      <c r="T774" t="s">
        <v>29</v>
      </c>
      <c r="U774" t="s">
        <v>30</v>
      </c>
    </row>
    <row r="775" spans="1:21" x14ac:dyDescent="0.35">
      <c r="A775" t="s">
        <v>854</v>
      </c>
      <c r="B775" s="1">
        <v>46180</v>
      </c>
      <c r="C775" t="str">
        <f>TEXT(tblData[[#This Row],[Rental Date]],"mmm")</f>
        <v>Jun</v>
      </c>
      <c r="D775" t="str">
        <f>TEXT(tblData[[#This Row],[Rental Date]],"mmmm")</f>
        <v>June</v>
      </c>
      <c r="E775" t="s">
        <v>68</v>
      </c>
      <c r="F775" t="str">
        <f>TEXT(WEEKNUM(tblData[[#This Row],[Rental Date]]),"00")</f>
        <v>24</v>
      </c>
      <c r="G775" s="1">
        <f>EOMONTH(tblData[[#This Row],[Rental Date]],0)</f>
        <v>46203</v>
      </c>
      <c r="H775" t="s">
        <v>749</v>
      </c>
      <c r="I775" t="s">
        <v>39</v>
      </c>
      <c r="J775" t="s">
        <v>44</v>
      </c>
      <c r="K775" t="s">
        <v>25</v>
      </c>
      <c r="L775">
        <v>1</v>
      </c>
      <c r="M775" s="2">
        <v>62.4</v>
      </c>
      <c r="N775" t="s">
        <v>26</v>
      </c>
      <c r="O775" s="3">
        <v>0</v>
      </c>
      <c r="P775" s="3">
        <v>0</v>
      </c>
      <c r="Q775" s="2">
        <v>62.4</v>
      </c>
      <c r="R775" t="s">
        <v>76</v>
      </c>
      <c r="S775" t="s">
        <v>35</v>
      </c>
      <c r="T775" t="s">
        <v>51</v>
      </c>
      <c r="U775" t="s">
        <v>30</v>
      </c>
    </row>
    <row r="776" spans="1:21" x14ac:dyDescent="0.35">
      <c r="A776" t="s">
        <v>855</v>
      </c>
      <c r="B776" s="1">
        <v>46180</v>
      </c>
      <c r="C776" t="str">
        <f>TEXT(tblData[[#This Row],[Rental Date]],"mmm")</f>
        <v>Jun</v>
      </c>
      <c r="D776" t="str">
        <f>TEXT(tblData[[#This Row],[Rental Date]],"mmmm")</f>
        <v>June</v>
      </c>
      <c r="E776" t="s">
        <v>68</v>
      </c>
      <c r="F776" t="str">
        <f>TEXT(WEEKNUM(tblData[[#This Row],[Rental Date]]),"00")</f>
        <v>24</v>
      </c>
      <c r="G776" s="1">
        <f>EOMONTH(tblData[[#This Row],[Rental Date]],0)</f>
        <v>46203</v>
      </c>
      <c r="H776" t="s">
        <v>749</v>
      </c>
      <c r="I776" t="s">
        <v>48</v>
      </c>
      <c r="J776" t="s">
        <v>49</v>
      </c>
      <c r="K776" t="s">
        <v>92</v>
      </c>
      <c r="L776">
        <v>1</v>
      </c>
      <c r="M776" s="2">
        <v>91.2</v>
      </c>
      <c r="N776" t="s">
        <v>87</v>
      </c>
      <c r="O776" s="3">
        <v>10</v>
      </c>
      <c r="P776" s="3">
        <v>0</v>
      </c>
      <c r="Q776" s="2">
        <v>101.2</v>
      </c>
      <c r="R776" t="s">
        <v>57</v>
      </c>
      <c r="S776" t="s">
        <v>28</v>
      </c>
      <c r="T776" t="s">
        <v>63</v>
      </c>
      <c r="U776" t="s">
        <v>79</v>
      </c>
    </row>
    <row r="777" spans="1:21" x14ac:dyDescent="0.35">
      <c r="A777" t="s">
        <v>856</v>
      </c>
      <c r="B777" s="1">
        <v>46180</v>
      </c>
      <c r="C777" t="str">
        <f>TEXT(tblData[[#This Row],[Rental Date]],"mmm")</f>
        <v>Jun</v>
      </c>
      <c r="D777" t="str">
        <f>TEXT(tblData[[#This Row],[Rental Date]],"mmmm")</f>
        <v>June</v>
      </c>
      <c r="E777" t="s">
        <v>68</v>
      </c>
      <c r="F777" t="str">
        <f>TEXT(WEEKNUM(tblData[[#This Row],[Rental Date]]),"00")</f>
        <v>24</v>
      </c>
      <c r="G777" s="1">
        <f>EOMONTH(tblData[[#This Row],[Rental Date]],0)</f>
        <v>46203</v>
      </c>
      <c r="H777" t="s">
        <v>749</v>
      </c>
      <c r="I777" t="s">
        <v>48</v>
      </c>
      <c r="J777" t="s">
        <v>138</v>
      </c>
      <c r="K777" t="s">
        <v>25</v>
      </c>
      <c r="L777">
        <v>1</v>
      </c>
      <c r="M777" s="2">
        <v>57.6</v>
      </c>
      <c r="N777" t="s">
        <v>26</v>
      </c>
      <c r="O777" s="3">
        <v>0</v>
      </c>
      <c r="P777" s="3">
        <v>0</v>
      </c>
      <c r="Q777" s="2">
        <v>57.6</v>
      </c>
      <c r="R777" t="s">
        <v>27</v>
      </c>
      <c r="S777" t="s">
        <v>50</v>
      </c>
      <c r="T777" t="s">
        <v>29</v>
      </c>
      <c r="U777" t="s">
        <v>30</v>
      </c>
    </row>
    <row r="778" spans="1:21" x14ac:dyDescent="0.35">
      <c r="A778" t="s">
        <v>857</v>
      </c>
      <c r="B778" s="1">
        <v>46180</v>
      </c>
      <c r="C778" t="str">
        <f>TEXT(tblData[[#This Row],[Rental Date]],"mmm")</f>
        <v>Jun</v>
      </c>
      <c r="D778" t="str">
        <f>TEXT(tblData[[#This Row],[Rental Date]],"mmmm")</f>
        <v>June</v>
      </c>
      <c r="E778" t="s">
        <v>68</v>
      </c>
      <c r="F778" t="str">
        <f>TEXT(WEEKNUM(tblData[[#This Row],[Rental Date]]),"00")</f>
        <v>24</v>
      </c>
      <c r="G778" s="1">
        <f>EOMONTH(tblData[[#This Row],[Rental Date]],0)</f>
        <v>46203</v>
      </c>
      <c r="H778" t="s">
        <v>749</v>
      </c>
      <c r="I778" t="s">
        <v>39</v>
      </c>
      <c r="J778" t="s">
        <v>78</v>
      </c>
      <c r="K778" t="s">
        <v>40</v>
      </c>
      <c r="L778">
        <v>1</v>
      </c>
      <c r="M778" s="2">
        <v>74.400000000000006</v>
      </c>
      <c r="N778" t="s">
        <v>26</v>
      </c>
      <c r="O778" s="3">
        <v>0</v>
      </c>
      <c r="P778" s="3">
        <v>0</v>
      </c>
      <c r="Q778" s="2">
        <v>74.400000000000006</v>
      </c>
      <c r="R778" t="s">
        <v>94</v>
      </c>
      <c r="S778" t="s">
        <v>46</v>
      </c>
      <c r="T778" t="s">
        <v>63</v>
      </c>
      <c r="U778" t="s">
        <v>58</v>
      </c>
    </row>
    <row r="779" spans="1:21" x14ac:dyDescent="0.35">
      <c r="A779" t="s">
        <v>858</v>
      </c>
      <c r="B779" s="1">
        <v>46181</v>
      </c>
      <c r="C779" t="str">
        <f>TEXT(tblData[[#This Row],[Rental Date]],"mmm")</f>
        <v>Jun</v>
      </c>
      <c r="D779" t="str">
        <f>TEXT(tblData[[#This Row],[Rental Date]],"mmmm")</f>
        <v>June</v>
      </c>
      <c r="E779" t="s">
        <v>74</v>
      </c>
      <c r="F779" t="str">
        <f>TEXT(WEEKNUM(tblData[[#This Row],[Rental Date]]),"00")</f>
        <v>24</v>
      </c>
      <c r="G779" s="1">
        <f>EOMONTH(tblData[[#This Row],[Rental Date]],0)</f>
        <v>46203</v>
      </c>
      <c r="H779" t="s">
        <v>749</v>
      </c>
      <c r="I779" t="s">
        <v>23</v>
      </c>
      <c r="J779" t="s">
        <v>49</v>
      </c>
      <c r="K779" t="s">
        <v>40</v>
      </c>
      <c r="L779">
        <v>1</v>
      </c>
      <c r="M779" s="2">
        <v>60.48</v>
      </c>
      <c r="N779" t="s">
        <v>87</v>
      </c>
      <c r="O779" s="3">
        <v>10</v>
      </c>
      <c r="P779" s="3">
        <v>0</v>
      </c>
      <c r="Q779" s="2">
        <v>70.48</v>
      </c>
      <c r="R779" t="s">
        <v>42</v>
      </c>
      <c r="S779" t="s">
        <v>35</v>
      </c>
      <c r="T779" t="s">
        <v>29</v>
      </c>
      <c r="U779" t="s">
        <v>58</v>
      </c>
    </row>
    <row r="780" spans="1:21" x14ac:dyDescent="0.35">
      <c r="A780" t="s">
        <v>859</v>
      </c>
      <c r="B780" s="1">
        <v>46181</v>
      </c>
      <c r="C780" t="str">
        <f>TEXT(tblData[[#This Row],[Rental Date]],"mmm")</f>
        <v>Jun</v>
      </c>
      <c r="D780" t="str">
        <f>TEXT(tblData[[#This Row],[Rental Date]],"mmmm")</f>
        <v>June</v>
      </c>
      <c r="E780" t="s">
        <v>74</v>
      </c>
      <c r="F780" t="str">
        <f>TEXT(WEEKNUM(tblData[[#This Row],[Rental Date]]),"00")</f>
        <v>24</v>
      </c>
      <c r="G780" s="1">
        <f>EOMONTH(tblData[[#This Row],[Rental Date]],0)</f>
        <v>46203</v>
      </c>
      <c r="H780" t="s">
        <v>749</v>
      </c>
      <c r="I780" t="s">
        <v>23</v>
      </c>
      <c r="J780" t="s">
        <v>111</v>
      </c>
      <c r="K780" t="s">
        <v>60</v>
      </c>
      <c r="L780">
        <v>1</v>
      </c>
      <c r="M780" s="2">
        <v>15.68</v>
      </c>
      <c r="N780" t="s">
        <v>89</v>
      </c>
      <c r="O780" s="3">
        <v>6</v>
      </c>
      <c r="P780" s="3">
        <v>0</v>
      </c>
      <c r="Q780" s="2">
        <v>21.68</v>
      </c>
      <c r="R780" t="s">
        <v>45</v>
      </c>
      <c r="S780" t="s">
        <v>35</v>
      </c>
      <c r="T780" t="s">
        <v>90</v>
      </c>
      <c r="U780" t="s">
        <v>30</v>
      </c>
    </row>
    <row r="781" spans="1:21" x14ac:dyDescent="0.35">
      <c r="A781" t="s">
        <v>860</v>
      </c>
      <c r="B781" s="1">
        <v>46181</v>
      </c>
      <c r="C781" t="str">
        <f>TEXT(tblData[[#This Row],[Rental Date]],"mmm")</f>
        <v>Jun</v>
      </c>
      <c r="D781" t="str">
        <f>TEXT(tblData[[#This Row],[Rental Date]],"mmmm")</f>
        <v>June</v>
      </c>
      <c r="E781" t="s">
        <v>74</v>
      </c>
      <c r="F781" t="str">
        <f>TEXT(WEEKNUM(tblData[[#This Row],[Rental Date]]),"00")</f>
        <v>24</v>
      </c>
      <c r="G781" s="1">
        <f>EOMONTH(tblData[[#This Row],[Rental Date]],0)</f>
        <v>46203</v>
      </c>
      <c r="H781" t="s">
        <v>749</v>
      </c>
      <c r="I781" t="s">
        <v>23</v>
      </c>
      <c r="J781" t="s">
        <v>111</v>
      </c>
      <c r="K781" t="s">
        <v>25</v>
      </c>
      <c r="L781">
        <v>1</v>
      </c>
      <c r="M781" s="2">
        <v>24.64</v>
      </c>
      <c r="N781" t="s">
        <v>26</v>
      </c>
      <c r="O781" s="3">
        <v>0</v>
      </c>
      <c r="P781" s="3">
        <v>0</v>
      </c>
      <c r="Q781" s="2">
        <v>24.64</v>
      </c>
      <c r="R781" t="s">
        <v>94</v>
      </c>
      <c r="S781" t="s">
        <v>35</v>
      </c>
      <c r="T781" t="s">
        <v>29</v>
      </c>
      <c r="U781" t="s">
        <v>30</v>
      </c>
    </row>
    <row r="782" spans="1:21" x14ac:dyDescent="0.35">
      <c r="A782" t="s">
        <v>861</v>
      </c>
      <c r="B782" s="1">
        <v>46181</v>
      </c>
      <c r="C782" t="str">
        <f>TEXT(tblData[[#This Row],[Rental Date]],"mmm")</f>
        <v>Jun</v>
      </c>
      <c r="D782" t="str">
        <f>TEXT(tblData[[#This Row],[Rental Date]],"mmmm")</f>
        <v>June</v>
      </c>
      <c r="E782" t="s">
        <v>74</v>
      </c>
      <c r="F782" t="str">
        <f>TEXT(WEEKNUM(tblData[[#This Row],[Rental Date]]),"00")</f>
        <v>24</v>
      </c>
      <c r="G782" s="1">
        <f>EOMONTH(tblData[[#This Row],[Rental Date]],0)</f>
        <v>46203</v>
      </c>
      <c r="H782" t="s">
        <v>749</v>
      </c>
      <c r="I782" t="s">
        <v>48</v>
      </c>
      <c r="J782" t="s">
        <v>78</v>
      </c>
      <c r="K782" t="s">
        <v>25</v>
      </c>
      <c r="L782">
        <v>1</v>
      </c>
      <c r="M782" s="2">
        <v>47.04</v>
      </c>
      <c r="N782" t="s">
        <v>41</v>
      </c>
      <c r="O782" s="3">
        <v>5</v>
      </c>
      <c r="P782" s="3">
        <v>0</v>
      </c>
      <c r="Q782" s="2">
        <v>52.04</v>
      </c>
      <c r="R782" t="s">
        <v>42</v>
      </c>
      <c r="S782" t="s">
        <v>28</v>
      </c>
      <c r="T782" t="s">
        <v>90</v>
      </c>
      <c r="U782" t="s">
        <v>30</v>
      </c>
    </row>
    <row r="783" spans="1:21" x14ac:dyDescent="0.35">
      <c r="A783" t="s">
        <v>862</v>
      </c>
      <c r="B783" s="1">
        <v>46181</v>
      </c>
      <c r="C783" t="str">
        <f>TEXT(tblData[[#This Row],[Rental Date]],"mmm")</f>
        <v>Jun</v>
      </c>
      <c r="D783" t="str">
        <f>TEXT(tblData[[#This Row],[Rental Date]],"mmmm")</f>
        <v>June</v>
      </c>
      <c r="E783" t="s">
        <v>74</v>
      </c>
      <c r="F783" t="str">
        <f>TEXT(WEEKNUM(tblData[[#This Row],[Rental Date]]),"00")</f>
        <v>24</v>
      </c>
      <c r="G783" s="1">
        <f>EOMONTH(tblData[[#This Row],[Rental Date]],0)</f>
        <v>46203</v>
      </c>
      <c r="H783" t="s">
        <v>749</v>
      </c>
      <c r="I783" t="s">
        <v>53</v>
      </c>
      <c r="J783" t="s">
        <v>65</v>
      </c>
      <c r="K783" t="s">
        <v>60</v>
      </c>
      <c r="L783">
        <v>1</v>
      </c>
      <c r="M783" s="2">
        <v>13.44</v>
      </c>
      <c r="N783" t="s">
        <v>26</v>
      </c>
      <c r="O783" s="3">
        <v>0</v>
      </c>
      <c r="P783" s="3">
        <v>1.34</v>
      </c>
      <c r="Q783" s="2">
        <v>12.1</v>
      </c>
      <c r="R783" t="s">
        <v>94</v>
      </c>
      <c r="S783" t="s">
        <v>50</v>
      </c>
      <c r="T783" t="s">
        <v>29</v>
      </c>
      <c r="U783" t="s">
        <v>30</v>
      </c>
    </row>
    <row r="784" spans="1:21" x14ac:dyDescent="0.35">
      <c r="A784" t="s">
        <v>863</v>
      </c>
      <c r="B784" s="1">
        <v>46181</v>
      </c>
      <c r="C784" t="str">
        <f>TEXT(tblData[[#This Row],[Rental Date]],"mmm")</f>
        <v>Jun</v>
      </c>
      <c r="D784" t="str">
        <f>TEXT(tblData[[#This Row],[Rental Date]],"mmmm")</f>
        <v>June</v>
      </c>
      <c r="E784" t="s">
        <v>74</v>
      </c>
      <c r="F784" t="str">
        <f>TEXT(WEEKNUM(tblData[[#This Row],[Rental Date]]),"00")</f>
        <v>24</v>
      </c>
      <c r="G784" s="1">
        <f>EOMONTH(tblData[[#This Row],[Rental Date]],0)</f>
        <v>46203</v>
      </c>
      <c r="H784" t="s">
        <v>749</v>
      </c>
      <c r="I784" t="s">
        <v>23</v>
      </c>
      <c r="J784" t="s">
        <v>111</v>
      </c>
      <c r="K784" t="s">
        <v>25</v>
      </c>
      <c r="L784">
        <v>1</v>
      </c>
      <c r="M784" s="2">
        <v>24.64</v>
      </c>
      <c r="N784" t="s">
        <v>26</v>
      </c>
      <c r="O784" s="3">
        <v>0</v>
      </c>
      <c r="P784" s="3">
        <v>0</v>
      </c>
      <c r="Q784" s="2">
        <v>24.64</v>
      </c>
      <c r="R784" t="s">
        <v>71</v>
      </c>
      <c r="S784" t="s">
        <v>28</v>
      </c>
      <c r="T784" t="s">
        <v>63</v>
      </c>
      <c r="U784" t="s">
        <v>30</v>
      </c>
    </row>
    <row r="785" spans="1:21" x14ac:dyDescent="0.35">
      <c r="A785" t="s">
        <v>864</v>
      </c>
      <c r="B785" s="1">
        <v>46181</v>
      </c>
      <c r="C785" t="str">
        <f>TEXT(tblData[[#This Row],[Rental Date]],"mmm")</f>
        <v>Jun</v>
      </c>
      <c r="D785" t="str">
        <f>TEXT(tblData[[#This Row],[Rental Date]],"mmmm")</f>
        <v>June</v>
      </c>
      <c r="E785" t="s">
        <v>74</v>
      </c>
      <c r="F785" t="str">
        <f>TEXT(WEEKNUM(tblData[[#This Row],[Rental Date]]),"00")</f>
        <v>24</v>
      </c>
      <c r="G785" s="1">
        <f>EOMONTH(tblData[[#This Row],[Rental Date]],0)</f>
        <v>46203</v>
      </c>
      <c r="H785" t="s">
        <v>749</v>
      </c>
      <c r="I785" t="s">
        <v>23</v>
      </c>
      <c r="J785" t="s">
        <v>24</v>
      </c>
      <c r="K785" t="s">
        <v>60</v>
      </c>
      <c r="L785">
        <v>1</v>
      </c>
      <c r="M785" s="2">
        <v>35.840000000000003</v>
      </c>
      <c r="N785" t="s">
        <v>89</v>
      </c>
      <c r="O785" s="3">
        <v>6</v>
      </c>
      <c r="P785" s="3">
        <v>0</v>
      </c>
      <c r="Q785" s="2">
        <v>41.84</v>
      </c>
      <c r="R785" t="s">
        <v>34</v>
      </c>
      <c r="S785" t="s">
        <v>46</v>
      </c>
      <c r="T785" t="s">
        <v>51</v>
      </c>
      <c r="U785" t="s">
        <v>79</v>
      </c>
    </row>
    <row r="786" spans="1:21" x14ac:dyDescent="0.35">
      <c r="A786" t="s">
        <v>865</v>
      </c>
      <c r="B786" s="1">
        <v>46181</v>
      </c>
      <c r="C786" t="str">
        <f>TEXT(tblData[[#This Row],[Rental Date]],"mmm")</f>
        <v>Jun</v>
      </c>
      <c r="D786" t="str">
        <f>TEXT(tblData[[#This Row],[Rental Date]],"mmmm")</f>
        <v>June</v>
      </c>
      <c r="E786" t="s">
        <v>74</v>
      </c>
      <c r="F786" t="str">
        <f>TEXT(WEEKNUM(tblData[[#This Row],[Rental Date]]),"00")</f>
        <v>24</v>
      </c>
      <c r="G786" s="1">
        <f>EOMONTH(tblData[[#This Row],[Rental Date]],0)</f>
        <v>46203</v>
      </c>
      <c r="H786" t="s">
        <v>749</v>
      </c>
      <c r="I786" t="s">
        <v>48</v>
      </c>
      <c r="J786" t="s">
        <v>65</v>
      </c>
      <c r="K786" t="s">
        <v>25</v>
      </c>
      <c r="L786">
        <v>1</v>
      </c>
      <c r="M786" s="2">
        <v>20.16</v>
      </c>
      <c r="N786" t="s">
        <v>26</v>
      </c>
      <c r="O786" s="3">
        <v>0</v>
      </c>
      <c r="P786" s="3">
        <v>0</v>
      </c>
      <c r="Q786" s="2">
        <v>20.16</v>
      </c>
      <c r="R786" t="s">
        <v>94</v>
      </c>
      <c r="S786" t="s">
        <v>50</v>
      </c>
      <c r="T786" t="s">
        <v>63</v>
      </c>
      <c r="U786" t="s">
        <v>30</v>
      </c>
    </row>
    <row r="787" spans="1:21" x14ac:dyDescent="0.35">
      <c r="A787" t="s">
        <v>866</v>
      </c>
      <c r="B787" s="1">
        <v>46181</v>
      </c>
      <c r="C787" t="str">
        <f>TEXT(tblData[[#This Row],[Rental Date]],"mmm")</f>
        <v>Jun</v>
      </c>
      <c r="D787" t="str">
        <f>TEXT(tblData[[#This Row],[Rental Date]],"mmmm")</f>
        <v>June</v>
      </c>
      <c r="E787" t="s">
        <v>74</v>
      </c>
      <c r="F787" t="str">
        <f>TEXT(WEEKNUM(tblData[[#This Row],[Rental Date]]),"00")</f>
        <v>24</v>
      </c>
      <c r="G787" s="1">
        <f>EOMONTH(tblData[[#This Row],[Rental Date]],0)</f>
        <v>46203</v>
      </c>
      <c r="H787" t="s">
        <v>749</v>
      </c>
      <c r="I787" t="s">
        <v>48</v>
      </c>
      <c r="J787" t="s">
        <v>33</v>
      </c>
      <c r="K787" t="s">
        <v>40</v>
      </c>
      <c r="L787">
        <v>1</v>
      </c>
      <c r="M787" s="2">
        <v>64.959999999999994</v>
      </c>
      <c r="N787" t="s">
        <v>41</v>
      </c>
      <c r="O787" s="3">
        <v>5</v>
      </c>
      <c r="P787" s="3">
        <v>0</v>
      </c>
      <c r="Q787" s="2">
        <v>69.959999999999994</v>
      </c>
      <c r="R787" t="s">
        <v>76</v>
      </c>
      <c r="S787" t="s">
        <v>28</v>
      </c>
      <c r="T787" t="s">
        <v>63</v>
      </c>
      <c r="U787" t="s">
        <v>36</v>
      </c>
    </row>
    <row r="788" spans="1:21" x14ac:dyDescent="0.35">
      <c r="A788" t="s">
        <v>867</v>
      </c>
      <c r="B788" s="1">
        <v>46181</v>
      </c>
      <c r="C788" t="str">
        <f>TEXT(tblData[[#This Row],[Rental Date]],"mmm")</f>
        <v>Jun</v>
      </c>
      <c r="D788" t="str">
        <f>TEXT(tblData[[#This Row],[Rental Date]],"mmmm")</f>
        <v>June</v>
      </c>
      <c r="E788" t="s">
        <v>74</v>
      </c>
      <c r="F788" t="str">
        <f>TEXT(WEEKNUM(tblData[[#This Row],[Rental Date]]),"00")</f>
        <v>24</v>
      </c>
      <c r="G788" s="1">
        <f>EOMONTH(tblData[[#This Row],[Rental Date]],0)</f>
        <v>46203</v>
      </c>
      <c r="H788" t="s">
        <v>749</v>
      </c>
      <c r="I788" t="s">
        <v>48</v>
      </c>
      <c r="J788" t="s">
        <v>138</v>
      </c>
      <c r="K788" t="s">
        <v>40</v>
      </c>
      <c r="L788">
        <v>1</v>
      </c>
      <c r="M788" s="2">
        <v>80.64</v>
      </c>
      <c r="N788" t="s">
        <v>87</v>
      </c>
      <c r="O788" s="3">
        <v>10</v>
      </c>
      <c r="P788" s="3">
        <v>0</v>
      </c>
      <c r="Q788" s="2">
        <v>90.64</v>
      </c>
      <c r="R788" t="s">
        <v>27</v>
      </c>
      <c r="S788" t="s">
        <v>54</v>
      </c>
      <c r="T788" t="s">
        <v>90</v>
      </c>
      <c r="U788" t="s">
        <v>30</v>
      </c>
    </row>
    <row r="789" spans="1:21" x14ac:dyDescent="0.35">
      <c r="A789" t="s">
        <v>868</v>
      </c>
      <c r="B789" s="1">
        <v>46181</v>
      </c>
      <c r="C789" t="str">
        <f>TEXT(tblData[[#This Row],[Rental Date]],"mmm")</f>
        <v>Jun</v>
      </c>
      <c r="D789" t="str">
        <f>TEXT(tblData[[#This Row],[Rental Date]],"mmmm")</f>
        <v>June</v>
      </c>
      <c r="E789" t="s">
        <v>74</v>
      </c>
      <c r="F789" t="str">
        <f>TEXT(WEEKNUM(tblData[[#This Row],[Rental Date]]),"00")</f>
        <v>24</v>
      </c>
      <c r="G789" s="1">
        <f>EOMONTH(tblData[[#This Row],[Rental Date]],0)</f>
        <v>46203</v>
      </c>
      <c r="H789" t="s">
        <v>749</v>
      </c>
      <c r="I789" t="s">
        <v>23</v>
      </c>
      <c r="J789" t="s">
        <v>44</v>
      </c>
      <c r="K789" t="s">
        <v>60</v>
      </c>
      <c r="L789">
        <v>1</v>
      </c>
      <c r="M789" s="2">
        <v>38.08</v>
      </c>
      <c r="N789" t="s">
        <v>26</v>
      </c>
      <c r="O789" s="3">
        <v>0</v>
      </c>
      <c r="P789" s="3">
        <v>0</v>
      </c>
      <c r="Q789" s="2">
        <v>38.08</v>
      </c>
      <c r="R789" t="s">
        <v>76</v>
      </c>
      <c r="S789" t="s">
        <v>35</v>
      </c>
      <c r="T789" t="s">
        <v>90</v>
      </c>
      <c r="U789" t="s">
        <v>30</v>
      </c>
    </row>
    <row r="790" spans="1:21" x14ac:dyDescent="0.35">
      <c r="A790" t="s">
        <v>869</v>
      </c>
      <c r="B790" s="1">
        <v>46181</v>
      </c>
      <c r="C790" t="str">
        <f>TEXT(tblData[[#This Row],[Rental Date]],"mmm")</f>
        <v>Jun</v>
      </c>
      <c r="D790" t="str">
        <f>TEXT(tblData[[#This Row],[Rental Date]],"mmmm")</f>
        <v>June</v>
      </c>
      <c r="E790" t="s">
        <v>74</v>
      </c>
      <c r="F790" t="str">
        <f>TEXT(WEEKNUM(tblData[[#This Row],[Rental Date]]),"00")</f>
        <v>24</v>
      </c>
      <c r="G790" s="1">
        <f>EOMONTH(tblData[[#This Row],[Rental Date]],0)</f>
        <v>46203</v>
      </c>
      <c r="H790" t="s">
        <v>749</v>
      </c>
      <c r="I790" t="s">
        <v>53</v>
      </c>
      <c r="J790" t="s">
        <v>111</v>
      </c>
      <c r="K790" t="s">
        <v>25</v>
      </c>
      <c r="L790">
        <v>1</v>
      </c>
      <c r="M790" s="2">
        <v>24.64</v>
      </c>
      <c r="N790" t="s">
        <v>89</v>
      </c>
      <c r="O790" s="3">
        <v>6</v>
      </c>
      <c r="P790" s="3">
        <v>3.06</v>
      </c>
      <c r="Q790" s="2">
        <v>27.58</v>
      </c>
      <c r="R790" t="s">
        <v>57</v>
      </c>
      <c r="S790" t="s">
        <v>54</v>
      </c>
      <c r="T790" t="s">
        <v>29</v>
      </c>
      <c r="U790" t="s">
        <v>30</v>
      </c>
    </row>
    <row r="791" spans="1:21" x14ac:dyDescent="0.35">
      <c r="A791" t="s">
        <v>870</v>
      </c>
      <c r="B791" s="1">
        <v>46181</v>
      </c>
      <c r="C791" t="str">
        <f>TEXT(tblData[[#This Row],[Rental Date]],"mmm")</f>
        <v>Jun</v>
      </c>
      <c r="D791" t="str">
        <f>TEXT(tblData[[#This Row],[Rental Date]],"mmmm")</f>
        <v>June</v>
      </c>
      <c r="E791" t="s">
        <v>74</v>
      </c>
      <c r="F791" t="str">
        <f>TEXT(WEEKNUM(tblData[[#This Row],[Rental Date]]),"00")</f>
        <v>24</v>
      </c>
      <c r="G791" s="1">
        <f>EOMONTH(tblData[[#This Row],[Rental Date]],0)</f>
        <v>46203</v>
      </c>
      <c r="H791" t="s">
        <v>749</v>
      </c>
      <c r="I791" t="s">
        <v>23</v>
      </c>
      <c r="J791" t="s">
        <v>44</v>
      </c>
      <c r="K791" t="s">
        <v>60</v>
      </c>
      <c r="L791">
        <v>1</v>
      </c>
      <c r="M791" s="2">
        <v>38.08</v>
      </c>
      <c r="N791" t="s">
        <v>61</v>
      </c>
      <c r="O791" s="3">
        <v>8</v>
      </c>
      <c r="P791" s="3">
        <v>0</v>
      </c>
      <c r="Q791" s="2">
        <v>46.08</v>
      </c>
      <c r="R791" t="s">
        <v>34</v>
      </c>
      <c r="S791" t="s">
        <v>35</v>
      </c>
      <c r="T791" t="s">
        <v>29</v>
      </c>
      <c r="U791" t="s">
        <v>58</v>
      </c>
    </row>
    <row r="792" spans="1:21" x14ac:dyDescent="0.35">
      <c r="A792" t="s">
        <v>871</v>
      </c>
      <c r="B792" s="1">
        <v>46181</v>
      </c>
      <c r="C792" t="str">
        <f>TEXT(tblData[[#This Row],[Rental Date]],"mmm")</f>
        <v>Jun</v>
      </c>
      <c r="D792" t="str">
        <f>TEXT(tblData[[#This Row],[Rental Date]],"mmmm")</f>
        <v>June</v>
      </c>
      <c r="E792" t="s">
        <v>74</v>
      </c>
      <c r="F792" t="str">
        <f>TEXT(WEEKNUM(tblData[[#This Row],[Rental Date]]),"00")</f>
        <v>24</v>
      </c>
      <c r="G792" s="1">
        <f>EOMONTH(tblData[[#This Row],[Rental Date]],0)</f>
        <v>46203</v>
      </c>
      <c r="H792" t="s">
        <v>749</v>
      </c>
      <c r="I792" t="s">
        <v>39</v>
      </c>
      <c r="J792" t="s">
        <v>24</v>
      </c>
      <c r="K792" t="s">
        <v>25</v>
      </c>
      <c r="L792">
        <v>1</v>
      </c>
      <c r="M792" s="2">
        <v>56</v>
      </c>
      <c r="N792" t="s">
        <v>89</v>
      </c>
      <c r="O792" s="3">
        <v>6</v>
      </c>
      <c r="P792" s="3">
        <v>0</v>
      </c>
      <c r="Q792" s="2">
        <v>62</v>
      </c>
      <c r="R792" t="s">
        <v>57</v>
      </c>
      <c r="S792" t="s">
        <v>50</v>
      </c>
      <c r="T792" t="s">
        <v>51</v>
      </c>
      <c r="U792" t="s">
        <v>58</v>
      </c>
    </row>
    <row r="793" spans="1:21" x14ac:dyDescent="0.35">
      <c r="A793" t="s">
        <v>872</v>
      </c>
      <c r="B793" s="1">
        <v>46181</v>
      </c>
      <c r="C793" t="str">
        <f>TEXT(tblData[[#This Row],[Rental Date]],"mmm")</f>
        <v>Jun</v>
      </c>
      <c r="D793" t="str">
        <f>TEXT(tblData[[#This Row],[Rental Date]],"mmmm")</f>
        <v>June</v>
      </c>
      <c r="E793" t="s">
        <v>74</v>
      </c>
      <c r="F793" t="str">
        <f>TEXT(WEEKNUM(tblData[[#This Row],[Rental Date]]),"00")</f>
        <v>24</v>
      </c>
      <c r="G793" s="1">
        <f>EOMONTH(tblData[[#This Row],[Rental Date]],0)</f>
        <v>46203</v>
      </c>
      <c r="H793" t="s">
        <v>749</v>
      </c>
      <c r="I793" t="s">
        <v>39</v>
      </c>
      <c r="J793" t="s">
        <v>49</v>
      </c>
      <c r="K793" t="s">
        <v>25</v>
      </c>
      <c r="L793">
        <v>1</v>
      </c>
      <c r="M793" s="2">
        <v>40.32</v>
      </c>
      <c r="N793" t="s">
        <v>89</v>
      </c>
      <c r="O793" s="3">
        <v>6</v>
      </c>
      <c r="P793" s="3">
        <v>0</v>
      </c>
      <c r="Q793" s="2">
        <v>46.32</v>
      </c>
      <c r="R793" t="s">
        <v>57</v>
      </c>
      <c r="S793" t="s">
        <v>35</v>
      </c>
      <c r="T793" t="s">
        <v>29</v>
      </c>
      <c r="U793" t="s">
        <v>30</v>
      </c>
    </row>
    <row r="794" spans="1:21" x14ac:dyDescent="0.35">
      <c r="A794" t="s">
        <v>873</v>
      </c>
      <c r="B794" s="1">
        <v>46182</v>
      </c>
      <c r="C794" t="str">
        <f>TEXT(tblData[[#This Row],[Rental Date]],"mmm")</f>
        <v>Jun</v>
      </c>
      <c r="D794" t="str">
        <f>TEXT(tblData[[#This Row],[Rental Date]],"mmmm")</f>
        <v>June</v>
      </c>
      <c r="E794" t="s">
        <v>102</v>
      </c>
      <c r="F794" t="str">
        <f>TEXT(WEEKNUM(tblData[[#This Row],[Rental Date]]),"00")</f>
        <v>24</v>
      </c>
      <c r="G794" s="1">
        <f>EOMONTH(tblData[[#This Row],[Rental Date]],0)</f>
        <v>46203</v>
      </c>
      <c r="H794" t="s">
        <v>749</v>
      </c>
      <c r="I794" t="s">
        <v>48</v>
      </c>
      <c r="J794" t="s">
        <v>86</v>
      </c>
      <c r="K794" t="s">
        <v>25</v>
      </c>
      <c r="L794">
        <v>1</v>
      </c>
      <c r="M794" s="2">
        <v>64.959999999999994</v>
      </c>
      <c r="N794" t="s">
        <v>89</v>
      </c>
      <c r="O794" s="3">
        <v>6</v>
      </c>
      <c r="P794" s="3">
        <v>0</v>
      </c>
      <c r="Q794" s="2">
        <v>70.959999999999994</v>
      </c>
      <c r="R794" t="s">
        <v>42</v>
      </c>
      <c r="S794" t="s">
        <v>35</v>
      </c>
      <c r="T794" t="s">
        <v>51</v>
      </c>
      <c r="U794" t="s">
        <v>30</v>
      </c>
    </row>
    <row r="795" spans="1:21" x14ac:dyDescent="0.35">
      <c r="A795" t="s">
        <v>874</v>
      </c>
      <c r="B795" s="1">
        <v>46182</v>
      </c>
      <c r="C795" t="str">
        <f>TEXT(tblData[[#This Row],[Rental Date]],"mmm")</f>
        <v>Jun</v>
      </c>
      <c r="D795" t="str">
        <f>TEXT(tblData[[#This Row],[Rental Date]],"mmmm")</f>
        <v>June</v>
      </c>
      <c r="E795" t="s">
        <v>102</v>
      </c>
      <c r="F795" t="str">
        <f>TEXT(WEEKNUM(tblData[[#This Row],[Rental Date]]),"00")</f>
        <v>24</v>
      </c>
      <c r="G795" s="1">
        <f>EOMONTH(tblData[[#This Row],[Rental Date]],0)</f>
        <v>46203</v>
      </c>
      <c r="H795" t="s">
        <v>749</v>
      </c>
      <c r="I795" t="s">
        <v>32</v>
      </c>
      <c r="J795" t="s">
        <v>44</v>
      </c>
      <c r="K795" t="s">
        <v>92</v>
      </c>
      <c r="L795">
        <v>1</v>
      </c>
      <c r="M795" s="2">
        <v>125.44</v>
      </c>
      <c r="N795" t="s">
        <v>26</v>
      </c>
      <c r="O795" s="3">
        <v>0</v>
      </c>
      <c r="P795" s="3">
        <v>12.54</v>
      </c>
      <c r="Q795" s="2">
        <v>112.9</v>
      </c>
      <c r="R795" t="s">
        <v>94</v>
      </c>
      <c r="S795" t="s">
        <v>46</v>
      </c>
      <c r="T795" t="s">
        <v>90</v>
      </c>
      <c r="U795" t="s">
        <v>30</v>
      </c>
    </row>
    <row r="796" spans="1:21" x14ac:dyDescent="0.35">
      <c r="A796" t="s">
        <v>875</v>
      </c>
      <c r="B796" s="1">
        <v>46182</v>
      </c>
      <c r="C796" t="str">
        <f>TEXT(tblData[[#This Row],[Rental Date]],"mmm")</f>
        <v>Jun</v>
      </c>
      <c r="D796" t="str">
        <f>TEXT(tblData[[#This Row],[Rental Date]],"mmmm")</f>
        <v>June</v>
      </c>
      <c r="E796" t="s">
        <v>102</v>
      </c>
      <c r="F796" t="str">
        <f>TEXT(WEEKNUM(tblData[[#This Row],[Rental Date]]),"00")</f>
        <v>24</v>
      </c>
      <c r="G796" s="1">
        <f>EOMONTH(tblData[[#This Row],[Rental Date]],0)</f>
        <v>46203</v>
      </c>
      <c r="H796" t="s">
        <v>749</v>
      </c>
      <c r="I796" t="s">
        <v>32</v>
      </c>
      <c r="J796" t="s">
        <v>49</v>
      </c>
      <c r="K796" t="s">
        <v>40</v>
      </c>
      <c r="L796">
        <v>1</v>
      </c>
      <c r="M796" s="2">
        <v>60.48</v>
      </c>
      <c r="N796" t="s">
        <v>89</v>
      </c>
      <c r="O796" s="3">
        <v>6</v>
      </c>
      <c r="P796" s="3">
        <v>3.32</v>
      </c>
      <c r="Q796" s="2">
        <v>63.16</v>
      </c>
      <c r="R796" t="s">
        <v>34</v>
      </c>
      <c r="S796" t="s">
        <v>50</v>
      </c>
      <c r="T796" t="s">
        <v>51</v>
      </c>
      <c r="U796" t="s">
        <v>30</v>
      </c>
    </row>
    <row r="797" spans="1:21" x14ac:dyDescent="0.35">
      <c r="A797" t="s">
        <v>876</v>
      </c>
      <c r="B797" s="1">
        <v>46182</v>
      </c>
      <c r="C797" t="str">
        <f>TEXT(tblData[[#This Row],[Rental Date]],"mmm")</f>
        <v>Jun</v>
      </c>
      <c r="D797" t="str">
        <f>TEXT(tblData[[#This Row],[Rental Date]],"mmmm")</f>
        <v>June</v>
      </c>
      <c r="E797" t="s">
        <v>102</v>
      </c>
      <c r="F797" t="str">
        <f>TEXT(WEEKNUM(tblData[[#This Row],[Rental Date]]),"00")</f>
        <v>24</v>
      </c>
      <c r="G797" s="1">
        <f>EOMONTH(tblData[[#This Row],[Rental Date]],0)</f>
        <v>46203</v>
      </c>
      <c r="H797" t="s">
        <v>749</v>
      </c>
      <c r="I797" t="s">
        <v>48</v>
      </c>
      <c r="J797" t="s">
        <v>78</v>
      </c>
      <c r="K797" t="s">
        <v>92</v>
      </c>
      <c r="L797">
        <v>1</v>
      </c>
      <c r="M797" s="2">
        <v>98.56</v>
      </c>
      <c r="N797" t="s">
        <v>26</v>
      </c>
      <c r="O797" s="3">
        <v>0</v>
      </c>
      <c r="P797" s="3">
        <v>0</v>
      </c>
      <c r="Q797" s="2">
        <v>98.56</v>
      </c>
      <c r="R797" t="s">
        <v>45</v>
      </c>
      <c r="S797" t="s">
        <v>28</v>
      </c>
      <c r="T797" t="s">
        <v>90</v>
      </c>
      <c r="U797" t="s">
        <v>30</v>
      </c>
    </row>
    <row r="798" spans="1:21" x14ac:dyDescent="0.35">
      <c r="A798" t="s">
        <v>877</v>
      </c>
      <c r="B798" s="1">
        <v>46182</v>
      </c>
      <c r="C798" t="str">
        <f>TEXT(tblData[[#This Row],[Rental Date]],"mmm")</f>
        <v>Jun</v>
      </c>
      <c r="D798" t="str">
        <f>TEXT(tblData[[#This Row],[Rental Date]],"mmmm")</f>
        <v>June</v>
      </c>
      <c r="E798" t="s">
        <v>102</v>
      </c>
      <c r="F798" t="str">
        <f>TEXT(WEEKNUM(tblData[[#This Row],[Rental Date]]),"00")</f>
        <v>24</v>
      </c>
      <c r="G798" s="1">
        <f>EOMONTH(tblData[[#This Row],[Rental Date]],0)</f>
        <v>46203</v>
      </c>
      <c r="H798" t="s">
        <v>749</v>
      </c>
      <c r="I798" t="s">
        <v>48</v>
      </c>
      <c r="J798" t="s">
        <v>44</v>
      </c>
      <c r="K798" t="s">
        <v>40</v>
      </c>
      <c r="L798">
        <v>1</v>
      </c>
      <c r="M798" s="2">
        <v>87.36</v>
      </c>
      <c r="N798" t="s">
        <v>61</v>
      </c>
      <c r="O798" s="3">
        <v>8</v>
      </c>
      <c r="P798" s="3">
        <v>0</v>
      </c>
      <c r="Q798" s="2">
        <v>95.36</v>
      </c>
      <c r="R798" t="s">
        <v>62</v>
      </c>
      <c r="S798" t="s">
        <v>54</v>
      </c>
      <c r="T798" t="s">
        <v>29</v>
      </c>
      <c r="U798" t="s">
        <v>79</v>
      </c>
    </row>
    <row r="799" spans="1:21" x14ac:dyDescent="0.35">
      <c r="A799" t="s">
        <v>878</v>
      </c>
      <c r="B799" s="1">
        <v>46182</v>
      </c>
      <c r="C799" t="str">
        <f>TEXT(tblData[[#This Row],[Rental Date]],"mmm")</f>
        <v>Jun</v>
      </c>
      <c r="D799" t="str">
        <f>TEXT(tblData[[#This Row],[Rental Date]],"mmmm")</f>
        <v>June</v>
      </c>
      <c r="E799" t="s">
        <v>102</v>
      </c>
      <c r="F799" t="str">
        <f>TEXT(WEEKNUM(tblData[[#This Row],[Rental Date]]),"00")</f>
        <v>24</v>
      </c>
      <c r="G799" s="1">
        <f>EOMONTH(tblData[[#This Row],[Rental Date]],0)</f>
        <v>46203</v>
      </c>
      <c r="H799" t="s">
        <v>749</v>
      </c>
      <c r="I799" t="s">
        <v>23</v>
      </c>
      <c r="J799" t="s">
        <v>24</v>
      </c>
      <c r="K799" t="s">
        <v>40</v>
      </c>
      <c r="L799">
        <v>1</v>
      </c>
      <c r="M799" s="2">
        <v>85.12</v>
      </c>
      <c r="N799" t="s">
        <v>26</v>
      </c>
      <c r="O799" s="3">
        <v>0</v>
      </c>
      <c r="P799" s="3">
        <v>0</v>
      </c>
      <c r="Q799" s="2">
        <v>85.12</v>
      </c>
      <c r="R799" t="s">
        <v>66</v>
      </c>
      <c r="S799" t="s">
        <v>50</v>
      </c>
      <c r="T799" t="s">
        <v>63</v>
      </c>
      <c r="U799" t="s">
        <v>79</v>
      </c>
    </row>
    <row r="800" spans="1:21" x14ac:dyDescent="0.35">
      <c r="A800" t="s">
        <v>879</v>
      </c>
      <c r="B800" s="1">
        <v>46182</v>
      </c>
      <c r="C800" t="str">
        <f>TEXT(tblData[[#This Row],[Rental Date]],"mmm")</f>
        <v>Jun</v>
      </c>
      <c r="D800" t="str">
        <f>TEXT(tblData[[#This Row],[Rental Date]],"mmmm")</f>
        <v>June</v>
      </c>
      <c r="E800" t="s">
        <v>102</v>
      </c>
      <c r="F800" t="str">
        <f>TEXT(WEEKNUM(tblData[[#This Row],[Rental Date]]),"00")</f>
        <v>24</v>
      </c>
      <c r="G800" s="1">
        <f>EOMONTH(tblData[[#This Row],[Rental Date]],0)</f>
        <v>46203</v>
      </c>
      <c r="H800" t="s">
        <v>749</v>
      </c>
      <c r="I800" t="s">
        <v>48</v>
      </c>
      <c r="J800" t="s">
        <v>24</v>
      </c>
      <c r="K800" t="s">
        <v>25</v>
      </c>
      <c r="L800">
        <v>1</v>
      </c>
      <c r="M800" s="2">
        <v>56</v>
      </c>
      <c r="N800" t="s">
        <v>41</v>
      </c>
      <c r="O800" s="3">
        <v>5</v>
      </c>
      <c r="P800" s="3">
        <v>0</v>
      </c>
      <c r="Q800" s="2">
        <v>61</v>
      </c>
      <c r="R800" t="s">
        <v>42</v>
      </c>
      <c r="S800" t="s">
        <v>46</v>
      </c>
      <c r="T800" t="s">
        <v>51</v>
      </c>
      <c r="U800" t="s">
        <v>30</v>
      </c>
    </row>
    <row r="801" spans="1:21" x14ac:dyDescent="0.35">
      <c r="A801" t="s">
        <v>880</v>
      </c>
      <c r="B801" s="1">
        <v>46182</v>
      </c>
      <c r="C801" t="str">
        <f>TEXT(tblData[[#This Row],[Rental Date]],"mmm")</f>
        <v>Jun</v>
      </c>
      <c r="D801" t="str">
        <f>TEXT(tblData[[#This Row],[Rental Date]],"mmmm")</f>
        <v>June</v>
      </c>
      <c r="E801" t="s">
        <v>102</v>
      </c>
      <c r="F801" t="str">
        <f>TEXT(WEEKNUM(tblData[[#This Row],[Rental Date]]),"00")</f>
        <v>24</v>
      </c>
      <c r="G801" s="1">
        <f>EOMONTH(tblData[[#This Row],[Rental Date]],0)</f>
        <v>46203</v>
      </c>
      <c r="H801" t="s">
        <v>749</v>
      </c>
      <c r="I801" t="s">
        <v>53</v>
      </c>
      <c r="J801" t="s">
        <v>44</v>
      </c>
      <c r="K801" t="s">
        <v>40</v>
      </c>
      <c r="L801">
        <v>1</v>
      </c>
      <c r="M801" s="2">
        <v>87.36</v>
      </c>
      <c r="N801" t="s">
        <v>26</v>
      </c>
      <c r="O801" s="3">
        <v>0</v>
      </c>
      <c r="P801" s="3">
        <v>8.74</v>
      </c>
      <c r="Q801" s="2">
        <v>78.62</v>
      </c>
      <c r="R801" t="s">
        <v>62</v>
      </c>
      <c r="S801" t="s">
        <v>46</v>
      </c>
      <c r="T801" t="s">
        <v>51</v>
      </c>
      <c r="U801" t="s">
        <v>58</v>
      </c>
    </row>
    <row r="802" spans="1:21" x14ac:dyDescent="0.35">
      <c r="A802" t="s">
        <v>881</v>
      </c>
      <c r="B802" s="1">
        <v>46182</v>
      </c>
      <c r="C802" t="str">
        <f>TEXT(tblData[[#This Row],[Rental Date]],"mmm")</f>
        <v>Jun</v>
      </c>
      <c r="D802" t="str">
        <f>TEXT(tblData[[#This Row],[Rental Date]],"mmmm")</f>
        <v>June</v>
      </c>
      <c r="E802" t="s">
        <v>102</v>
      </c>
      <c r="F802" t="str">
        <f>TEXT(WEEKNUM(tblData[[#This Row],[Rental Date]]),"00")</f>
        <v>24</v>
      </c>
      <c r="G802" s="1">
        <f>EOMONTH(tblData[[#This Row],[Rental Date]],0)</f>
        <v>46203</v>
      </c>
      <c r="H802" t="s">
        <v>749</v>
      </c>
      <c r="I802" t="s">
        <v>39</v>
      </c>
      <c r="J802" t="s">
        <v>111</v>
      </c>
      <c r="K802" t="s">
        <v>40</v>
      </c>
      <c r="L802">
        <v>1</v>
      </c>
      <c r="M802" s="2">
        <v>38.08</v>
      </c>
      <c r="N802" t="s">
        <v>26</v>
      </c>
      <c r="O802" s="3">
        <v>0</v>
      </c>
      <c r="P802" s="3">
        <v>0</v>
      </c>
      <c r="Q802" s="2">
        <v>38.08</v>
      </c>
      <c r="R802" t="s">
        <v>76</v>
      </c>
      <c r="S802" t="s">
        <v>54</v>
      </c>
      <c r="T802" t="s">
        <v>51</v>
      </c>
      <c r="U802" t="s">
        <v>30</v>
      </c>
    </row>
    <row r="803" spans="1:21" x14ac:dyDescent="0.35">
      <c r="A803" t="s">
        <v>882</v>
      </c>
      <c r="B803" s="1">
        <v>46182</v>
      </c>
      <c r="C803" t="str">
        <f>TEXT(tblData[[#This Row],[Rental Date]],"mmm")</f>
        <v>Jun</v>
      </c>
      <c r="D803" t="str">
        <f>TEXT(tblData[[#This Row],[Rental Date]],"mmmm")</f>
        <v>June</v>
      </c>
      <c r="E803" t="s">
        <v>102</v>
      </c>
      <c r="F803" t="str">
        <f>TEXT(WEEKNUM(tblData[[#This Row],[Rental Date]]),"00")</f>
        <v>24</v>
      </c>
      <c r="G803" s="1">
        <f>EOMONTH(tblData[[#This Row],[Rental Date]],0)</f>
        <v>46203</v>
      </c>
      <c r="H803" t="s">
        <v>749</v>
      </c>
      <c r="I803" t="s">
        <v>39</v>
      </c>
      <c r="J803" t="s">
        <v>33</v>
      </c>
      <c r="K803" t="s">
        <v>60</v>
      </c>
      <c r="L803">
        <v>1</v>
      </c>
      <c r="M803" s="2">
        <v>26.88</v>
      </c>
      <c r="N803" t="s">
        <v>75</v>
      </c>
      <c r="O803" s="3">
        <v>12</v>
      </c>
      <c r="P803" s="3">
        <v>0</v>
      </c>
      <c r="Q803" s="2">
        <v>38.880000000000003</v>
      </c>
      <c r="R803" t="s">
        <v>94</v>
      </c>
      <c r="S803" t="s">
        <v>35</v>
      </c>
      <c r="T803" t="s">
        <v>29</v>
      </c>
      <c r="U803" t="s">
        <v>30</v>
      </c>
    </row>
    <row r="804" spans="1:21" x14ac:dyDescent="0.35">
      <c r="A804" t="s">
        <v>883</v>
      </c>
      <c r="B804" s="1">
        <v>46183</v>
      </c>
      <c r="C804" t="str">
        <f>TEXT(tblData[[#This Row],[Rental Date]],"mmm")</f>
        <v>Jun</v>
      </c>
      <c r="D804" t="str">
        <f>TEXT(tblData[[#This Row],[Rental Date]],"mmmm")</f>
        <v>June</v>
      </c>
      <c r="E804" t="s">
        <v>109</v>
      </c>
      <c r="F804" t="str">
        <f>TEXT(WEEKNUM(tblData[[#This Row],[Rental Date]]),"00")</f>
        <v>24</v>
      </c>
      <c r="G804" s="1">
        <f>EOMONTH(tblData[[#This Row],[Rental Date]],0)</f>
        <v>46203</v>
      </c>
      <c r="H804" t="s">
        <v>749</v>
      </c>
      <c r="I804" t="s">
        <v>23</v>
      </c>
      <c r="J804" t="s">
        <v>33</v>
      </c>
      <c r="K804" t="s">
        <v>25</v>
      </c>
      <c r="L804">
        <v>1</v>
      </c>
      <c r="M804" s="2">
        <v>42.56</v>
      </c>
      <c r="N804" t="s">
        <v>61</v>
      </c>
      <c r="O804" s="3">
        <v>8</v>
      </c>
      <c r="P804" s="3">
        <v>0</v>
      </c>
      <c r="Q804" s="2">
        <v>50.56</v>
      </c>
      <c r="R804" t="s">
        <v>62</v>
      </c>
      <c r="S804" t="s">
        <v>35</v>
      </c>
      <c r="T804" t="s">
        <v>90</v>
      </c>
      <c r="U804" t="s">
        <v>30</v>
      </c>
    </row>
    <row r="805" spans="1:21" x14ac:dyDescent="0.35">
      <c r="A805" t="s">
        <v>884</v>
      </c>
      <c r="B805" s="1">
        <v>46183</v>
      </c>
      <c r="C805" t="str">
        <f>TEXT(tblData[[#This Row],[Rental Date]],"mmm")</f>
        <v>Jun</v>
      </c>
      <c r="D805" t="str">
        <f>TEXT(tblData[[#This Row],[Rental Date]],"mmmm")</f>
        <v>June</v>
      </c>
      <c r="E805" t="s">
        <v>109</v>
      </c>
      <c r="F805" t="str">
        <f>TEXT(WEEKNUM(tblData[[#This Row],[Rental Date]]),"00")</f>
        <v>24</v>
      </c>
      <c r="G805" s="1">
        <f>EOMONTH(tblData[[#This Row],[Rental Date]],0)</f>
        <v>46203</v>
      </c>
      <c r="H805" t="s">
        <v>749</v>
      </c>
      <c r="I805" t="s">
        <v>39</v>
      </c>
      <c r="J805" t="s">
        <v>33</v>
      </c>
      <c r="K805" t="s">
        <v>60</v>
      </c>
      <c r="L805">
        <v>1</v>
      </c>
      <c r="M805" s="2">
        <v>26.88</v>
      </c>
      <c r="N805" t="s">
        <v>26</v>
      </c>
      <c r="O805" s="3">
        <v>0</v>
      </c>
      <c r="P805" s="3">
        <v>0</v>
      </c>
      <c r="Q805" s="2">
        <v>26.88</v>
      </c>
      <c r="R805" t="s">
        <v>34</v>
      </c>
      <c r="S805" t="s">
        <v>46</v>
      </c>
      <c r="T805" t="s">
        <v>83</v>
      </c>
      <c r="U805" t="s">
        <v>30</v>
      </c>
    </row>
    <row r="806" spans="1:21" x14ac:dyDescent="0.35">
      <c r="A806" t="s">
        <v>885</v>
      </c>
      <c r="B806" s="1">
        <v>46183</v>
      </c>
      <c r="C806" t="str">
        <f>TEXT(tblData[[#This Row],[Rental Date]],"mmm")</f>
        <v>Jun</v>
      </c>
      <c r="D806" t="str">
        <f>TEXT(tblData[[#This Row],[Rental Date]],"mmmm")</f>
        <v>June</v>
      </c>
      <c r="E806" t="s">
        <v>109</v>
      </c>
      <c r="F806" t="str">
        <f>TEXT(WEEKNUM(tblData[[#This Row],[Rental Date]]),"00")</f>
        <v>24</v>
      </c>
      <c r="G806" s="1">
        <f>EOMONTH(tblData[[#This Row],[Rental Date]],0)</f>
        <v>46203</v>
      </c>
      <c r="H806" t="s">
        <v>749</v>
      </c>
      <c r="I806" t="s">
        <v>39</v>
      </c>
      <c r="J806" t="s">
        <v>78</v>
      </c>
      <c r="K806" t="s">
        <v>25</v>
      </c>
      <c r="L806">
        <v>1</v>
      </c>
      <c r="M806" s="2">
        <v>47.04</v>
      </c>
      <c r="N806" t="s">
        <v>26</v>
      </c>
      <c r="O806" s="3">
        <v>0</v>
      </c>
      <c r="P806" s="3">
        <v>0</v>
      </c>
      <c r="Q806" s="2">
        <v>47.04</v>
      </c>
      <c r="R806" t="s">
        <v>57</v>
      </c>
      <c r="S806" t="s">
        <v>28</v>
      </c>
      <c r="T806" t="s">
        <v>90</v>
      </c>
      <c r="U806" t="s">
        <v>58</v>
      </c>
    </row>
    <row r="807" spans="1:21" x14ac:dyDescent="0.35">
      <c r="A807" t="s">
        <v>886</v>
      </c>
      <c r="B807" s="1">
        <v>46183</v>
      </c>
      <c r="C807" t="str">
        <f>TEXT(tblData[[#This Row],[Rental Date]],"mmm")</f>
        <v>Jun</v>
      </c>
      <c r="D807" t="str">
        <f>TEXT(tblData[[#This Row],[Rental Date]],"mmmm")</f>
        <v>June</v>
      </c>
      <c r="E807" t="s">
        <v>109</v>
      </c>
      <c r="F807" t="str">
        <f>TEXT(WEEKNUM(tblData[[#This Row],[Rental Date]]),"00")</f>
        <v>24</v>
      </c>
      <c r="G807" s="1">
        <f>EOMONTH(tblData[[#This Row],[Rental Date]],0)</f>
        <v>46203</v>
      </c>
      <c r="H807" t="s">
        <v>749</v>
      </c>
      <c r="I807" t="s">
        <v>39</v>
      </c>
      <c r="J807" t="s">
        <v>78</v>
      </c>
      <c r="K807" t="s">
        <v>60</v>
      </c>
      <c r="L807">
        <v>1</v>
      </c>
      <c r="M807" s="2">
        <v>29.12</v>
      </c>
      <c r="N807" t="s">
        <v>89</v>
      </c>
      <c r="O807" s="3">
        <v>6</v>
      </c>
      <c r="P807" s="3">
        <v>0</v>
      </c>
      <c r="Q807" s="2">
        <v>35.119999999999997</v>
      </c>
      <c r="R807" t="s">
        <v>45</v>
      </c>
      <c r="S807" t="s">
        <v>28</v>
      </c>
      <c r="T807" t="s">
        <v>29</v>
      </c>
      <c r="U807" t="s">
        <v>30</v>
      </c>
    </row>
    <row r="808" spans="1:21" x14ac:dyDescent="0.35">
      <c r="A808" t="s">
        <v>887</v>
      </c>
      <c r="B808" s="1">
        <v>46183</v>
      </c>
      <c r="C808" t="str">
        <f>TEXT(tblData[[#This Row],[Rental Date]],"mmm")</f>
        <v>Jun</v>
      </c>
      <c r="D808" t="str">
        <f>TEXT(tblData[[#This Row],[Rental Date]],"mmmm")</f>
        <v>June</v>
      </c>
      <c r="E808" t="s">
        <v>109</v>
      </c>
      <c r="F808" t="str">
        <f>TEXT(WEEKNUM(tblData[[#This Row],[Rental Date]]),"00")</f>
        <v>24</v>
      </c>
      <c r="G808" s="1">
        <f>EOMONTH(tblData[[#This Row],[Rental Date]],0)</f>
        <v>46203</v>
      </c>
      <c r="H808" t="s">
        <v>749</v>
      </c>
      <c r="I808" t="s">
        <v>39</v>
      </c>
      <c r="J808" t="s">
        <v>33</v>
      </c>
      <c r="K808" t="s">
        <v>25</v>
      </c>
      <c r="L808">
        <v>1</v>
      </c>
      <c r="M808" s="2">
        <v>42.56</v>
      </c>
      <c r="N808" t="s">
        <v>70</v>
      </c>
      <c r="O808" s="3">
        <v>7</v>
      </c>
      <c r="P808" s="3">
        <v>0</v>
      </c>
      <c r="Q808" s="2">
        <v>49.56</v>
      </c>
      <c r="R808" t="s">
        <v>62</v>
      </c>
      <c r="S808" t="s">
        <v>46</v>
      </c>
      <c r="T808" t="s">
        <v>90</v>
      </c>
      <c r="U808" t="s">
        <v>30</v>
      </c>
    </row>
    <row r="809" spans="1:21" x14ac:dyDescent="0.35">
      <c r="A809" t="s">
        <v>888</v>
      </c>
      <c r="B809" s="1">
        <v>46183</v>
      </c>
      <c r="C809" t="str">
        <f>TEXT(tblData[[#This Row],[Rental Date]],"mmm")</f>
        <v>Jun</v>
      </c>
      <c r="D809" t="str">
        <f>TEXT(tblData[[#This Row],[Rental Date]],"mmmm")</f>
        <v>June</v>
      </c>
      <c r="E809" t="s">
        <v>109</v>
      </c>
      <c r="F809" t="str">
        <f>TEXT(WEEKNUM(tblData[[#This Row],[Rental Date]]),"00")</f>
        <v>24</v>
      </c>
      <c r="G809" s="1">
        <f>EOMONTH(tblData[[#This Row],[Rental Date]],0)</f>
        <v>46203</v>
      </c>
      <c r="H809" t="s">
        <v>749</v>
      </c>
      <c r="I809" t="s">
        <v>48</v>
      </c>
      <c r="J809" t="s">
        <v>44</v>
      </c>
      <c r="K809" t="s">
        <v>25</v>
      </c>
      <c r="L809">
        <v>1</v>
      </c>
      <c r="M809" s="2">
        <v>58.24</v>
      </c>
      <c r="N809" t="s">
        <v>41</v>
      </c>
      <c r="O809" s="3">
        <v>5</v>
      </c>
      <c r="P809" s="3">
        <v>0</v>
      </c>
      <c r="Q809" s="2">
        <v>63.24</v>
      </c>
      <c r="R809" t="s">
        <v>62</v>
      </c>
      <c r="S809" t="s">
        <v>46</v>
      </c>
      <c r="T809" t="s">
        <v>51</v>
      </c>
      <c r="U809" t="s">
        <v>30</v>
      </c>
    </row>
    <row r="810" spans="1:21" x14ac:dyDescent="0.35">
      <c r="A810" t="s">
        <v>889</v>
      </c>
      <c r="B810" s="1">
        <v>46183</v>
      </c>
      <c r="C810" t="str">
        <f>TEXT(tblData[[#This Row],[Rental Date]],"mmm")</f>
        <v>Jun</v>
      </c>
      <c r="D810" t="str">
        <f>TEXT(tblData[[#This Row],[Rental Date]],"mmmm")</f>
        <v>June</v>
      </c>
      <c r="E810" t="s">
        <v>109</v>
      </c>
      <c r="F810" t="str">
        <f>TEXT(WEEKNUM(tblData[[#This Row],[Rental Date]]),"00")</f>
        <v>24</v>
      </c>
      <c r="G810" s="1">
        <f>EOMONTH(tblData[[#This Row],[Rental Date]],0)</f>
        <v>46203</v>
      </c>
      <c r="H810" t="s">
        <v>749</v>
      </c>
      <c r="I810" t="s">
        <v>39</v>
      </c>
      <c r="J810" t="s">
        <v>78</v>
      </c>
      <c r="K810" t="s">
        <v>60</v>
      </c>
      <c r="L810">
        <v>1</v>
      </c>
      <c r="M810" s="2">
        <v>29.12</v>
      </c>
      <c r="N810" t="s">
        <v>26</v>
      </c>
      <c r="O810" s="3">
        <v>0</v>
      </c>
      <c r="P810" s="3">
        <v>0</v>
      </c>
      <c r="Q810" s="2">
        <v>29.12</v>
      </c>
      <c r="R810" t="s">
        <v>94</v>
      </c>
      <c r="S810" t="s">
        <v>35</v>
      </c>
      <c r="T810" t="s">
        <v>29</v>
      </c>
      <c r="U810" t="s">
        <v>58</v>
      </c>
    </row>
    <row r="811" spans="1:21" x14ac:dyDescent="0.35">
      <c r="A811" t="s">
        <v>890</v>
      </c>
      <c r="B811" s="1">
        <v>46183</v>
      </c>
      <c r="C811" t="str">
        <f>TEXT(tblData[[#This Row],[Rental Date]],"mmm")</f>
        <v>Jun</v>
      </c>
      <c r="D811" t="str">
        <f>TEXT(tblData[[#This Row],[Rental Date]],"mmmm")</f>
        <v>June</v>
      </c>
      <c r="E811" t="s">
        <v>109</v>
      </c>
      <c r="F811" t="str">
        <f>TEXT(WEEKNUM(tblData[[#This Row],[Rental Date]]),"00")</f>
        <v>24</v>
      </c>
      <c r="G811" s="1">
        <f>EOMONTH(tblData[[#This Row],[Rental Date]],0)</f>
        <v>46203</v>
      </c>
      <c r="H811" t="s">
        <v>749</v>
      </c>
      <c r="I811" t="s">
        <v>39</v>
      </c>
      <c r="J811" t="s">
        <v>78</v>
      </c>
      <c r="K811" t="s">
        <v>60</v>
      </c>
      <c r="L811">
        <v>1</v>
      </c>
      <c r="M811" s="2">
        <v>29.12</v>
      </c>
      <c r="N811" t="s">
        <v>26</v>
      </c>
      <c r="O811" s="3">
        <v>0</v>
      </c>
      <c r="P811" s="3">
        <v>0</v>
      </c>
      <c r="Q811" s="2">
        <v>29.12</v>
      </c>
      <c r="R811" t="s">
        <v>94</v>
      </c>
      <c r="S811" t="s">
        <v>54</v>
      </c>
      <c r="T811" t="s">
        <v>51</v>
      </c>
      <c r="U811" t="s">
        <v>30</v>
      </c>
    </row>
    <row r="812" spans="1:21" x14ac:dyDescent="0.35">
      <c r="A812" t="s">
        <v>891</v>
      </c>
      <c r="B812" s="1">
        <v>46183</v>
      </c>
      <c r="C812" t="str">
        <f>TEXT(tblData[[#This Row],[Rental Date]],"mmm")</f>
        <v>Jun</v>
      </c>
      <c r="D812" t="str">
        <f>TEXT(tblData[[#This Row],[Rental Date]],"mmmm")</f>
        <v>June</v>
      </c>
      <c r="E812" t="s">
        <v>109</v>
      </c>
      <c r="F812" t="str">
        <f>TEXT(WEEKNUM(tblData[[#This Row],[Rental Date]]),"00")</f>
        <v>24</v>
      </c>
      <c r="G812" s="1">
        <f>EOMONTH(tblData[[#This Row],[Rental Date]],0)</f>
        <v>46203</v>
      </c>
      <c r="H812" t="s">
        <v>749</v>
      </c>
      <c r="I812" t="s">
        <v>32</v>
      </c>
      <c r="J812" t="s">
        <v>33</v>
      </c>
      <c r="K812" t="s">
        <v>40</v>
      </c>
      <c r="L812">
        <v>1</v>
      </c>
      <c r="M812" s="2">
        <v>64.959999999999994</v>
      </c>
      <c r="N812" t="s">
        <v>75</v>
      </c>
      <c r="O812" s="3">
        <v>12</v>
      </c>
      <c r="P812" s="3">
        <v>3.85</v>
      </c>
      <c r="Q812" s="2">
        <v>73.11</v>
      </c>
      <c r="R812" t="s">
        <v>66</v>
      </c>
      <c r="S812" t="s">
        <v>28</v>
      </c>
      <c r="T812" t="s">
        <v>63</v>
      </c>
      <c r="U812" t="s">
        <v>30</v>
      </c>
    </row>
    <row r="813" spans="1:21" x14ac:dyDescent="0.35">
      <c r="A813" t="s">
        <v>892</v>
      </c>
      <c r="B813" s="1">
        <v>46183</v>
      </c>
      <c r="C813" t="str">
        <f>TEXT(tblData[[#This Row],[Rental Date]],"mmm")</f>
        <v>Jun</v>
      </c>
      <c r="D813" t="str">
        <f>TEXT(tblData[[#This Row],[Rental Date]],"mmmm")</f>
        <v>June</v>
      </c>
      <c r="E813" t="s">
        <v>109</v>
      </c>
      <c r="F813" t="str">
        <f>TEXT(WEEKNUM(tblData[[#This Row],[Rental Date]]),"00")</f>
        <v>24</v>
      </c>
      <c r="G813" s="1">
        <f>EOMONTH(tblData[[#This Row],[Rental Date]],0)</f>
        <v>46203</v>
      </c>
      <c r="H813" t="s">
        <v>749</v>
      </c>
      <c r="I813" t="s">
        <v>23</v>
      </c>
      <c r="J813" t="s">
        <v>65</v>
      </c>
      <c r="K813" t="s">
        <v>25</v>
      </c>
      <c r="L813">
        <v>1</v>
      </c>
      <c r="M813" s="2">
        <v>20.16</v>
      </c>
      <c r="N813" t="s">
        <v>26</v>
      </c>
      <c r="O813" s="3">
        <v>0</v>
      </c>
      <c r="P813" s="3">
        <v>0</v>
      </c>
      <c r="Q813" s="2">
        <v>20.16</v>
      </c>
      <c r="R813" t="s">
        <v>76</v>
      </c>
      <c r="S813" t="s">
        <v>35</v>
      </c>
      <c r="T813" t="s">
        <v>63</v>
      </c>
      <c r="U813" t="s">
        <v>30</v>
      </c>
    </row>
    <row r="814" spans="1:21" x14ac:dyDescent="0.35">
      <c r="A814" t="s">
        <v>893</v>
      </c>
      <c r="B814" s="1">
        <v>46183</v>
      </c>
      <c r="C814" t="str">
        <f>TEXT(tblData[[#This Row],[Rental Date]],"mmm")</f>
        <v>Jun</v>
      </c>
      <c r="D814" t="str">
        <f>TEXT(tblData[[#This Row],[Rental Date]],"mmmm")</f>
        <v>June</v>
      </c>
      <c r="E814" t="s">
        <v>109</v>
      </c>
      <c r="F814" t="str">
        <f>TEXT(WEEKNUM(tblData[[#This Row],[Rental Date]]),"00")</f>
        <v>24</v>
      </c>
      <c r="G814" s="1">
        <f>EOMONTH(tblData[[#This Row],[Rental Date]],0)</f>
        <v>46203</v>
      </c>
      <c r="H814" t="s">
        <v>749</v>
      </c>
      <c r="I814" t="s">
        <v>48</v>
      </c>
      <c r="J814" t="s">
        <v>127</v>
      </c>
      <c r="K814" t="s">
        <v>92</v>
      </c>
      <c r="L814">
        <v>1</v>
      </c>
      <c r="M814" s="2">
        <v>38.08</v>
      </c>
      <c r="N814" t="s">
        <v>70</v>
      </c>
      <c r="O814" s="3">
        <v>7</v>
      </c>
      <c r="P814" s="3">
        <v>0</v>
      </c>
      <c r="Q814" s="2">
        <v>45.08</v>
      </c>
      <c r="R814" t="s">
        <v>94</v>
      </c>
      <c r="S814" t="s">
        <v>50</v>
      </c>
      <c r="T814" t="s">
        <v>63</v>
      </c>
      <c r="U814" t="s">
        <v>30</v>
      </c>
    </row>
    <row r="815" spans="1:21" x14ac:dyDescent="0.35">
      <c r="A815" t="s">
        <v>894</v>
      </c>
      <c r="B815" s="1">
        <v>46183</v>
      </c>
      <c r="C815" t="str">
        <f>TEXT(tblData[[#This Row],[Rental Date]],"mmm")</f>
        <v>Jun</v>
      </c>
      <c r="D815" t="str">
        <f>TEXT(tblData[[#This Row],[Rental Date]],"mmmm")</f>
        <v>June</v>
      </c>
      <c r="E815" t="s">
        <v>109</v>
      </c>
      <c r="F815" t="str">
        <f>TEXT(WEEKNUM(tblData[[#This Row],[Rental Date]]),"00")</f>
        <v>24</v>
      </c>
      <c r="G815" s="1">
        <f>EOMONTH(tblData[[#This Row],[Rental Date]],0)</f>
        <v>46203</v>
      </c>
      <c r="H815" t="s">
        <v>749</v>
      </c>
      <c r="I815" t="s">
        <v>53</v>
      </c>
      <c r="J815" t="s">
        <v>127</v>
      </c>
      <c r="K815" t="s">
        <v>25</v>
      </c>
      <c r="L815">
        <v>1</v>
      </c>
      <c r="M815" s="2">
        <v>17.920000000000002</v>
      </c>
      <c r="N815" t="s">
        <v>26</v>
      </c>
      <c r="O815" s="3">
        <v>0</v>
      </c>
      <c r="P815" s="3">
        <v>1.79</v>
      </c>
      <c r="Q815" s="2">
        <v>16.13</v>
      </c>
      <c r="R815" t="s">
        <v>45</v>
      </c>
      <c r="S815" t="s">
        <v>28</v>
      </c>
      <c r="T815" t="s">
        <v>29</v>
      </c>
      <c r="U815" t="s">
        <v>30</v>
      </c>
    </row>
    <row r="816" spans="1:21" x14ac:dyDescent="0.35">
      <c r="A816" t="s">
        <v>895</v>
      </c>
      <c r="B816" s="1">
        <v>46183</v>
      </c>
      <c r="C816" t="str">
        <f>TEXT(tblData[[#This Row],[Rental Date]],"mmm")</f>
        <v>Jun</v>
      </c>
      <c r="D816" t="str">
        <f>TEXT(tblData[[#This Row],[Rental Date]],"mmmm")</f>
        <v>June</v>
      </c>
      <c r="E816" t="s">
        <v>109</v>
      </c>
      <c r="F816" t="str">
        <f>TEXT(WEEKNUM(tblData[[#This Row],[Rental Date]]),"00")</f>
        <v>24</v>
      </c>
      <c r="G816" s="1">
        <f>EOMONTH(tblData[[#This Row],[Rental Date]],0)</f>
        <v>46203</v>
      </c>
      <c r="H816" t="s">
        <v>749</v>
      </c>
      <c r="I816" t="s">
        <v>39</v>
      </c>
      <c r="J816" t="s">
        <v>49</v>
      </c>
      <c r="K816" t="s">
        <v>25</v>
      </c>
      <c r="L816">
        <v>1</v>
      </c>
      <c r="M816" s="2">
        <v>40.32</v>
      </c>
      <c r="N816" t="s">
        <v>89</v>
      </c>
      <c r="O816" s="3">
        <v>6</v>
      </c>
      <c r="P816" s="3">
        <v>0</v>
      </c>
      <c r="Q816" s="2">
        <v>46.32</v>
      </c>
      <c r="R816" t="s">
        <v>76</v>
      </c>
      <c r="S816" t="s">
        <v>50</v>
      </c>
      <c r="T816" t="s">
        <v>29</v>
      </c>
      <c r="U816" t="s">
        <v>30</v>
      </c>
    </row>
    <row r="817" spans="1:21" x14ac:dyDescent="0.35">
      <c r="A817" t="s">
        <v>896</v>
      </c>
      <c r="B817" s="1">
        <v>46183</v>
      </c>
      <c r="C817" t="str">
        <f>TEXT(tblData[[#This Row],[Rental Date]],"mmm")</f>
        <v>Jun</v>
      </c>
      <c r="D817" t="str">
        <f>TEXT(tblData[[#This Row],[Rental Date]],"mmmm")</f>
        <v>June</v>
      </c>
      <c r="E817" t="s">
        <v>109</v>
      </c>
      <c r="F817" t="str">
        <f>TEXT(WEEKNUM(tblData[[#This Row],[Rental Date]]),"00")</f>
        <v>24</v>
      </c>
      <c r="G817" s="1">
        <f>EOMONTH(tblData[[#This Row],[Rental Date]],0)</f>
        <v>46203</v>
      </c>
      <c r="H817" t="s">
        <v>749</v>
      </c>
      <c r="I817" t="s">
        <v>23</v>
      </c>
      <c r="J817" t="s">
        <v>111</v>
      </c>
      <c r="K817" t="s">
        <v>40</v>
      </c>
      <c r="L817">
        <v>1</v>
      </c>
      <c r="M817" s="2">
        <v>38.08</v>
      </c>
      <c r="N817" t="s">
        <v>26</v>
      </c>
      <c r="O817" s="3">
        <v>0</v>
      </c>
      <c r="P817" s="3">
        <v>1.9</v>
      </c>
      <c r="Q817" s="2">
        <v>36.18</v>
      </c>
      <c r="R817" t="s">
        <v>62</v>
      </c>
      <c r="S817" t="s">
        <v>35</v>
      </c>
      <c r="T817" t="s">
        <v>90</v>
      </c>
      <c r="U817" t="s">
        <v>30</v>
      </c>
    </row>
    <row r="818" spans="1:21" x14ac:dyDescent="0.35">
      <c r="A818" t="s">
        <v>897</v>
      </c>
      <c r="B818" s="1">
        <v>46183</v>
      </c>
      <c r="C818" t="str">
        <f>TEXT(tblData[[#This Row],[Rental Date]],"mmm")</f>
        <v>Jun</v>
      </c>
      <c r="D818" t="str">
        <f>TEXT(tblData[[#This Row],[Rental Date]],"mmmm")</f>
        <v>June</v>
      </c>
      <c r="E818" t="s">
        <v>109</v>
      </c>
      <c r="F818" t="str">
        <f>TEXT(WEEKNUM(tblData[[#This Row],[Rental Date]]),"00")</f>
        <v>24</v>
      </c>
      <c r="G818" s="1">
        <f>EOMONTH(tblData[[#This Row],[Rental Date]],0)</f>
        <v>46203</v>
      </c>
      <c r="H818" t="s">
        <v>749</v>
      </c>
      <c r="I818" t="s">
        <v>48</v>
      </c>
      <c r="J818" t="s">
        <v>138</v>
      </c>
      <c r="K818" t="s">
        <v>60</v>
      </c>
      <c r="L818">
        <v>1</v>
      </c>
      <c r="M818" s="2">
        <v>33.6</v>
      </c>
      <c r="N818" t="s">
        <v>75</v>
      </c>
      <c r="O818" s="3">
        <v>12</v>
      </c>
      <c r="P818" s="3">
        <v>0</v>
      </c>
      <c r="Q818" s="2">
        <v>45.6</v>
      </c>
      <c r="R818" t="s">
        <v>34</v>
      </c>
      <c r="S818" t="s">
        <v>28</v>
      </c>
      <c r="T818" t="s">
        <v>90</v>
      </c>
      <c r="U818" t="s">
        <v>30</v>
      </c>
    </row>
    <row r="819" spans="1:21" x14ac:dyDescent="0.35">
      <c r="A819" t="s">
        <v>898</v>
      </c>
      <c r="B819" s="1">
        <v>46183</v>
      </c>
      <c r="C819" t="str">
        <f>TEXT(tblData[[#This Row],[Rental Date]],"mmm")</f>
        <v>Jun</v>
      </c>
      <c r="D819" t="str">
        <f>TEXT(tblData[[#This Row],[Rental Date]],"mmmm")</f>
        <v>June</v>
      </c>
      <c r="E819" t="s">
        <v>109</v>
      </c>
      <c r="F819" t="str">
        <f>TEXT(WEEKNUM(tblData[[#This Row],[Rental Date]]),"00")</f>
        <v>24</v>
      </c>
      <c r="G819" s="1">
        <f>EOMONTH(tblData[[#This Row],[Rental Date]],0)</f>
        <v>46203</v>
      </c>
      <c r="H819" t="s">
        <v>749</v>
      </c>
      <c r="I819" t="s">
        <v>48</v>
      </c>
      <c r="J819" t="s">
        <v>44</v>
      </c>
      <c r="K819" t="s">
        <v>40</v>
      </c>
      <c r="L819">
        <v>1</v>
      </c>
      <c r="M819" s="2">
        <v>87.36</v>
      </c>
      <c r="N819" t="s">
        <v>89</v>
      </c>
      <c r="O819" s="3">
        <v>6</v>
      </c>
      <c r="P819" s="3">
        <v>0</v>
      </c>
      <c r="Q819" s="2">
        <v>93.36</v>
      </c>
      <c r="R819" t="s">
        <v>57</v>
      </c>
      <c r="S819" t="s">
        <v>50</v>
      </c>
      <c r="T819" t="s">
        <v>51</v>
      </c>
      <c r="U819" t="s">
        <v>30</v>
      </c>
    </row>
    <row r="820" spans="1:21" x14ac:dyDescent="0.35">
      <c r="A820" t="s">
        <v>899</v>
      </c>
      <c r="B820" s="1">
        <v>46183</v>
      </c>
      <c r="C820" t="str">
        <f>TEXT(tblData[[#This Row],[Rental Date]],"mmm")</f>
        <v>Jun</v>
      </c>
      <c r="D820" t="str">
        <f>TEXT(tblData[[#This Row],[Rental Date]],"mmmm")</f>
        <v>June</v>
      </c>
      <c r="E820" t="s">
        <v>109</v>
      </c>
      <c r="F820" t="str">
        <f>TEXT(WEEKNUM(tblData[[#This Row],[Rental Date]]),"00")</f>
        <v>24</v>
      </c>
      <c r="G820" s="1">
        <f>EOMONTH(tblData[[#This Row],[Rental Date]],0)</f>
        <v>46203</v>
      </c>
      <c r="H820" t="s">
        <v>749</v>
      </c>
      <c r="I820" t="s">
        <v>39</v>
      </c>
      <c r="J820" t="s">
        <v>111</v>
      </c>
      <c r="K820" t="s">
        <v>60</v>
      </c>
      <c r="L820">
        <v>1</v>
      </c>
      <c r="M820" s="2">
        <v>15.68</v>
      </c>
      <c r="N820" t="s">
        <v>26</v>
      </c>
      <c r="O820" s="3">
        <v>0</v>
      </c>
      <c r="P820" s="3">
        <v>0</v>
      </c>
      <c r="Q820" s="2">
        <v>15.68</v>
      </c>
      <c r="R820" t="s">
        <v>34</v>
      </c>
      <c r="S820" t="s">
        <v>46</v>
      </c>
      <c r="T820" t="s">
        <v>29</v>
      </c>
      <c r="U820" t="s">
        <v>30</v>
      </c>
    </row>
    <row r="821" spans="1:21" x14ac:dyDescent="0.35">
      <c r="A821" t="s">
        <v>900</v>
      </c>
      <c r="B821" s="1">
        <v>46184</v>
      </c>
      <c r="C821" t="str">
        <f>TEXT(tblData[[#This Row],[Rental Date]],"mmm")</f>
        <v>Jun</v>
      </c>
      <c r="D821" t="str">
        <f>TEXT(tblData[[#This Row],[Rental Date]],"mmmm")</f>
        <v>June</v>
      </c>
      <c r="E821" t="s">
        <v>21</v>
      </c>
      <c r="F821" t="str">
        <f>TEXT(WEEKNUM(tblData[[#This Row],[Rental Date]]),"00")</f>
        <v>24</v>
      </c>
      <c r="G821" s="1">
        <f>EOMONTH(tblData[[#This Row],[Rental Date]],0)</f>
        <v>46203</v>
      </c>
      <c r="H821" t="s">
        <v>749</v>
      </c>
      <c r="I821" t="s">
        <v>39</v>
      </c>
      <c r="J821" t="s">
        <v>44</v>
      </c>
      <c r="K821" t="s">
        <v>60</v>
      </c>
      <c r="L821">
        <v>1</v>
      </c>
      <c r="M821" s="2">
        <v>38.08</v>
      </c>
      <c r="N821" t="s">
        <v>87</v>
      </c>
      <c r="O821" s="3">
        <v>10</v>
      </c>
      <c r="P821" s="3">
        <v>0</v>
      </c>
      <c r="Q821" s="2">
        <v>48.08</v>
      </c>
      <c r="R821" t="s">
        <v>76</v>
      </c>
      <c r="S821" t="s">
        <v>50</v>
      </c>
      <c r="T821" t="s">
        <v>29</v>
      </c>
      <c r="U821" t="s">
        <v>30</v>
      </c>
    </row>
    <row r="822" spans="1:21" x14ac:dyDescent="0.35">
      <c r="A822" t="s">
        <v>901</v>
      </c>
      <c r="B822" s="1">
        <v>46184</v>
      </c>
      <c r="C822" t="str">
        <f>TEXT(tblData[[#This Row],[Rental Date]],"mmm")</f>
        <v>Jun</v>
      </c>
      <c r="D822" t="str">
        <f>TEXT(tblData[[#This Row],[Rental Date]],"mmmm")</f>
        <v>June</v>
      </c>
      <c r="E822" t="s">
        <v>21</v>
      </c>
      <c r="F822" t="str">
        <f>TEXT(WEEKNUM(tblData[[#This Row],[Rental Date]]),"00")</f>
        <v>24</v>
      </c>
      <c r="G822" s="1">
        <f>EOMONTH(tblData[[#This Row],[Rental Date]],0)</f>
        <v>46203</v>
      </c>
      <c r="H822" t="s">
        <v>749</v>
      </c>
      <c r="I822" t="s">
        <v>48</v>
      </c>
      <c r="J822" t="s">
        <v>78</v>
      </c>
      <c r="K822" t="s">
        <v>60</v>
      </c>
      <c r="L822">
        <v>1</v>
      </c>
      <c r="M822" s="2">
        <v>29.12</v>
      </c>
      <c r="N822" t="s">
        <v>26</v>
      </c>
      <c r="O822" s="3">
        <v>0</v>
      </c>
      <c r="P822" s="3">
        <v>0</v>
      </c>
      <c r="Q822" s="2">
        <v>29.12</v>
      </c>
      <c r="R822" t="s">
        <v>27</v>
      </c>
      <c r="S822" t="s">
        <v>54</v>
      </c>
      <c r="T822" t="s">
        <v>29</v>
      </c>
      <c r="U822" t="s">
        <v>30</v>
      </c>
    </row>
    <row r="823" spans="1:21" x14ac:dyDescent="0.35">
      <c r="A823" t="s">
        <v>902</v>
      </c>
      <c r="B823" s="1">
        <v>46184</v>
      </c>
      <c r="C823" t="str">
        <f>TEXT(tblData[[#This Row],[Rental Date]],"mmm")</f>
        <v>Jun</v>
      </c>
      <c r="D823" t="str">
        <f>TEXT(tblData[[#This Row],[Rental Date]],"mmmm")</f>
        <v>June</v>
      </c>
      <c r="E823" t="s">
        <v>21</v>
      </c>
      <c r="F823" t="str">
        <f>TEXT(WEEKNUM(tblData[[#This Row],[Rental Date]]),"00")</f>
        <v>24</v>
      </c>
      <c r="G823" s="1">
        <f>EOMONTH(tblData[[#This Row],[Rental Date]],0)</f>
        <v>46203</v>
      </c>
      <c r="H823" t="s">
        <v>749</v>
      </c>
      <c r="I823" t="s">
        <v>39</v>
      </c>
      <c r="J823" t="s">
        <v>44</v>
      </c>
      <c r="K823" t="s">
        <v>60</v>
      </c>
      <c r="L823">
        <v>1</v>
      </c>
      <c r="M823" s="2">
        <v>38.08</v>
      </c>
      <c r="N823" t="s">
        <v>26</v>
      </c>
      <c r="O823" s="3">
        <v>0</v>
      </c>
      <c r="P823" s="3">
        <v>0</v>
      </c>
      <c r="Q823" s="2">
        <v>38.08</v>
      </c>
      <c r="R823" t="s">
        <v>66</v>
      </c>
      <c r="S823" t="s">
        <v>28</v>
      </c>
      <c r="T823" t="s">
        <v>51</v>
      </c>
      <c r="U823" t="s">
        <v>79</v>
      </c>
    </row>
    <row r="824" spans="1:21" x14ac:dyDescent="0.35">
      <c r="A824" t="s">
        <v>903</v>
      </c>
      <c r="B824" s="1">
        <v>46184</v>
      </c>
      <c r="C824" t="str">
        <f>TEXT(tblData[[#This Row],[Rental Date]],"mmm")</f>
        <v>Jun</v>
      </c>
      <c r="D824" t="str">
        <f>TEXT(tblData[[#This Row],[Rental Date]],"mmmm")</f>
        <v>June</v>
      </c>
      <c r="E824" t="s">
        <v>21</v>
      </c>
      <c r="F824" t="str">
        <f>TEXT(WEEKNUM(tblData[[#This Row],[Rental Date]]),"00")</f>
        <v>24</v>
      </c>
      <c r="G824" s="1">
        <f>EOMONTH(tblData[[#This Row],[Rental Date]],0)</f>
        <v>46203</v>
      </c>
      <c r="H824" t="s">
        <v>749</v>
      </c>
      <c r="I824" t="s">
        <v>48</v>
      </c>
      <c r="J824" t="s">
        <v>49</v>
      </c>
      <c r="K824" t="s">
        <v>60</v>
      </c>
      <c r="L824">
        <v>1</v>
      </c>
      <c r="M824" s="2">
        <v>24.64</v>
      </c>
      <c r="N824" t="s">
        <v>75</v>
      </c>
      <c r="O824" s="3">
        <v>12</v>
      </c>
      <c r="P824" s="3">
        <v>0</v>
      </c>
      <c r="Q824" s="2">
        <v>36.64</v>
      </c>
      <c r="R824" t="s">
        <v>62</v>
      </c>
      <c r="S824" t="s">
        <v>50</v>
      </c>
      <c r="T824" t="s">
        <v>29</v>
      </c>
      <c r="U824" t="s">
        <v>30</v>
      </c>
    </row>
    <row r="825" spans="1:21" x14ac:dyDescent="0.35">
      <c r="A825" t="s">
        <v>904</v>
      </c>
      <c r="B825" s="1">
        <v>46184</v>
      </c>
      <c r="C825" t="str">
        <f>TEXT(tblData[[#This Row],[Rental Date]],"mmm")</f>
        <v>Jun</v>
      </c>
      <c r="D825" t="str">
        <f>TEXT(tblData[[#This Row],[Rental Date]],"mmmm")</f>
        <v>June</v>
      </c>
      <c r="E825" t="s">
        <v>21</v>
      </c>
      <c r="F825" t="str">
        <f>TEXT(WEEKNUM(tblData[[#This Row],[Rental Date]]),"00")</f>
        <v>24</v>
      </c>
      <c r="G825" s="1">
        <f>EOMONTH(tblData[[#This Row],[Rental Date]],0)</f>
        <v>46203</v>
      </c>
      <c r="H825" t="s">
        <v>749</v>
      </c>
      <c r="I825" t="s">
        <v>23</v>
      </c>
      <c r="J825" t="s">
        <v>111</v>
      </c>
      <c r="K825" t="s">
        <v>40</v>
      </c>
      <c r="L825">
        <v>1</v>
      </c>
      <c r="M825" s="2">
        <v>38.08</v>
      </c>
      <c r="N825" t="s">
        <v>41</v>
      </c>
      <c r="O825" s="3">
        <v>5</v>
      </c>
      <c r="P825" s="3">
        <v>0</v>
      </c>
      <c r="Q825" s="2">
        <v>43.08</v>
      </c>
      <c r="R825" t="s">
        <v>94</v>
      </c>
      <c r="S825" t="s">
        <v>50</v>
      </c>
      <c r="T825" t="s">
        <v>29</v>
      </c>
      <c r="U825" t="s">
        <v>30</v>
      </c>
    </row>
    <row r="826" spans="1:21" x14ac:dyDescent="0.35">
      <c r="A826" t="s">
        <v>905</v>
      </c>
      <c r="B826" s="1">
        <v>46184</v>
      </c>
      <c r="C826" t="str">
        <f>TEXT(tblData[[#This Row],[Rental Date]],"mmm")</f>
        <v>Jun</v>
      </c>
      <c r="D826" t="str">
        <f>TEXT(tblData[[#This Row],[Rental Date]],"mmmm")</f>
        <v>June</v>
      </c>
      <c r="E826" t="s">
        <v>21</v>
      </c>
      <c r="F826" t="str">
        <f>TEXT(WEEKNUM(tblData[[#This Row],[Rental Date]]),"00")</f>
        <v>24</v>
      </c>
      <c r="G826" s="1">
        <f>EOMONTH(tblData[[#This Row],[Rental Date]],0)</f>
        <v>46203</v>
      </c>
      <c r="H826" t="s">
        <v>749</v>
      </c>
      <c r="I826" t="s">
        <v>48</v>
      </c>
      <c r="J826" t="s">
        <v>78</v>
      </c>
      <c r="K826" t="s">
        <v>92</v>
      </c>
      <c r="L826">
        <v>1</v>
      </c>
      <c r="M826" s="2">
        <v>98.56</v>
      </c>
      <c r="N826" t="s">
        <v>26</v>
      </c>
      <c r="O826" s="3">
        <v>0</v>
      </c>
      <c r="P826" s="3">
        <v>0</v>
      </c>
      <c r="Q826" s="2">
        <v>98.56</v>
      </c>
      <c r="R826" t="s">
        <v>45</v>
      </c>
      <c r="S826" t="s">
        <v>50</v>
      </c>
      <c r="T826" t="s">
        <v>83</v>
      </c>
      <c r="U826" t="s">
        <v>30</v>
      </c>
    </row>
    <row r="827" spans="1:21" x14ac:dyDescent="0.35">
      <c r="A827" t="s">
        <v>906</v>
      </c>
      <c r="B827" s="1">
        <v>46184</v>
      </c>
      <c r="C827" t="str">
        <f>TEXT(tblData[[#This Row],[Rental Date]],"mmm")</f>
        <v>Jun</v>
      </c>
      <c r="D827" t="str">
        <f>TEXT(tblData[[#This Row],[Rental Date]],"mmmm")</f>
        <v>June</v>
      </c>
      <c r="E827" t="s">
        <v>21</v>
      </c>
      <c r="F827" t="str">
        <f>TEXT(WEEKNUM(tblData[[#This Row],[Rental Date]]),"00")</f>
        <v>24</v>
      </c>
      <c r="G827" s="1">
        <f>EOMONTH(tblData[[#This Row],[Rental Date]],0)</f>
        <v>46203</v>
      </c>
      <c r="H827" t="s">
        <v>749</v>
      </c>
      <c r="I827" t="s">
        <v>48</v>
      </c>
      <c r="J827" t="s">
        <v>65</v>
      </c>
      <c r="K827" t="s">
        <v>25</v>
      </c>
      <c r="L827">
        <v>1</v>
      </c>
      <c r="M827" s="2">
        <v>20.16</v>
      </c>
      <c r="N827" t="s">
        <v>87</v>
      </c>
      <c r="O827" s="3">
        <v>10</v>
      </c>
      <c r="P827" s="3">
        <v>0</v>
      </c>
      <c r="Q827" s="2">
        <v>30.16</v>
      </c>
      <c r="R827" t="s">
        <v>34</v>
      </c>
      <c r="S827" t="s">
        <v>50</v>
      </c>
      <c r="T827" t="s">
        <v>51</v>
      </c>
      <c r="U827" t="s">
        <v>30</v>
      </c>
    </row>
    <row r="828" spans="1:21" x14ac:dyDescent="0.35">
      <c r="A828" t="s">
        <v>907</v>
      </c>
      <c r="B828" s="1">
        <v>46184</v>
      </c>
      <c r="C828" t="str">
        <f>TEXT(tblData[[#This Row],[Rental Date]],"mmm")</f>
        <v>Jun</v>
      </c>
      <c r="D828" t="str">
        <f>TEXT(tblData[[#This Row],[Rental Date]],"mmmm")</f>
        <v>June</v>
      </c>
      <c r="E828" t="s">
        <v>21</v>
      </c>
      <c r="F828" t="str">
        <f>TEXT(WEEKNUM(tblData[[#This Row],[Rental Date]]),"00")</f>
        <v>24</v>
      </c>
      <c r="G828" s="1">
        <f>EOMONTH(tblData[[#This Row],[Rental Date]],0)</f>
        <v>46203</v>
      </c>
      <c r="H828" t="s">
        <v>749</v>
      </c>
      <c r="I828" t="s">
        <v>32</v>
      </c>
      <c r="J828" t="s">
        <v>44</v>
      </c>
      <c r="K828" t="s">
        <v>25</v>
      </c>
      <c r="L828">
        <v>1</v>
      </c>
      <c r="M828" s="2">
        <v>58.24</v>
      </c>
      <c r="N828" t="s">
        <v>26</v>
      </c>
      <c r="O828" s="3">
        <v>0</v>
      </c>
      <c r="P828" s="3">
        <v>2.91</v>
      </c>
      <c r="Q828" s="2">
        <v>55.33</v>
      </c>
      <c r="R828" t="s">
        <v>45</v>
      </c>
      <c r="S828" t="s">
        <v>28</v>
      </c>
      <c r="T828" t="s">
        <v>63</v>
      </c>
      <c r="U828" t="s">
        <v>30</v>
      </c>
    </row>
    <row r="829" spans="1:21" x14ac:dyDescent="0.35">
      <c r="A829" t="s">
        <v>908</v>
      </c>
      <c r="B829" s="1">
        <v>46184</v>
      </c>
      <c r="C829" t="str">
        <f>TEXT(tblData[[#This Row],[Rental Date]],"mmm")</f>
        <v>Jun</v>
      </c>
      <c r="D829" t="str">
        <f>TEXT(tblData[[#This Row],[Rental Date]],"mmmm")</f>
        <v>June</v>
      </c>
      <c r="E829" t="s">
        <v>21</v>
      </c>
      <c r="F829" t="str">
        <f>TEXT(WEEKNUM(tblData[[#This Row],[Rental Date]]),"00")</f>
        <v>24</v>
      </c>
      <c r="G829" s="1">
        <f>EOMONTH(tblData[[#This Row],[Rental Date]],0)</f>
        <v>46203</v>
      </c>
      <c r="H829" t="s">
        <v>749</v>
      </c>
      <c r="I829" t="s">
        <v>32</v>
      </c>
      <c r="J829" t="s">
        <v>44</v>
      </c>
      <c r="K829" t="s">
        <v>40</v>
      </c>
      <c r="L829">
        <v>1</v>
      </c>
      <c r="M829" s="2">
        <v>87.36</v>
      </c>
      <c r="N829" t="s">
        <v>26</v>
      </c>
      <c r="O829" s="3">
        <v>0</v>
      </c>
      <c r="P829" s="3">
        <v>4.37</v>
      </c>
      <c r="Q829" s="2">
        <v>82.99</v>
      </c>
      <c r="R829" t="s">
        <v>34</v>
      </c>
      <c r="S829" t="s">
        <v>35</v>
      </c>
      <c r="T829" t="s">
        <v>90</v>
      </c>
      <c r="U829" t="s">
        <v>30</v>
      </c>
    </row>
    <row r="830" spans="1:21" x14ac:dyDescent="0.35">
      <c r="A830" t="s">
        <v>909</v>
      </c>
      <c r="B830" s="1">
        <v>46184</v>
      </c>
      <c r="C830" t="str">
        <f>TEXT(tblData[[#This Row],[Rental Date]],"mmm")</f>
        <v>Jun</v>
      </c>
      <c r="D830" t="str">
        <f>TEXT(tblData[[#This Row],[Rental Date]],"mmmm")</f>
        <v>June</v>
      </c>
      <c r="E830" t="s">
        <v>21</v>
      </c>
      <c r="F830" t="str">
        <f>TEXT(WEEKNUM(tblData[[#This Row],[Rental Date]]),"00")</f>
        <v>24</v>
      </c>
      <c r="G830" s="1">
        <f>EOMONTH(tblData[[#This Row],[Rental Date]],0)</f>
        <v>46203</v>
      </c>
      <c r="H830" t="s">
        <v>749</v>
      </c>
      <c r="I830" t="s">
        <v>39</v>
      </c>
      <c r="J830" t="s">
        <v>49</v>
      </c>
      <c r="K830" t="s">
        <v>25</v>
      </c>
      <c r="L830">
        <v>1</v>
      </c>
      <c r="M830" s="2">
        <v>40.32</v>
      </c>
      <c r="N830" t="s">
        <v>89</v>
      </c>
      <c r="O830" s="3">
        <v>6</v>
      </c>
      <c r="P830" s="3">
        <v>0</v>
      </c>
      <c r="Q830" s="2">
        <v>46.32</v>
      </c>
      <c r="R830" t="s">
        <v>57</v>
      </c>
      <c r="S830" t="s">
        <v>50</v>
      </c>
      <c r="T830" t="s">
        <v>29</v>
      </c>
      <c r="U830" t="s">
        <v>58</v>
      </c>
    </row>
    <row r="831" spans="1:21" x14ac:dyDescent="0.35">
      <c r="A831" t="s">
        <v>910</v>
      </c>
      <c r="B831" s="1">
        <v>46185</v>
      </c>
      <c r="C831" t="str">
        <f>TEXT(tblData[[#This Row],[Rental Date]],"mmm")</f>
        <v>Jun</v>
      </c>
      <c r="D831" t="str">
        <f>TEXT(tblData[[#This Row],[Rental Date]],"mmmm")</f>
        <v>June</v>
      </c>
      <c r="E831" t="s">
        <v>38</v>
      </c>
      <c r="F831" t="str">
        <f>TEXT(WEEKNUM(tblData[[#This Row],[Rental Date]]),"00")</f>
        <v>24</v>
      </c>
      <c r="G831" s="1">
        <f>EOMONTH(tblData[[#This Row],[Rental Date]],0)</f>
        <v>46203</v>
      </c>
      <c r="H831" t="s">
        <v>749</v>
      </c>
      <c r="I831" t="s">
        <v>39</v>
      </c>
      <c r="J831" t="s">
        <v>111</v>
      </c>
      <c r="K831" t="s">
        <v>25</v>
      </c>
      <c r="L831">
        <v>1</v>
      </c>
      <c r="M831" s="2">
        <v>24.64</v>
      </c>
      <c r="N831" t="s">
        <v>61</v>
      </c>
      <c r="O831" s="3">
        <v>8</v>
      </c>
      <c r="P831" s="3">
        <v>0</v>
      </c>
      <c r="Q831" s="2">
        <v>32.64</v>
      </c>
      <c r="R831" t="s">
        <v>62</v>
      </c>
      <c r="S831" t="s">
        <v>54</v>
      </c>
      <c r="T831" t="s">
        <v>29</v>
      </c>
      <c r="U831" t="s">
        <v>36</v>
      </c>
    </row>
    <row r="832" spans="1:21" x14ac:dyDescent="0.35">
      <c r="A832" t="s">
        <v>911</v>
      </c>
      <c r="B832" s="1">
        <v>46185</v>
      </c>
      <c r="C832" t="str">
        <f>TEXT(tblData[[#This Row],[Rental Date]],"mmm")</f>
        <v>Jun</v>
      </c>
      <c r="D832" t="str">
        <f>TEXT(tblData[[#This Row],[Rental Date]],"mmmm")</f>
        <v>June</v>
      </c>
      <c r="E832" t="s">
        <v>38</v>
      </c>
      <c r="F832" t="str">
        <f>TEXT(WEEKNUM(tblData[[#This Row],[Rental Date]]),"00")</f>
        <v>24</v>
      </c>
      <c r="G832" s="1">
        <f>EOMONTH(tblData[[#This Row],[Rental Date]],0)</f>
        <v>46203</v>
      </c>
      <c r="H832" t="s">
        <v>749</v>
      </c>
      <c r="I832" t="s">
        <v>23</v>
      </c>
      <c r="J832" t="s">
        <v>49</v>
      </c>
      <c r="K832" t="s">
        <v>25</v>
      </c>
      <c r="L832">
        <v>1</v>
      </c>
      <c r="M832" s="2">
        <v>40.32</v>
      </c>
      <c r="N832" t="s">
        <v>87</v>
      </c>
      <c r="O832" s="3">
        <v>10</v>
      </c>
      <c r="P832" s="3">
        <v>0</v>
      </c>
      <c r="Q832" s="2">
        <v>50.32</v>
      </c>
      <c r="R832" t="s">
        <v>62</v>
      </c>
      <c r="S832" t="s">
        <v>35</v>
      </c>
      <c r="T832" t="s">
        <v>29</v>
      </c>
      <c r="U832" t="s">
        <v>58</v>
      </c>
    </row>
    <row r="833" spans="1:21" x14ac:dyDescent="0.35">
      <c r="A833" t="s">
        <v>912</v>
      </c>
      <c r="B833" s="1">
        <v>46185</v>
      </c>
      <c r="C833" t="str">
        <f>TEXT(tblData[[#This Row],[Rental Date]],"mmm")</f>
        <v>Jun</v>
      </c>
      <c r="D833" t="str">
        <f>TEXT(tblData[[#This Row],[Rental Date]],"mmmm")</f>
        <v>June</v>
      </c>
      <c r="E833" t="s">
        <v>38</v>
      </c>
      <c r="F833" t="str">
        <f>TEXT(WEEKNUM(tblData[[#This Row],[Rental Date]]),"00")</f>
        <v>24</v>
      </c>
      <c r="G833" s="1">
        <f>EOMONTH(tblData[[#This Row],[Rental Date]],0)</f>
        <v>46203</v>
      </c>
      <c r="H833" t="s">
        <v>749</v>
      </c>
      <c r="I833" t="s">
        <v>48</v>
      </c>
      <c r="J833" t="s">
        <v>111</v>
      </c>
      <c r="K833" t="s">
        <v>25</v>
      </c>
      <c r="L833">
        <v>1</v>
      </c>
      <c r="M833" s="2">
        <v>24.64</v>
      </c>
      <c r="N833" t="s">
        <v>87</v>
      </c>
      <c r="O833" s="3">
        <v>10</v>
      </c>
      <c r="P833" s="3">
        <v>0</v>
      </c>
      <c r="Q833" s="2">
        <v>34.64</v>
      </c>
      <c r="R833" t="s">
        <v>62</v>
      </c>
      <c r="S833" t="s">
        <v>46</v>
      </c>
      <c r="T833" t="s">
        <v>83</v>
      </c>
      <c r="U833" t="s">
        <v>30</v>
      </c>
    </row>
    <row r="834" spans="1:21" x14ac:dyDescent="0.35">
      <c r="A834" t="s">
        <v>913</v>
      </c>
      <c r="B834" s="1">
        <v>46185</v>
      </c>
      <c r="C834" t="str">
        <f>TEXT(tblData[[#This Row],[Rental Date]],"mmm")</f>
        <v>Jun</v>
      </c>
      <c r="D834" t="str">
        <f>TEXT(tblData[[#This Row],[Rental Date]],"mmmm")</f>
        <v>June</v>
      </c>
      <c r="E834" t="s">
        <v>38</v>
      </c>
      <c r="F834" t="str">
        <f>TEXT(WEEKNUM(tblData[[#This Row],[Rental Date]]),"00")</f>
        <v>24</v>
      </c>
      <c r="G834" s="1">
        <f>EOMONTH(tblData[[#This Row],[Rental Date]],0)</f>
        <v>46203</v>
      </c>
      <c r="H834" t="s">
        <v>749</v>
      </c>
      <c r="I834" t="s">
        <v>32</v>
      </c>
      <c r="J834" t="s">
        <v>86</v>
      </c>
      <c r="K834" t="s">
        <v>92</v>
      </c>
      <c r="L834">
        <v>1</v>
      </c>
      <c r="M834" s="2">
        <v>138.88</v>
      </c>
      <c r="N834" t="s">
        <v>26</v>
      </c>
      <c r="O834" s="3">
        <v>0</v>
      </c>
      <c r="P834" s="3">
        <v>6.94</v>
      </c>
      <c r="Q834" s="2">
        <v>131.94</v>
      </c>
      <c r="R834" t="s">
        <v>76</v>
      </c>
      <c r="S834" t="s">
        <v>46</v>
      </c>
      <c r="T834" t="s">
        <v>63</v>
      </c>
      <c r="U834" t="s">
        <v>30</v>
      </c>
    </row>
    <row r="835" spans="1:21" x14ac:dyDescent="0.35">
      <c r="A835" t="s">
        <v>914</v>
      </c>
      <c r="B835" s="1">
        <v>46185</v>
      </c>
      <c r="C835" t="str">
        <f>TEXT(tblData[[#This Row],[Rental Date]],"mmm")</f>
        <v>Jun</v>
      </c>
      <c r="D835" t="str">
        <f>TEXT(tblData[[#This Row],[Rental Date]],"mmmm")</f>
        <v>June</v>
      </c>
      <c r="E835" t="s">
        <v>38</v>
      </c>
      <c r="F835" t="str">
        <f>TEXT(WEEKNUM(tblData[[#This Row],[Rental Date]]),"00")</f>
        <v>24</v>
      </c>
      <c r="G835" s="1">
        <f>EOMONTH(tblData[[#This Row],[Rental Date]],0)</f>
        <v>46203</v>
      </c>
      <c r="H835" t="s">
        <v>749</v>
      </c>
      <c r="I835" t="s">
        <v>39</v>
      </c>
      <c r="J835" t="s">
        <v>24</v>
      </c>
      <c r="K835" t="s">
        <v>92</v>
      </c>
      <c r="L835">
        <v>1</v>
      </c>
      <c r="M835" s="2">
        <v>123.2</v>
      </c>
      <c r="N835" t="s">
        <v>89</v>
      </c>
      <c r="O835" s="3">
        <v>6</v>
      </c>
      <c r="P835" s="3">
        <v>0</v>
      </c>
      <c r="Q835" s="2">
        <v>129.19999999999999</v>
      </c>
      <c r="R835" t="s">
        <v>62</v>
      </c>
      <c r="S835" t="s">
        <v>28</v>
      </c>
      <c r="T835" t="s">
        <v>90</v>
      </c>
      <c r="U835" t="s">
        <v>79</v>
      </c>
    </row>
    <row r="836" spans="1:21" x14ac:dyDescent="0.35">
      <c r="A836" t="s">
        <v>915</v>
      </c>
      <c r="B836" s="1">
        <v>46185</v>
      </c>
      <c r="C836" t="str">
        <f>TEXT(tblData[[#This Row],[Rental Date]],"mmm")</f>
        <v>Jun</v>
      </c>
      <c r="D836" t="str">
        <f>TEXT(tblData[[#This Row],[Rental Date]],"mmmm")</f>
        <v>June</v>
      </c>
      <c r="E836" t="s">
        <v>38</v>
      </c>
      <c r="F836" t="str">
        <f>TEXT(WEEKNUM(tblData[[#This Row],[Rental Date]]),"00")</f>
        <v>24</v>
      </c>
      <c r="G836" s="1">
        <f>EOMONTH(tblData[[#This Row],[Rental Date]],0)</f>
        <v>46203</v>
      </c>
      <c r="H836" t="s">
        <v>749</v>
      </c>
      <c r="I836" t="s">
        <v>39</v>
      </c>
      <c r="J836" t="s">
        <v>49</v>
      </c>
      <c r="K836" t="s">
        <v>40</v>
      </c>
      <c r="L836">
        <v>1</v>
      </c>
      <c r="M836" s="2">
        <v>60.48</v>
      </c>
      <c r="N836" t="s">
        <v>61</v>
      </c>
      <c r="O836" s="3">
        <v>8</v>
      </c>
      <c r="P836" s="3">
        <v>0</v>
      </c>
      <c r="Q836" s="2">
        <v>68.48</v>
      </c>
      <c r="R836" t="s">
        <v>71</v>
      </c>
      <c r="S836" t="s">
        <v>50</v>
      </c>
      <c r="T836" t="s">
        <v>90</v>
      </c>
      <c r="U836" t="s">
        <v>79</v>
      </c>
    </row>
    <row r="837" spans="1:21" x14ac:dyDescent="0.35">
      <c r="A837" t="s">
        <v>916</v>
      </c>
      <c r="B837" s="1">
        <v>46185</v>
      </c>
      <c r="C837" t="str">
        <f>TEXT(tblData[[#This Row],[Rental Date]],"mmm")</f>
        <v>Jun</v>
      </c>
      <c r="D837" t="str">
        <f>TEXT(tblData[[#This Row],[Rental Date]],"mmmm")</f>
        <v>June</v>
      </c>
      <c r="E837" t="s">
        <v>38</v>
      </c>
      <c r="F837" t="str">
        <f>TEXT(WEEKNUM(tblData[[#This Row],[Rental Date]]),"00")</f>
        <v>24</v>
      </c>
      <c r="G837" s="1">
        <f>EOMONTH(tblData[[#This Row],[Rental Date]],0)</f>
        <v>46203</v>
      </c>
      <c r="H837" t="s">
        <v>749</v>
      </c>
      <c r="I837" t="s">
        <v>39</v>
      </c>
      <c r="J837" t="s">
        <v>33</v>
      </c>
      <c r="K837" t="s">
        <v>92</v>
      </c>
      <c r="L837">
        <v>1</v>
      </c>
      <c r="M837" s="2">
        <v>94.08</v>
      </c>
      <c r="N837" t="s">
        <v>26</v>
      </c>
      <c r="O837" s="3">
        <v>0</v>
      </c>
      <c r="P837" s="3">
        <v>0</v>
      </c>
      <c r="Q837" s="2">
        <v>94.08</v>
      </c>
      <c r="R837" t="s">
        <v>94</v>
      </c>
      <c r="S837" t="s">
        <v>54</v>
      </c>
      <c r="T837" t="s">
        <v>29</v>
      </c>
      <c r="U837" t="s">
        <v>30</v>
      </c>
    </row>
    <row r="838" spans="1:21" x14ac:dyDescent="0.35">
      <c r="A838" t="s">
        <v>917</v>
      </c>
      <c r="B838" s="1">
        <v>46185</v>
      </c>
      <c r="C838" t="str">
        <f>TEXT(tblData[[#This Row],[Rental Date]],"mmm")</f>
        <v>Jun</v>
      </c>
      <c r="D838" t="str">
        <f>TEXT(tblData[[#This Row],[Rental Date]],"mmmm")</f>
        <v>June</v>
      </c>
      <c r="E838" t="s">
        <v>38</v>
      </c>
      <c r="F838" t="str">
        <f>TEXT(WEEKNUM(tblData[[#This Row],[Rental Date]]),"00")</f>
        <v>24</v>
      </c>
      <c r="G838" s="1">
        <f>EOMONTH(tblData[[#This Row],[Rental Date]],0)</f>
        <v>46203</v>
      </c>
      <c r="H838" t="s">
        <v>749</v>
      </c>
      <c r="I838" t="s">
        <v>48</v>
      </c>
      <c r="J838" t="s">
        <v>44</v>
      </c>
      <c r="K838" t="s">
        <v>40</v>
      </c>
      <c r="L838">
        <v>1</v>
      </c>
      <c r="M838" s="2">
        <v>87.36</v>
      </c>
      <c r="N838" t="s">
        <v>89</v>
      </c>
      <c r="O838" s="3">
        <v>6</v>
      </c>
      <c r="P838" s="3">
        <v>4.67</v>
      </c>
      <c r="Q838" s="2">
        <v>88.69</v>
      </c>
      <c r="R838" t="s">
        <v>42</v>
      </c>
      <c r="S838" t="s">
        <v>50</v>
      </c>
      <c r="T838" t="s">
        <v>51</v>
      </c>
      <c r="U838" t="s">
        <v>58</v>
      </c>
    </row>
    <row r="839" spans="1:21" x14ac:dyDescent="0.35">
      <c r="A839" t="s">
        <v>918</v>
      </c>
      <c r="B839" s="1">
        <v>46185</v>
      </c>
      <c r="C839" t="str">
        <f>TEXT(tblData[[#This Row],[Rental Date]],"mmm")</f>
        <v>Jun</v>
      </c>
      <c r="D839" t="str">
        <f>TEXT(tblData[[#This Row],[Rental Date]],"mmmm")</f>
        <v>June</v>
      </c>
      <c r="E839" t="s">
        <v>38</v>
      </c>
      <c r="F839" t="str">
        <f>TEXT(WEEKNUM(tblData[[#This Row],[Rental Date]]),"00")</f>
        <v>24</v>
      </c>
      <c r="G839" s="1">
        <f>EOMONTH(tblData[[#This Row],[Rental Date]],0)</f>
        <v>46203</v>
      </c>
      <c r="H839" t="s">
        <v>749</v>
      </c>
      <c r="I839" t="s">
        <v>48</v>
      </c>
      <c r="J839" t="s">
        <v>78</v>
      </c>
      <c r="K839" t="s">
        <v>60</v>
      </c>
      <c r="L839">
        <v>1</v>
      </c>
      <c r="M839" s="2">
        <v>29.12</v>
      </c>
      <c r="N839" t="s">
        <v>26</v>
      </c>
      <c r="O839" s="3">
        <v>0</v>
      </c>
      <c r="P839" s="3">
        <v>0</v>
      </c>
      <c r="Q839" s="2">
        <v>29.12</v>
      </c>
      <c r="R839" t="s">
        <v>71</v>
      </c>
      <c r="S839" t="s">
        <v>46</v>
      </c>
      <c r="T839" t="s">
        <v>29</v>
      </c>
      <c r="U839" t="s">
        <v>30</v>
      </c>
    </row>
    <row r="840" spans="1:21" x14ac:dyDescent="0.35">
      <c r="A840" t="s">
        <v>919</v>
      </c>
      <c r="B840" s="1">
        <v>46185</v>
      </c>
      <c r="C840" t="str">
        <f>TEXT(tblData[[#This Row],[Rental Date]],"mmm")</f>
        <v>Jun</v>
      </c>
      <c r="D840" t="str">
        <f>TEXT(tblData[[#This Row],[Rental Date]],"mmmm")</f>
        <v>June</v>
      </c>
      <c r="E840" t="s">
        <v>38</v>
      </c>
      <c r="F840" t="str">
        <f>TEXT(WEEKNUM(tblData[[#This Row],[Rental Date]]),"00")</f>
        <v>24</v>
      </c>
      <c r="G840" s="1">
        <f>EOMONTH(tblData[[#This Row],[Rental Date]],0)</f>
        <v>46203</v>
      </c>
      <c r="H840" t="s">
        <v>749</v>
      </c>
      <c r="I840" t="s">
        <v>39</v>
      </c>
      <c r="J840" t="s">
        <v>86</v>
      </c>
      <c r="K840" t="s">
        <v>60</v>
      </c>
      <c r="L840">
        <v>1</v>
      </c>
      <c r="M840" s="2">
        <v>40.32</v>
      </c>
      <c r="N840" t="s">
        <v>26</v>
      </c>
      <c r="O840" s="3">
        <v>0</v>
      </c>
      <c r="P840" s="3">
        <v>0</v>
      </c>
      <c r="Q840" s="2">
        <v>40.32</v>
      </c>
      <c r="R840" t="s">
        <v>42</v>
      </c>
      <c r="S840" t="s">
        <v>46</v>
      </c>
      <c r="T840" t="s">
        <v>90</v>
      </c>
      <c r="U840" t="s">
        <v>30</v>
      </c>
    </row>
    <row r="841" spans="1:21" x14ac:dyDescent="0.35">
      <c r="A841" t="s">
        <v>920</v>
      </c>
      <c r="B841" s="1">
        <v>46185</v>
      </c>
      <c r="C841" t="str">
        <f>TEXT(tblData[[#This Row],[Rental Date]],"mmm")</f>
        <v>Jun</v>
      </c>
      <c r="D841" t="str">
        <f>TEXT(tblData[[#This Row],[Rental Date]],"mmmm")</f>
        <v>June</v>
      </c>
      <c r="E841" t="s">
        <v>38</v>
      </c>
      <c r="F841" t="str">
        <f>TEXT(WEEKNUM(tblData[[#This Row],[Rental Date]]),"00")</f>
        <v>24</v>
      </c>
      <c r="G841" s="1">
        <f>EOMONTH(tblData[[#This Row],[Rental Date]],0)</f>
        <v>46203</v>
      </c>
      <c r="H841" t="s">
        <v>749</v>
      </c>
      <c r="I841" t="s">
        <v>23</v>
      </c>
      <c r="J841" t="s">
        <v>24</v>
      </c>
      <c r="K841" t="s">
        <v>92</v>
      </c>
      <c r="L841">
        <v>1</v>
      </c>
      <c r="M841" s="2">
        <v>123.2</v>
      </c>
      <c r="N841" t="s">
        <v>75</v>
      </c>
      <c r="O841" s="3">
        <v>12</v>
      </c>
      <c r="P841" s="3">
        <v>0</v>
      </c>
      <c r="Q841" s="2">
        <v>135.19999999999999</v>
      </c>
      <c r="R841" t="s">
        <v>57</v>
      </c>
      <c r="S841" t="s">
        <v>46</v>
      </c>
      <c r="T841" t="s">
        <v>51</v>
      </c>
      <c r="U841" t="s">
        <v>30</v>
      </c>
    </row>
    <row r="842" spans="1:21" x14ac:dyDescent="0.35">
      <c r="A842" t="s">
        <v>921</v>
      </c>
      <c r="B842" s="1">
        <v>46185</v>
      </c>
      <c r="C842" t="str">
        <f>TEXT(tblData[[#This Row],[Rental Date]],"mmm")</f>
        <v>Jun</v>
      </c>
      <c r="D842" t="str">
        <f>TEXT(tblData[[#This Row],[Rental Date]],"mmmm")</f>
        <v>June</v>
      </c>
      <c r="E842" t="s">
        <v>38</v>
      </c>
      <c r="F842" t="str">
        <f>TEXT(WEEKNUM(tblData[[#This Row],[Rental Date]]),"00")</f>
        <v>24</v>
      </c>
      <c r="G842" s="1">
        <f>EOMONTH(tblData[[#This Row],[Rental Date]],0)</f>
        <v>46203</v>
      </c>
      <c r="H842" t="s">
        <v>749</v>
      </c>
      <c r="I842" t="s">
        <v>48</v>
      </c>
      <c r="J842" t="s">
        <v>33</v>
      </c>
      <c r="K842" t="s">
        <v>25</v>
      </c>
      <c r="L842">
        <v>1</v>
      </c>
      <c r="M842" s="2">
        <v>42.56</v>
      </c>
      <c r="N842" t="s">
        <v>87</v>
      </c>
      <c r="O842" s="3">
        <v>10</v>
      </c>
      <c r="P842" s="3">
        <v>0</v>
      </c>
      <c r="Q842" s="2">
        <v>52.56</v>
      </c>
      <c r="R842" t="s">
        <v>57</v>
      </c>
      <c r="S842" t="s">
        <v>54</v>
      </c>
      <c r="T842" t="s">
        <v>90</v>
      </c>
      <c r="U842" t="s">
        <v>30</v>
      </c>
    </row>
    <row r="843" spans="1:21" x14ac:dyDescent="0.35">
      <c r="A843" t="s">
        <v>922</v>
      </c>
      <c r="B843" s="1">
        <v>46185</v>
      </c>
      <c r="C843" t="str">
        <f>TEXT(tblData[[#This Row],[Rental Date]],"mmm")</f>
        <v>Jun</v>
      </c>
      <c r="D843" t="str">
        <f>TEXT(tblData[[#This Row],[Rental Date]],"mmmm")</f>
        <v>June</v>
      </c>
      <c r="E843" t="s">
        <v>38</v>
      </c>
      <c r="F843" t="str">
        <f>TEXT(WEEKNUM(tblData[[#This Row],[Rental Date]]),"00")</f>
        <v>24</v>
      </c>
      <c r="G843" s="1">
        <f>EOMONTH(tblData[[#This Row],[Rental Date]],0)</f>
        <v>46203</v>
      </c>
      <c r="H843" t="s">
        <v>749</v>
      </c>
      <c r="I843" t="s">
        <v>39</v>
      </c>
      <c r="J843" t="s">
        <v>44</v>
      </c>
      <c r="K843" t="s">
        <v>92</v>
      </c>
      <c r="L843">
        <v>1</v>
      </c>
      <c r="M843" s="2">
        <v>125.44</v>
      </c>
      <c r="N843" t="s">
        <v>41</v>
      </c>
      <c r="O843" s="3">
        <v>5</v>
      </c>
      <c r="P843" s="3">
        <v>0</v>
      </c>
      <c r="Q843" s="2">
        <v>130.44</v>
      </c>
      <c r="R843" t="s">
        <v>27</v>
      </c>
      <c r="S843" t="s">
        <v>28</v>
      </c>
      <c r="T843" t="s">
        <v>90</v>
      </c>
      <c r="U843" t="s">
        <v>30</v>
      </c>
    </row>
    <row r="844" spans="1:21" x14ac:dyDescent="0.35">
      <c r="A844" t="s">
        <v>923</v>
      </c>
      <c r="B844" s="1">
        <v>46186</v>
      </c>
      <c r="C844" t="str">
        <f>TEXT(tblData[[#This Row],[Rental Date]],"mmm")</f>
        <v>Jun</v>
      </c>
      <c r="D844" t="str">
        <f>TEXT(tblData[[#This Row],[Rental Date]],"mmmm")</f>
        <v>June</v>
      </c>
      <c r="E844" t="s">
        <v>56</v>
      </c>
      <c r="F844" t="str">
        <f>TEXT(WEEKNUM(tblData[[#This Row],[Rental Date]]),"00")</f>
        <v>24</v>
      </c>
      <c r="G844" s="1">
        <f>EOMONTH(tblData[[#This Row],[Rental Date]],0)</f>
        <v>46203</v>
      </c>
      <c r="H844" t="s">
        <v>749</v>
      </c>
      <c r="I844" t="s">
        <v>32</v>
      </c>
      <c r="J844" t="s">
        <v>24</v>
      </c>
      <c r="K844" t="s">
        <v>60</v>
      </c>
      <c r="L844">
        <v>1</v>
      </c>
      <c r="M844" s="2">
        <v>38.4</v>
      </c>
      <c r="N844" t="s">
        <v>89</v>
      </c>
      <c r="O844" s="3">
        <v>6</v>
      </c>
      <c r="P844" s="3">
        <v>0</v>
      </c>
      <c r="Q844" s="2">
        <v>44.4</v>
      </c>
      <c r="R844" t="s">
        <v>27</v>
      </c>
      <c r="S844" t="s">
        <v>28</v>
      </c>
      <c r="T844" t="s">
        <v>63</v>
      </c>
      <c r="U844" t="s">
        <v>30</v>
      </c>
    </row>
    <row r="845" spans="1:21" x14ac:dyDescent="0.35">
      <c r="A845" t="s">
        <v>924</v>
      </c>
      <c r="B845" s="1">
        <v>46186</v>
      </c>
      <c r="C845" t="str">
        <f>TEXT(tblData[[#This Row],[Rental Date]],"mmm")</f>
        <v>Jun</v>
      </c>
      <c r="D845" t="str">
        <f>TEXT(tblData[[#This Row],[Rental Date]],"mmmm")</f>
        <v>June</v>
      </c>
      <c r="E845" t="s">
        <v>56</v>
      </c>
      <c r="F845" t="str">
        <f>TEXT(WEEKNUM(tblData[[#This Row],[Rental Date]]),"00")</f>
        <v>24</v>
      </c>
      <c r="G845" s="1">
        <f>EOMONTH(tblData[[#This Row],[Rental Date]],0)</f>
        <v>46203</v>
      </c>
      <c r="H845" t="s">
        <v>749</v>
      </c>
      <c r="I845" t="s">
        <v>23</v>
      </c>
      <c r="J845" t="s">
        <v>78</v>
      </c>
      <c r="K845" t="s">
        <v>60</v>
      </c>
      <c r="L845">
        <v>1</v>
      </c>
      <c r="M845" s="2">
        <v>31.2</v>
      </c>
      <c r="N845" t="s">
        <v>41</v>
      </c>
      <c r="O845" s="3">
        <v>5</v>
      </c>
      <c r="P845" s="3">
        <v>0</v>
      </c>
      <c r="Q845" s="2">
        <v>36.200000000000003</v>
      </c>
      <c r="R845" t="s">
        <v>42</v>
      </c>
      <c r="S845" t="s">
        <v>28</v>
      </c>
      <c r="T845" t="s">
        <v>29</v>
      </c>
      <c r="U845" t="s">
        <v>30</v>
      </c>
    </row>
    <row r="846" spans="1:21" x14ac:dyDescent="0.35">
      <c r="A846" t="s">
        <v>925</v>
      </c>
      <c r="B846" s="1">
        <v>46186</v>
      </c>
      <c r="C846" t="str">
        <f>TEXT(tblData[[#This Row],[Rental Date]],"mmm")</f>
        <v>Jun</v>
      </c>
      <c r="D846" t="str">
        <f>TEXT(tblData[[#This Row],[Rental Date]],"mmmm")</f>
        <v>June</v>
      </c>
      <c r="E846" t="s">
        <v>56</v>
      </c>
      <c r="F846" t="str">
        <f>TEXT(WEEKNUM(tblData[[#This Row],[Rental Date]]),"00")</f>
        <v>24</v>
      </c>
      <c r="G846" s="1">
        <f>EOMONTH(tblData[[#This Row],[Rental Date]],0)</f>
        <v>46203</v>
      </c>
      <c r="H846" t="s">
        <v>749</v>
      </c>
      <c r="I846" t="s">
        <v>23</v>
      </c>
      <c r="J846" t="s">
        <v>111</v>
      </c>
      <c r="K846" t="s">
        <v>60</v>
      </c>
      <c r="L846">
        <v>1</v>
      </c>
      <c r="M846" s="2">
        <v>16.8</v>
      </c>
      <c r="N846" t="s">
        <v>87</v>
      </c>
      <c r="O846" s="3">
        <v>10</v>
      </c>
      <c r="P846" s="3">
        <v>1.34</v>
      </c>
      <c r="Q846" s="2">
        <v>25.46</v>
      </c>
      <c r="R846" t="s">
        <v>62</v>
      </c>
      <c r="S846" t="s">
        <v>50</v>
      </c>
      <c r="T846" t="s">
        <v>29</v>
      </c>
      <c r="U846" t="s">
        <v>58</v>
      </c>
    </row>
    <row r="847" spans="1:21" x14ac:dyDescent="0.35">
      <c r="A847" t="s">
        <v>926</v>
      </c>
      <c r="B847" s="1">
        <v>46186</v>
      </c>
      <c r="C847" t="str">
        <f>TEXT(tblData[[#This Row],[Rental Date]],"mmm")</f>
        <v>Jun</v>
      </c>
      <c r="D847" t="str">
        <f>TEXT(tblData[[#This Row],[Rental Date]],"mmmm")</f>
        <v>June</v>
      </c>
      <c r="E847" t="s">
        <v>56</v>
      </c>
      <c r="F847" t="str">
        <f>TEXT(WEEKNUM(tblData[[#This Row],[Rental Date]]),"00")</f>
        <v>24</v>
      </c>
      <c r="G847" s="1">
        <f>EOMONTH(tblData[[#This Row],[Rental Date]],0)</f>
        <v>46203</v>
      </c>
      <c r="H847" t="s">
        <v>749</v>
      </c>
      <c r="I847" t="s">
        <v>48</v>
      </c>
      <c r="J847" t="s">
        <v>111</v>
      </c>
      <c r="K847" t="s">
        <v>40</v>
      </c>
      <c r="L847">
        <v>1</v>
      </c>
      <c r="M847" s="2">
        <v>40.799999999999997</v>
      </c>
      <c r="N847" t="s">
        <v>41</v>
      </c>
      <c r="O847" s="3">
        <v>5</v>
      </c>
      <c r="P847" s="3">
        <v>2.29</v>
      </c>
      <c r="Q847" s="2">
        <v>43.51</v>
      </c>
      <c r="R847" t="s">
        <v>57</v>
      </c>
      <c r="S847" t="s">
        <v>54</v>
      </c>
      <c r="T847" t="s">
        <v>90</v>
      </c>
      <c r="U847" t="s">
        <v>30</v>
      </c>
    </row>
    <row r="848" spans="1:21" x14ac:dyDescent="0.35">
      <c r="A848" t="s">
        <v>927</v>
      </c>
      <c r="B848" s="1">
        <v>46186</v>
      </c>
      <c r="C848" t="str">
        <f>TEXT(tblData[[#This Row],[Rental Date]],"mmm")</f>
        <v>Jun</v>
      </c>
      <c r="D848" t="str">
        <f>TEXT(tblData[[#This Row],[Rental Date]],"mmmm")</f>
        <v>June</v>
      </c>
      <c r="E848" t="s">
        <v>56</v>
      </c>
      <c r="F848" t="str">
        <f>TEXT(WEEKNUM(tblData[[#This Row],[Rental Date]]),"00")</f>
        <v>24</v>
      </c>
      <c r="G848" s="1">
        <f>EOMONTH(tblData[[#This Row],[Rental Date]],0)</f>
        <v>46203</v>
      </c>
      <c r="H848" t="s">
        <v>749</v>
      </c>
      <c r="I848" t="s">
        <v>39</v>
      </c>
      <c r="J848" t="s">
        <v>44</v>
      </c>
      <c r="K848" t="s">
        <v>25</v>
      </c>
      <c r="L848">
        <v>1</v>
      </c>
      <c r="M848" s="2">
        <v>62.4</v>
      </c>
      <c r="N848" t="s">
        <v>26</v>
      </c>
      <c r="O848" s="3">
        <v>0</v>
      </c>
      <c r="P848" s="3">
        <v>0</v>
      </c>
      <c r="Q848" s="2">
        <v>62.4</v>
      </c>
      <c r="R848" t="s">
        <v>57</v>
      </c>
      <c r="S848" t="s">
        <v>35</v>
      </c>
      <c r="T848" t="s">
        <v>90</v>
      </c>
      <c r="U848" t="s">
        <v>58</v>
      </c>
    </row>
    <row r="849" spans="1:21" x14ac:dyDescent="0.35">
      <c r="A849" t="s">
        <v>928</v>
      </c>
      <c r="B849" s="1">
        <v>46186</v>
      </c>
      <c r="C849" t="str">
        <f>TEXT(tblData[[#This Row],[Rental Date]],"mmm")</f>
        <v>Jun</v>
      </c>
      <c r="D849" t="str">
        <f>TEXT(tblData[[#This Row],[Rental Date]],"mmmm")</f>
        <v>June</v>
      </c>
      <c r="E849" t="s">
        <v>56</v>
      </c>
      <c r="F849" t="str">
        <f>TEXT(WEEKNUM(tblData[[#This Row],[Rental Date]]),"00")</f>
        <v>24</v>
      </c>
      <c r="G849" s="1">
        <f>EOMONTH(tblData[[#This Row],[Rental Date]],0)</f>
        <v>46203</v>
      </c>
      <c r="H849" t="s">
        <v>749</v>
      </c>
      <c r="I849" t="s">
        <v>48</v>
      </c>
      <c r="J849" t="s">
        <v>65</v>
      </c>
      <c r="K849" t="s">
        <v>60</v>
      </c>
      <c r="L849">
        <v>1</v>
      </c>
      <c r="M849" s="2">
        <v>14.4</v>
      </c>
      <c r="N849" t="s">
        <v>89</v>
      </c>
      <c r="O849" s="3">
        <v>6</v>
      </c>
      <c r="P849" s="3">
        <v>0</v>
      </c>
      <c r="Q849" s="2">
        <v>20.399999999999999</v>
      </c>
      <c r="R849" t="s">
        <v>57</v>
      </c>
      <c r="S849" t="s">
        <v>54</v>
      </c>
      <c r="T849" t="s">
        <v>51</v>
      </c>
      <c r="U849" t="s">
        <v>30</v>
      </c>
    </row>
    <row r="850" spans="1:21" x14ac:dyDescent="0.35">
      <c r="A850" t="s">
        <v>929</v>
      </c>
      <c r="B850" s="1">
        <v>46186</v>
      </c>
      <c r="C850" t="str">
        <f>TEXT(tblData[[#This Row],[Rental Date]],"mmm")</f>
        <v>Jun</v>
      </c>
      <c r="D850" t="str">
        <f>TEXT(tblData[[#This Row],[Rental Date]],"mmmm")</f>
        <v>June</v>
      </c>
      <c r="E850" t="s">
        <v>56</v>
      </c>
      <c r="F850" t="str">
        <f>TEXT(WEEKNUM(tblData[[#This Row],[Rental Date]]),"00")</f>
        <v>24</v>
      </c>
      <c r="G850" s="1">
        <f>EOMONTH(tblData[[#This Row],[Rental Date]],0)</f>
        <v>46203</v>
      </c>
      <c r="H850" t="s">
        <v>749</v>
      </c>
      <c r="I850" t="s">
        <v>39</v>
      </c>
      <c r="J850" t="s">
        <v>49</v>
      </c>
      <c r="K850" t="s">
        <v>60</v>
      </c>
      <c r="L850">
        <v>1</v>
      </c>
      <c r="M850" s="2">
        <v>26.4</v>
      </c>
      <c r="N850" t="s">
        <v>89</v>
      </c>
      <c r="O850" s="3">
        <v>6</v>
      </c>
      <c r="P850" s="3">
        <v>0</v>
      </c>
      <c r="Q850" s="2">
        <v>32.4</v>
      </c>
      <c r="R850" t="s">
        <v>27</v>
      </c>
      <c r="S850" t="s">
        <v>46</v>
      </c>
      <c r="T850" t="s">
        <v>90</v>
      </c>
      <c r="U850" t="s">
        <v>30</v>
      </c>
    </row>
    <row r="851" spans="1:21" x14ac:dyDescent="0.35">
      <c r="A851" t="s">
        <v>930</v>
      </c>
      <c r="B851" s="1">
        <v>46186</v>
      </c>
      <c r="C851" t="str">
        <f>TEXT(tblData[[#This Row],[Rental Date]],"mmm")</f>
        <v>Jun</v>
      </c>
      <c r="D851" t="str">
        <f>TEXT(tblData[[#This Row],[Rental Date]],"mmmm")</f>
        <v>June</v>
      </c>
      <c r="E851" t="s">
        <v>56</v>
      </c>
      <c r="F851" t="str">
        <f>TEXT(WEEKNUM(tblData[[#This Row],[Rental Date]]),"00")</f>
        <v>24</v>
      </c>
      <c r="G851" s="1">
        <f>EOMONTH(tblData[[#This Row],[Rental Date]],0)</f>
        <v>46203</v>
      </c>
      <c r="H851" t="s">
        <v>749</v>
      </c>
      <c r="I851" t="s">
        <v>39</v>
      </c>
      <c r="J851" t="s">
        <v>78</v>
      </c>
      <c r="K851" t="s">
        <v>25</v>
      </c>
      <c r="L851">
        <v>1</v>
      </c>
      <c r="M851" s="2">
        <v>50.4</v>
      </c>
      <c r="N851" t="s">
        <v>89</v>
      </c>
      <c r="O851" s="3">
        <v>6</v>
      </c>
      <c r="P851" s="3">
        <v>0</v>
      </c>
      <c r="Q851" s="2">
        <v>56.4</v>
      </c>
      <c r="R851" t="s">
        <v>57</v>
      </c>
      <c r="S851" t="s">
        <v>28</v>
      </c>
      <c r="T851" t="s">
        <v>29</v>
      </c>
      <c r="U851" t="s">
        <v>30</v>
      </c>
    </row>
    <row r="852" spans="1:21" x14ac:dyDescent="0.35">
      <c r="A852" t="s">
        <v>931</v>
      </c>
      <c r="B852" s="1">
        <v>46186</v>
      </c>
      <c r="C852" t="str">
        <f>TEXT(tblData[[#This Row],[Rental Date]],"mmm")</f>
        <v>Jun</v>
      </c>
      <c r="D852" t="str">
        <f>TEXT(tblData[[#This Row],[Rental Date]],"mmmm")</f>
        <v>June</v>
      </c>
      <c r="E852" t="s">
        <v>56</v>
      </c>
      <c r="F852" t="str">
        <f>TEXT(WEEKNUM(tblData[[#This Row],[Rental Date]]),"00")</f>
        <v>24</v>
      </c>
      <c r="G852" s="1">
        <f>EOMONTH(tblData[[#This Row],[Rental Date]],0)</f>
        <v>46203</v>
      </c>
      <c r="H852" t="s">
        <v>749</v>
      </c>
      <c r="I852" t="s">
        <v>48</v>
      </c>
      <c r="J852" t="s">
        <v>44</v>
      </c>
      <c r="K852" t="s">
        <v>25</v>
      </c>
      <c r="L852">
        <v>1</v>
      </c>
      <c r="M852" s="2">
        <v>62.4</v>
      </c>
      <c r="N852" t="s">
        <v>70</v>
      </c>
      <c r="O852" s="3">
        <v>7</v>
      </c>
      <c r="P852" s="3">
        <v>0</v>
      </c>
      <c r="Q852" s="2">
        <v>69.400000000000006</v>
      </c>
      <c r="R852" t="s">
        <v>94</v>
      </c>
      <c r="S852" t="s">
        <v>54</v>
      </c>
      <c r="T852" t="s">
        <v>51</v>
      </c>
      <c r="U852" t="s">
        <v>58</v>
      </c>
    </row>
    <row r="853" spans="1:21" x14ac:dyDescent="0.35">
      <c r="A853" t="s">
        <v>932</v>
      </c>
      <c r="B853" s="1">
        <v>46186</v>
      </c>
      <c r="C853" t="str">
        <f>TEXT(tblData[[#This Row],[Rental Date]],"mmm")</f>
        <v>Jun</v>
      </c>
      <c r="D853" t="str">
        <f>TEXT(tblData[[#This Row],[Rental Date]],"mmmm")</f>
        <v>June</v>
      </c>
      <c r="E853" t="s">
        <v>56</v>
      </c>
      <c r="F853" t="str">
        <f>TEXT(WEEKNUM(tblData[[#This Row],[Rental Date]]),"00")</f>
        <v>24</v>
      </c>
      <c r="G853" s="1">
        <f>EOMONTH(tblData[[#This Row],[Rental Date]],0)</f>
        <v>46203</v>
      </c>
      <c r="H853" t="s">
        <v>749</v>
      </c>
      <c r="I853" t="s">
        <v>39</v>
      </c>
      <c r="J853" t="s">
        <v>78</v>
      </c>
      <c r="K853" t="s">
        <v>40</v>
      </c>
      <c r="L853">
        <v>1</v>
      </c>
      <c r="M853" s="2">
        <v>74.400000000000006</v>
      </c>
      <c r="N853" t="s">
        <v>26</v>
      </c>
      <c r="O853" s="3">
        <v>0</v>
      </c>
      <c r="P853" s="3">
        <v>0</v>
      </c>
      <c r="Q853" s="2">
        <v>74.400000000000006</v>
      </c>
      <c r="R853" t="s">
        <v>45</v>
      </c>
      <c r="S853" t="s">
        <v>50</v>
      </c>
      <c r="T853" t="s">
        <v>29</v>
      </c>
      <c r="U853" t="s">
        <v>58</v>
      </c>
    </row>
    <row r="854" spans="1:21" x14ac:dyDescent="0.35">
      <c r="A854" t="s">
        <v>933</v>
      </c>
      <c r="B854" s="1">
        <v>46186</v>
      </c>
      <c r="C854" t="str">
        <f>TEXT(tblData[[#This Row],[Rental Date]],"mmm")</f>
        <v>Jun</v>
      </c>
      <c r="D854" t="str">
        <f>TEXT(tblData[[#This Row],[Rental Date]],"mmmm")</f>
        <v>June</v>
      </c>
      <c r="E854" t="s">
        <v>56</v>
      </c>
      <c r="F854" t="str">
        <f>TEXT(WEEKNUM(tblData[[#This Row],[Rental Date]]),"00")</f>
        <v>24</v>
      </c>
      <c r="G854" s="1">
        <f>EOMONTH(tblData[[#This Row],[Rental Date]],0)</f>
        <v>46203</v>
      </c>
      <c r="H854" t="s">
        <v>749</v>
      </c>
      <c r="I854" t="s">
        <v>39</v>
      </c>
      <c r="J854" t="s">
        <v>78</v>
      </c>
      <c r="K854" t="s">
        <v>25</v>
      </c>
      <c r="L854">
        <v>1</v>
      </c>
      <c r="M854" s="2">
        <v>50.4</v>
      </c>
      <c r="N854" t="s">
        <v>41</v>
      </c>
      <c r="O854" s="3">
        <v>5</v>
      </c>
      <c r="P854" s="3">
        <v>0</v>
      </c>
      <c r="Q854" s="2">
        <v>55.4</v>
      </c>
      <c r="R854" t="s">
        <v>71</v>
      </c>
      <c r="S854" t="s">
        <v>54</v>
      </c>
      <c r="T854" t="s">
        <v>29</v>
      </c>
      <c r="U854" t="s">
        <v>79</v>
      </c>
    </row>
    <row r="855" spans="1:21" x14ac:dyDescent="0.35">
      <c r="A855" t="s">
        <v>934</v>
      </c>
      <c r="B855" s="1">
        <v>46186</v>
      </c>
      <c r="C855" t="str">
        <f>TEXT(tblData[[#This Row],[Rental Date]],"mmm")</f>
        <v>Jun</v>
      </c>
      <c r="D855" t="str">
        <f>TEXT(tblData[[#This Row],[Rental Date]],"mmmm")</f>
        <v>June</v>
      </c>
      <c r="E855" t="s">
        <v>56</v>
      </c>
      <c r="F855" t="str">
        <f>TEXT(WEEKNUM(tblData[[#This Row],[Rental Date]]),"00")</f>
        <v>24</v>
      </c>
      <c r="G855" s="1">
        <f>EOMONTH(tblData[[#This Row],[Rental Date]],0)</f>
        <v>46203</v>
      </c>
      <c r="H855" t="s">
        <v>749</v>
      </c>
      <c r="I855" t="s">
        <v>39</v>
      </c>
      <c r="J855" t="s">
        <v>44</v>
      </c>
      <c r="K855" t="s">
        <v>40</v>
      </c>
      <c r="L855">
        <v>1</v>
      </c>
      <c r="M855" s="2">
        <v>93.6</v>
      </c>
      <c r="N855" t="s">
        <v>61</v>
      </c>
      <c r="O855" s="3">
        <v>8</v>
      </c>
      <c r="P855" s="3">
        <v>0</v>
      </c>
      <c r="Q855" s="2">
        <v>101.6</v>
      </c>
      <c r="R855" t="s">
        <v>94</v>
      </c>
      <c r="S855" t="s">
        <v>50</v>
      </c>
      <c r="T855" t="s">
        <v>90</v>
      </c>
      <c r="U855" t="s">
        <v>30</v>
      </c>
    </row>
    <row r="856" spans="1:21" x14ac:dyDescent="0.35">
      <c r="A856" t="s">
        <v>935</v>
      </c>
      <c r="B856" s="1">
        <v>46186</v>
      </c>
      <c r="C856" t="str">
        <f>TEXT(tblData[[#This Row],[Rental Date]],"mmm")</f>
        <v>Jun</v>
      </c>
      <c r="D856" t="str">
        <f>TEXT(tblData[[#This Row],[Rental Date]],"mmmm")</f>
        <v>June</v>
      </c>
      <c r="E856" t="s">
        <v>56</v>
      </c>
      <c r="F856" t="str">
        <f>TEXT(WEEKNUM(tblData[[#This Row],[Rental Date]]),"00")</f>
        <v>24</v>
      </c>
      <c r="G856" s="1">
        <f>EOMONTH(tblData[[#This Row],[Rental Date]],0)</f>
        <v>46203</v>
      </c>
      <c r="H856" t="s">
        <v>749</v>
      </c>
      <c r="I856" t="s">
        <v>53</v>
      </c>
      <c r="J856" t="s">
        <v>65</v>
      </c>
      <c r="K856" t="s">
        <v>60</v>
      </c>
      <c r="L856">
        <v>1</v>
      </c>
      <c r="M856" s="2">
        <v>14.4</v>
      </c>
      <c r="N856" t="s">
        <v>89</v>
      </c>
      <c r="O856" s="3">
        <v>6</v>
      </c>
      <c r="P856" s="3">
        <v>2.04</v>
      </c>
      <c r="Q856" s="2">
        <v>18.36</v>
      </c>
      <c r="R856" t="s">
        <v>34</v>
      </c>
      <c r="S856" t="s">
        <v>35</v>
      </c>
      <c r="T856" t="s">
        <v>90</v>
      </c>
      <c r="U856" t="s">
        <v>30</v>
      </c>
    </row>
    <row r="857" spans="1:21" x14ac:dyDescent="0.35">
      <c r="A857" t="s">
        <v>936</v>
      </c>
      <c r="B857" s="1">
        <v>46186</v>
      </c>
      <c r="C857" t="str">
        <f>TEXT(tblData[[#This Row],[Rental Date]],"mmm")</f>
        <v>Jun</v>
      </c>
      <c r="D857" t="str">
        <f>TEXT(tblData[[#This Row],[Rental Date]],"mmmm")</f>
        <v>June</v>
      </c>
      <c r="E857" t="s">
        <v>56</v>
      </c>
      <c r="F857" t="str">
        <f>TEXT(WEEKNUM(tblData[[#This Row],[Rental Date]]),"00")</f>
        <v>24</v>
      </c>
      <c r="G857" s="1">
        <f>EOMONTH(tblData[[#This Row],[Rental Date]],0)</f>
        <v>46203</v>
      </c>
      <c r="H857" t="s">
        <v>749</v>
      </c>
      <c r="I857" t="s">
        <v>39</v>
      </c>
      <c r="J857" t="s">
        <v>78</v>
      </c>
      <c r="K857" t="s">
        <v>40</v>
      </c>
      <c r="L857">
        <v>1</v>
      </c>
      <c r="M857" s="2">
        <v>74.400000000000006</v>
      </c>
      <c r="N857" t="s">
        <v>26</v>
      </c>
      <c r="O857" s="3">
        <v>0</v>
      </c>
      <c r="P857" s="3">
        <v>0</v>
      </c>
      <c r="Q857" s="2">
        <v>74.400000000000006</v>
      </c>
      <c r="R857" t="s">
        <v>62</v>
      </c>
      <c r="S857" t="s">
        <v>35</v>
      </c>
      <c r="T857" t="s">
        <v>51</v>
      </c>
      <c r="U857" t="s">
        <v>30</v>
      </c>
    </row>
    <row r="858" spans="1:21" x14ac:dyDescent="0.35">
      <c r="A858" t="s">
        <v>937</v>
      </c>
      <c r="B858" s="1">
        <v>46186</v>
      </c>
      <c r="C858" t="str">
        <f>TEXT(tblData[[#This Row],[Rental Date]],"mmm")</f>
        <v>Jun</v>
      </c>
      <c r="D858" t="str">
        <f>TEXT(tblData[[#This Row],[Rental Date]],"mmmm")</f>
        <v>June</v>
      </c>
      <c r="E858" t="s">
        <v>56</v>
      </c>
      <c r="F858" t="str">
        <f>TEXT(WEEKNUM(tblData[[#This Row],[Rental Date]]),"00")</f>
        <v>24</v>
      </c>
      <c r="G858" s="1">
        <f>EOMONTH(tblData[[#This Row],[Rental Date]],0)</f>
        <v>46203</v>
      </c>
      <c r="H858" t="s">
        <v>749</v>
      </c>
      <c r="I858" t="s">
        <v>39</v>
      </c>
      <c r="J858" t="s">
        <v>44</v>
      </c>
      <c r="K858" t="s">
        <v>60</v>
      </c>
      <c r="L858">
        <v>1</v>
      </c>
      <c r="M858" s="2">
        <v>40.799999999999997</v>
      </c>
      <c r="N858" t="s">
        <v>87</v>
      </c>
      <c r="O858" s="3">
        <v>10</v>
      </c>
      <c r="P858" s="3">
        <v>0</v>
      </c>
      <c r="Q858" s="2">
        <v>50.8</v>
      </c>
      <c r="R858" t="s">
        <v>71</v>
      </c>
      <c r="S858" t="s">
        <v>28</v>
      </c>
      <c r="T858" t="s">
        <v>29</v>
      </c>
      <c r="U858" t="s">
        <v>30</v>
      </c>
    </row>
    <row r="859" spans="1:21" x14ac:dyDescent="0.35">
      <c r="A859" t="s">
        <v>938</v>
      </c>
      <c r="B859" s="1">
        <v>46186</v>
      </c>
      <c r="C859" t="str">
        <f>TEXT(tblData[[#This Row],[Rental Date]],"mmm")</f>
        <v>Jun</v>
      </c>
      <c r="D859" t="str">
        <f>TEXT(tblData[[#This Row],[Rental Date]],"mmmm")</f>
        <v>June</v>
      </c>
      <c r="E859" t="s">
        <v>56</v>
      </c>
      <c r="F859" t="str">
        <f>TEXT(WEEKNUM(tblData[[#This Row],[Rental Date]]),"00")</f>
        <v>24</v>
      </c>
      <c r="G859" s="1">
        <f>EOMONTH(tblData[[#This Row],[Rental Date]],0)</f>
        <v>46203</v>
      </c>
      <c r="H859" t="s">
        <v>749</v>
      </c>
      <c r="I859" t="s">
        <v>48</v>
      </c>
      <c r="J859" t="s">
        <v>65</v>
      </c>
      <c r="K859" t="s">
        <v>92</v>
      </c>
      <c r="L859">
        <v>1</v>
      </c>
      <c r="M859" s="2">
        <v>48</v>
      </c>
      <c r="N859" t="s">
        <v>26</v>
      </c>
      <c r="O859" s="3">
        <v>0</v>
      </c>
      <c r="P859" s="3">
        <v>0</v>
      </c>
      <c r="Q859" s="2">
        <v>48</v>
      </c>
      <c r="R859" t="s">
        <v>62</v>
      </c>
      <c r="S859" t="s">
        <v>54</v>
      </c>
      <c r="T859" t="s">
        <v>63</v>
      </c>
      <c r="U859" t="s">
        <v>30</v>
      </c>
    </row>
    <row r="860" spans="1:21" x14ac:dyDescent="0.35">
      <c r="A860" t="s">
        <v>939</v>
      </c>
      <c r="B860" s="1">
        <v>46186</v>
      </c>
      <c r="C860" t="str">
        <f>TEXT(tblData[[#This Row],[Rental Date]],"mmm")</f>
        <v>Jun</v>
      </c>
      <c r="D860" t="str">
        <f>TEXT(tblData[[#This Row],[Rental Date]],"mmmm")</f>
        <v>June</v>
      </c>
      <c r="E860" t="s">
        <v>56</v>
      </c>
      <c r="F860" t="str">
        <f>TEXT(WEEKNUM(tblData[[#This Row],[Rental Date]]),"00")</f>
        <v>24</v>
      </c>
      <c r="G860" s="1">
        <f>EOMONTH(tblData[[#This Row],[Rental Date]],0)</f>
        <v>46203</v>
      </c>
      <c r="H860" t="s">
        <v>749</v>
      </c>
      <c r="I860" t="s">
        <v>39</v>
      </c>
      <c r="J860" t="s">
        <v>44</v>
      </c>
      <c r="K860" t="s">
        <v>60</v>
      </c>
      <c r="L860">
        <v>1</v>
      </c>
      <c r="M860" s="2">
        <v>40.799999999999997</v>
      </c>
      <c r="N860" t="s">
        <v>41</v>
      </c>
      <c r="O860" s="3">
        <v>5</v>
      </c>
      <c r="P860" s="3">
        <v>2.29</v>
      </c>
      <c r="Q860" s="2">
        <v>43.51</v>
      </c>
      <c r="R860" t="s">
        <v>71</v>
      </c>
      <c r="S860" t="s">
        <v>54</v>
      </c>
      <c r="T860" t="s">
        <v>51</v>
      </c>
      <c r="U860" t="s">
        <v>30</v>
      </c>
    </row>
    <row r="861" spans="1:21" x14ac:dyDescent="0.35">
      <c r="A861" t="s">
        <v>940</v>
      </c>
      <c r="B861" s="1">
        <v>46186</v>
      </c>
      <c r="C861" t="str">
        <f>TEXT(tblData[[#This Row],[Rental Date]],"mmm")</f>
        <v>Jun</v>
      </c>
      <c r="D861" t="str">
        <f>TEXT(tblData[[#This Row],[Rental Date]],"mmmm")</f>
        <v>June</v>
      </c>
      <c r="E861" t="s">
        <v>56</v>
      </c>
      <c r="F861" t="str">
        <f>TEXT(WEEKNUM(tblData[[#This Row],[Rental Date]]),"00")</f>
        <v>24</v>
      </c>
      <c r="G861" s="1">
        <f>EOMONTH(tblData[[#This Row],[Rental Date]],0)</f>
        <v>46203</v>
      </c>
      <c r="H861" t="s">
        <v>749</v>
      </c>
      <c r="I861" t="s">
        <v>48</v>
      </c>
      <c r="J861" t="s">
        <v>65</v>
      </c>
      <c r="K861" t="s">
        <v>60</v>
      </c>
      <c r="L861">
        <v>1</v>
      </c>
      <c r="M861" s="2">
        <v>14.4</v>
      </c>
      <c r="N861" t="s">
        <v>26</v>
      </c>
      <c r="O861" s="3">
        <v>0</v>
      </c>
      <c r="P861" s="3">
        <v>0</v>
      </c>
      <c r="Q861" s="2">
        <v>14.4</v>
      </c>
      <c r="R861" t="s">
        <v>71</v>
      </c>
      <c r="S861" t="s">
        <v>54</v>
      </c>
      <c r="T861" t="s">
        <v>29</v>
      </c>
      <c r="U861" t="s">
        <v>30</v>
      </c>
    </row>
    <row r="862" spans="1:21" x14ac:dyDescent="0.35">
      <c r="A862" t="s">
        <v>941</v>
      </c>
      <c r="B862" s="1">
        <v>46186</v>
      </c>
      <c r="C862" t="str">
        <f>TEXT(tblData[[#This Row],[Rental Date]],"mmm")</f>
        <v>Jun</v>
      </c>
      <c r="D862" t="str">
        <f>TEXT(tblData[[#This Row],[Rental Date]],"mmmm")</f>
        <v>June</v>
      </c>
      <c r="E862" t="s">
        <v>56</v>
      </c>
      <c r="F862" t="str">
        <f>TEXT(WEEKNUM(tblData[[#This Row],[Rental Date]]),"00")</f>
        <v>24</v>
      </c>
      <c r="G862" s="1">
        <f>EOMONTH(tblData[[#This Row],[Rental Date]],0)</f>
        <v>46203</v>
      </c>
      <c r="H862" t="s">
        <v>749</v>
      </c>
      <c r="I862" t="s">
        <v>48</v>
      </c>
      <c r="J862" t="s">
        <v>78</v>
      </c>
      <c r="K862" t="s">
        <v>92</v>
      </c>
      <c r="L862">
        <v>1</v>
      </c>
      <c r="M862" s="2">
        <v>105.6</v>
      </c>
      <c r="N862" t="s">
        <v>89</v>
      </c>
      <c r="O862" s="3">
        <v>6</v>
      </c>
      <c r="P862" s="3">
        <v>0</v>
      </c>
      <c r="Q862" s="2">
        <v>111.6</v>
      </c>
      <c r="R862" t="s">
        <v>27</v>
      </c>
      <c r="S862" t="s">
        <v>28</v>
      </c>
      <c r="T862" t="s">
        <v>63</v>
      </c>
      <c r="U862" t="s">
        <v>30</v>
      </c>
    </row>
    <row r="863" spans="1:21" x14ac:dyDescent="0.35">
      <c r="A863" t="s">
        <v>942</v>
      </c>
      <c r="B863" s="1">
        <v>46186</v>
      </c>
      <c r="C863" t="str">
        <f>TEXT(tblData[[#This Row],[Rental Date]],"mmm")</f>
        <v>Jun</v>
      </c>
      <c r="D863" t="str">
        <f>TEXT(tblData[[#This Row],[Rental Date]],"mmmm")</f>
        <v>June</v>
      </c>
      <c r="E863" t="s">
        <v>56</v>
      </c>
      <c r="F863" t="str">
        <f>TEXT(WEEKNUM(tblData[[#This Row],[Rental Date]]),"00")</f>
        <v>24</v>
      </c>
      <c r="G863" s="1">
        <f>EOMONTH(tblData[[#This Row],[Rental Date]],0)</f>
        <v>46203</v>
      </c>
      <c r="H863" t="s">
        <v>749</v>
      </c>
      <c r="I863" t="s">
        <v>39</v>
      </c>
      <c r="J863" t="s">
        <v>65</v>
      </c>
      <c r="K863" t="s">
        <v>60</v>
      </c>
      <c r="L863">
        <v>1</v>
      </c>
      <c r="M863" s="2">
        <v>14.4</v>
      </c>
      <c r="N863" t="s">
        <v>26</v>
      </c>
      <c r="O863" s="3">
        <v>0</v>
      </c>
      <c r="P863" s="3">
        <v>0</v>
      </c>
      <c r="Q863" s="2">
        <v>14.4</v>
      </c>
      <c r="R863" t="s">
        <v>34</v>
      </c>
      <c r="S863" t="s">
        <v>54</v>
      </c>
      <c r="T863" t="s">
        <v>29</v>
      </c>
      <c r="U863" t="s">
        <v>30</v>
      </c>
    </row>
    <row r="864" spans="1:21" x14ac:dyDescent="0.35">
      <c r="A864" t="s">
        <v>943</v>
      </c>
      <c r="B864" s="1">
        <v>46186</v>
      </c>
      <c r="C864" t="str">
        <f>TEXT(tblData[[#This Row],[Rental Date]],"mmm")</f>
        <v>Jun</v>
      </c>
      <c r="D864" t="str">
        <f>TEXT(tblData[[#This Row],[Rental Date]],"mmmm")</f>
        <v>June</v>
      </c>
      <c r="E864" t="s">
        <v>56</v>
      </c>
      <c r="F864" t="str">
        <f>TEXT(WEEKNUM(tblData[[#This Row],[Rental Date]]),"00")</f>
        <v>24</v>
      </c>
      <c r="G864" s="1">
        <f>EOMONTH(tblData[[#This Row],[Rental Date]],0)</f>
        <v>46203</v>
      </c>
      <c r="H864" t="s">
        <v>749</v>
      </c>
      <c r="I864" t="s">
        <v>39</v>
      </c>
      <c r="J864" t="s">
        <v>127</v>
      </c>
      <c r="K864" t="s">
        <v>25</v>
      </c>
      <c r="L864">
        <v>1</v>
      </c>
      <c r="M864" s="2">
        <v>19.2</v>
      </c>
      <c r="N864" t="s">
        <v>75</v>
      </c>
      <c r="O864" s="3">
        <v>12</v>
      </c>
      <c r="P864" s="3">
        <v>0</v>
      </c>
      <c r="Q864" s="2">
        <v>31.2</v>
      </c>
      <c r="R864" t="s">
        <v>45</v>
      </c>
      <c r="S864" t="s">
        <v>35</v>
      </c>
      <c r="T864" t="s">
        <v>83</v>
      </c>
      <c r="U864" t="s">
        <v>30</v>
      </c>
    </row>
    <row r="865" spans="1:21" x14ac:dyDescent="0.35">
      <c r="A865" t="s">
        <v>944</v>
      </c>
      <c r="B865" s="1">
        <v>46187</v>
      </c>
      <c r="C865" t="str">
        <f>TEXT(tblData[[#This Row],[Rental Date]],"mmm")</f>
        <v>Jun</v>
      </c>
      <c r="D865" t="str">
        <f>TEXT(tblData[[#This Row],[Rental Date]],"mmmm")</f>
        <v>June</v>
      </c>
      <c r="E865" t="s">
        <v>68</v>
      </c>
      <c r="F865" t="str">
        <f>TEXT(WEEKNUM(tblData[[#This Row],[Rental Date]]),"00")</f>
        <v>25</v>
      </c>
      <c r="G865" s="1">
        <f>EOMONTH(tblData[[#This Row],[Rental Date]],0)</f>
        <v>46203</v>
      </c>
      <c r="H865" t="s">
        <v>749</v>
      </c>
      <c r="I865" t="s">
        <v>23</v>
      </c>
      <c r="J865" t="s">
        <v>127</v>
      </c>
      <c r="K865" t="s">
        <v>40</v>
      </c>
      <c r="L865">
        <v>1</v>
      </c>
      <c r="M865" s="2">
        <v>28.8</v>
      </c>
      <c r="N865" t="s">
        <v>26</v>
      </c>
      <c r="O865" s="3">
        <v>0</v>
      </c>
      <c r="P865" s="3">
        <v>0</v>
      </c>
      <c r="Q865" s="2">
        <v>28.8</v>
      </c>
      <c r="R865" t="s">
        <v>62</v>
      </c>
      <c r="S865" t="s">
        <v>46</v>
      </c>
      <c r="T865" t="s">
        <v>29</v>
      </c>
      <c r="U865" t="s">
        <v>30</v>
      </c>
    </row>
    <row r="866" spans="1:21" x14ac:dyDescent="0.35">
      <c r="A866" t="s">
        <v>945</v>
      </c>
      <c r="B866" s="1">
        <v>46187</v>
      </c>
      <c r="C866" t="str">
        <f>TEXT(tblData[[#This Row],[Rental Date]],"mmm")</f>
        <v>Jun</v>
      </c>
      <c r="D866" t="str">
        <f>TEXT(tblData[[#This Row],[Rental Date]],"mmmm")</f>
        <v>June</v>
      </c>
      <c r="E866" t="s">
        <v>68</v>
      </c>
      <c r="F866" t="str">
        <f>TEXT(WEEKNUM(tblData[[#This Row],[Rental Date]]),"00")</f>
        <v>25</v>
      </c>
      <c r="G866" s="1">
        <f>EOMONTH(tblData[[#This Row],[Rental Date]],0)</f>
        <v>46203</v>
      </c>
      <c r="H866" t="s">
        <v>749</v>
      </c>
      <c r="I866" t="s">
        <v>48</v>
      </c>
      <c r="J866" t="s">
        <v>33</v>
      </c>
      <c r="K866" t="s">
        <v>60</v>
      </c>
      <c r="L866">
        <v>1</v>
      </c>
      <c r="M866" s="2">
        <v>28.8</v>
      </c>
      <c r="N866" t="s">
        <v>41</v>
      </c>
      <c r="O866" s="3">
        <v>5</v>
      </c>
      <c r="P866" s="3">
        <v>0</v>
      </c>
      <c r="Q866" s="2">
        <v>33.799999999999997</v>
      </c>
      <c r="R866" t="s">
        <v>34</v>
      </c>
      <c r="S866" t="s">
        <v>46</v>
      </c>
      <c r="T866" t="s">
        <v>90</v>
      </c>
      <c r="U866" t="s">
        <v>30</v>
      </c>
    </row>
    <row r="867" spans="1:21" x14ac:dyDescent="0.35">
      <c r="A867" t="s">
        <v>946</v>
      </c>
      <c r="B867" s="1">
        <v>46187</v>
      </c>
      <c r="C867" t="str">
        <f>TEXT(tblData[[#This Row],[Rental Date]],"mmm")</f>
        <v>Jun</v>
      </c>
      <c r="D867" t="str">
        <f>TEXT(tblData[[#This Row],[Rental Date]],"mmmm")</f>
        <v>June</v>
      </c>
      <c r="E867" t="s">
        <v>68</v>
      </c>
      <c r="F867" t="str">
        <f>TEXT(WEEKNUM(tblData[[#This Row],[Rental Date]]),"00")</f>
        <v>25</v>
      </c>
      <c r="G867" s="1">
        <f>EOMONTH(tblData[[#This Row],[Rental Date]],0)</f>
        <v>46203</v>
      </c>
      <c r="H867" t="s">
        <v>749</v>
      </c>
      <c r="I867" t="s">
        <v>39</v>
      </c>
      <c r="J867" t="s">
        <v>44</v>
      </c>
      <c r="K867" t="s">
        <v>60</v>
      </c>
      <c r="L867">
        <v>1</v>
      </c>
      <c r="M867" s="2">
        <v>40.799999999999997</v>
      </c>
      <c r="N867" t="s">
        <v>26</v>
      </c>
      <c r="O867" s="3">
        <v>0</v>
      </c>
      <c r="P867" s="3">
        <v>0</v>
      </c>
      <c r="Q867" s="2">
        <v>40.799999999999997</v>
      </c>
      <c r="R867" t="s">
        <v>34</v>
      </c>
      <c r="S867" t="s">
        <v>46</v>
      </c>
      <c r="T867" t="s">
        <v>29</v>
      </c>
      <c r="U867" t="s">
        <v>30</v>
      </c>
    </row>
    <row r="868" spans="1:21" x14ac:dyDescent="0.35">
      <c r="A868" t="s">
        <v>947</v>
      </c>
      <c r="B868" s="1">
        <v>46187</v>
      </c>
      <c r="C868" t="str">
        <f>TEXT(tblData[[#This Row],[Rental Date]],"mmm")</f>
        <v>Jun</v>
      </c>
      <c r="D868" t="str">
        <f>TEXT(tblData[[#This Row],[Rental Date]],"mmmm")</f>
        <v>June</v>
      </c>
      <c r="E868" t="s">
        <v>68</v>
      </c>
      <c r="F868" t="str">
        <f>TEXT(WEEKNUM(tblData[[#This Row],[Rental Date]]),"00")</f>
        <v>25</v>
      </c>
      <c r="G868" s="1">
        <f>EOMONTH(tblData[[#This Row],[Rental Date]],0)</f>
        <v>46203</v>
      </c>
      <c r="H868" t="s">
        <v>749</v>
      </c>
      <c r="I868" t="s">
        <v>32</v>
      </c>
      <c r="J868" t="s">
        <v>78</v>
      </c>
      <c r="K868" t="s">
        <v>40</v>
      </c>
      <c r="L868">
        <v>1</v>
      </c>
      <c r="M868" s="2">
        <v>74.400000000000006</v>
      </c>
      <c r="N868" t="s">
        <v>26</v>
      </c>
      <c r="O868" s="3">
        <v>0</v>
      </c>
      <c r="P868" s="3">
        <v>7.44</v>
      </c>
      <c r="Q868" s="2">
        <v>66.959999999999994</v>
      </c>
      <c r="R868" t="s">
        <v>34</v>
      </c>
      <c r="S868" t="s">
        <v>54</v>
      </c>
      <c r="T868" t="s">
        <v>90</v>
      </c>
      <c r="U868" t="s">
        <v>30</v>
      </c>
    </row>
    <row r="869" spans="1:21" x14ac:dyDescent="0.35">
      <c r="A869" t="s">
        <v>948</v>
      </c>
      <c r="B869" s="1">
        <v>46187</v>
      </c>
      <c r="C869" t="str">
        <f>TEXT(tblData[[#This Row],[Rental Date]],"mmm")</f>
        <v>Jun</v>
      </c>
      <c r="D869" t="str">
        <f>TEXT(tblData[[#This Row],[Rental Date]],"mmmm")</f>
        <v>June</v>
      </c>
      <c r="E869" t="s">
        <v>68</v>
      </c>
      <c r="F869" t="str">
        <f>TEXT(WEEKNUM(tblData[[#This Row],[Rental Date]]),"00")</f>
        <v>25</v>
      </c>
      <c r="G869" s="1">
        <f>EOMONTH(tblData[[#This Row],[Rental Date]],0)</f>
        <v>46203</v>
      </c>
      <c r="H869" t="s">
        <v>749</v>
      </c>
      <c r="I869" t="s">
        <v>39</v>
      </c>
      <c r="J869" t="s">
        <v>44</v>
      </c>
      <c r="K869" t="s">
        <v>25</v>
      </c>
      <c r="L869">
        <v>1</v>
      </c>
      <c r="M869" s="2">
        <v>62.4</v>
      </c>
      <c r="N869" t="s">
        <v>89</v>
      </c>
      <c r="O869" s="3">
        <v>6</v>
      </c>
      <c r="P869" s="3">
        <v>0</v>
      </c>
      <c r="Q869" s="2">
        <v>68.400000000000006</v>
      </c>
      <c r="R869" t="s">
        <v>45</v>
      </c>
      <c r="S869" t="s">
        <v>54</v>
      </c>
      <c r="T869" t="s">
        <v>51</v>
      </c>
      <c r="U869" t="s">
        <v>30</v>
      </c>
    </row>
    <row r="870" spans="1:21" x14ac:dyDescent="0.35">
      <c r="A870" t="s">
        <v>949</v>
      </c>
      <c r="B870" s="1">
        <v>46187</v>
      </c>
      <c r="C870" t="str">
        <f>TEXT(tblData[[#This Row],[Rental Date]],"mmm")</f>
        <v>Jun</v>
      </c>
      <c r="D870" t="str">
        <f>TEXT(tblData[[#This Row],[Rental Date]],"mmmm")</f>
        <v>June</v>
      </c>
      <c r="E870" t="s">
        <v>68</v>
      </c>
      <c r="F870" t="str">
        <f>TEXT(WEEKNUM(tblData[[#This Row],[Rental Date]]),"00")</f>
        <v>25</v>
      </c>
      <c r="G870" s="1">
        <f>EOMONTH(tblData[[#This Row],[Rental Date]],0)</f>
        <v>46203</v>
      </c>
      <c r="H870" t="s">
        <v>749</v>
      </c>
      <c r="I870" t="s">
        <v>48</v>
      </c>
      <c r="J870" t="s">
        <v>86</v>
      </c>
      <c r="K870" t="s">
        <v>92</v>
      </c>
      <c r="L870">
        <v>1</v>
      </c>
      <c r="M870" s="2">
        <v>148.80000000000001</v>
      </c>
      <c r="N870" t="s">
        <v>26</v>
      </c>
      <c r="O870" s="3">
        <v>0</v>
      </c>
      <c r="P870" s="3">
        <v>0</v>
      </c>
      <c r="Q870" s="2">
        <v>148.80000000000001</v>
      </c>
      <c r="R870" t="s">
        <v>94</v>
      </c>
      <c r="S870" t="s">
        <v>35</v>
      </c>
      <c r="T870" t="s">
        <v>29</v>
      </c>
      <c r="U870" t="s">
        <v>30</v>
      </c>
    </row>
    <row r="871" spans="1:21" x14ac:dyDescent="0.35">
      <c r="A871" t="s">
        <v>950</v>
      </c>
      <c r="B871" s="1">
        <v>46187</v>
      </c>
      <c r="C871" t="str">
        <f>TEXT(tblData[[#This Row],[Rental Date]],"mmm")</f>
        <v>Jun</v>
      </c>
      <c r="D871" t="str">
        <f>TEXT(tblData[[#This Row],[Rental Date]],"mmmm")</f>
        <v>June</v>
      </c>
      <c r="E871" t="s">
        <v>68</v>
      </c>
      <c r="F871" t="str">
        <f>TEXT(WEEKNUM(tblData[[#This Row],[Rental Date]]),"00")</f>
        <v>25</v>
      </c>
      <c r="G871" s="1">
        <f>EOMONTH(tblData[[#This Row],[Rental Date]],0)</f>
        <v>46203</v>
      </c>
      <c r="H871" t="s">
        <v>749</v>
      </c>
      <c r="I871" t="s">
        <v>53</v>
      </c>
      <c r="J871" t="s">
        <v>33</v>
      </c>
      <c r="K871" t="s">
        <v>25</v>
      </c>
      <c r="L871">
        <v>1</v>
      </c>
      <c r="M871" s="2">
        <v>45.6</v>
      </c>
      <c r="N871" t="s">
        <v>26</v>
      </c>
      <c r="O871" s="3">
        <v>0</v>
      </c>
      <c r="P871" s="3">
        <v>6.84</v>
      </c>
      <c r="Q871" s="2">
        <v>38.76</v>
      </c>
      <c r="R871" t="s">
        <v>42</v>
      </c>
      <c r="S871" t="s">
        <v>50</v>
      </c>
      <c r="T871" t="s">
        <v>51</v>
      </c>
      <c r="U871" t="s">
        <v>30</v>
      </c>
    </row>
    <row r="872" spans="1:21" x14ac:dyDescent="0.35">
      <c r="A872" t="s">
        <v>951</v>
      </c>
      <c r="B872" s="1">
        <v>46187</v>
      </c>
      <c r="C872" t="str">
        <f>TEXT(tblData[[#This Row],[Rental Date]],"mmm")</f>
        <v>Jun</v>
      </c>
      <c r="D872" t="str">
        <f>TEXT(tblData[[#This Row],[Rental Date]],"mmmm")</f>
        <v>June</v>
      </c>
      <c r="E872" t="s">
        <v>68</v>
      </c>
      <c r="F872" t="str">
        <f>TEXT(WEEKNUM(tblData[[#This Row],[Rental Date]]),"00")</f>
        <v>25</v>
      </c>
      <c r="G872" s="1">
        <f>EOMONTH(tblData[[#This Row],[Rental Date]],0)</f>
        <v>46203</v>
      </c>
      <c r="H872" t="s">
        <v>749</v>
      </c>
      <c r="I872" t="s">
        <v>48</v>
      </c>
      <c r="J872" t="s">
        <v>49</v>
      </c>
      <c r="K872" t="s">
        <v>25</v>
      </c>
      <c r="L872">
        <v>1</v>
      </c>
      <c r="M872" s="2">
        <v>43.2</v>
      </c>
      <c r="N872" t="s">
        <v>26</v>
      </c>
      <c r="O872" s="3">
        <v>0</v>
      </c>
      <c r="P872" s="3">
        <v>0</v>
      </c>
      <c r="Q872" s="2">
        <v>43.2</v>
      </c>
      <c r="R872" t="s">
        <v>66</v>
      </c>
      <c r="S872" t="s">
        <v>28</v>
      </c>
      <c r="T872" t="s">
        <v>51</v>
      </c>
      <c r="U872" t="s">
        <v>30</v>
      </c>
    </row>
    <row r="873" spans="1:21" x14ac:dyDescent="0.35">
      <c r="A873" t="s">
        <v>952</v>
      </c>
      <c r="B873" s="1">
        <v>46187</v>
      </c>
      <c r="C873" t="str">
        <f>TEXT(tblData[[#This Row],[Rental Date]],"mmm")</f>
        <v>Jun</v>
      </c>
      <c r="D873" t="str">
        <f>TEXT(tblData[[#This Row],[Rental Date]],"mmmm")</f>
        <v>June</v>
      </c>
      <c r="E873" t="s">
        <v>68</v>
      </c>
      <c r="F873" t="str">
        <f>TEXT(WEEKNUM(tblData[[#This Row],[Rental Date]]),"00")</f>
        <v>25</v>
      </c>
      <c r="G873" s="1">
        <f>EOMONTH(tblData[[#This Row],[Rental Date]],0)</f>
        <v>46203</v>
      </c>
      <c r="H873" t="s">
        <v>749</v>
      </c>
      <c r="I873" t="s">
        <v>48</v>
      </c>
      <c r="J873" t="s">
        <v>78</v>
      </c>
      <c r="K873" t="s">
        <v>25</v>
      </c>
      <c r="L873">
        <v>1</v>
      </c>
      <c r="M873" s="2">
        <v>50.4</v>
      </c>
      <c r="N873" t="s">
        <v>89</v>
      </c>
      <c r="O873" s="3">
        <v>6</v>
      </c>
      <c r="P873" s="3">
        <v>0</v>
      </c>
      <c r="Q873" s="2">
        <v>56.4</v>
      </c>
      <c r="R873" t="s">
        <v>34</v>
      </c>
      <c r="S873" t="s">
        <v>28</v>
      </c>
      <c r="T873" t="s">
        <v>51</v>
      </c>
      <c r="U873" t="s">
        <v>30</v>
      </c>
    </row>
    <row r="874" spans="1:21" x14ac:dyDescent="0.35">
      <c r="A874" t="s">
        <v>953</v>
      </c>
      <c r="B874" s="1">
        <v>46187</v>
      </c>
      <c r="C874" t="str">
        <f>TEXT(tblData[[#This Row],[Rental Date]],"mmm")</f>
        <v>Jun</v>
      </c>
      <c r="D874" t="str">
        <f>TEXT(tblData[[#This Row],[Rental Date]],"mmmm")</f>
        <v>June</v>
      </c>
      <c r="E874" t="s">
        <v>68</v>
      </c>
      <c r="F874" t="str">
        <f>TEXT(WEEKNUM(tblData[[#This Row],[Rental Date]]),"00")</f>
        <v>25</v>
      </c>
      <c r="G874" s="1">
        <f>EOMONTH(tblData[[#This Row],[Rental Date]],0)</f>
        <v>46203</v>
      </c>
      <c r="H874" t="s">
        <v>749</v>
      </c>
      <c r="I874" t="s">
        <v>32</v>
      </c>
      <c r="J874" t="s">
        <v>78</v>
      </c>
      <c r="K874" t="s">
        <v>92</v>
      </c>
      <c r="L874">
        <v>1</v>
      </c>
      <c r="M874" s="2">
        <v>105.6</v>
      </c>
      <c r="N874" t="s">
        <v>41</v>
      </c>
      <c r="O874" s="3">
        <v>5</v>
      </c>
      <c r="P874" s="3">
        <v>0</v>
      </c>
      <c r="Q874" s="2">
        <v>110.6</v>
      </c>
      <c r="R874" t="s">
        <v>57</v>
      </c>
      <c r="S874" t="s">
        <v>54</v>
      </c>
      <c r="T874" t="s">
        <v>29</v>
      </c>
      <c r="U874" t="s">
        <v>30</v>
      </c>
    </row>
    <row r="875" spans="1:21" x14ac:dyDescent="0.35">
      <c r="A875" t="s">
        <v>954</v>
      </c>
      <c r="B875" s="1">
        <v>46187</v>
      </c>
      <c r="C875" t="str">
        <f>TEXT(tblData[[#This Row],[Rental Date]],"mmm")</f>
        <v>Jun</v>
      </c>
      <c r="D875" t="str">
        <f>TEXT(tblData[[#This Row],[Rental Date]],"mmmm")</f>
        <v>June</v>
      </c>
      <c r="E875" t="s">
        <v>68</v>
      </c>
      <c r="F875" t="str">
        <f>TEXT(WEEKNUM(tblData[[#This Row],[Rental Date]]),"00")</f>
        <v>25</v>
      </c>
      <c r="G875" s="1">
        <f>EOMONTH(tblData[[#This Row],[Rental Date]],0)</f>
        <v>46203</v>
      </c>
      <c r="H875" t="s">
        <v>749</v>
      </c>
      <c r="I875" t="s">
        <v>53</v>
      </c>
      <c r="J875" t="s">
        <v>33</v>
      </c>
      <c r="K875" t="s">
        <v>60</v>
      </c>
      <c r="L875">
        <v>1</v>
      </c>
      <c r="M875" s="2">
        <v>28.8</v>
      </c>
      <c r="N875" t="s">
        <v>26</v>
      </c>
      <c r="O875" s="3">
        <v>0</v>
      </c>
      <c r="P875" s="3">
        <v>2.88</v>
      </c>
      <c r="Q875" s="2">
        <v>25.92</v>
      </c>
      <c r="R875" t="s">
        <v>57</v>
      </c>
      <c r="S875" t="s">
        <v>35</v>
      </c>
      <c r="T875" t="s">
        <v>51</v>
      </c>
      <c r="U875" t="s">
        <v>30</v>
      </c>
    </row>
    <row r="876" spans="1:21" x14ac:dyDescent="0.35">
      <c r="A876" t="s">
        <v>955</v>
      </c>
      <c r="B876" s="1">
        <v>46187</v>
      </c>
      <c r="C876" t="str">
        <f>TEXT(tblData[[#This Row],[Rental Date]],"mmm")</f>
        <v>Jun</v>
      </c>
      <c r="D876" t="str">
        <f>TEXT(tblData[[#This Row],[Rental Date]],"mmmm")</f>
        <v>June</v>
      </c>
      <c r="E876" t="s">
        <v>68</v>
      </c>
      <c r="F876" t="str">
        <f>TEXT(WEEKNUM(tblData[[#This Row],[Rental Date]]),"00")</f>
        <v>25</v>
      </c>
      <c r="G876" s="1">
        <f>EOMONTH(tblData[[#This Row],[Rental Date]],0)</f>
        <v>46203</v>
      </c>
      <c r="H876" t="s">
        <v>749</v>
      </c>
      <c r="I876" t="s">
        <v>48</v>
      </c>
      <c r="J876" t="s">
        <v>33</v>
      </c>
      <c r="K876" t="s">
        <v>25</v>
      </c>
      <c r="L876">
        <v>1</v>
      </c>
      <c r="M876" s="2">
        <v>45.6</v>
      </c>
      <c r="N876" t="s">
        <v>26</v>
      </c>
      <c r="O876" s="3">
        <v>0</v>
      </c>
      <c r="P876" s="3">
        <v>0</v>
      </c>
      <c r="Q876" s="2">
        <v>45.6</v>
      </c>
      <c r="R876" t="s">
        <v>45</v>
      </c>
      <c r="S876" t="s">
        <v>35</v>
      </c>
      <c r="T876" t="s">
        <v>90</v>
      </c>
      <c r="U876" t="s">
        <v>30</v>
      </c>
    </row>
    <row r="877" spans="1:21" x14ac:dyDescent="0.35">
      <c r="A877" t="s">
        <v>956</v>
      </c>
      <c r="B877" s="1">
        <v>46187</v>
      </c>
      <c r="C877" t="str">
        <f>TEXT(tblData[[#This Row],[Rental Date]],"mmm")</f>
        <v>Jun</v>
      </c>
      <c r="D877" t="str">
        <f>TEXT(tblData[[#This Row],[Rental Date]],"mmmm")</f>
        <v>June</v>
      </c>
      <c r="E877" t="s">
        <v>68</v>
      </c>
      <c r="F877" t="str">
        <f>TEXT(WEEKNUM(tblData[[#This Row],[Rental Date]]),"00")</f>
        <v>25</v>
      </c>
      <c r="G877" s="1">
        <f>EOMONTH(tblData[[#This Row],[Rental Date]],0)</f>
        <v>46203</v>
      </c>
      <c r="H877" t="s">
        <v>749</v>
      </c>
      <c r="I877" t="s">
        <v>39</v>
      </c>
      <c r="J877" t="s">
        <v>138</v>
      </c>
      <c r="K877" t="s">
        <v>40</v>
      </c>
      <c r="L877">
        <v>1</v>
      </c>
      <c r="M877" s="2">
        <v>86.4</v>
      </c>
      <c r="N877" t="s">
        <v>26</v>
      </c>
      <c r="O877" s="3">
        <v>0</v>
      </c>
      <c r="P877" s="3">
        <v>0</v>
      </c>
      <c r="Q877" s="2">
        <v>86.4</v>
      </c>
      <c r="R877" t="s">
        <v>94</v>
      </c>
      <c r="S877" t="s">
        <v>28</v>
      </c>
      <c r="T877" t="s">
        <v>51</v>
      </c>
      <c r="U877" t="s">
        <v>30</v>
      </c>
    </row>
    <row r="878" spans="1:21" x14ac:dyDescent="0.35">
      <c r="A878" t="s">
        <v>957</v>
      </c>
      <c r="B878" s="1">
        <v>46187</v>
      </c>
      <c r="C878" t="str">
        <f>TEXT(tblData[[#This Row],[Rental Date]],"mmm")</f>
        <v>Jun</v>
      </c>
      <c r="D878" t="str">
        <f>TEXT(tblData[[#This Row],[Rental Date]],"mmmm")</f>
        <v>June</v>
      </c>
      <c r="E878" t="s">
        <v>68</v>
      </c>
      <c r="F878" t="str">
        <f>TEXT(WEEKNUM(tblData[[#This Row],[Rental Date]]),"00")</f>
        <v>25</v>
      </c>
      <c r="G878" s="1">
        <f>EOMONTH(tblData[[#This Row],[Rental Date]],0)</f>
        <v>46203</v>
      </c>
      <c r="H878" t="s">
        <v>749</v>
      </c>
      <c r="I878" t="s">
        <v>48</v>
      </c>
      <c r="J878" t="s">
        <v>44</v>
      </c>
      <c r="K878" t="s">
        <v>25</v>
      </c>
      <c r="L878">
        <v>1</v>
      </c>
      <c r="M878" s="2">
        <v>62.4</v>
      </c>
      <c r="N878" t="s">
        <v>26</v>
      </c>
      <c r="O878" s="3">
        <v>0</v>
      </c>
      <c r="P878" s="3">
        <v>0</v>
      </c>
      <c r="Q878" s="2">
        <v>62.4</v>
      </c>
      <c r="R878" t="s">
        <v>34</v>
      </c>
      <c r="S878" t="s">
        <v>46</v>
      </c>
      <c r="T878" t="s">
        <v>63</v>
      </c>
      <c r="U878" t="s">
        <v>30</v>
      </c>
    </row>
    <row r="879" spans="1:21" x14ac:dyDescent="0.35">
      <c r="A879" t="s">
        <v>958</v>
      </c>
      <c r="B879" s="1">
        <v>46187</v>
      </c>
      <c r="C879" t="str">
        <f>TEXT(tblData[[#This Row],[Rental Date]],"mmm")</f>
        <v>Jun</v>
      </c>
      <c r="D879" t="str">
        <f>TEXT(tblData[[#This Row],[Rental Date]],"mmmm")</f>
        <v>June</v>
      </c>
      <c r="E879" t="s">
        <v>68</v>
      </c>
      <c r="F879" t="str">
        <f>TEXT(WEEKNUM(tblData[[#This Row],[Rental Date]]),"00")</f>
        <v>25</v>
      </c>
      <c r="G879" s="1">
        <f>EOMONTH(tblData[[#This Row],[Rental Date]],0)</f>
        <v>46203</v>
      </c>
      <c r="H879" t="s">
        <v>749</v>
      </c>
      <c r="I879" t="s">
        <v>23</v>
      </c>
      <c r="J879" t="s">
        <v>65</v>
      </c>
      <c r="K879" t="s">
        <v>25</v>
      </c>
      <c r="L879">
        <v>1</v>
      </c>
      <c r="M879" s="2">
        <v>21.6</v>
      </c>
      <c r="N879" t="s">
        <v>89</v>
      </c>
      <c r="O879" s="3">
        <v>6</v>
      </c>
      <c r="P879" s="3">
        <v>0</v>
      </c>
      <c r="Q879" s="2">
        <v>27.6</v>
      </c>
      <c r="R879" t="s">
        <v>71</v>
      </c>
      <c r="S879" t="s">
        <v>50</v>
      </c>
      <c r="T879" t="s">
        <v>51</v>
      </c>
      <c r="U879" t="s">
        <v>30</v>
      </c>
    </row>
    <row r="880" spans="1:21" x14ac:dyDescent="0.35">
      <c r="A880" t="s">
        <v>959</v>
      </c>
      <c r="B880" s="1">
        <v>46187</v>
      </c>
      <c r="C880" t="str">
        <f>TEXT(tblData[[#This Row],[Rental Date]],"mmm")</f>
        <v>Jun</v>
      </c>
      <c r="D880" t="str">
        <f>TEXT(tblData[[#This Row],[Rental Date]],"mmmm")</f>
        <v>June</v>
      </c>
      <c r="E880" t="s">
        <v>68</v>
      </c>
      <c r="F880" t="str">
        <f>TEXT(WEEKNUM(tblData[[#This Row],[Rental Date]]),"00")</f>
        <v>25</v>
      </c>
      <c r="G880" s="1">
        <f>EOMONTH(tblData[[#This Row],[Rental Date]],0)</f>
        <v>46203</v>
      </c>
      <c r="H880" t="s">
        <v>749</v>
      </c>
      <c r="I880" t="s">
        <v>53</v>
      </c>
      <c r="J880" t="s">
        <v>33</v>
      </c>
      <c r="K880" t="s">
        <v>40</v>
      </c>
      <c r="L880">
        <v>1</v>
      </c>
      <c r="M880" s="2">
        <v>69.599999999999994</v>
      </c>
      <c r="N880" t="s">
        <v>26</v>
      </c>
      <c r="O880" s="3">
        <v>0</v>
      </c>
      <c r="P880" s="3">
        <v>6.96</v>
      </c>
      <c r="Q880" s="2">
        <v>62.64</v>
      </c>
      <c r="R880" t="s">
        <v>57</v>
      </c>
      <c r="S880" t="s">
        <v>54</v>
      </c>
      <c r="T880" t="s">
        <v>90</v>
      </c>
      <c r="U880" t="s">
        <v>30</v>
      </c>
    </row>
    <row r="881" spans="1:21" x14ac:dyDescent="0.35">
      <c r="A881" t="s">
        <v>960</v>
      </c>
      <c r="B881" s="1">
        <v>46187</v>
      </c>
      <c r="C881" t="str">
        <f>TEXT(tblData[[#This Row],[Rental Date]],"mmm")</f>
        <v>Jun</v>
      </c>
      <c r="D881" t="str">
        <f>TEXT(tblData[[#This Row],[Rental Date]],"mmmm")</f>
        <v>June</v>
      </c>
      <c r="E881" t="s">
        <v>68</v>
      </c>
      <c r="F881" t="str">
        <f>TEXT(WEEKNUM(tblData[[#This Row],[Rental Date]]),"00")</f>
        <v>25</v>
      </c>
      <c r="G881" s="1">
        <f>EOMONTH(tblData[[#This Row],[Rental Date]],0)</f>
        <v>46203</v>
      </c>
      <c r="H881" t="s">
        <v>749</v>
      </c>
      <c r="I881" t="s">
        <v>39</v>
      </c>
      <c r="J881" t="s">
        <v>24</v>
      </c>
      <c r="K881" t="s">
        <v>60</v>
      </c>
      <c r="L881">
        <v>1</v>
      </c>
      <c r="M881" s="2">
        <v>38.4</v>
      </c>
      <c r="N881" t="s">
        <v>26</v>
      </c>
      <c r="O881" s="3">
        <v>0</v>
      </c>
      <c r="P881" s="3">
        <v>0</v>
      </c>
      <c r="Q881" s="2">
        <v>38.4</v>
      </c>
      <c r="R881" t="s">
        <v>45</v>
      </c>
      <c r="S881" t="s">
        <v>50</v>
      </c>
      <c r="T881" t="s">
        <v>63</v>
      </c>
      <c r="U881" t="s">
        <v>30</v>
      </c>
    </row>
    <row r="882" spans="1:21" x14ac:dyDescent="0.35">
      <c r="A882" t="s">
        <v>961</v>
      </c>
      <c r="B882" s="1">
        <v>46187</v>
      </c>
      <c r="C882" t="str">
        <f>TEXT(tblData[[#This Row],[Rental Date]],"mmm")</f>
        <v>Jun</v>
      </c>
      <c r="D882" t="str">
        <f>TEXT(tblData[[#This Row],[Rental Date]],"mmmm")</f>
        <v>June</v>
      </c>
      <c r="E882" t="s">
        <v>68</v>
      </c>
      <c r="F882" t="str">
        <f>TEXT(WEEKNUM(tblData[[#This Row],[Rental Date]]),"00")</f>
        <v>25</v>
      </c>
      <c r="G882" s="1">
        <f>EOMONTH(tblData[[#This Row],[Rental Date]],0)</f>
        <v>46203</v>
      </c>
      <c r="H882" t="s">
        <v>749</v>
      </c>
      <c r="I882" t="s">
        <v>23</v>
      </c>
      <c r="J882" t="s">
        <v>78</v>
      </c>
      <c r="K882" t="s">
        <v>40</v>
      </c>
      <c r="L882">
        <v>1</v>
      </c>
      <c r="M882" s="2">
        <v>74.400000000000006</v>
      </c>
      <c r="N882" t="s">
        <v>26</v>
      </c>
      <c r="O882" s="3">
        <v>0</v>
      </c>
      <c r="P882" s="3">
        <v>0</v>
      </c>
      <c r="Q882" s="2">
        <v>74.400000000000006</v>
      </c>
      <c r="R882" t="s">
        <v>45</v>
      </c>
      <c r="S882" t="s">
        <v>35</v>
      </c>
      <c r="T882" t="s">
        <v>90</v>
      </c>
      <c r="U882" t="s">
        <v>58</v>
      </c>
    </row>
    <row r="883" spans="1:21" x14ac:dyDescent="0.35">
      <c r="A883" t="s">
        <v>962</v>
      </c>
      <c r="B883" s="1">
        <v>46187</v>
      </c>
      <c r="C883" t="str">
        <f>TEXT(tblData[[#This Row],[Rental Date]],"mmm")</f>
        <v>Jun</v>
      </c>
      <c r="D883" t="str">
        <f>TEXT(tblData[[#This Row],[Rental Date]],"mmmm")</f>
        <v>June</v>
      </c>
      <c r="E883" t="s">
        <v>68</v>
      </c>
      <c r="F883" t="str">
        <f>TEXT(WEEKNUM(tblData[[#This Row],[Rental Date]]),"00")</f>
        <v>25</v>
      </c>
      <c r="G883" s="1">
        <f>EOMONTH(tblData[[#This Row],[Rental Date]],0)</f>
        <v>46203</v>
      </c>
      <c r="H883" t="s">
        <v>749</v>
      </c>
      <c r="I883" t="s">
        <v>32</v>
      </c>
      <c r="J883" t="s">
        <v>127</v>
      </c>
      <c r="K883" t="s">
        <v>92</v>
      </c>
      <c r="L883">
        <v>1</v>
      </c>
      <c r="M883" s="2">
        <v>40.799999999999997</v>
      </c>
      <c r="N883" t="s">
        <v>41</v>
      </c>
      <c r="O883" s="3">
        <v>5</v>
      </c>
      <c r="P883" s="3">
        <v>2.29</v>
      </c>
      <c r="Q883" s="2">
        <v>43.51</v>
      </c>
      <c r="R883" t="s">
        <v>34</v>
      </c>
      <c r="S883" t="s">
        <v>54</v>
      </c>
      <c r="T883" t="s">
        <v>51</v>
      </c>
      <c r="U883" t="s">
        <v>30</v>
      </c>
    </row>
    <row r="884" spans="1:21" x14ac:dyDescent="0.35">
      <c r="A884" t="s">
        <v>963</v>
      </c>
      <c r="B884" s="1">
        <v>46187</v>
      </c>
      <c r="C884" t="str">
        <f>TEXT(tblData[[#This Row],[Rental Date]],"mmm")</f>
        <v>Jun</v>
      </c>
      <c r="D884" t="str">
        <f>TEXT(tblData[[#This Row],[Rental Date]],"mmmm")</f>
        <v>June</v>
      </c>
      <c r="E884" t="s">
        <v>68</v>
      </c>
      <c r="F884" t="str">
        <f>TEXT(WEEKNUM(tblData[[#This Row],[Rental Date]]),"00")</f>
        <v>25</v>
      </c>
      <c r="G884" s="1">
        <f>EOMONTH(tblData[[#This Row],[Rental Date]],0)</f>
        <v>46203</v>
      </c>
      <c r="H884" t="s">
        <v>749</v>
      </c>
      <c r="I884" t="s">
        <v>23</v>
      </c>
      <c r="J884" t="s">
        <v>33</v>
      </c>
      <c r="K884" t="s">
        <v>92</v>
      </c>
      <c r="L884">
        <v>1</v>
      </c>
      <c r="M884" s="2">
        <v>100.8</v>
      </c>
      <c r="N884" t="s">
        <v>26</v>
      </c>
      <c r="O884" s="3">
        <v>0</v>
      </c>
      <c r="P884" s="3">
        <v>0</v>
      </c>
      <c r="Q884" s="2">
        <v>100.8</v>
      </c>
      <c r="R884" t="s">
        <v>27</v>
      </c>
      <c r="S884" t="s">
        <v>28</v>
      </c>
      <c r="T884" t="s">
        <v>63</v>
      </c>
      <c r="U884" t="s">
        <v>30</v>
      </c>
    </row>
    <row r="885" spans="1:21" x14ac:dyDescent="0.35">
      <c r="A885" t="s">
        <v>964</v>
      </c>
      <c r="B885" s="1">
        <v>46187</v>
      </c>
      <c r="C885" t="str">
        <f>TEXT(tblData[[#This Row],[Rental Date]],"mmm")</f>
        <v>Jun</v>
      </c>
      <c r="D885" t="str">
        <f>TEXT(tblData[[#This Row],[Rental Date]],"mmmm")</f>
        <v>June</v>
      </c>
      <c r="E885" t="s">
        <v>68</v>
      </c>
      <c r="F885" t="str">
        <f>TEXT(WEEKNUM(tblData[[#This Row],[Rental Date]]),"00")</f>
        <v>25</v>
      </c>
      <c r="G885" s="1">
        <f>EOMONTH(tblData[[#This Row],[Rental Date]],0)</f>
        <v>46203</v>
      </c>
      <c r="H885" t="s">
        <v>749</v>
      </c>
      <c r="I885" t="s">
        <v>32</v>
      </c>
      <c r="J885" t="s">
        <v>49</v>
      </c>
      <c r="K885" t="s">
        <v>92</v>
      </c>
      <c r="L885">
        <v>1</v>
      </c>
      <c r="M885" s="2">
        <v>91.2</v>
      </c>
      <c r="N885" t="s">
        <v>26</v>
      </c>
      <c r="O885" s="3">
        <v>0</v>
      </c>
      <c r="P885" s="3">
        <v>0</v>
      </c>
      <c r="Q885" s="2">
        <v>91.2</v>
      </c>
      <c r="R885" t="s">
        <v>66</v>
      </c>
      <c r="S885" t="s">
        <v>35</v>
      </c>
      <c r="T885" t="s">
        <v>29</v>
      </c>
      <c r="U885" t="s">
        <v>30</v>
      </c>
    </row>
    <row r="886" spans="1:21" x14ac:dyDescent="0.35">
      <c r="A886" t="s">
        <v>965</v>
      </c>
      <c r="B886" s="1">
        <v>46187</v>
      </c>
      <c r="C886" t="str">
        <f>TEXT(tblData[[#This Row],[Rental Date]],"mmm")</f>
        <v>Jun</v>
      </c>
      <c r="D886" t="str">
        <f>TEXT(tblData[[#This Row],[Rental Date]],"mmmm")</f>
        <v>June</v>
      </c>
      <c r="E886" t="s">
        <v>68</v>
      </c>
      <c r="F886" t="str">
        <f>TEXT(WEEKNUM(tblData[[#This Row],[Rental Date]]),"00")</f>
        <v>25</v>
      </c>
      <c r="G886" s="1">
        <f>EOMONTH(tblData[[#This Row],[Rental Date]],0)</f>
        <v>46203</v>
      </c>
      <c r="H886" t="s">
        <v>749</v>
      </c>
      <c r="I886" t="s">
        <v>39</v>
      </c>
      <c r="J886" t="s">
        <v>44</v>
      </c>
      <c r="K886" t="s">
        <v>25</v>
      </c>
      <c r="L886">
        <v>1</v>
      </c>
      <c r="M886" s="2">
        <v>62.4</v>
      </c>
      <c r="N886" t="s">
        <v>75</v>
      </c>
      <c r="O886" s="3">
        <v>12</v>
      </c>
      <c r="P886" s="3">
        <v>0</v>
      </c>
      <c r="Q886" s="2">
        <v>74.400000000000006</v>
      </c>
      <c r="R886" t="s">
        <v>42</v>
      </c>
      <c r="S886" t="s">
        <v>35</v>
      </c>
      <c r="T886" t="s">
        <v>51</v>
      </c>
      <c r="U886" t="s">
        <v>30</v>
      </c>
    </row>
    <row r="887" spans="1:21" x14ac:dyDescent="0.35">
      <c r="A887" t="s">
        <v>966</v>
      </c>
      <c r="B887" s="1">
        <v>46187</v>
      </c>
      <c r="C887" t="str">
        <f>TEXT(tblData[[#This Row],[Rental Date]],"mmm")</f>
        <v>Jun</v>
      </c>
      <c r="D887" t="str">
        <f>TEXT(tblData[[#This Row],[Rental Date]],"mmmm")</f>
        <v>June</v>
      </c>
      <c r="E887" t="s">
        <v>68</v>
      </c>
      <c r="F887" t="str">
        <f>TEXT(WEEKNUM(tblData[[#This Row],[Rental Date]]),"00")</f>
        <v>25</v>
      </c>
      <c r="G887" s="1">
        <f>EOMONTH(tblData[[#This Row],[Rental Date]],0)</f>
        <v>46203</v>
      </c>
      <c r="H887" t="s">
        <v>749</v>
      </c>
      <c r="I887" t="s">
        <v>48</v>
      </c>
      <c r="J887" t="s">
        <v>44</v>
      </c>
      <c r="K887" t="s">
        <v>25</v>
      </c>
      <c r="L887">
        <v>1</v>
      </c>
      <c r="M887" s="2">
        <v>62.4</v>
      </c>
      <c r="N887" t="s">
        <v>41</v>
      </c>
      <c r="O887" s="3">
        <v>5</v>
      </c>
      <c r="P887" s="3">
        <v>0</v>
      </c>
      <c r="Q887" s="2">
        <v>67.400000000000006</v>
      </c>
      <c r="R887" t="s">
        <v>34</v>
      </c>
      <c r="S887" t="s">
        <v>50</v>
      </c>
      <c r="T887" t="s">
        <v>63</v>
      </c>
      <c r="U887" t="s">
        <v>58</v>
      </c>
    </row>
    <row r="888" spans="1:21" x14ac:dyDescent="0.35">
      <c r="A888" t="s">
        <v>967</v>
      </c>
      <c r="B888" s="1">
        <v>46187</v>
      </c>
      <c r="C888" t="str">
        <f>TEXT(tblData[[#This Row],[Rental Date]],"mmm")</f>
        <v>Jun</v>
      </c>
      <c r="D888" t="str">
        <f>TEXT(tblData[[#This Row],[Rental Date]],"mmmm")</f>
        <v>June</v>
      </c>
      <c r="E888" t="s">
        <v>68</v>
      </c>
      <c r="F888" t="str">
        <f>TEXT(WEEKNUM(tblData[[#This Row],[Rental Date]]),"00")</f>
        <v>25</v>
      </c>
      <c r="G888" s="1">
        <f>EOMONTH(tblData[[#This Row],[Rental Date]],0)</f>
        <v>46203</v>
      </c>
      <c r="H888" t="s">
        <v>749</v>
      </c>
      <c r="I888" t="s">
        <v>39</v>
      </c>
      <c r="J888" t="s">
        <v>24</v>
      </c>
      <c r="K888" t="s">
        <v>92</v>
      </c>
      <c r="L888">
        <v>1</v>
      </c>
      <c r="M888" s="2">
        <v>132</v>
      </c>
      <c r="N888" t="s">
        <v>89</v>
      </c>
      <c r="O888" s="3">
        <v>6</v>
      </c>
      <c r="P888" s="3">
        <v>0</v>
      </c>
      <c r="Q888" s="2">
        <v>138</v>
      </c>
      <c r="R888" t="s">
        <v>27</v>
      </c>
      <c r="S888" t="s">
        <v>50</v>
      </c>
      <c r="T888" t="s">
        <v>63</v>
      </c>
      <c r="U888" t="s">
        <v>30</v>
      </c>
    </row>
    <row r="889" spans="1:21" x14ac:dyDescent="0.35">
      <c r="A889" t="s">
        <v>968</v>
      </c>
      <c r="B889" s="1">
        <v>46187</v>
      </c>
      <c r="C889" t="str">
        <f>TEXT(tblData[[#This Row],[Rental Date]],"mmm")</f>
        <v>Jun</v>
      </c>
      <c r="D889" t="str">
        <f>TEXT(tblData[[#This Row],[Rental Date]],"mmmm")</f>
        <v>June</v>
      </c>
      <c r="E889" t="s">
        <v>68</v>
      </c>
      <c r="F889" t="str">
        <f>TEXT(WEEKNUM(tblData[[#This Row],[Rental Date]]),"00")</f>
        <v>25</v>
      </c>
      <c r="G889" s="1">
        <f>EOMONTH(tblData[[#This Row],[Rental Date]],0)</f>
        <v>46203</v>
      </c>
      <c r="H889" t="s">
        <v>749</v>
      </c>
      <c r="I889" t="s">
        <v>48</v>
      </c>
      <c r="J889" t="s">
        <v>33</v>
      </c>
      <c r="K889" t="s">
        <v>92</v>
      </c>
      <c r="L889">
        <v>1</v>
      </c>
      <c r="M889" s="2">
        <v>100.8</v>
      </c>
      <c r="N889" t="s">
        <v>41</v>
      </c>
      <c r="O889" s="3">
        <v>5</v>
      </c>
      <c r="P889" s="3">
        <v>0</v>
      </c>
      <c r="Q889" s="2">
        <v>105.8</v>
      </c>
      <c r="R889" t="s">
        <v>57</v>
      </c>
      <c r="S889" t="s">
        <v>54</v>
      </c>
      <c r="T889" t="s">
        <v>90</v>
      </c>
      <c r="U889" t="s">
        <v>30</v>
      </c>
    </row>
    <row r="890" spans="1:21" x14ac:dyDescent="0.35">
      <c r="A890" t="s">
        <v>969</v>
      </c>
      <c r="B890" s="1">
        <v>46188</v>
      </c>
      <c r="C890" t="str">
        <f>TEXT(tblData[[#This Row],[Rental Date]],"mmm")</f>
        <v>Jun</v>
      </c>
      <c r="D890" t="str">
        <f>TEXT(tblData[[#This Row],[Rental Date]],"mmmm")</f>
        <v>June</v>
      </c>
      <c r="E890" t="s">
        <v>74</v>
      </c>
      <c r="F890" t="str">
        <f>TEXT(WEEKNUM(tblData[[#This Row],[Rental Date]]),"00")</f>
        <v>25</v>
      </c>
      <c r="G890" s="1">
        <f>EOMONTH(tblData[[#This Row],[Rental Date]],0)</f>
        <v>46203</v>
      </c>
      <c r="H890" t="s">
        <v>749</v>
      </c>
      <c r="I890" t="s">
        <v>48</v>
      </c>
      <c r="J890" t="s">
        <v>78</v>
      </c>
      <c r="K890" t="s">
        <v>40</v>
      </c>
      <c r="L890">
        <v>1</v>
      </c>
      <c r="M890" s="2">
        <v>69.44</v>
      </c>
      <c r="N890" t="s">
        <v>87</v>
      </c>
      <c r="O890" s="3">
        <v>10</v>
      </c>
      <c r="P890" s="3">
        <v>0</v>
      </c>
      <c r="Q890" s="2">
        <v>79.44</v>
      </c>
      <c r="R890" t="s">
        <v>27</v>
      </c>
      <c r="S890" t="s">
        <v>50</v>
      </c>
      <c r="T890" t="s">
        <v>63</v>
      </c>
      <c r="U890" t="s">
        <v>30</v>
      </c>
    </row>
    <row r="891" spans="1:21" x14ac:dyDescent="0.35">
      <c r="A891" t="s">
        <v>970</v>
      </c>
      <c r="B891" s="1">
        <v>46188</v>
      </c>
      <c r="C891" t="str">
        <f>TEXT(tblData[[#This Row],[Rental Date]],"mmm")</f>
        <v>Jun</v>
      </c>
      <c r="D891" t="str">
        <f>TEXT(tblData[[#This Row],[Rental Date]],"mmmm")</f>
        <v>June</v>
      </c>
      <c r="E891" t="s">
        <v>74</v>
      </c>
      <c r="F891" t="str">
        <f>TEXT(WEEKNUM(tblData[[#This Row],[Rental Date]]),"00")</f>
        <v>25</v>
      </c>
      <c r="G891" s="1">
        <f>EOMONTH(tblData[[#This Row],[Rental Date]],0)</f>
        <v>46203</v>
      </c>
      <c r="H891" t="s">
        <v>749</v>
      </c>
      <c r="I891" t="s">
        <v>32</v>
      </c>
      <c r="J891" t="s">
        <v>111</v>
      </c>
      <c r="K891" t="s">
        <v>92</v>
      </c>
      <c r="L891">
        <v>1</v>
      </c>
      <c r="M891" s="2">
        <v>53.76</v>
      </c>
      <c r="N891" t="s">
        <v>26</v>
      </c>
      <c r="O891" s="3">
        <v>0</v>
      </c>
      <c r="P891" s="3">
        <v>5.38</v>
      </c>
      <c r="Q891" s="2">
        <v>48.38</v>
      </c>
      <c r="R891" t="s">
        <v>76</v>
      </c>
      <c r="S891" t="s">
        <v>28</v>
      </c>
      <c r="T891" t="s">
        <v>51</v>
      </c>
      <c r="U891" t="s">
        <v>79</v>
      </c>
    </row>
    <row r="892" spans="1:21" x14ac:dyDescent="0.35">
      <c r="A892" t="s">
        <v>971</v>
      </c>
      <c r="B892" s="1">
        <v>46188</v>
      </c>
      <c r="C892" t="str">
        <f>TEXT(tblData[[#This Row],[Rental Date]],"mmm")</f>
        <v>Jun</v>
      </c>
      <c r="D892" t="str">
        <f>TEXT(tblData[[#This Row],[Rental Date]],"mmmm")</f>
        <v>June</v>
      </c>
      <c r="E892" t="s">
        <v>74</v>
      </c>
      <c r="F892" t="str">
        <f>TEXT(WEEKNUM(tblData[[#This Row],[Rental Date]]),"00")</f>
        <v>25</v>
      </c>
      <c r="G892" s="1">
        <f>EOMONTH(tblData[[#This Row],[Rental Date]],0)</f>
        <v>46203</v>
      </c>
      <c r="H892" t="s">
        <v>749</v>
      </c>
      <c r="I892" t="s">
        <v>39</v>
      </c>
      <c r="J892" t="s">
        <v>78</v>
      </c>
      <c r="K892" t="s">
        <v>40</v>
      </c>
      <c r="L892">
        <v>1</v>
      </c>
      <c r="M892" s="2">
        <v>69.44</v>
      </c>
      <c r="N892" t="s">
        <v>26</v>
      </c>
      <c r="O892" s="3">
        <v>0</v>
      </c>
      <c r="P892" s="3">
        <v>0</v>
      </c>
      <c r="Q892" s="2">
        <v>69.44</v>
      </c>
      <c r="R892" t="s">
        <v>42</v>
      </c>
      <c r="S892" t="s">
        <v>28</v>
      </c>
      <c r="T892" t="s">
        <v>29</v>
      </c>
      <c r="U892" t="s">
        <v>30</v>
      </c>
    </row>
    <row r="893" spans="1:21" x14ac:dyDescent="0.35">
      <c r="A893" t="s">
        <v>972</v>
      </c>
      <c r="B893" s="1">
        <v>46188</v>
      </c>
      <c r="C893" t="str">
        <f>TEXT(tblData[[#This Row],[Rental Date]],"mmm")</f>
        <v>Jun</v>
      </c>
      <c r="D893" t="str">
        <f>TEXT(tblData[[#This Row],[Rental Date]],"mmmm")</f>
        <v>June</v>
      </c>
      <c r="E893" t="s">
        <v>74</v>
      </c>
      <c r="F893" t="str">
        <f>TEXT(WEEKNUM(tblData[[#This Row],[Rental Date]]),"00")</f>
        <v>25</v>
      </c>
      <c r="G893" s="1">
        <f>EOMONTH(tblData[[#This Row],[Rental Date]],0)</f>
        <v>46203</v>
      </c>
      <c r="H893" t="s">
        <v>749</v>
      </c>
      <c r="I893" t="s">
        <v>39</v>
      </c>
      <c r="J893" t="s">
        <v>44</v>
      </c>
      <c r="K893" t="s">
        <v>60</v>
      </c>
      <c r="L893">
        <v>1</v>
      </c>
      <c r="M893" s="2">
        <v>38.08</v>
      </c>
      <c r="N893" t="s">
        <v>26</v>
      </c>
      <c r="O893" s="3">
        <v>0</v>
      </c>
      <c r="P893" s="3">
        <v>0</v>
      </c>
      <c r="Q893" s="2">
        <v>38.08</v>
      </c>
      <c r="R893" t="s">
        <v>27</v>
      </c>
      <c r="S893" t="s">
        <v>35</v>
      </c>
      <c r="T893" t="s">
        <v>29</v>
      </c>
      <c r="U893" t="s">
        <v>30</v>
      </c>
    </row>
    <row r="894" spans="1:21" x14ac:dyDescent="0.35">
      <c r="A894" t="s">
        <v>973</v>
      </c>
      <c r="B894" s="1">
        <v>46188</v>
      </c>
      <c r="C894" t="str">
        <f>TEXT(tblData[[#This Row],[Rental Date]],"mmm")</f>
        <v>Jun</v>
      </c>
      <c r="D894" t="str">
        <f>TEXT(tblData[[#This Row],[Rental Date]],"mmmm")</f>
        <v>June</v>
      </c>
      <c r="E894" t="s">
        <v>74</v>
      </c>
      <c r="F894" t="str">
        <f>TEXT(WEEKNUM(tblData[[#This Row],[Rental Date]]),"00")</f>
        <v>25</v>
      </c>
      <c r="G894" s="1">
        <f>EOMONTH(tblData[[#This Row],[Rental Date]],0)</f>
        <v>46203</v>
      </c>
      <c r="H894" t="s">
        <v>749</v>
      </c>
      <c r="I894" t="s">
        <v>23</v>
      </c>
      <c r="J894" t="s">
        <v>33</v>
      </c>
      <c r="K894" t="s">
        <v>25</v>
      </c>
      <c r="L894">
        <v>1</v>
      </c>
      <c r="M894" s="2">
        <v>42.56</v>
      </c>
      <c r="N894" t="s">
        <v>26</v>
      </c>
      <c r="O894" s="3">
        <v>0</v>
      </c>
      <c r="P894" s="3">
        <v>0</v>
      </c>
      <c r="Q894" s="2">
        <v>42.56</v>
      </c>
      <c r="R894" t="s">
        <v>62</v>
      </c>
      <c r="S894" t="s">
        <v>35</v>
      </c>
      <c r="T894" t="s">
        <v>29</v>
      </c>
      <c r="U894" t="s">
        <v>30</v>
      </c>
    </row>
    <row r="895" spans="1:21" x14ac:dyDescent="0.35">
      <c r="A895" t="s">
        <v>974</v>
      </c>
      <c r="B895" s="1">
        <v>46188</v>
      </c>
      <c r="C895" t="str">
        <f>TEXT(tblData[[#This Row],[Rental Date]],"mmm")</f>
        <v>Jun</v>
      </c>
      <c r="D895" t="str">
        <f>TEXT(tblData[[#This Row],[Rental Date]],"mmmm")</f>
        <v>June</v>
      </c>
      <c r="E895" t="s">
        <v>74</v>
      </c>
      <c r="F895" t="str">
        <f>TEXT(WEEKNUM(tblData[[#This Row],[Rental Date]]),"00")</f>
        <v>25</v>
      </c>
      <c r="G895" s="1">
        <f>EOMONTH(tblData[[#This Row],[Rental Date]],0)</f>
        <v>46203</v>
      </c>
      <c r="H895" t="s">
        <v>749</v>
      </c>
      <c r="I895" t="s">
        <v>48</v>
      </c>
      <c r="J895" t="s">
        <v>44</v>
      </c>
      <c r="K895" t="s">
        <v>25</v>
      </c>
      <c r="L895">
        <v>1</v>
      </c>
      <c r="M895" s="2">
        <v>58.24</v>
      </c>
      <c r="N895" t="s">
        <v>26</v>
      </c>
      <c r="O895" s="3">
        <v>0</v>
      </c>
      <c r="P895" s="3">
        <v>2.91</v>
      </c>
      <c r="Q895" s="2">
        <v>55.33</v>
      </c>
      <c r="R895" t="s">
        <v>76</v>
      </c>
      <c r="S895" t="s">
        <v>54</v>
      </c>
      <c r="T895" t="s">
        <v>29</v>
      </c>
      <c r="U895" t="s">
        <v>30</v>
      </c>
    </row>
    <row r="896" spans="1:21" x14ac:dyDescent="0.35">
      <c r="A896" t="s">
        <v>975</v>
      </c>
      <c r="B896" s="1">
        <v>46188</v>
      </c>
      <c r="C896" t="str">
        <f>TEXT(tblData[[#This Row],[Rental Date]],"mmm")</f>
        <v>Jun</v>
      </c>
      <c r="D896" t="str">
        <f>TEXT(tblData[[#This Row],[Rental Date]],"mmmm")</f>
        <v>June</v>
      </c>
      <c r="E896" t="s">
        <v>74</v>
      </c>
      <c r="F896" t="str">
        <f>TEXT(WEEKNUM(tblData[[#This Row],[Rental Date]]),"00")</f>
        <v>25</v>
      </c>
      <c r="G896" s="1">
        <f>EOMONTH(tblData[[#This Row],[Rental Date]],0)</f>
        <v>46203</v>
      </c>
      <c r="H896" t="s">
        <v>749</v>
      </c>
      <c r="I896" t="s">
        <v>39</v>
      </c>
      <c r="J896" t="s">
        <v>44</v>
      </c>
      <c r="K896" t="s">
        <v>40</v>
      </c>
      <c r="L896">
        <v>1</v>
      </c>
      <c r="M896" s="2">
        <v>87.36</v>
      </c>
      <c r="N896" t="s">
        <v>75</v>
      </c>
      <c r="O896" s="3">
        <v>12</v>
      </c>
      <c r="P896" s="3">
        <v>0</v>
      </c>
      <c r="Q896" s="2">
        <v>99.36</v>
      </c>
      <c r="R896" t="s">
        <v>71</v>
      </c>
      <c r="S896" t="s">
        <v>46</v>
      </c>
      <c r="T896" t="s">
        <v>29</v>
      </c>
      <c r="U896" t="s">
        <v>30</v>
      </c>
    </row>
    <row r="897" spans="1:21" x14ac:dyDescent="0.35">
      <c r="A897" t="s">
        <v>976</v>
      </c>
      <c r="B897" s="1">
        <v>46188</v>
      </c>
      <c r="C897" t="str">
        <f>TEXT(tblData[[#This Row],[Rental Date]],"mmm")</f>
        <v>Jun</v>
      </c>
      <c r="D897" t="str">
        <f>TEXT(tblData[[#This Row],[Rental Date]],"mmmm")</f>
        <v>June</v>
      </c>
      <c r="E897" t="s">
        <v>74</v>
      </c>
      <c r="F897" t="str">
        <f>TEXT(WEEKNUM(tblData[[#This Row],[Rental Date]]),"00")</f>
        <v>25</v>
      </c>
      <c r="G897" s="1">
        <f>EOMONTH(tblData[[#This Row],[Rental Date]],0)</f>
        <v>46203</v>
      </c>
      <c r="H897" t="s">
        <v>749</v>
      </c>
      <c r="I897" t="s">
        <v>39</v>
      </c>
      <c r="J897" t="s">
        <v>44</v>
      </c>
      <c r="K897" t="s">
        <v>60</v>
      </c>
      <c r="L897">
        <v>1</v>
      </c>
      <c r="M897" s="2">
        <v>38.08</v>
      </c>
      <c r="N897" t="s">
        <v>26</v>
      </c>
      <c r="O897" s="3">
        <v>0</v>
      </c>
      <c r="P897" s="3">
        <v>0</v>
      </c>
      <c r="Q897" s="2">
        <v>38.08</v>
      </c>
      <c r="R897" t="s">
        <v>45</v>
      </c>
      <c r="S897" t="s">
        <v>46</v>
      </c>
      <c r="T897" t="s">
        <v>29</v>
      </c>
      <c r="U897" t="s">
        <v>30</v>
      </c>
    </row>
    <row r="898" spans="1:21" x14ac:dyDescent="0.35">
      <c r="A898" t="s">
        <v>977</v>
      </c>
      <c r="B898" s="1">
        <v>46188</v>
      </c>
      <c r="C898" t="str">
        <f>TEXT(tblData[[#This Row],[Rental Date]],"mmm")</f>
        <v>Jun</v>
      </c>
      <c r="D898" t="str">
        <f>TEXT(tblData[[#This Row],[Rental Date]],"mmmm")</f>
        <v>June</v>
      </c>
      <c r="E898" t="s">
        <v>74</v>
      </c>
      <c r="F898" t="str">
        <f>TEXT(WEEKNUM(tblData[[#This Row],[Rental Date]]),"00")</f>
        <v>25</v>
      </c>
      <c r="G898" s="1">
        <f>EOMONTH(tblData[[#This Row],[Rental Date]],0)</f>
        <v>46203</v>
      </c>
      <c r="H898" t="s">
        <v>749</v>
      </c>
      <c r="I898" t="s">
        <v>39</v>
      </c>
      <c r="J898" t="s">
        <v>111</v>
      </c>
      <c r="K898" t="s">
        <v>60</v>
      </c>
      <c r="L898">
        <v>1</v>
      </c>
      <c r="M898" s="2">
        <v>15.68</v>
      </c>
      <c r="N898" t="s">
        <v>89</v>
      </c>
      <c r="O898" s="3">
        <v>6</v>
      </c>
      <c r="P898" s="3">
        <v>0</v>
      </c>
      <c r="Q898" s="2">
        <v>21.68</v>
      </c>
      <c r="R898" t="s">
        <v>76</v>
      </c>
      <c r="S898" t="s">
        <v>54</v>
      </c>
      <c r="T898" t="s">
        <v>63</v>
      </c>
      <c r="U898" t="s">
        <v>30</v>
      </c>
    </row>
    <row r="899" spans="1:21" x14ac:dyDescent="0.35">
      <c r="A899" t="s">
        <v>978</v>
      </c>
      <c r="B899" s="1">
        <v>46188</v>
      </c>
      <c r="C899" t="str">
        <f>TEXT(tblData[[#This Row],[Rental Date]],"mmm")</f>
        <v>Jun</v>
      </c>
      <c r="D899" t="str">
        <f>TEXT(tblData[[#This Row],[Rental Date]],"mmmm")</f>
        <v>June</v>
      </c>
      <c r="E899" t="s">
        <v>74</v>
      </c>
      <c r="F899" t="str">
        <f>TEXT(WEEKNUM(tblData[[#This Row],[Rental Date]]),"00")</f>
        <v>25</v>
      </c>
      <c r="G899" s="1">
        <f>EOMONTH(tblData[[#This Row],[Rental Date]],0)</f>
        <v>46203</v>
      </c>
      <c r="H899" t="s">
        <v>749</v>
      </c>
      <c r="I899" t="s">
        <v>39</v>
      </c>
      <c r="J899" t="s">
        <v>33</v>
      </c>
      <c r="K899" t="s">
        <v>92</v>
      </c>
      <c r="L899">
        <v>1</v>
      </c>
      <c r="M899" s="2">
        <v>94.08</v>
      </c>
      <c r="N899" t="s">
        <v>26</v>
      </c>
      <c r="O899" s="3">
        <v>0</v>
      </c>
      <c r="P899" s="3">
        <v>0</v>
      </c>
      <c r="Q899" s="2">
        <v>94.08</v>
      </c>
      <c r="R899" t="s">
        <v>66</v>
      </c>
      <c r="S899" t="s">
        <v>54</v>
      </c>
      <c r="T899" t="s">
        <v>29</v>
      </c>
      <c r="U899" t="s">
        <v>58</v>
      </c>
    </row>
    <row r="900" spans="1:21" x14ac:dyDescent="0.35">
      <c r="A900" t="s">
        <v>979</v>
      </c>
      <c r="B900" s="1">
        <v>46188</v>
      </c>
      <c r="C900" t="str">
        <f>TEXT(tblData[[#This Row],[Rental Date]],"mmm")</f>
        <v>Jun</v>
      </c>
      <c r="D900" t="str">
        <f>TEXT(tblData[[#This Row],[Rental Date]],"mmmm")</f>
        <v>June</v>
      </c>
      <c r="E900" t="s">
        <v>74</v>
      </c>
      <c r="F900" t="str">
        <f>TEXT(WEEKNUM(tblData[[#This Row],[Rental Date]]),"00")</f>
        <v>25</v>
      </c>
      <c r="G900" s="1">
        <f>EOMONTH(tblData[[#This Row],[Rental Date]],0)</f>
        <v>46203</v>
      </c>
      <c r="H900" t="s">
        <v>749</v>
      </c>
      <c r="I900" t="s">
        <v>23</v>
      </c>
      <c r="J900" t="s">
        <v>65</v>
      </c>
      <c r="K900" t="s">
        <v>60</v>
      </c>
      <c r="L900">
        <v>1</v>
      </c>
      <c r="M900" s="2">
        <v>13.44</v>
      </c>
      <c r="N900" t="s">
        <v>89</v>
      </c>
      <c r="O900" s="3">
        <v>6</v>
      </c>
      <c r="P900" s="3">
        <v>0</v>
      </c>
      <c r="Q900" s="2">
        <v>19.440000000000001</v>
      </c>
      <c r="R900" t="s">
        <v>71</v>
      </c>
      <c r="S900" t="s">
        <v>35</v>
      </c>
      <c r="T900" t="s">
        <v>51</v>
      </c>
      <c r="U900" t="s">
        <v>30</v>
      </c>
    </row>
    <row r="901" spans="1:21" x14ac:dyDescent="0.35">
      <c r="A901" t="s">
        <v>980</v>
      </c>
      <c r="B901" s="1">
        <v>46188</v>
      </c>
      <c r="C901" t="str">
        <f>TEXT(tblData[[#This Row],[Rental Date]],"mmm")</f>
        <v>Jun</v>
      </c>
      <c r="D901" t="str">
        <f>TEXT(tblData[[#This Row],[Rental Date]],"mmmm")</f>
        <v>June</v>
      </c>
      <c r="E901" t="s">
        <v>74</v>
      </c>
      <c r="F901" t="str">
        <f>TEXT(WEEKNUM(tblData[[#This Row],[Rental Date]]),"00")</f>
        <v>25</v>
      </c>
      <c r="G901" s="1">
        <f>EOMONTH(tblData[[#This Row],[Rental Date]],0)</f>
        <v>46203</v>
      </c>
      <c r="H901" t="s">
        <v>749</v>
      </c>
      <c r="I901" t="s">
        <v>32</v>
      </c>
      <c r="J901" t="s">
        <v>44</v>
      </c>
      <c r="K901" t="s">
        <v>60</v>
      </c>
      <c r="L901">
        <v>1</v>
      </c>
      <c r="M901" s="2">
        <v>38.08</v>
      </c>
      <c r="N901" t="s">
        <v>89</v>
      </c>
      <c r="O901" s="3">
        <v>6</v>
      </c>
      <c r="P901" s="3">
        <v>4.41</v>
      </c>
      <c r="Q901" s="2">
        <v>39.67</v>
      </c>
      <c r="R901" t="s">
        <v>57</v>
      </c>
      <c r="S901" t="s">
        <v>46</v>
      </c>
      <c r="T901" t="s">
        <v>51</v>
      </c>
      <c r="U901" t="s">
        <v>30</v>
      </c>
    </row>
    <row r="902" spans="1:21" x14ac:dyDescent="0.35">
      <c r="A902" t="s">
        <v>981</v>
      </c>
      <c r="B902" s="1">
        <v>46189</v>
      </c>
      <c r="C902" t="str">
        <f>TEXT(tblData[[#This Row],[Rental Date]],"mmm")</f>
        <v>Jun</v>
      </c>
      <c r="D902" t="str">
        <f>TEXT(tblData[[#This Row],[Rental Date]],"mmmm")</f>
        <v>June</v>
      </c>
      <c r="E902" t="s">
        <v>102</v>
      </c>
      <c r="F902" t="str">
        <f>TEXT(WEEKNUM(tblData[[#This Row],[Rental Date]]),"00")</f>
        <v>25</v>
      </c>
      <c r="G902" s="1">
        <f>EOMONTH(tblData[[#This Row],[Rental Date]],0)</f>
        <v>46203</v>
      </c>
      <c r="H902" t="s">
        <v>749</v>
      </c>
      <c r="I902" t="s">
        <v>32</v>
      </c>
      <c r="J902" t="s">
        <v>49</v>
      </c>
      <c r="K902" t="s">
        <v>25</v>
      </c>
      <c r="L902">
        <v>1</v>
      </c>
      <c r="M902" s="2">
        <v>40.32</v>
      </c>
      <c r="N902" t="s">
        <v>26</v>
      </c>
      <c r="O902" s="3">
        <v>0</v>
      </c>
      <c r="P902" s="3">
        <v>0</v>
      </c>
      <c r="Q902" s="2">
        <v>40.32</v>
      </c>
      <c r="R902" t="s">
        <v>76</v>
      </c>
      <c r="S902" t="s">
        <v>35</v>
      </c>
      <c r="T902" t="s">
        <v>29</v>
      </c>
      <c r="U902" t="s">
        <v>30</v>
      </c>
    </row>
    <row r="903" spans="1:21" x14ac:dyDescent="0.35">
      <c r="A903" t="s">
        <v>982</v>
      </c>
      <c r="B903" s="1">
        <v>46189</v>
      </c>
      <c r="C903" t="str">
        <f>TEXT(tblData[[#This Row],[Rental Date]],"mmm")</f>
        <v>Jun</v>
      </c>
      <c r="D903" t="str">
        <f>TEXT(tblData[[#This Row],[Rental Date]],"mmmm")</f>
        <v>June</v>
      </c>
      <c r="E903" t="s">
        <v>102</v>
      </c>
      <c r="F903" t="str">
        <f>TEXT(WEEKNUM(tblData[[#This Row],[Rental Date]]),"00")</f>
        <v>25</v>
      </c>
      <c r="G903" s="1">
        <f>EOMONTH(tblData[[#This Row],[Rental Date]],0)</f>
        <v>46203</v>
      </c>
      <c r="H903" t="s">
        <v>749</v>
      </c>
      <c r="I903" t="s">
        <v>48</v>
      </c>
      <c r="J903" t="s">
        <v>78</v>
      </c>
      <c r="K903" t="s">
        <v>92</v>
      </c>
      <c r="L903">
        <v>1</v>
      </c>
      <c r="M903" s="2">
        <v>98.56</v>
      </c>
      <c r="N903" t="s">
        <v>26</v>
      </c>
      <c r="O903" s="3">
        <v>0</v>
      </c>
      <c r="P903" s="3">
        <v>0</v>
      </c>
      <c r="Q903" s="2">
        <v>98.56</v>
      </c>
      <c r="R903" t="s">
        <v>34</v>
      </c>
      <c r="S903" t="s">
        <v>35</v>
      </c>
      <c r="T903" t="s">
        <v>29</v>
      </c>
      <c r="U903" t="s">
        <v>30</v>
      </c>
    </row>
    <row r="904" spans="1:21" x14ac:dyDescent="0.35">
      <c r="A904" t="s">
        <v>983</v>
      </c>
      <c r="B904" s="1">
        <v>46189</v>
      </c>
      <c r="C904" t="str">
        <f>TEXT(tblData[[#This Row],[Rental Date]],"mmm")</f>
        <v>Jun</v>
      </c>
      <c r="D904" t="str">
        <f>TEXT(tblData[[#This Row],[Rental Date]],"mmmm")</f>
        <v>June</v>
      </c>
      <c r="E904" t="s">
        <v>102</v>
      </c>
      <c r="F904" t="str">
        <f>TEXT(WEEKNUM(tblData[[#This Row],[Rental Date]]),"00")</f>
        <v>25</v>
      </c>
      <c r="G904" s="1">
        <f>EOMONTH(tblData[[#This Row],[Rental Date]],0)</f>
        <v>46203</v>
      </c>
      <c r="H904" t="s">
        <v>749</v>
      </c>
      <c r="I904" t="s">
        <v>23</v>
      </c>
      <c r="J904" t="s">
        <v>49</v>
      </c>
      <c r="K904" t="s">
        <v>40</v>
      </c>
      <c r="L904">
        <v>1</v>
      </c>
      <c r="M904" s="2">
        <v>60.48</v>
      </c>
      <c r="N904" t="s">
        <v>26</v>
      </c>
      <c r="O904" s="3">
        <v>0</v>
      </c>
      <c r="P904" s="3">
        <v>0</v>
      </c>
      <c r="Q904" s="2">
        <v>60.48</v>
      </c>
      <c r="R904" t="s">
        <v>76</v>
      </c>
      <c r="S904" t="s">
        <v>50</v>
      </c>
      <c r="T904" t="s">
        <v>29</v>
      </c>
      <c r="U904" t="s">
        <v>30</v>
      </c>
    </row>
    <row r="905" spans="1:21" x14ac:dyDescent="0.35">
      <c r="A905" t="s">
        <v>984</v>
      </c>
      <c r="B905" s="1">
        <v>46189</v>
      </c>
      <c r="C905" t="str">
        <f>TEXT(tblData[[#This Row],[Rental Date]],"mmm")</f>
        <v>Jun</v>
      </c>
      <c r="D905" t="str">
        <f>TEXT(tblData[[#This Row],[Rental Date]],"mmmm")</f>
        <v>June</v>
      </c>
      <c r="E905" t="s">
        <v>102</v>
      </c>
      <c r="F905" t="str">
        <f>TEXT(WEEKNUM(tblData[[#This Row],[Rental Date]]),"00")</f>
        <v>25</v>
      </c>
      <c r="G905" s="1">
        <f>EOMONTH(tblData[[#This Row],[Rental Date]],0)</f>
        <v>46203</v>
      </c>
      <c r="H905" t="s">
        <v>749</v>
      </c>
      <c r="I905" t="s">
        <v>32</v>
      </c>
      <c r="J905" t="s">
        <v>44</v>
      </c>
      <c r="K905" t="s">
        <v>92</v>
      </c>
      <c r="L905">
        <v>1</v>
      </c>
      <c r="M905" s="2">
        <v>125.44</v>
      </c>
      <c r="N905" t="s">
        <v>61</v>
      </c>
      <c r="O905" s="3">
        <v>8</v>
      </c>
      <c r="P905" s="3">
        <v>13.34</v>
      </c>
      <c r="Q905" s="2">
        <v>120.1</v>
      </c>
      <c r="R905" t="s">
        <v>62</v>
      </c>
      <c r="S905" t="s">
        <v>54</v>
      </c>
      <c r="T905" t="s">
        <v>63</v>
      </c>
      <c r="U905" t="s">
        <v>79</v>
      </c>
    </row>
    <row r="906" spans="1:21" x14ac:dyDescent="0.35">
      <c r="A906" t="s">
        <v>985</v>
      </c>
      <c r="B906" s="1">
        <v>46189</v>
      </c>
      <c r="C906" t="str">
        <f>TEXT(tblData[[#This Row],[Rental Date]],"mmm")</f>
        <v>Jun</v>
      </c>
      <c r="D906" t="str">
        <f>TEXT(tblData[[#This Row],[Rental Date]],"mmmm")</f>
        <v>June</v>
      </c>
      <c r="E906" t="s">
        <v>102</v>
      </c>
      <c r="F906" t="str">
        <f>TEXT(WEEKNUM(tblData[[#This Row],[Rental Date]]),"00")</f>
        <v>25</v>
      </c>
      <c r="G906" s="1">
        <f>EOMONTH(tblData[[#This Row],[Rental Date]],0)</f>
        <v>46203</v>
      </c>
      <c r="H906" t="s">
        <v>749</v>
      </c>
      <c r="I906" t="s">
        <v>39</v>
      </c>
      <c r="J906" t="s">
        <v>78</v>
      </c>
      <c r="K906" t="s">
        <v>60</v>
      </c>
      <c r="L906">
        <v>1</v>
      </c>
      <c r="M906" s="2">
        <v>29.12</v>
      </c>
      <c r="N906" t="s">
        <v>75</v>
      </c>
      <c r="O906" s="3">
        <v>12</v>
      </c>
      <c r="P906" s="3">
        <v>0</v>
      </c>
      <c r="Q906" s="2">
        <v>41.12</v>
      </c>
      <c r="R906" t="s">
        <v>66</v>
      </c>
      <c r="S906" t="s">
        <v>50</v>
      </c>
      <c r="T906" t="s">
        <v>29</v>
      </c>
      <c r="U906" t="s">
        <v>79</v>
      </c>
    </row>
    <row r="907" spans="1:21" x14ac:dyDescent="0.35">
      <c r="A907" t="s">
        <v>986</v>
      </c>
      <c r="B907" s="1">
        <v>46189</v>
      </c>
      <c r="C907" t="str">
        <f>TEXT(tblData[[#This Row],[Rental Date]],"mmm")</f>
        <v>Jun</v>
      </c>
      <c r="D907" t="str">
        <f>TEXT(tblData[[#This Row],[Rental Date]],"mmmm")</f>
        <v>June</v>
      </c>
      <c r="E907" t="s">
        <v>102</v>
      </c>
      <c r="F907" t="str">
        <f>TEXT(WEEKNUM(tblData[[#This Row],[Rental Date]]),"00")</f>
        <v>25</v>
      </c>
      <c r="G907" s="1">
        <f>EOMONTH(tblData[[#This Row],[Rental Date]],0)</f>
        <v>46203</v>
      </c>
      <c r="H907" t="s">
        <v>749</v>
      </c>
      <c r="I907" t="s">
        <v>48</v>
      </c>
      <c r="J907" t="s">
        <v>65</v>
      </c>
      <c r="K907" t="s">
        <v>60</v>
      </c>
      <c r="L907">
        <v>1</v>
      </c>
      <c r="M907" s="2">
        <v>13.44</v>
      </c>
      <c r="N907" t="s">
        <v>70</v>
      </c>
      <c r="O907" s="3">
        <v>7</v>
      </c>
      <c r="P907" s="3">
        <v>0</v>
      </c>
      <c r="Q907" s="2">
        <v>20.440000000000001</v>
      </c>
      <c r="R907" t="s">
        <v>45</v>
      </c>
      <c r="S907" t="s">
        <v>46</v>
      </c>
      <c r="T907" t="s">
        <v>63</v>
      </c>
      <c r="U907" t="s">
        <v>30</v>
      </c>
    </row>
    <row r="908" spans="1:21" x14ac:dyDescent="0.35">
      <c r="A908" t="s">
        <v>987</v>
      </c>
      <c r="B908" s="1">
        <v>46189</v>
      </c>
      <c r="C908" t="str">
        <f>TEXT(tblData[[#This Row],[Rental Date]],"mmm")</f>
        <v>Jun</v>
      </c>
      <c r="D908" t="str">
        <f>TEXT(tblData[[#This Row],[Rental Date]],"mmmm")</f>
        <v>June</v>
      </c>
      <c r="E908" t="s">
        <v>102</v>
      </c>
      <c r="F908" t="str">
        <f>TEXT(WEEKNUM(tblData[[#This Row],[Rental Date]]),"00")</f>
        <v>25</v>
      </c>
      <c r="G908" s="1">
        <f>EOMONTH(tblData[[#This Row],[Rental Date]],0)</f>
        <v>46203</v>
      </c>
      <c r="H908" t="s">
        <v>749</v>
      </c>
      <c r="I908" t="s">
        <v>48</v>
      </c>
      <c r="J908" t="s">
        <v>33</v>
      </c>
      <c r="K908" t="s">
        <v>60</v>
      </c>
      <c r="L908">
        <v>1</v>
      </c>
      <c r="M908" s="2">
        <v>26.88</v>
      </c>
      <c r="N908" t="s">
        <v>87</v>
      </c>
      <c r="O908" s="3">
        <v>10</v>
      </c>
      <c r="P908" s="3">
        <v>0</v>
      </c>
      <c r="Q908" s="2">
        <v>36.880000000000003</v>
      </c>
      <c r="R908" t="s">
        <v>62</v>
      </c>
      <c r="S908" t="s">
        <v>46</v>
      </c>
      <c r="T908" t="s">
        <v>90</v>
      </c>
      <c r="U908" t="s">
        <v>30</v>
      </c>
    </row>
    <row r="909" spans="1:21" x14ac:dyDescent="0.35">
      <c r="A909" t="s">
        <v>988</v>
      </c>
      <c r="B909" s="1">
        <v>46189</v>
      </c>
      <c r="C909" t="str">
        <f>TEXT(tblData[[#This Row],[Rental Date]],"mmm")</f>
        <v>Jun</v>
      </c>
      <c r="D909" t="str">
        <f>TEXT(tblData[[#This Row],[Rental Date]],"mmmm")</f>
        <v>June</v>
      </c>
      <c r="E909" t="s">
        <v>102</v>
      </c>
      <c r="F909" t="str">
        <f>TEXT(WEEKNUM(tblData[[#This Row],[Rental Date]]),"00")</f>
        <v>25</v>
      </c>
      <c r="G909" s="1">
        <f>EOMONTH(tblData[[#This Row],[Rental Date]],0)</f>
        <v>46203</v>
      </c>
      <c r="H909" t="s">
        <v>749</v>
      </c>
      <c r="I909" t="s">
        <v>39</v>
      </c>
      <c r="J909" t="s">
        <v>65</v>
      </c>
      <c r="K909" t="s">
        <v>60</v>
      </c>
      <c r="L909">
        <v>1</v>
      </c>
      <c r="M909" s="2">
        <v>13.44</v>
      </c>
      <c r="N909" t="s">
        <v>61</v>
      </c>
      <c r="O909" s="3">
        <v>8</v>
      </c>
      <c r="P909" s="3">
        <v>1.07</v>
      </c>
      <c r="Q909" s="2">
        <v>20.37</v>
      </c>
      <c r="R909" t="s">
        <v>57</v>
      </c>
      <c r="S909" t="s">
        <v>35</v>
      </c>
      <c r="T909" t="s">
        <v>51</v>
      </c>
      <c r="U909" t="s">
        <v>30</v>
      </c>
    </row>
    <row r="910" spans="1:21" x14ac:dyDescent="0.35">
      <c r="A910" t="s">
        <v>989</v>
      </c>
      <c r="B910" s="1">
        <v>46189</v>
      </c>
      <c r="C910" t="str">
        <f>TEXT(tblData[[#This Row],[Rental Date]],"mmm")</f>
        <v>Jun</v>
      </c>
      <c r="D910" t="str">
        <f>TEXT(tblData[[#This Row],[Rental Date]],"mmmm")</f>
        <v>June</v>
      </c>
      <c r="E910" t="s">
        <v>102</v>
      </c>
      <c r="F910" t="str">
        <f>TEXT(WEEKNUM(tblData[[#This Row],[Rental Date]]),"00")</f>
        <v>25</v>
      </c>
      <c r="G910" s="1">
        <f>EOMONTH(tblData[[#This Row],[Rental Date]],0)</f>
        <v>46203</v>
      </c>
      <c r="H910" t="s">
        <v>749</v>
      </c>
      <c r="I910" t="s">
        <v>39</v>
      </c>
      <c r="J910" t="s">
        <v>111</v>
      </c>
      <c r="K910" t="s">
        <v>92</v>
      </c>
      <c r="L910">
        <v>1</v>
      </c>
      <c r="M910" s="2">
        <v>53.76</v>
      </c>
      <c r="N910" t="s">
        <v>87</v>
      </c>
      <c r="O910" s="3">
        <v>10</v>
      </c>
      <c r="P910" s="3">
        <v>0</v>
      </c>
      <c r="Q910" s="2">
        <v>63.76</v>
      </c>
      <c r="R910" t="s">
        <v>71</v>
      </c>
      <c r="S910" t="s">
        <v>35</v>
      </c>
      <c r="T910" t="s">
        <v>29</v>
      </c>
      <c r="U910" t="s">
        <v>30</v>
      </c>
    </row>
    <row r="911" spans="1:21" x14ac:dyDescent="0.35">
      <c r="A911" t="s">
        <v>990</v>
      </c>
      <c r="B911" s="1">
        <v>46189</v>
      </c>
      <c r="C911" t="str">
        <f>TEXT(tblData[[#This Row],[Rental Date]],"mmm")</f>
        <v>Jun</v>
      </c>
      <c r="D911" t="str">
        <f>TEXT(tblData[[#This Row],[Rental Date]],"mmmm")</f>
        <v>June</v>
      </c>
      <c r="E911" t="s">
        <v>102</v>
      </c>
      <c r="F911" t="str">
        <f>TEXT(WEEKNUM(tblData[[#This Row],[Rental Date]]),"00")</f>
        <v>25</v>
      </c>
      <c r="G911" s="1">
        <f>EOMONTH(tblData[[#This Row],[Rental Date]],0)</f>
        <v>46203</v>
      </c>
      <c r="H911" t="s">
        <v>749</v>
      </c>
      <c r="I911" t="s">
        <v>48</v>
      </c>
      <c r="J911" t="s">
        <v>24</v>
      </c>
      <c r="K911" t="s">
        <v>25</v>
      </c>
      <c r="L911">
        <v>1</v>
      </c>
      <c r="M911" s="2">
        <v>56</v>
      </c>
      <c r="N911" t="s">
        <v>26</v>
      </c>
      <c r="O911" s="3">
        <v>0</v>
      </c>
      <c r="P911" s="3">
        <v>0</v>
      </c>
      <c r="Q911" s="2">
        <v>56</v>
      </c>
      <c r="R911" t="s">
        <v>27</v>
      </c>
      <c r="S911" t="s">
        <v>50</v>
      </c>
      <c r="T911" t="s">
        <v>29</v>
      </c>
      <c r="U911" t="s">
        <v>30</v>
      </c>
    </row>
    <row r="912" spans="1:21" x14ac:dyDescent="0.35">
      <c r="A912" t="s">
        <v>991</v>
      </c>
      <c r="B912" s="1">
        <v>46190</v>
      </c>
      <c r="C912" t="str">
        <f>TEXT(tblData[[#This Row],[Rental Date]],"mmm")</f>
        <v>Jun</v>
      </c>
      <c r="D912" t="str">
        <f>TEXT(tblData[[#This Row],[Rental Date]],"mmmm")</f>
        <v>June</v>
      </c>
      <c r="E912" t="s">
        <v>109</v>
      </c>
      <c r="F912" t="str">
        <f>TEXT(WEEKNUM(tblData[[#This Row],[Rental Date]]),"00")</f>
        <v>25</v>
      </c>
      <c r="G912" s="1">
        <f>EOMONTH(tblData[[#This Row],[Rental Date]],0)</f>
        <v>46203</v>
      </c>
      <c r="H912" t="s">
        <v>749</v>
      </c>
      <c r="I912" t="s">
        <v>39</v>
      </c>
      <c r="J912" t="s">
        <v>78</v>
      </c>
      <c r="K912" t="s">
        <v>40</v>
      </c>
      <c r="L912">
        <v>1</v>
      </c>
      <c r="M912" s="2">
        <v>69.44</v>
      </c>
      <c r="N912" t="s">
        <v>26</v>
      </c>
      <c r="O912" s="3">
        <v>0</v>
      </c>
      <c r="P912" s="3">
        <v>0</v>
      </c>
      <c r="Q912" s="2">
        <v>69.44</v>
      </c>
      <c r="R912" t="s">
        <v>71</v>
      </c>
      <c r="S912" t="s">
        <v>28</v>
      </c>
      <c r="T912" t="s">
        <v>29</v>
      </c>
      <c r="U912" t="s">
        <v>30</v>
      </c>
    </row>
    <row r="913" spans="1:21" x14ac:dyDescent="0.35">
      <c r="A913" t="s">
        <v>992</v>
      </c>
      <c r="B913" s="1">
        <v>46190</v>
      </c>
      <c r="C913" t="str">
        <f>TEXT(tblData[[#This Row],[Rental Date]],"mmm")</f>
        <v>Jun</v>
      </c>
      <c r="D913" t="str">
        <f>TEXT(tblData[[#This Row],[Rental Date]],"mmmm")</f>
        <v>June</v>
      </c>
      <c r="E913" t="s">
        <v>109</v>
      </c>
      <c r="F913" t="str">
        <f>TEXT(WEEKNUM(tblData[[#This Row],[Rental Date]]),"00")</f>
        <v>25</v>
      </c>
      <c r="G913" s="1">
        <f>EOMONTH(tblData[[#This Row],[Rental Date]],0)</f>
        <v>46203</v>
      </c>
      <c r="H913" t="s">
        <v>749</v>
      </c>
      <c r="I913" t="s">
        <v>39</v>
      </c>
      <c r="J913" t="s">
        <v>33</v>
      </c>
      <c r="K913" t="s">
        <v>25</v>
      </c>
      <c r="L913">
        <v>1</v>
      </c>
      <c r="M913" s="2">
        <v>42.56</v>
      </c>
      <c r="N913" t="s">
        <v>26</v>
      </c>
      <c r="O913" s="3">
        <v>0</v>
      </c>
      <c r="P913" s="3">
        <v>0</v>
      </c>
      <c r="Q913" s="2">
        <v>42.56</v>
      </c>
      <c r="R913" t="s">
        <v>42</v>
      </c>
      <c r="S913" t="s">
        <v>35</v>
      </c>
      <c r="T913" t="s">
        <v>29</v>
      </c>
      <c r="U913" t="s">
        <v>30</v>
      </c>
    </row>
    <row r="914" spans="1:21" x14ac:dyDescent="0.35">
      <c r="A914" t="s">
        <v>993</v>
      </c>
      <c r="B914" s="1">
        <v>46190</v>
      </c>
      <c r="C914" t="str">
        <f>TEXT(tblData[[#This Row],[Rental Date]],"mmm")</f>
        <v>Jun</v>
      </c>
      <c r="D914" t="str">
        <f>TEXT(tblData[[#This Row],[Rental Date]],"mmmm")</f>
        <v>June</v>
      </c>
      <c r="E914" t="s">
        <v>109</v>
      </c>
      <c r="F914" t="str">
        <f>TEXT(WEEKNUM(tblData[[#This Row],[Rental Date]]),"00")</f>
        <v>25</v>
      </c>
      <c r="G914" s="1">
        <f>EOMONTH(tblData[[#This Row],[Rental Date]],0)</f>
        <v>46203</v>
      </c>
      <c r="H914" t="s">
        <v>749</v>
      </c>
      <c r="I914" t="s">
        <v>39</v>
      </c>
      <c r="J914" t="s">
        <v>78</v>
      </c>
      <c r="K914" t="s">
        <v>25</v>
      </c>
      <c r="L914">
        <v>1</v>
      </c>
      <c r="M914" s="2">
        <v>47.04</v>
      </c>
      <c r="N914" t="s">
        <v>26</v>
      </c>
      <c r="O914" s="3">
        <v>0</v>
      </c>
      <c r="P914" s="3">
        <v>0</v>
      </c>
      <c r="Q914" s="2">
        <v>47.04</v>
      </c>
      <c r="R914" t="s">
        <v>27</v>
      </c>
      <c r="S914" t="s">
        <v>35</v>
      </c>
      <c r="T914" t="s">
        <v>29</v>
      </c>
      <c r="U914" t="s">
        <v>79</v>
      </c>
    </row>
    <row r="915" spans="1:21" x14ac:dyDescent="0.35">
      <c r="A915" t="s">
        <v>994</v>
      </c>
      <c r="B915" s="1">
        <v>46190</v>
      </c>
      <c r="C915" t="str">
        <f>TEXT(tblData[[#This Row],[Rental Date]],"mmm")</f>
        <v>Jun</v>
      </c>
      <c r="D915" t="str">
        <f>TEXT(tblData[[#This Row],[Rental Date]],"mmmm")</f>
        <v>June</v>
      </c>
      <c r="E915" t="s">
        <v>109</v>
      </c>
      <c r="F915" t="str">
        <f>TEXT(WEEKNUM(tblData[[#This Row],[Rental Date]]),"00")</f>
        <v>25</v>
      </c>
      <c r="G915" s="1">
        <f>EOMONTH(tblData[[#This Row],[Rental Date]],0)</f>
        <v>46203</v>
      </c>
      <c r="H915" t="s">
        <v>749</v>
      </c>
      <c r="I915" t="s">
        <v>39</v>
      </c>
      <c r="J915" t="s">
        <v>33</v>
      </c>
      <c r="K915" t="s">
        <v>25</v>
      </c>
      <c r="L915">
        <v>1</v>
      </c>
      <c r="M915" s="2">
        <v>42.56</v>
      </c>
      <c r="N915" t="s">
        <v>26</v>
      </c>
      <c r="O915" s="3">
        <v>0</v>
      </c>
      <c r="P915" s="3">
        <v>0</v>
      </c>
      <c r="Q915" s="2">
        <v>42.56</v>
      </c>
      <c r="R915" t="s">
        <v>94</v>
      </c>
      <c r="S915" t="s">
        <v>35</v>
      </c>
      <c r="T915" t="s">
        <v>51</v>
      </c>
      <c r="U915" t="s">
        <v>30</v>
      </c>
    </row>
    <row r="916" spans="1:21" x14ac:dyDescent="0.35">
      <c r="A916" t="s">
        <v>995</v>
      </c>
      <c r="B916" s="1">
        <v>46190</v>
      </c>
      <c r="C916" t="str">
        <f>TEXT(tblData[[#This Row],[Rental Date]],"mmm")</f>
        <v>Jun</v>
      </c>
      <c r="D916" t="str">
        <f>TEXT(tblData[[#This Row],[Rental Date]],"mmmm")</f>
        <v>June</v>
      </c>
      <c r="E916" t="s">
        <v>109</v>
      </c>
      <c r="F916" t="str">
        <f>TEXT(WEEKNUM(tblData[[#This Row],[Rental Date]]),"00")</f>
        <v>25</v>
      </c>
      <c r="G916" s="1">
        <f>EOMONTH(tblData[[#This Row],[Rental Date]],0)</f>
        <v>46203</v>
      </c>
      <c r="H916" t="s">
        <v>749</v>
      </c>
      <c r="I916" t="s">
        <v>48</v>
      </c>
      <c r="J916" t="s">
        <v>138</v>
      </c>
      <c r="K916" t="s">
        <v>60</v>
      </c>
      <c r="L916">
        <v>1</v>
      </c>
      <c r="M916" s="2">
        <v>33.6</v>
      </c>
      <c r="N916" t="s">
        <v>89</v>
      </c>
      <c r="O916" s="3">
        <v>6</v>
      </c>
      <c r="P916" s="3">
        <v>0</v>
      </c>
      <c r="Q916" s="2">
        <v>39.6</v>
      </c>
      <c r="R916" t="s">
        <v>62</v>
      </c>
      <c r="S916" t="s">
        <v>54</v>
      </c>
      <c r="T916" t="s">
        <v>29</v>
      </c>
      <c r="U916" t="s">
        <v>30</v>
      </c>
    </row>
    <row r="917" spans="1:21" x14ac:dyDescent="0.35">
      <c r="A917" t="s">
        <v>996</v>
      </c>
      <c r="B917" s="1">
        <v>46190</v>
      </c>
      <c r="C917" t="str">
        <f>TEXT(tblData[[#This Row],[Rental Date]],"mmm")</f>
        <v>Jun</v>
      </c>
      <c r="D917" t="str">
        <f>TEXT(tblData[[#This Row],[Rental Date]],"mmmm")</f>
        <v>June</v>
      </c>
      <c r="E917" t="s">
        <v>109</v>
      </c>
      <c r="F917" t="str">
        <f>TEXT(WEEKNUM(tblData[[#This Row],[Rental Date]]),"00")</f>
        <v>25</v>
      </c>
      <c r="G917" s="1">
        <f>EOMONTH(tblData[[#This Row],[Rental Date]],0)</f>
        <v>46203</v>
      </c>
      <c r="H917" t="s">
        <v>749</v>
      </c>
      <c r="I917" t="s">
        <v>48</v>
      </c>
      <c r="J917" t="s">
        <v>78</v>
      </c>
      <c r="K917" t="s">
        <v>40</v>
      </c>
      <c r="L917">
        <v>1</v>
      </c>
      <c r="M917" s="2">
        <v>69.44</v>
      </c>
      <c r="N917" t="s">
        <v>61</v>
      </c>
      <c r="O917" s="3">
        <v>8</v>
      </c>
      <c r="P917" s="3">
        <v>0</v>
      </c>
      <c r="Q917" s="2">
        <v>77.44</v>
      </c>
      <c r="R917" t="s">
        <v>42</v>
      </c>
      <c r="S917" t="s">
        <v>54</v>
      </c>
      <c r="T917" t="s">
        <v>63</v>
      </c>
      <c r="U917" t="s">
        <v>58</v>
      </c>
    </row>
    <row r="918" spans="1:21" x14ac:dyDescent="0.35">
      <c r="A918" t="s">
        <v>997</v>
      </c>
      <c r="B918" s="1">
        <v>46190</v>
      </c>
      <c r="C918" t="str">
        <f>TEXT(tblData[[#This Row],[Rental Date]],"mmm")</f>
        <v>Jun</v>
      </c>
      <c r="D918" t="str">
        <f>TEXT(tblData[[#This Row],[Rental Date]],"mmmm")</f>
        <v>June</v>
      </c>
      <c r="E918" t="s">
        <v>109</v>
      </c>
      <c r="F918" t="str">
        <f>TEXT(WEEKNUM(tblData[[#This Row],[Rental Date]]),"00")</f>
        <v>25</v>
      </c>
      <c r="G918" s="1">
        <f>EOMONTH(tblData[[#This Row],[Rental Date]],0)</f>
        <v>46203</v>
      </c>
      <c r="H918" t="s">
        <v>749</v>
      </c>
      <c r="I918" t="s">
        <v>48</v>
      </c>
      <c r="J918" t="s">
        <v>127</v>
      </c>
      <c r="K918" t="s">
        <v>60</v>
      </c>
      <c r="L918">
        <v>1</v>
      </c>
      <c r="M918" s="2">
        <v>11.2</v>
      </c>
      <c r="N918" t="s">
        <v>26</v>
      </c>
      <c r="O918" s="3">
        <v>0</v>
      </c>
      <c r="P918" s="3">
        <v>0</v>
      </c>
      <c r="Q918" s="2">
        <v>11.2</v>
      </c>
      <c r="R918" t="s">
        <v>27</v>
      </c>
      <c r="S918" t="s">
        <v>35</v>
      </c>
      <c r="T918" t="s">
        <v>29</v>
      </c>
      <c r="U918" t="s">
        <v>30</v>
      </c>
    </row>
    <row r="919" spans="1:21" x14ac:dyDescent="0.35">
      <c r="A919" t="s">
        <v>998</v>
      </c>
      <c r="B919" s="1">
        <v>46190</v>
      </c>
      <c r="C919" t="str">
        <f>TEXT(tblData[[#This Row],[Rental Date]],"mmm")</f>
        <v>Jun</v>
      </c>
      <c r="D919" t="str">
        <f>TEXT(tblData[[#This Row],[Rental Date]],"mmmm")</f>
        <v>June</v>
      </c>
      <c r="E919" t="s">
        <v>109</v>
      </c>
      <c r="F919" t="str">
        <f>TEXT(WEEKNUM(tblData[[#This Row],[Rental Date]]),"00")</f>
        <v>25</v>
      </c>
      <c r="G919" s="1">
        <f>EOMONTH(tblData[[#This Row],[Rental Date]],0)</f>
        <v>46203</v>
      </c>
      <c r="H919" t="s">
        <v>749</v>
      </c>
      <c r="I919" t="s">
        <v>48</v>
      </c>
      <c r="J919" t="s">
        <v>24</v>
      </c>
      <c r="K919" t="s">
        <v>25</v>
      </c>
      <c r="L919">
        <v>1</v>
      </c>
      <c r="M919" s="2">
        <v>56</v>
      </c>
      <c r="N919" t="s">
        <v>61</v>
      </c>
      <c r="O919" s="3">
        <v>8</v>
      </c>
      <c r="P919" s="3">
        <v>0</v>
      </c>
      <c r="Q919" s="2">
        <v>64</v>
      </c>
      <c r="R919" t="s">
        <v>42</v>
      </c>
      <c r="S919" t="s">
        <v>35</v>
      </c>
      <c r="T919" t="s">
        <v>51</v>
      </c>
      <c r="U919" t="s">
        <v>30</v>
      </c>
    </row>
    <row r="920" spans="1:21" x14ac:dyDescent="0.35">
      <c r="A920" t="s">
        <v>999</v>
      </c>
      <c r="B920" s="1">
        <v>46190</v>
      </c>
      <c r="C920" t="str">
        <f>TEXT(tblData[[#This Row],[Rental Date]],"mmm")</f>
        <v>Jun</v>
      </c>
      <c r="D920" t="str">
        <f>TEXT(tblData[[#This Row],[Rental Date]],"mmmm")</f>
        <v>June</v>
      </c>
      <c r="E920" t="s">
        <v>109</v>
      </c>
      <c r="F920" t="str">
        <f>TEXT(WEEKNUM(tblData[[#This Row],[Rental Date]]),"00")</f>
        <v>25</v>
      </c>
      <c r="G920" s="1">
        <f>EOMONTH(tblData[[#This Row],[Rental Date]],0)</f>
        <v>46203</v>
      </c>
      <c r="H920" t="s">
        <v>749</v>
      </c>
      <c r="I920" t="s">
        <v>48</v>
      </c>
      <c r="J920" t="s">
        <v>86</v>
      </c>
      <c r="K920" t="s">
        <v>25</v>
      </c>
      <c r="L920">
        <v>1</v>
      </c>
      <c r="M920" s="2">
        <v>64.959999999999994</v>
      </c>
      <c r="N920" t="s">
        <v>89</v>
      </c>
      <c r="O920" s="3">
        <v>6</v>
      </c>
      <c r="P920" s="3">
        <v>0</v>
      </c>
      <c r="Q920" s="2">
        <v>70.959999999999994</v>
      </c>
      <c r="R920" t="s">
        <v>94</v>
      </c>
      <c r="S920" t="s">
        <v>28</v>
      </c>
      <c r="T920" t="s">
        <v>63</v>
      </c>
      <c r="U920" t="s">
        <v>30</v>
      </c>
    </row>
    <row r="921" spans="1:21" x14ac:dyDescent="0.35">
      <c r="A921" t="s">
        <v>1000</v>
      </c>
      <c r="B921" s="1">
        <v>46190</v>
      </c>
      <c r="C921" t="str">
        <f>TEXT(tblData[[#This Row],[Rental Date]],"mmm")</f>
        <v>Jun</v>
      </c>
      <c r="D921" t="str">
        <f>TEXT(tblData[[#This Row],[Rental Date]],"mmmm")</f>
        <v>June</v>
      </c>
      <c r="E921" t="s">
        <v>109</v>
      </c>
      <c r="F921" t="str">
        <f>TEXT(WEEKNUM(tblData[[#This Row],[Rental Date]]),"00")</f>
        <v>25</v>
      </c>
      <c r="G921" s="1">
        <f>EOMONTH(tblData[[#This Row],[Rental Date]],0)</f>
        <v>46203</v>
      </c>
      <c r="H921" t="s">
        <v>749</v>
      </c>
      <c r="I921" t="s">
        <v>39</v>
      </c>
      <c r="J921" t="s">
        <v>44</v>
      </c>
      <c r="K921" t="s">
        <v>60</v>
      </c>
      <c r="L921">
        <v>1</v>
      </c>
      <c r="M921" s="2">
        <v>38.08</v>
      </c>
      <c r="N921" t="s">
        <v>26</v>
      </c>
      <c r="O921" s="3">
        <v>0</v>
      </c>
      <c r="P921" s="3">
        <v>0</v>
      </c>
      <c r="Q921" s="2">
        <v>38.08</v>
      </c>
      <c r="R921" t="s">
        <v>62</v>
      </c>
      <c r="S921" t="s">
        <v>35</v>
      </c>
      <c r="T921" t="s">
        <v>29</v>
      </c>
      <c r="U921" t="s">
        <v>30</v>
      </c>
    </row>
    <row r="922" spans="1:21" x14ac:dyDescent="0.35">
      <c r="A922" t="s">
        <v>1001</v>
      </c>
      <c r="B922" s="1">
        <v>46190</v>
      </c>
      <c r="C922" t="str">
        <f>TEXT(tblData[[#This Row],[Rental Date]],"mmm")</f>
        <v>Jun</v>
      </c>
      <c r="D922" t="str">
        <f>TEXT(tblData[[#This Row],[Rental Date]],"mmmm")</f>
        <v>June</v>
      </c>
      <c r="E922" t="s">
        <v>109</v>
      </c>
      <c r="F922" t="str">
        <f>TEXT(WEEKNUM(tblData[[#This Row],[Rental Date]]),"00")</f>
        <v>25</v>
      </c>
      <c r="G922" s="1">
        <f>EOMONTH(tblData[[#This Row],[Rental Date]],0)</f>
        <v>46203</v>
      </c>
      <c r="H922" t="s">
        <v>749</v>
      </c>
      <c r="I922" t="s">
        <v>48</v>
      </c>
      <c r="J922" t="s">
        <v>65</v>
      </c>
      <c r="K922" t="s">
        <v>60</v>
      </c>
      <c r="L922">
        <v>1</v>
      </c>
      <c r="M922" s="2">
        <v>13.44</v>
      </c>
      <c r="N922" t="s">
        <v>26</v>
      </c>
      <c r="O922" s="3">
        <v>0</v>
      </c>
      <c r="P922" s="3">
        <v>0</v>
      </c>
      <c r="Q922" s="2">
        <v>13.44</v>
      </c>
      <c r="R922" t="s">
        <v>76</v>
      </c>
      <c r="S922" t="s">
        <v>54</v>
      </c>
      <c r="T922" t="s">
        <v>90</v>
      </c>
      <c r="U922" t="s">
        <v>30</v>
      </c>
    </row>
    <row r="923" spans="1:21" x14ac:dyDescent="0.35">
      <c r="A923" t="s">
        <v>1002</v>
      </c>
      <c r="B923" s="1">
        <v>46190</v>
      </c>
      <c r="C923" t="str">
        <f>TEXT(tblData[[#This Row],[Rental Date]],"mmm")</f>
        <v>Jun</v>
      </c>
      <c r="D923" t="str">
        <f>TEXT(tblData[[#This Row],[Rental Date]],"mmmm")</f>
        <v>June</v>
      </c>
      <c r="E923" t="s">
        <v>109</v>
      </c>
      <c r="F923" t="str">
        <f>TEXT(WEEKNUM(tblData[[#This Row],[Rental Date]]),"00")</f>
        <v>25</v>
      </c>
      <c r="G923" s="1">
        <f>EOMONTH(tblData[[#This Row],[Rental Date]],0)</f>
        <v>46203</v>
      </c>
      <c r="H923" t="s">
        <v>749</v>
      </c>
      <c r="I923" t="s">
        <v>32</v>
      </c>
      <c r="J923" t="s">
        <v>78</v>
      </c>
      <c r="K923" t="s">
        <v>25</v>
      </c>
      <c r="L923">
        <v>1</v>
      </c>
      <c r="M923" s="2">
        <v>47.04</v>
      </c>
      <c r="N923" t="s">
        <v>75</v>
      </c>
      <c r="O923" s="3">
        <v>12</v>
      </c>
      <c r="P923" s="3">
        <v>5.9</v>
      </c>
      <c r="Q923" s="2">
        <v>53.14</v>
      </c>
      <c r="R923" t="s">
        <v>27</v>
      </c>
      <c r="S923" t="s">
        <v>50</v>
      </c>
      <c r="T923" t="s">
        <v>29</v>
      </c>
      <c r="U923" t="s">
        <v>30</v>
      </c>
    </row>
    <row r="924" spans="1:21" x14ac:dyDescent="0.35">
      <c r="A924" t="s">
        <v>1003</v>
      </c>
      <c r="B924" s="1">
        <v>46190</v>
      </c>
      <c r="C924" t="str">
        <f>TEXT(tblData[[#This Row],[Rental Date]],"mmm")</f>
        <v>Jun</v>
      </c>
      <c r="D924" t="str">
        <f>TEXT(tblData[[#This Row],[Rental Date]],"mmmm")</f>
        <v>June</v>
      </c>
      <c r="E924" t="s">
        <v>109</v>
      </c>
      <c r="F924" t="str">
        <f>TEXT(WEEKNUM(tblData[[#This Row],[Rental Date]]),"00")</f>
        <v>25</v>
      </c>
      <c r="G924" s="1">
        <f>EOMONTH(tblData[[#This Row],[Rental Date]],0)</f>
        <v>46203</v>
      </c>
      <c r="H924" t="s">
        <v>749</v>
      </c>
      <c r="I924" t="s">
        <v>53</v>
      </c>
      <c r="J924" t="s">
        <v>78</v>
      </c>
      <c r="K924" t="s">
        <v>60</v>
      </c>
      <c r="L924">
        <v>1</v>
      </c>
      <c r="M924" s="2">
        <v>29.12</v>
      </c>
      <c r="N924" t="s">
        <v>41</v>
      </c>
      <c r="O924" s="3">
        <v>5</v>
      </c>
      <c r="P924" s="3">
        <v>3.41</v>
      </c>
      <c r="Q924" s="2">
        <v>30.71</v>
      </c>
      <c r="R924" t="s">
        <v>94</v>
      </c>
      <c r="S924" t="s">
        <v>35</v>
      </c>
      <c r="T924" t="s">
        <v>29</v>
      </c>
      <c r="U924" t="s">
        <v>30</v>
      </c>
    </row>
    <row r="925" spans="1:21" x14ac:dyDescent="0.35">
      <c r="A925" t="s">
        <v>1004</v>
      </c>
      <c r="B925" s="1">
        <v>46190</v>
      </c>
      <c r="C925" t="str">
        <f>TEXT(tblData[[#This Row],[Rental Date]],"mmm")</f>
        <v>Jun</v>
      </c>
      <c r="D925" t="str">
        <f>TEXT(tblData[[#This Row],[Rental Date]],"mmmm")</f>
        <v>June</v>
      </c>
      <c r="E925" t="s">
        <v>109</v>
      </c>
      <c r="F925" t="str">
        <f>TEXT(WEEKNUM(tblData[[#This Row],[Rental Date]]),"00")</f>
        <v>25</v>
      </c>
      <c r="G925" s="1">
        <f>EOMONTH(tblData[[#This Row],[Rental Date]],0)</f>
        <v>46203</v>
      </c>
      <c r="H925" t="s">
        <v>749</v>
      </c>
      <c r="I925" t="s">
        <v>48</v>
      </c>
      <c r="J925" t="s">
        <v>44</v>
      </c>
      <c r="K925" t="s">
        <v>25</v>
      </c>
      <c r="L925">
        <v>1</v>
      </c>
      <c r="M925" s="2">
        <v>58.24</v>
      </c>
      <c r="N925" t="s">
        <v>61</v>
      </c>
      <c r="O925" s="3">
        <v>8</v>
      </c>
      <c r="P925" s="3">
        <v>0</v>
      </c>
      <c r="Q925" s="2">
        <v>66.239999999999995</v>
      </c>
      <c r="R925" t="s">
        <v>71</v>
      </c>
      <c r="S925" t="s">
        <v>35</v>
      </c>
      <c r="T925" t="s">
        <v>90</v>
      </c>
      <c r="U925" t="s">
        <v>30</v>
      </c>
    </row>
    <row r="926" spans="1:21" x14ac:dyDescent="0.35">
      <c r="A926" t="s">
        <v>1005</v>
      </c>
      <c r="B926" s="1">
        <v>46190</v>
      </c>
      <c r="C926" t="str">
        <f>TEXT(tblData[[#This Row],[Rental Date]],"mmm")</f>
        <v>Jun</v>
      </c>
      <c r="D926" t="str">
        <f>TEXT(tblData[[#This Row],[Rental Date]],"mmmm")</f>
        <v>June</v>
      </c>
      <c r="E926" t="s">
        <v>109</v>
      </c>
      <c r="F926" t="str">
        <f>TEXT(WEEKNUM(tblData[[#This Row],[Rental Date]]),"00")</f>
        <v>25</v>
      </c>
      <c r="G926" s="1">
        <f>EOMONTH(tblData[[#This Row],[Rental Date]],0)</f>
        <v>46203</v>
      </c>
      <c r="H926" t="s">
        <v>749</v>
      </c>
      <c r="I926" t="s">
        <v>48</v>
      </c>
      <c r="J926" t="s">
        <v>33</v>
      </c>
      <c r="K926" t="s">
        <v>60</v>
      </c>
      <c r="L926">
        <v>1</v>
      </c>
      <c r="M926" s="2">
        <v>26.88</v>
      </c>
      <c r="N926" t="s">
        <v>26</v>
      </c>
      <c r="O926" s="3">
        <v>0</v>
      </c>
      <c r="P926" s="3">
        <v>0</v>
      </c>
      <c r="Q926" s="2">
        <v>26.88</v>
      </c>
      <c r="R926" t="s">
        <v>27</v>
      </c>
      <c r="S926" t="s">
        <v>46</v>
      </c>
      <c r="T926" t="s">
        <v>51</v>
      </c>
      <c r="U926" t="s">
        <v>30</v>
      </c>
    </row>
    <row r="927" spans="1:21" x14ac:dyDescent="0.35">
      <c r="A927" t="s">
        <v>1006</v>
      </c>
      <c r="B927" s="1">
        <v>46190</v>
      </c>
      <c r="C927" t="str">
        <f>TEXT(tblData[[#This Row],[Rental Date]],"mmm")</f>
        <v>Jun</v>
      </c>
      <c r="D927" t="str">
        <f>TEXT(tblData[[#This Row],[Rental Date]],"mmmm")</f>
        <v>June</v>
      </c>
      <c r="E927" t="s">
        <v>109</v>
      </c>
      <c r="F927" t="str">
        <f>TEXT(WEEKNUM(tblData[[#This Row],[Rental Date]]),"00")</f>
        <v>25</v>
      </c>
      <c r="G927" s="1">
        <f>EOMONTH(tblData[[#This Row],[Rental Date]],0)</f>
        <v>46203</v>
      </c>
      <c r="H927" t="s">
        <v>749</v>
      </c>
      <c r="I927" t="s">
        <v>32</v>
      </c>
      <c r="J927" t="s">
        <v>49</v>
      </c>
      <c r="K927" t="s">
        <v>60</v>
      </c>
      <c r="L927">
        <v>1</v>
      </c>
      <c r="M927" s="2">
        <v>24.64</v>
      </c>
      <c r="N927" t="s">
        <v>26</v>
      </c>
      <c r="O927" s="3">
        <v>0</v>
      </c>
      <c r="P927" s="3">
        <v>2.46</v>
      </c>
      <c r="Q927" s="2">
        <v>22.18</v>
      </c>
      <c r="R927" t="s">
        <v>71</v>
      </c>
      <c r="S927" t="s">
        <v>28</v>
      </c>
      <c r="T927" t="s">
        <v>51</v>
      </c>
      <c r="U927" t="s">
        <v>30</v>
      </c>
    </row>
    <row r="928" spans="1:21" x14ac:dyDescent="0.35">
      <c r="A928" t="s">
        <v>1007</v>
      </c>
      <c r="B928" s="1">
        <v>46191</v>
      </c>
      <c r="C928" t="str">
        <f>TEXT(tblData[[#This Row],[Rental Date]],"mmm")</f>
        <v>Jun</v>
      </c>
      <c r="D928" t="str">
        <f>TEXT(tblData[[#This Row],[Rental Date]],"mmmm")</f>
        <v>June</v>
      </c>
      <c r="E928" t="s">
        <v>21</v>
      </c>
      <c r="F928" t="str">
        <f>TEXT(WEEKNUM(tblData[[#This Row],[Rental Date]]),"00")</f>
        <v>25</v>
      </c>
      <c r="G928" s="1">
        <f>EOMONTH(tblData[[#This Row],[Rental Date]],0)</f>
        <v>46203</v>
      </c>
      <c r="H928" t="s">
        <v>749</v>
      </c>
      <c r="I928" t="s">
        <v>48</v>
      </c>
      <c r="J928" t="s">
        <v>78</v>
      </c>
      <c r="K928" t="s">
        <v>60</v>
      </c>
      <c r="L928">
        <v>1</v>
      </c>
      <c r="M928" s="2">
        <v>29.12</v>
      </c>
      <c r="N928" t="s">
        <v>26</v>
      </c>
      <c r="O928" s="3">
        <v>0</v>
      </c>
      <c r="P928" s="3">
        <v>0</v>
      </c>
      <c r="Q928" s="2">
        <v>29.12</v>
      </c>
      <c r="R928" t="s">
        <v>71</v>
      </c>
      <c r="S928" t="s">
        <v>46</v>
      </c>
      <c r="T928" t="s">
        <v>29</v>
      </c>
      <c r="U928" t="s">
        <v>30</v>
      </c>
    </row>
    <row r="929" spans="1:21" x14ac:dyDescent="0.35">
      <c r="A929" t="s">
        <v>1008</v>
      </c>
      <c r="B929" s="1">
        <v>46191</v>
      </c>
      <c r="C929" t="str">
        <f>TEXT(tblData[[#This Row],[Rental Date]],"mmm")</f>
        <v>Jun</v>
      </c>
      <c r="D929" t="str">
        <f>TEXT(tblData[[#This Row],[Rental Date]],"mmmm")</f>
        <v>June</v>
      </c>
      <c r="E929" t="s">
        <v>21</v>
      </c>
      <c r="F929" t="str">
        <f>TEXT(WEEKNUM(tblData[[#This Row],[Rental Date]]),"00")</f>
        <v>25</v>
      </c>
      <c r="G929" s="1">
        <f>EOMONTH(tblData[[#This Row],[Rental Date]],0)</f>
        <v>46203</v>
      </c>
      <c r="H929" t="s">
        <v>749</v>
      </c>
      <c r="I929" t="s">
        <v>48</v>
      </c>
      <c r="J929" t="s">
        <v>65</v>
      </c>
      <c r="K929" t="s">
        <v>25</v>
      </c>
      <c r="L929">
        <v>1</v>
      </c>
      <c r="M929" s="2">
        <v>20.16</v>
      </c>
      <c r="N929" t="s">
        <v>26</v>
      </c>
      <c r="O929" s="3">
        <v>0</v>
      </c>
      <c r="P929" s="3">
        <v>0</v>
      </c>
      <c r="Q929" s="2">
        <v>20.16</v>
      </c>
      <c r="R929" t="s">
        <v>45</v>
      </c>
      <c r="S929" t="s">
        <v>50</v>
      </c>
      <c r="T929" t="s">
        <v>29</v>
      </c>
      <c r="U929" t="s">
        <v>30</v>
      </c>
    </row>
    <row r="930" spans="1:21" x14ac:dyDescent="0.35">
      <c r="A930" t="s">
        <v>1009</v>
      </c>
      <c r="B930" s="1">
        <v>46191</v>
      </c>
      <c r="C930" t="str">
        <f>TEXT(tblData[[#This Row],[Rental Date]],"mmm")</f>
        <v>Jun</v>
      </c>
      <c r="D930" t="str">
        <f>TEXT(tblData[[#This Row],[Rental Date]],"mmmm")</f>
        <v>June</v>
      </c>
      <c r="E930" t="s">
        <v>21</v>
      </c>
      <c r="F930" t="str">
        <f>TEXT(WEEKNUM(tblData[[#This Row],[Rental Date]]),"00")</f>
        <v>25</v>
      </c>
      <c r="G930" s="1">
        <f>EOMONTH(tblData[[#This Row],[Rental Date]],0)</f>
        <v>46203</v>
      </c>
      <c r="H930" t="s">
        <v>749</v>
      </c>
      <c r="I930" t="s">
        <v>39</v>
      </c>
      <c r="J930" t="s">
        <v>138</v>
      </c>
      <c r="K930" t="s">
        <v>25</v>
      </c>
      <c r="L930">
        <v>1</v>
      </c>
      <c r="M930" s="2">
        <v>53.76</v>
      </c>
      <c r="N930" t="s">
        <v>26</v>
      </c>
      <c r="O930" s="3">
        <v>0</v>
      </c>
      <c r="P930" s="3">
        <v>0</v>
      </c>
      <c r="Q930" s="2">
        <v>53.76</v>
      </c>
      <c r="R930" t="s">
        <v>66</v>
      </c>
      <c r="S930" t="s">
        <v>35</v>
      </c>
      <c r="T930" t="s">
        <v>29</v>
      </c>
      <c r="U930" t="s">
        <v>30</v>
      </c>
    </row>
    <row r="931" spans="1:21" x14ac:dyDescent="0.35">
      <c r="A931" t="s">
        <v>1010</v>
      </c>
      <c r="B931" s="1">
        <v>46191</v>
      </c>
      <c r="C931" t="str">
        <f>TEXT(tblData[[#This Row],[Rental Date]],"mmm")</f>
        <v>Jun</v>
      </c>
      <c r="D931" t="str">
        <f>TEXT(tblData[[#This Row],[Rental Date]],"mmmm")</f>
        <v>June</v>
      </c>
      <c r="E931" t="s">
        <v>21</v>
      </c>
      <c r="F931" t="str">
        <f>TEXT(WEEKNUM(tblData[[#This Row],[Rental Date]]),"00")</f>
        <v>25</v>
      </c>
      <c r="G931" s="1">
        <f>EOMONTH(tblData[[#This Row],[Rental Date]],0)</f>
        <v>46203</v>
      </c>
      <c r="H931" t="s">
        <v>749</v>
      </c>
      <c r="I931" t="s">
        <v>32</v>
      </c>
      <c r="J931" t="s">
        <v>138</v>
      </c>
      <c r="K931" t="s">
        <v>60</v>
      </c>
      <c r="L931">
        <v>1</v>
      </c>
      <c r="M931" s="2">
        <v>33.6</v>
      </c>
      <c r="N931" t="s">
        <v>89</v>
      </c>
      <c r="O931" s="3">
        <v>6</v>
      </c>
      <c r="P931" s="3">
        <v>3.96</v>
      </c>
      <c r="Q931" s="2">
        <v>35.64</v>
      </c>
      <c r="R931" t="s">
        <v>76</v>
      </c>
      <c r="S931" t="s">
        <v>54</v>
      </c>
      <c r="T931" t="s">
        <v>29</v>
      </c>
      <c r="U931" t="s">
        <v>30</v>
      </c>
    </row>
    <row r="932" spans="1:21" x14ac:dyDescent="0.35">
      <c r="A932" t="s">
        <v>1011</v>
      </c>
      <c r="B932" s="1">
        <v>46191</v>
      </c>
      <c r="C932" t="str">
        <f>TEXT(tblData[[#This Row],[Rental Date]],"mmm")</f>
        <v>Jun</v>
      </c>
      <c r="D932" t="str">
        <f>TEXT(tblData[[#This Row],[Rental Date]],"mmmm")</f>
        <v>June</v>
      </c>
      <c r="E932" t="s">
        <v>21</v>
      </c>
      <c r="F932" t="str">
        <f>TEXT(WEEKNUM(tblData[[#This Row],[Rental Date]]),"00")</f>
        <v>25</v>
      </c>
      <c r="G932" s="1">
        <f>EOMONTH(tblData[[#This Row],[Rental Date]],0)</f>
        <v>46203</v>
      </c>
      <c r="H932" t="s">
        <v>749</v>
      </c>
      <c r="I932" t="s">
        <v>39</v>
      </c>
      <c r="J932" t="s">
        <v>86</v>
      </c>
      <c r="K932" t="s">
        <v>92</v>
      </c>
      <c r="L932">
        <v>1</v>
      </c>
      <c r="M932" s="2">
        <v>138.88</v>
      </c>
      <c r="N932" t="s">
        <v>89</v>
      </c>
      <c r="O932" s="3">
        <v>6</v>
      </c>
      <c r="P932" s="3">
        <v>0</v>
      </c>
      <c r="Q932" s="2">
        <v>144.88</v>
      </c>
      <c r="R932" t="s">
        <v>57</v>
      </c>
      <c r="S932" t="s">
        <v>50</v>
      </c>
      <c r="T932" t="s">
        <v>29</v>
      </c>
      <c r="U932" t="s">
        <v>30</v>
      </c>
    </row>
    <row r="933" spans="1:21" x14ac:dyDescent="0.35">
      <c r="A933" t="s">
        <v>1012</v>
      </c>
      <c r="B933" s="1">
        <v>46191</v>
      </c>
      <c r="C933" t="str">
        <f>TEXT(tblData[[#This Row],[Rental Date]],"mmm")</f>
        <v>Jun</v>
      </c>
      <c r="D933" t="str">
        <f>TEXT(tblData[[#This Row],[Rental Date]],"mmmm")</f>
        <v>June</v>
      </c>
      <c r="E933" t="s">
        <v>21</v>
      </c>
      <c r="F933" t="str">
        <f>TEXT(WEEKNUM(tblData[[#This Row],[Rental Date]]),"00")</f>
        <v>25</v>
      </c>
      <c r="G933" s="1">
        <f>EOMONTH(tblData[[#This Row],[Rental Date]],0)</f>
        <v>46203</v>
      </c>
      <c r="H933" t="s">
        <v>749</v>
      </c>
      <c r="I933" t="s">
        <v>48</v>
      </c>
      <c r="J933" t="s">
        <v>44</v>
      </c>
      <c r="K933" t="s">
        <v>40</v>
      </c>
      <c r="L933">
        <v>1</v>
      </c>
      <c r="M933" s="2">
        <v>87.36</v>
      </c>
      <c r="N933" t="s">
        <v>41</v>
      </c>
      <c r="O933" s="3">
        <v>5</v>
      </c>
      <c r="P933" s="3">
        <v>0</v>
      </c>
      <c r="Q933" s="2">
        <v>92.36</v>
      </c>
      <c r="R933" t="s">
        <v>94</v>
      </c>
      <c r="S933" t="s">
        <v>54</v>
      </c>
      <c r="T933" t="s">
        <v>29</v>
      </c>
      <c r="U933" t="s">
        <v>58</v>
      </c>
    </row>
    <row r="934" spans="1:21" x14ac:dyDescent="0.35">
      <c r="A934" t="s">
        <v>1013</v>
      </c>
      <c r="B934" s="1">
        <v>46191</v>
      </c>
      <c r="C934" t="str">
        <f>TEXT(tblData[[#This Row],[Rental Date]],"mmm")</f>
        <v>Jun</v>
      </c>
      <c r="D934" t="str">
        <f>TEXT(tblData[[#This Row],[Rental Date]],"mmmm")</f>
        <v>June</v>
      </c>
      <c r="E934" t="s">
        <v>21</v>
      </c>
      <c r="F934" t="str">
        <f>TEXT(WEEKNUM(tblData[[#This Row],[Rental Date]]),"00")</f>
        <v>25</v>
      </c>
      <c r="G934" s="1">
        <f>EOMONTH(tblData[[#This Row],[Rental Date]],0)</f>
        <v>46203</v>
      </c>
      <c r="H934" t="s">
        <v>749</v>
      </c>
      <c r="I934" t="s">
        <v>23</v>
      </c>
      <c r="J934" t="s">
        <v>65</v>
      </c>
      <c r="K934" t="s">
        <v>60</v>
      </c>
      <c r="L934">
        <v>1</v>
      </c>
      <c r="M934" s="2">
        <v>13.44</v>
      </c>
      <c r="N934" t="s">
        <v>70</v>
      </c>
      <c r="O934" s="3">
        <v>7</v>
      </c>
      <c r="P934" s="3">
        <v>0</v>
      </c>
      <c r="Q934" s="2">
        <v>20.440000000000001</v>
      </c>
      <c r="R934" t="s">
        <v>42</v>
      </c>
      <c r="S934" t="s">
        <v>54</v>
      </c>
      <c r="T934" t="s">
        <v>51</v>
      </c>
      <c r="U934" t="s">
        <v>58</v>
      </c>
    </row>
    <row r="935" spans="1:21" x14ac:dyDescent="0.35">
      <c r="A935" t="s">
        <v>1014</v>
      </c>
      <c r="B935" s="1">
        <v>46191</v>
      </c>
      <c r="C935" t="str">
        <f>TEXT(tblData[[#This Row],[Rental Date]],"mmm")</f>
        <v>Jun</v>
      </c>
      <c r="D935" t="str">
        <f>TEXT(tblData[[#This Row],[Rental Date]],"mmmm")</f>
        <v>June</v>
      </c>
      <c r="E935" t="s">
        <v>21</v>
      </c>
      <c r="F935" t="str">
        <f>TEXT(WEEKNUM(tblData[[#This Row],[Rental Date]]),"00")</f>
        <v>25</v>
      </c>
      <c r="G935" s="1">
        <f>EOMONTH(tblData[[#This Row],[Rental Date]],0)</f>
        <v>46203</v>
      </c>
      <c r="H935" t="s">
        <v>749</v>
      </c>
      <c r="I935" t="s">
        <v>53</v>
      </c>
      <c r="J935" t="s">
        <v>33</v>
      </c>
      <c r="K935" t="s">
        <v>60</v>
      </c>
      <c r="L935">
        <v>1</v>
      </c>
      <c r="M935" s="2">
        <v>26.88</v>
      </c>
      <c r="N935" t="s">
        <v>89</v>
      </c>
      <c r="O935" s="3">
        <v>6</v>
      </c>
      <c r="P935" s="3">
        <v>3.29</v>
      </c>
      <c r="Q935" s="2">
        <v>29.59</v>
      </c>
      <c r="R935" t="s">
        <v>27</v>
      </c>
      <c r="S935" t="s">
        <v>54</v>
      </c>
      <c r="T935" t="s">
        <v>51</v>
      </c>
      <c r="U935" t="s">
        <v>30</v>
      </c>
    </row>
    <row r="936" spans="1:21" x14ac:dyDescent="0.35">
      <c r="A936" t="s">
        <v>1015</v>
      </c>
      <c r="B936" s="1">
        <v>46191</v>
      </c>
      <c r="C936" t="str">
        <f>TEXT(tblData[[#This Row],[Rental Date]],"mmm")</f>
        <v>Jun</v>
      </c>
      <c r="D936" t="str">
        <f>TEXT(tblData[[#This Row],[Rental Date]],"mmmm")</f>
        <v>June</v>
      </c>
      <c r="E936" t="s">
        <v>21</v>
      </c>
      <c r="F936" t="str">
        <f>TEXT(WEEKNUM(tblData[[#This Row],[Rental Date]]),"00")</f>
        <v>25</v>
      </c>
      <c r="G936" s="1">
        <f>EOMONTH(tblData[[#This Row],[Rental Date]],0)</f>
        <v>46203</v>
      </c>
      <c r="H936" t="s">
        <v>749</v>
      </c>
      <c r="I936" t="s">
        <v>48</v>
      </c>
      <c r="J936" t="s">
        <v>44</v>
      </c>
      <c r="K936" t="s">
        <v>92</v>
      </c>
      <c r="L936">
        <v>1</v>
      </c>
      <c r="M936" s="2">
        <v>125.44</v>
      </c>
      <c r="N936" t="s">
        <v>61</v>
      </c>
      <c r="O936" s="3">
        <v>8</v>
      </c>
      <c r="P936" s="3">
        <v>0</v>
      </c>
      <c r="Q936" s="2">
        <v>133.44</v>
      </c>
      <c r="R936" t="s">
        <v>76</v>
      </c>
      <c r="S936" t="s">
        <v>28</v>
      </c>
      <c r="T936" t="s">
        <v>51</v>
      </c>
      <c r="U936" t="s">
        <v>30</v>
      </c>
    </row>
    <row r="937" spans="1:21" x14ac:dyDescent="0.35">
      <c r="A937" t="s">
        <v>1016</v>
      </c>
      <c r="B937" s="1">
        <v>46191</v>
      </c>
      <c r="C937" t="str">
        <f>TEXT(tblData[[#This Row],[Rental Date]],"mmm")</f>
        <v>Jun</v>
      </c>
      <c r="D937" t="str">
        <f>TEXT(tblData[[#This Row],[Rental Date]],"mmmm")</f>
        <v>June</v>
      </c>
      <c r="E937" t="s">
        <v>21</v>
      </c>
      <c r="F937" t="str">
        <f>TEXT(WEEKNUM(tblData[[#This Row],[Rental Date]]),"00")</f>
        <v>25</v>
      </c>
      <c r="G937" s="1">
        <f>EOMONTH(tblData[[#This Row],[Rental Date]],0)</f>
        <v>46203</v>
      </c>
      <c r="H937" t="s">
        <v>749</v>
      </c>
      <c r="I937" t="s">
        <v>23</v>
      </c>
      <c r="J937" t="s">
        <v>44</v>
      </c>
      <c r="K937" t="s">
        <v>25</v>
      </c>
      <c r="L937">
        <v>1</v>
      </c>
      <c r="M937" s="2">
        <v>58.24</v>
      </c>
      <c r="N937" t="s">
        <v>26</v>
      </c>
      <c r="O937" s="3">
        <v>0</v>
      </c>
      <c r="P937" s="3">
        <v>0</v>
      </c>
      <c r="Q937" s="2">
        <v>58.24</v>
      </c>
      <c r="R937" t="s">
        <v>57</v>
      </c>
      <c r="S937" t="s">
        <v>46</v>
      </c>
      <c r="T937" t="s">
        <v>29</v>
      </c>
      <c r="U937" t="s">
        <v>30</v>
      </c>
    </row>
    <row r="938" spans="1:21" x14ac:dyDescent="0.35">
      <c r="A938" t="s">
        <v>1017</v>
      </c>
      <c r="B938" s="1">
        <v>46191</v>
      </c>
      <c r="C938" t="str">
        <f>TEXT(tblData[[#This Row],[Rental Date]],"mmm")</f>
        <v>Jun</v>
      </c>
      <c r="D938" t="str">
        <f>TEXT(tblData[[#This Row],[Rental Date]],"mmmm")</f>
        <v>June</v>
      </c>
      <c r="E938" t="s">
        <v>21</v>
      </c>
      <c r="F938" t="str">
        <f>TEXT(WEEKNUM(tblData[[#This Row],[Rental Date]]),"00")</f>
        <v>25</v>
      </c>
      <c r="G938" s="1">
        <f>EOMONTH(tblData[[#This Row],[Rental Date]],0)</f>
        <v>46203</v>
      </c>
      <c r="H938" t="s">
        <v>749</v>
      </c>
      <c r="I938" t="s">
        <v>39</v>
      </c>
      <c r="J938" t="s">
        <v>138</v>
      </c>
      <c r="K938" t="s">
        <v>40</v>
      </c>
      <c r="L938">
        <v>1</v>
      </c>
      <c r="M938" s="2">
        <v>80.64</v>
      </c>
      <c r="N938" t="s">
        <v>41</v>
      </c>
      <c r="O938" s="3">
        <v>5</v>
      </c>
      <c r="P938" s="3">
        <v>0</v>
      </c>
      <c r="Q938" s="2">
        <v>85.64</v>
      </c>
      <c r="R938" t="s">
        <v>34</v>
      </c>
      <c r="S938" t="s">
        <v>54</v>
      </c>
      <c r="T938" t="s">
        <v>83</v>
      </c>
      <c r="U938" t="s">
        <v>30</v>
      </c>
    </row>
    <row r="939" spans="1:21" x14ac:dyDescent="0.35">
      <c r="A939" t="s">
        <v>1018</v>
      </c>
      <c r="B939" s="1">
        <v>46191</v>
      </c>
      <c r="C939" t="str">
        <f>TEXT(tblData[[#This Row],[Rental Date]],"mmm")</f>
        <v>Jun</v>
      </c>
      <c r="D939" t="str">
        <f>TEXT(tblData[[#This Row],[Rental Date]],"mmmm")</f>
        <v>June</v>
      </c>
      <c r="E939" t="s">
        <v>21</v>
      </c>
      <c r="F939" t="str">
        <f>TEXT(WEEKNUM(tblData[[#This Row],[Rental Date]]),"00")</f>
        <v>25</v>
      </c>
      <c r="G939" s="1">
        <f>EOMONTH(tblData[[#This Row],[Rental Date]],0)</f>
        <v>46203</v>
      </c>
      <c r="H939" t="s">
        <v>749</v>
      </c>
      <c r="I939" t="s">
        <v>48</v>
      </c>
      <c r="J939" t="s">
        <v>49</v>
      </c>
      <c r="K939" t="s">
        <v>25</v>
      </c>
      <c r="L939">
        <v>1</v>
      </c>
      <c r="M939" s="2">
        <v>40.32</v>
      </c>
      <c r="N939" t="s">
        <v>89</v>
      </c>
      <c r="O939" s="3">
        <v>6</v>
      </c>
      <c r="P939" s="3">
        <v>0</v>
      </c>
      <c r="Q939" s="2">
        <v>46.32</v>
      </c>
      <c r="R939" t="s">
        <v>34</v>
      </c>
      <c r="S939" t="s">
        <v>54</v>
      </c>
      <c r="T939" t="s">
        <v>90</v>
      </c>
      <c r="U939" t="s">
        <v>30</v>
      </c>
    </row>
    <row r="940" spans="1:21" x14ac:dyDescent="0.35">
      <c r="A940" t="s">
        <v>1019</v>
      </c>
      <c r="B940" s="1">
        <v>46191</v>
      </c>
      <c r="C940" t="str">
        <f>TEXT(tblData[[#This Row],[Rental Date]],"mmm")</f>
        <v>Jun</v>
      </c>
      <c r="D940" t="str">
        <f>TEXT(tblData[[#This Row],[Rental Date]],"mmmm")</f>
        <v>June</v>
      </c>
      <c r="E940" t="s">
        <v>21</v>
      </c>
      <c r="F940" t="str">
        <f>TEXT(WEEKNUM(tblData[[#This Row],[Rental Date]]),"00")</f>
        <v>25</v>
      </c>
      <c r="G940" s="1">
        <f>EOMONTH(tblData[[#This Row],[Rental Date]],0)</f>
        <v>46203</v>
      </c>
      <c r="H940" t="s">
        <v>749</v>
      </c>
      <c r="I940" t="s">
        <v>39</v>
      </c>
      <c r="J940" t="s">
        <v>44</v>
      </c>
      <c r="K940" t="s">
        <v>25</v>
      </c>
      <c r="L940">
        <v>1</v>
      </c>
      <c r="M940" s="2">
        <v>58.24</v>
      </c>
      <c r="N940" t="s">
        <v>26</v>
      </c>
      <c r="O940" s="3">
        <v>0</v>
      </c>
      <c r="P940" s="3">
        <v>0</v>
      </c>
      <c r="Q940" s="2">
        <v>58.24</v>
      </c>
      <c r="R940" t="s">
        <v>71</v>
      </c>
      <c r="S940" t="s">
        <v>54</v>
      </c>
      <c r="T940" t="s">
        <v>51</v>
      </c>
      <c r="U940" t="s">
        <v>58</v>
      </c>
    </row>
    <row r="941" spans="1:21" x14ac:dyDescent="0.35">
      <c r="A941" t="s">
        <v>1020</v>
      </c>
      <c r="B941" s="1">
        <v>46191</v>
      </c>
      <c r="C941" t="str">
        <f>TEXT(tblData[[#This Row],[Rental Date]],"mmm")</f>
        <v>Jun</v>
      </c>
      <c r="D941" t="str">
        <f>TEXT(tblData[[#This Row],[Rental Date]],"mmmm")</f>
        <v>June</v>
      </c>
      <c r="E941" t="s">
        <v>21</v>
      </c>
      <c r="F941" t="str">
        <f>TEXT(WEEKNUM(tblData[[#This Row],[Rental Date]]),"00")</f>
        <v>25</v>
      </c>
      <c r="G941" s="1">
        <f>EOMONTH(tblData[[#This Row],[Rental Date]],0)</f>
        <v>46203</v>
      </c>
      <c r="H941" t="s">
        <v>749</v>
      </c>
      <c r="I941" t="s">
        <v>39</v>
      </c>
      <c r="J941" t="s">
        <v>86</v>
      </c>
      <c r="K941" t="s">
        <v>60</v>
      </c>
      <c r="L941">
        <v>1</v>
      </c>
      <c r="M941" s="2">
        <v>40.32</v>
      </c>
      <c r="N941" t="s">
        <v>87</v>
      </c>
      <c r="O941" s="3">
        <v>10</v>
      </c>
      <c r="P941" s="3">
        <v>0</v>
      </c>
      <c r="Q941" s="2">
        <v>50.32</v>
      </c>
      <c r="R941" t="s">
        <v>66</v>
      </c>
      <c r="S941" t="s">
        <v>46</v>
      </c>
      <c r="T941" t="s">
        <v>29</v>
      </c>
      <c r="U941" t="s">
        <v>30</v>
      </c>
    </row>
    <row r="942" spans="1:21" x14ac:dyDescent="0.35">
      <c r="A942" t="s">
        <v>1021</v>
      </c>
      <c r="B942" s="1">
        <v>46191</v>
      </c>
      <c r="C942" t="str">
        <f>TEXT(tblData[[#This Row],[Rental Date]],"mmm")</f>
        <v>Jun</v>
      </c>
      <c r="D942" t="str">
        <f>TEXT(tblData[[#This Row],[Rental Date]],"mmmm")</f>
        <v>June</v>
      </c>
      <c r="E942" t="s">
        <v>21</v>
      </c>
      <c r="F942" t="str">
        <f>TEXT(WEEKNUM(tblData[[#This Row],[Rental Date]]),"00")</f>
        <v>25</v>
      </c>
      <c r="G942" s="1">
        <f>EOMONTH(tblData[[#This Row],[Rental Date]],0)</f>
        <v>46203</v>
      </c>
      <c r="H942" t="s">
        <v>749</v>
      </c>
      <c r="I942" t="s">
        <v>39</v>
      </c>
      <c r="J942" t="s">
        <v>24</v>
      </c>
      <c r="K942" t="s">
        <v>60</v>
      </c>
      <c r="L942">
        <v>1</v>
      </c>
      <c r="M942" s="2">
        <v>35.840000000000003</v>
      </c>
      <c r="N942" t="s">
        <v>26</v>
      </c>
      <c r="O942" s="3">
        <v>0</v>
      </c>
      <c r="P942" s="3">
        <v>0</v>
      </c>
      <c r="Q942" s="2">
        <v>35.840000000000003</v>
      </c>
      <c r="R942" t="s">
        <v>66</v>
      </c>
      <c r="S942" t="s">
        <v>46</v>
      </c>
      <c r="T942" t="s">
        <v>83</v>
      </c>
      <c r="U942" t="s">
        <v>30</v>
      </c>
    </row>
    <row r="943" spans="1:21" x14ac:dyDescent="0.35">
      <c r="A943" t="s">
        <v>1022</v>
      </c>
      <c r="B943" s="1">
        <v>46191</v>
      </c>
      <c r="C943" t="str">
        <f>TEXT(tblData[[#This Row],[Rental Date]],"mmm")</f>
        <v>Jun</v>
      </c>
      <c r="D943" t="str">
        <f>TEXT(tblData[[#This Row],[Rental Date]],"mmmm")</f>
        <v>June</v>
      </c>
      <c r="E943" t="s">
        <v>21</v>
      </c>
      <c r="F943" t="str">
        <f>TEXT(WEEKNUM(tblData[[#This Row],[Rental Date]]),"00")</f>
        <v>25</v>
      </c>
      <c r="G943" s="1">
        <f>EOMONTH(tblData[[#This Row],[Rental Date]],0)</f>
        <v>46203</v>
      </c>
      <c r="H943" t="s">
        <v>749</v>
      </c>
      <c r="I943" t="s">
        <v>48</v>
      </c>
      <c r="J943" t="s">
        <v>33</v>
      </c>
      <c r="K943" t="s">
        <v>25</v>
      </c>
      <c r="L943">
        <v>1</v>
      </c>
      <c r="M943" s="2">
        <v>42.56</v>
      </c>
      <c r="N943" t="s">
        <v>75</v>
      </c>
      <c r="O943" s="3">
        <v>12</v>
      </c>
      <c r="P943" s="3">
        <v>0</v>
      </c>
      <c r="Q943" s="2">
        <v>54.56</v>
      </c>
      <c r="R943" t="s">
        <v>42</v>
      </c>
      <c r="S943" t="s">
        <v>35</v>
      </c>
      <c r="T943" t="s">
        <v>29</v>
      </c>
      <c r="U943" t="s">
        <v>30</v>
      </c>
    </row>
    <row r="944" spans="1:21" x14ac:dyDescent="0.35">
      <c r="A944" t="s">
        <v>1023</v>
      </c>
      <c r="B944" s="1">
        <v>46191</v>
      </c>
      <c r="C944" t="str">
        <f>TEXT(tblData[[#This Row],[Rental Date]],"mmm")</f>
        <v>Jun</v>
      </c>
      <c r="D944" t="str">
        <f>TEXT(tblData[[#This Row],[Rental Date]],"mmmm")</f>
        <v>June</v>
      </c>
      <c r="E944" t="s">
        <v>21</v>
      </c>
      <c r="F944" t="str">
        <f>TEXT(WEEKNUM(tblData[[#This Row],[Rental Date]]),"00")</f>
        <v>25</v>
      </c>
      <c r="G944" s="1">
        <f>EOMONTH(tblData[[#This Row],[Rental Date]],0)</f>
        <v>46203</v>
      </c>
      <c r="H944" t="s">
        <v>749</v>
      </c>
      <c r="I944" t="s">
        <v>53</v>
      </c>
      <c r="J944" t="s">
        <v>111</v>
      </c>
      <c r="K944" t="s">
        <v>40</v>
      </c>
      <c r="L944">
        <v>1</v>
      </c>
      <c r="M944" s="2">
        <v>38.08</v>
      </c>
      <c r="N944" t="s">
        <v>87</v>
      </c>
      <c r="O944" s="3">
        <v>10</v>
      </c>
      <c r="P944" s="3">
        <v>4.8099999999999996</v>
      </c>
      <c r="Q944" s="2">
        <v>43.27</v>
      </c>
      <c r="R944" t="s">
        <v>71</v>
      </c>
      <c r="S944" t="s">
        <v>28</v>
      </c>
      <c r="T944" t="s">
        <v>90</v>
      </c>
      <c r="U944" t="s">
        <v>30</v>
      </c>
    </row>
    <row r="945" spans="1:21" x14ac:dyDescent="0.35">
      <c r="A945" t="s">
        <v>1024</v>
      </c>
      <c r="B945" s="1">
        <v>46191</v>
      </c>
      <c r="C945" t="str">
        <f>TEXT(tblData[[#This Row],[Rental Date]],"mmm")</f>
        <v>Jun</v>
      </c>
      <c r="D945" t="str">
        <f>TEXT(tblData[[#This Row],[Rental Date]],"mmmm")</f>
        <v>June</v>
      </c>
      <c r="E945" t="s">
        <v>21</v>
      </c>
      <c r="F945" t="str">
        <f>TEXT(WEEKNUM(tblData[[#This Row],[Rental Date]]),"00")</f>
        <v>25</v>
      </c>
      <c r="G945" s="1">
        <f>EOMONTH(tblData[[#This Row],[Rental Date]],0)</f>
        <v>46203</v>
      </c>
      <c r="H945" t="s">
        <v>749</v>
      </c>
      <c r="I945" t="s">
        <v>53</v>
      </c>
      <c r="J945" t="s">
        <v>111</v>
      </c>
      <c r="K945" t="s">
        <v>25</v>
      </c>
      <c r="L945">
        <v>1</v>
      </c>
      <c r="M945" s="2">
        <v>24.64</v>
      </c>
      <c r="N945" t="s">
        <v>41</v>
      </c>
      <c r="O945" s="3">
        <v>5</v>
      </c>
      <c r="P945" s="3">
        <v>4.45</v>
      </c>
      <c r="Q945" s="2">
        <v>25.19</v>
      </c>
      <c r="R945" t="s">
        <v>42</v>
      </c>
      <c r="S945" t="s">
        <v>35</v>
      </c>
      <c r="T945" t="s">
        <v>29</v>
      </c>
      <c r="U945" t="s">
        <v>30</v>
      </c>
    </row>
    <row r="946" spans="1:21" x14ac:dyDescent="0.35">
      <c r="A946" t="s">
        <v>1025</v>
      </c>
      <c r="B946" s="1">
        <v>46192</v>
      </c>
      <c r="C946" t="str">
        <f>TEXT(tblData[[#This Row],[Rental Date]],"mmm")</f>
        <v>Jun</v>
      </c>
      <c r="D946" t="str">
        <f>TEXT(tblData[[#This Row],[Rental Date]],"mmmm")</f>
        <v>June</v>
      </c>
      <c r="E946" t="s">
        <v>38</v>
      </c>
      <c r="F946" t="str">
        <f>TEXT(WEEKNUM(tblData[[#This Row],[Rental Date]]),"00")</f>
        <v>25</v>
      </c>
      <c r="G946" s="1">
        <f>EOMONTH(tblData[[#This Row],[Rental Date]],0)</f>
        <v>46203</v>
      </c>
      <c r="H946" t="s">
        <v>749</v>
      </c>
      <c r="I946" t="s">
        <v>39</v>
      </c>
      <c r="J946" t="s">
        <v>138</v>
      </c>
      <c r="K946" t="s">
        <v>40</v>
      </c>
      <c r="L946">
        <v>1</v>
      </c>
      <c r="M946" s="2">
        <v>80.64</v>
      </c>
      <c r="N946" t="s">
        <v>41</v>
      </c>
      <c r="O946" s="3">
        <v>5</v>
      </c>
      <c r="P946" s="3">
        <v>0</v>
      </c>
      <c r="Q946" s="2">
        <v>85.64</v>
      </c>
      <c r="R946" t="s">
        <v>76</v>
      </c>
      <c r="S946" t="s">
        <v>54</v>
      </c>
      <c r="T946" t="s">
        <v>63</v>
      </c>
      <c r="U946" t="s">
        <v>30</v>
      </c>
    </row>
    <row r="947" spans="1:21" x14ac:dyDescent="0.35">
      <c r="A947" t="s">
        <v>1026</v>
      </c>
      <c r="B947" s="1">
        <v>46192</v>
      </c>
      <c r="C947" t="str">
        <f>TEXT(tblData[[#This Row],[Rental Date]],"mmm")</f>
        <v>Jun</v>
      </c>
      <c r="D947" t="str">
        <f>TEXT(tblData[[#This Row],[Rental Date]],"mmmm")</f>
        <v>June</v>
      </c>
      <c r="E947" t="s">
        <v>38</v>
      </c>
      <c r="F947" t="str">
        <f>TEXT(WEEKNUM(tblData[[#This Row],[Rental Date]]),"00")</f>
        <v>25</v>
      </c>
      <c r="G947" s="1">
        <f>EOMONTH(tblData[[#This Row],[Rental Date]],0)</f>
        <v>46203</v>
      </c>
      <c r="H947" t="s">
        <v>749</v>
      </c>
      <c r="I947" t="s">
        <v>39</v>
      </c>
      <c r="J947" t="s">
        <v>86</v>
      </c>
      <c r="K947" t="s">
        <v>40</v>
      </c>
      <c r="L947">
        <v>1</v>
      </c>
      <c r="M947" s="2">
        <v>96.32</v>
      </c>
      <c r="N947" t="s">
        <v>61</v>
      </c>
      <c r="O947" s="3">
        <v>8</v>
      </c>
      <c r="P947" s="3">
        <v>0</v>
      </c>
      <c r="Q947" s="2">
        <v>104.32</v>
      </c>
      <c r="R947" t="s">
        <v>94</v>
      </c>
      <c r="S947" t="s">
        <v>28</v>
      </c>
      <c r="T947" t="s">
        <v>29</v>
      </c>
      <c r="U947" t="s">
        <v>30</v>
      </c>
    </row>
    <row r="948" spans="1:21" x14ac:dyDescent="0.35">
      <c r="A948" t="s">
        <v>1027</v>
      </c>
      <c r="B948" s="1">
        <v>46192</v>
      </c>
      <c r="C948" t="str">
        <f>TEXT(tblData[[#This Row],[Rental Date]],"mmm")</f>
        <v>Jun</v>
      </c>
      <c r="D948" t="str">
        <f>TEXT(tblData[[#This Row],[Rental Date]],"mmmm")</f>
        <v>June</v>
      </c>
      <c r="E948" t="s">
        <v>38</v>
      </c>
      <c r="F948" t="str">
        <f>TEXT(WEEKNUM(tblData[[#This Row],[Rental Date]]),"00")</f>
        <v>25</v>
      </c>
      <c r="G948" s="1">
        <f>EOMONTH(tblData[[#This Row],[Rental Date]],0)</f>
        <v>46203</v>
      </c>
      <c r="H948" t="s">
        <v>749</v>
      </c>
      <c r="I948" t="s">
        <v>48</v>
      </c>
      <c r="J948" t="s">
        <v>78</v>
      </c>
      <c r="K948" t="s">
        <v>60</v>
      </c>
      <c r="L948">
        <v>1</v>
      </c>
      <c r="M948" s="2">
        <v>29.12</v>
      </c>
      <c r="N948" t="s">
        <v>41</v>
      </c>
      <c r="O948" s="3">
        <v>5</v>
      </c>
      <c r="P948" s="3">
        <v>0</v>
      </c>
      <c r="Q948" s="2">
        <v>34.119999999999997</v>
      </c>
      <c r="R948" t="s">
        <v>76</v>
      </c>
      <c r="S948" t="s">
        <v>46</v>
      </c>
      <c r="T948" t="s">
        <v>63</v>
      </c>
      <c r="U948" t="s">
        <v>30</v>
      </c>
    </row>
    <row r="949" spans="1:21" x14ac:dyDescent="0.35">
      <c r="A949" t="s">
        <v>1028</v>
      </c>
      <c r="B949" s="1">
        <v>46192</v>
      </c>
      <c r="C949" t="str">
        <f>TEXT(tblData[[#This Row],[Rental Date]],"mmm")</f>
        <v>Jun</v>
      </c>
      <c r="D949" t="str">
        <f>TEXT(tblData[[#This Row],[Rental Date]],"mmmm")</f>
        <v>June</v>
      </c>
      <c r="E949" t="s">
        <v>38</v>
      </c>
      <c r="F949" t="str">
        <f>TEXT(WEEKNUM(tblData[[#This Row],[Rental Date]]),"00")</f>
        <v>25</v>
      </c>
      <c r="G949" s="1">
        <f>EOMONTH(tblData[[#This Row],[Rental Date]],0)</f>
        <v>46203</v>
      </c>
      <c r="H949" t="s">
        <v>749</v>
      </c>
      <c r="I949" t="s">
        <v>39</v>
      </c>
      <c r="J949" t="s">
        <v>111</v>
      </c>
      <c r="K949" t="s">
        <v>25</v>
      </c>
      <c r="L949">
        <v>1</v>
      </c>
      <c r="M949" s="2">
        <v>24.64</v>
      </c>
      <c r="N949" t="s">
        <v>26</v>
      </c>
      <c r="O949" s="3">
        <v>0</v>
      </c>
      <c r="P949" s="3">
        <v>0</v>
      </c>
      <c r="Q949" s="2">
        <v>24.64</v>
      </c>
      <c r="R949" t="s">
        <v>62</v>
      </c>
      <c r="S949" t="s">
        <v>46</v>
      </c>
      <c r="T949" t="s">
        <v>29</v>
      </c>
      <c r="U949" t="s">
        <v>30</v>
      </c>
    </row>
    <row r="950" spans="1:21" x14ac:dyDescent="0.35">
      <c r="A950" t="s">
        <v>1029</v>
      </c>
      <c r="B950" s="1">
        <v>46192</v>
      </c>
      <c r="C950" t="str">
        <f>TEXT(tblData[[#This Row],[Rental Date]],"mmm")</f>
        <v>Jun</v>
      </c>
      <c r="D950" t="str">
        <f>TEXT(tblData[[#This Row],[Rental Date]],"mmmm")</f>
        <v>June</v>
      </c>
      <c r="E950" t="s">
        <v>38</v>
      </c>
      <c r="F950" t="str">
        <f>TEXT(WEEKNUM(tblData[[#This Row],[Rental Date]]),"00")</f>
        <v>25</v>
      </c>
      <c r="G950" s="1">
        <f>EOMONTH(tblData[[#This Row],[Rental Date]],0)</f>
        <v>46203</v>
      </c>
      <c r="H950" t="s">
        <v>749</v>
      </c>
      <c r="I950" t="s">
        <v>39</v>
      </c>
      <c r="J950" t="s">
        <v>44</v>
      </c>
      <c r="K950" t="s">
        <v>25</v>
      </c>
      <c r="L950">
        <v>1</v>
      </c>
      <c r="M950" s="2">
        <v>58.24</v>
      </c>
      <c r="N950" t="s">
        <v>26</v>
      </c>
      <c r="O950" s="3">
        <v>0</v>
      </c>
      <c r="P950" s="3">
        <v>0</v>
      </c>
      <c r="Q950" s="2">
        <v>58.24</v>
      </c>
      <c r="R950" t="s">
        <v>57</v>
      </c>
      <c r="S950" t="s">
        <v>28</v>
      </c>
      <c r="T950" t="s">
        <v>51</v>
      </c>
      <c r="U950" t="s">
        <v>30</v>
      </c>
    </row>
    <row r="951" spans="1:21" x14ac:dyDescent="0.35">
      <c r="A951" t="s">
        <v>1030</v>
      </c>
      <c r="B951" s="1">
        <v>46192</v>
      </c>
      <c r="C951" t="str">
        <f>TEXT(tblData[[#This Row],[Rental Date]],"mmm")</f>
        <v>Jun</v>
      </c>
      <c r="D951" t="str">
        <f>TEXT(tblData[[#This Row],[Rental Date]],"mmmm")</f>
        <v>June</v>
      </c>
      <c r="E951" t="s">
        <v>38</v>
      </c>
      <c r="F951" t="str">
        <f>TEXT(WEEKNUM(tblData[[#This Row],[Rental Date]]),"00")</f>
        <v>25</v>
      </c>
      <c r="G951" s="1">
        <f>EOMONTH(tblData[[#This Row],[Rental Date]],0)</f>
        <v>46203</v>
      </c>
      <c r="H951" t="s">
        <v>749</v>
      </c>
      <c r="I951" t="s">
        <v>23</v>
      </c>
      <c r="J951" t="s">
        <v>44</v>
      </c>
      <c r="K951" t="s">
        <v>40</v>
      </c>
      <c r="L951">
        <v>1</v>
      </c>
      <c r="M951" s="2">
        <v>87.36</v>
      </c>
      <c r="N951" t="s">
        <v>26</v>
      </c>
      <c r="O951" s="3">
        <v>0</v>
      </c>
      <c r="P951" s="3">
        <v>0</v>
      </c>
      <c r="Q951" s="2">
        <v>87.36</v>
      </c>
      <c r="R951" t="s">
        <v>94</v>
      </c>
      <c r="S951" t="s">
        <v>46</v>
      </c>
      <c r="T951" t="s">
        <v>29</v>
      </c>
      <c r="U951" t="s">
        <v>30</v>
      </c>
    </row>
    <row r="952" spans="1:21" x14ac:dyDescent="0.35">
      <c r="A952" t="s">
        <v>1031</v>
      </c>
      <c r="B952" s="1">
        <v>46192</v>
      </c>
      <c r="C952" t="str">
        <f>TEXT(tblData[[#This Row],[Rental Date]],"mmm")</f>
        <v>Jun</v>
      </c>
      <c r="D952" t="str">
        <f>TEXT(tblData[[#This Row],[Rental Date]],"mmmm")</f>
        <v>June</v>
      </c>
      <c r="E952" t="s">
        <v>38</v>
      </c>
      <c r="F952" t="str">
        <f>TEXT(WEEKNUM(tblData[[#This Row],[Rental Date]]),"00")</f>
        <v>25</v>
      </c>
      <c r="G952" s="1">
        <f>EOMONTH(tblData[[#This Row],[Rental Date]],0)</f>
        <v>46203</v>
      </c>
      <c r="H952" t="s">
        <v>749</v>
      </c>
      <c r="I952" t="s">
        <v>48</v>
      </c>
      <c r="J952" t="s">
        <v>44</v>
      </c>
      <c r="K952" t="s">
        <v>25</v>
      </c>
      <c r="L952">
        <v>1</v>
      </c>
      <c r="M952" s="2">
        <v>58.24</v>
      </c>
      <c r="N952" t="s">
        <v>41</v>
      </c>
      <c r="O952" s="3">
        <v>5</v>
      </c>
      <c r="P952" s="3">
        <v>0</v>
      </c>
      <c r="Q952" s="2">
        <v>63.24</v>
      </c>
      <c r="R952" t="s">
        <v>66</v>
      </c>
      <c r="S952" t="s">
        <v>54</v>
      </c>
      <c r="T952" t="s">
        <v>51</v>
      </c>
      <c r="U952" t="s">
        <v>58</v>
      </c>
    </row>
    <row r="953" spans="1:21" x14ac:dyDescent="0.35">
      <c r="A953" t="s">
        <v>1032</v>
      </c>
      <c r="B953" s="1">
        <v>46192</v>
      </c>
      <c r="C953" t="str">
        <f>TEXT(tblData[[#This Row],[Rental Date]],"mmm")</f>
        <v>Jun</v>
      </c>
      <c r="D953" t="str">
        <f>TEXT(tblData[[#This Row],[Rental Date]],"mmmm")</f>
        <v>June</v>
      </c>
      <c r="E953" t="s">
        <v>38</v>
      </c>
      <c r="F953" t="str">
        <f>TEXT(WEEKNUM(tblData[[#This Row],[Rental Date]]),"00")</f>
        <v>25</v>
      </c>
      <c r="G953" s="1">
        <f>EOMONTH(tblData[[#This Row],[Rental Date]],0)</f>
        <v>46203</v>
      </c>
      <c r="H953" t="s">
        <v>749</v>
      </c>
      <c r="I953" t="s">
        <v>39</v>
      </c>
      <c r="J953" t="s">
        <v>127</v>
      </c>
      <c r="K953" t="s">
        <v>25</v>
      </c>
      <c r="L953">
        <v>1</v>
      </c>
      <c r="M953" s="2">
        <v>17.920000000000002</v>
      </c>
      <c r="N953" t="s">
        <v>89</v>
      </c>
      <c r="O953" s="3">
        <v>6</v>
      </c>
      <c r="P953" s="3">
        <v>0</v>
      </c>
      <c r="Q953" s="2">
        <v>23.92</v>
      </c>
      <c r="R953" t="s">
        <v>94</v>
      </c>
      <c r="S953" t="s">
        <v>54</v>
      </c>
      <c r="T953" t="s">
        <v>51</v>
      </c>
      <c r="U953" t="s">
        <v>58</v>
      </c>
    </row>
    <row r="954" spans="1:21" x14ac:dyDescent="0.35">
      <c r="A954" t="s">
        <v>1033</v>
      </c>
      <c r="B954" s="1">
        <v>46192</v>
      </c>
      <c r="C954" t="str">
        <f>TEXT(tblData[[#This Row],[Rental Date]],"mmm")</f>
        <v>Jun</v>
      </c>
      <c r="D954" t="str">
        <f>TEXT(tblData[[#This Row],[Rental Date]],"mmmm")</f>
        <v>June</v>
      </c>
      <c r="E954" t="s">
        <v>38</v>
      </c>
      <c r="F954" t="str">
        <f>TEXT(WEEKNUM(tblData[[#This Row],[Rental Date]]),"00")</f>
        <v>25</v>
      </c>
      <c r="G954" s="1">
        <f>EOMONTH(tblData[[#This Row],[Rental Date]],0)</f>
        <v>46203</v>
      </c>
      <c r="H954" t="s">
        <v>749</v>
      </c>
      <c r="I954" t="s">
        <v>39</v>
      </c>
      <c r="J954" t="s">
        <v>78</v>
      </c>
      <c r="K954" t="s">
        <v>25</v>
      </c>
      <c r="L954">
        <v>1</v>
      </c>
      <c r="M954" s="2">
        <v>47.04</v>
      </c>
      <c r="N954" t="s">
        <v>41</v>
      </c>
      <c r="O954" s="3">
        <v>5</v>
      </c>
      <c r="P954" s="3">
        <v>0</v>
      </c>
      <c r="Q954" s="2">
        <v>52.04</v>
      </c>
      <c r="R954" t="s">
        <v>45</v>
      </c>
      <c r="S954" t="s">
        <v>46</v>
      </c>
      <c r="T954" t="s">
        <v>29</v>
      </c>
      <c r="U954" t="s">
        <v>30</v>
      </c>
    </row>
    <row r="955" spans="1:21" x14ac:dyDescent="0.35">
      <c r="A955" t="s">
        <v>1034</v>
      </c>
      <c r="B955" s="1">
        <v>46192</v>
      </c>
      <c r="C955" t="str">
        <f>TEXT(tblData[[#This Row],[Rental Date]],"mmm")</f>
        <v>Jun</v>
      </c>
      <c r="D955" t="str">
        <f>TEXT(tblData[[#This Row],[Rental Date]],"mmmm")</f>
        <v>June</v>
      </c>
      <c r="E955" t="s">
        <v>38</v>
      </c>
      <c r="F955" t="str">
        <f>TEXT(WEEKNUM(tblData[[#This Row],[Rental Date]]),"00")</f>
        <v>25</v>
      </c>
      <c r="G955" s="1">
        <f>EOMONTH(tblData[[#This Row],[Rental Date]],0)</f>
        <v>46203</v>
      </c>
      <c r="H955" t="s">
        <v>749</v>
      </c>
      <c r="I955" t="s">
        <v>39</v>
      </c>
      <c r="J955" t="s">
        <v>65</v>
      </c>
      <c r="K955" t="s">
        <v>40</v>
      </c>
      <c r="L955">
        <v>1</v>
      </c>
      <c r="M955" s="2">
        <v>31.36</v>
      </c>
      <c r="N955" t="s">
        <v>26</v>
      </c>
      <c r="O955" s="3">
        <v>0</v>
      </c>
      <c r="P955" s="3">
        <v>0</v>
      </c>
      <c r="Q955" s="2">
        <v>31.36</v>
      </c>
      <c r="R955" t="s">
        <v>66</v>
      </c>
      <c r="S955" t="s">
        <v>35</v>
      </c>
      <c r="T955" t="s">
        <v>90</v>
      </c>
      <c r="U955" t="s">
        <v>58</v>
      </c>
    </row>
    <row r="956" spans="1:21" x14ac:dyDescent="0.35">
      <c r="A956" t="s">
        <v>1035</v>
      </c>
      <c r="B956" s="1">
        <v>46192</v>
      </c>
      <c r="C956" t="str">
        <f>TEXT(tblData[[#This Row],[Rental Date]],"mmm")</f>
        <v>Jun</v>
      </c>
      <c r="D956" t="str">
        <f>TEXT(tblData[[#This Row],[Rental Date]],"mmmm")</f>
        <v>June</v>
      </c>
      <c r="E956" t="s">
        <v>38</v>
      </c>
      <c r="F956" t="str">
        <f>TEXT(WEEKNUM(tblData[[#This Row],[Rental Date]]),"00")</f>
        <v>25</v>
      </c>
      <c r="G956" s="1">
        <f>EOMONTH(tblData[[#This Row],[Rental Date]],0)</f>
        <v>46203</v>
      </c>
      <c r="H956" t="s">
        <v>749</v>
      </c>
      <c r="I956" t="s">
        <v>48</v>
      </c>
      <c r="J956" t="s">
        <v>65</v>
      </c>
      <c r="K956" t="s">
        <v>25</v>
      </c>
      <c r="L956">
        <v>1</v>
      </c>
      <c r="M956" s="2">
        <v>20.16</v>
      </c>
      <c r="N956" t="s">
        <v>26</v>
      </c>
      <c r="O956" s="3">
        <v>0</v>
      </c>
      <c r="P956" s="3">
        <v>0</v>
      </c>
      <c r="Q956" s="2">
        <v>20.16</v>
      </c>
      <c r="R956" t="s">
        <v>94</v>
      </c>
      <c r="S956" t="s">
        <v>35</v>
      </c>
      <c r="T956" t="s">
        <v>90</v>
      </c>
      <c r="U956" t="s">
        <v>30</v>
      </c>
    </row>
    <row r="957" spans="1:21" x14ac:dyDescent="0.35">
      <c r="A957" t="s">
        <v>1036</v>
      </c>
      <c r="B957" s="1">
        <v>46192</v>
      </c>
      <c r="C957" t="str">
        <f>TEXT(tblData[[#This Row],[Rental Date]],"mmm")</f>
        <v>Jun</v>
      </c>
      <c r="D957" t="str">
        <f>TEXT(tblData[[#This Row],[Rental Date]],"mmmm")</f>
        <v>June</v>
      </c>
      <c r="E957" t="s">
        <v>38</v>
      </c>
      <c r="F957" t="str">
        <f>TEXT(WEEKNUM(tblData[[#This Row],[Rental Date]]),"00")</f>
        <v>25</v>
      </c>
      <c r="G957" s="1">
        <f>EOMONTH(tblData[[#This Row],[Rental Date]],0)</f>
        <v>46203</v>
      </c>
      <c r="H957" t="s">
        <v>749</v>
      </c>
      <c r="I957" t="s">
        <v>23</v>
      </c>
      <c r="J957" t="s">
        <v>44</v>
      </c>
      <c r="K957" t="s">
        <v>92</v>
      </c>
      <c r="L957">
        <v>1</v>
      </c>
      <c r="M957" s="2">
        <v>125.44</v>
      </c>
      <c r="N957" t="s">
        <v>89</v>
      </c>
      <c r="O957" s="3">
        <v>6</v>
      </c>
      <c r="P957" s="3">
        <v>0</v>
      </c>
      <c r="Q957" s="2">
        <v>131.44</v>
      </c>
      <c r="R957" t="s">
        <v>71</v>
      </c>
      <c r="S957" t="s">
        <v>54</v>
      </c>
      <c r="T957" t="s">
        <v>51</v>
      </c>
      <c r="U957" t="s">
        <v>30</v>
      </c>
    </row>
    <row r="958" spans="1:21" x14ac:dyDescent="0.35">
      <c r="A958" t="s">
        <v>1037</v>
      </c>
      <c r="B958" s="1">
        <v>46192</v>
      </c>
      <c r="C958" t="str">
        <f>TEXT(tblData[[#This Row],[Rental Date]],"mmm")</f>
        <v>Jun</v>
      </c>
      <c r="D958" t="str">
        <f>TEXT(tblData[[#This Row],[Rental Date]],"mmmm")</f>
        <v>June</v>
      </c>
      <c r="E958" t="s">
        <v>38</v>
      </c>
      <c r="F958" t="str">
        <f>TEXT(WEEKNUM(tblData[[#This Row],[Rental Date]]),"00")</f>
        <v>25</v>
      </c>
      <c r="G958" s="1">
        <f>EOMONTH(tblData[[#This Row],[Rental Date]],0)</f>
        <v>46203</v>
      </c>
      <c r="H958" t="s">
        <v>749</v>
      </c>
      <c r="I958" t="s">
        <v>23</v>
      </c>
      <c r="J958" t="s">
        <v>44</v>
      </c>
      <c r="K958" t="s">
        <v>40</v>
      </c>
      <c r="L958">
        <v>1</v>
      </c>
      <c r="M958" s="2">
        <v>87.36</v>
      </c>
      <c r="N958" t="s">
        <v>41</v>
      </c>
      <c r="O958" s="3">
        <v>5</v>
      </c>
      <c r="P958" s="3">
        <v>0</v>
      </c>
      <c r="Q958" s="2">
        <v>92.36</v>
      </c>
      <c r="R958" t="s">
        <v>76</v>
      </c>
      <c r="S958" t="s">
        <v>54</v>
      </c>
      <c r="T958" t="s">
        <v>29</v>
      </c>
      <c r="U958" t="s">
        <v>79</v>
      </c>
    </row>
    <row r="959" spans="1:21" x14ac:dyDescent="0.35">
      <c r="A959" t="s">
        <v>1038</v>
      </c>
      <c r="B959" s="1">
        <v>46192</v>
      </c>
      <c r="C959" t="str">
        <f>TEXT(tblData[[#This Row],[Rental Date]],"mmm")</f>
        <v>Jun</v>
      </c>
      <c r="D959" t="str">
        <f>TEXT(tblData[[#This Row],[Rental Date]],"mmmm")</f>
        <v>June</v>
      </c>
      <c r="E959" t="s">
        <v>38</v>
      </c>
      <c r="F959" t="str">
        <f>TEXT(WEEKNUM(tblData[[#This Row],[Rental Date]]),"00")</f>
        <v>25</v>
      </c>
      <c r="G959" s="1">
        <f>EOMONTH(tblData[[#This Row],[Rental Date]],0)</f>
        <v>46203</v>
      </c>
      <c r="H959" t="s">
        <v>749</v>
      </c>
      <c r="I959" t="s">
        <v>23</v>
      </c>
      <c r="J959" t="s">
        <v>44</v>
      </c>
      <c r="K959" t="s">
        <v>60</v>
      </c>
      <c r="L959">
        <v>1</v>
      </c>
      <c r="M959" s="2">
        <v>38.08</v>
      </c>
      <c r="N959" t="s">
        <v>41</v>
      </c>
      <c r="O959" s="3">
        <v>5</v>
      </c>
      <c r="P959" s="3">
        <v>0</v>
      </c>
      <c r="Q959" s="2">
        <v>43.08</v>
      </c>
      <c r="R959" t="s">
        <v>66</v>
      </c>
      <c r="S959" t="s">
        <v>46</v>
      </c>
      <c r="T959" t="s">
        <v>51</v>
      </c>
      <c r="U959" t="s">
        <v>30</v>
      </c>
    </row>
    <row r="960" spans="1:21" x14ac:dyDescent="0.35">
      <c r="A960" t="s">
        <v>1039</v>
      </c>
      <c r="B960" s="1">
        <v>46193</v>
      </c>
      <c r="C960" t="str">
        <f>TEXT(tblData[[#This Row],[Rental Date]],"mmm")</f>
        <v>Jun</v>
      </c>
      <c r="D960" t="str">
        <f>TEXT(tblData[[#This Row],[Rental Date]],"mmmm")</f>
        <v>June</v>
      </c>
      <c r="E960" t="s">
        <v>56</v>
      </c>
      <c r="F960" t="str">
        <f>TEXT(WEEKNUM(tblData[[#This Row],[Rental Date]]),"00")</f>
        <v>25</v>
      </c>
      <c r="G960" s="1">
        <f>EOMONTH(tblData[[#This Row],[Rental Date]],0)</f>
        <v>46203</v>
      </c>
      <c r="H960" t="s">
        <v>749</v>
      </c>
      <c r="I960" t="s">
        <v>39</v>
      </c>
      <c r="J960" t="s">
        <v>44</v>
      </c>
      <c r="K960" t="s">
        <v>25</v>
      </c>
      <c r="L960">
        <v>1</v>
      </c>
      <c r="M960" s="2">
        <v>62.4</v>
      </c>
      <c r="N960" t="s">
        <v>26</v>
      </c>
      <c r="O960" s="3">
        <v>0</v>
      </c>
      <c r="P960" s="3">
        <v>0</v>
      </c>
      <c r="Q960" s="2">
        <v>62.4</v>
      </c>
      <c r="R960" t="s">
        <v>71</v>
      </c>
      <c r="S960" t="s">
        <v>28</v>
      </c>
      <c r="T960" t="s">
        <v>63</v>
      </c>
      <c r="U960" t="s">
        <v>30</v>
      </c>
    </row>
    <row r="961" spans="1:21" x14ac:dyDescent="0.35">
      <c r="A961" t="s">
        <v>1040</v>
      </c>
      <c r="B961" s="1">
        <v>46193</v>
      </c>
      <c r="C961" t="str">
        <f>TEXT(tblData[[#This Row],[Rental Date]],"mmm")</f>
        <v>Jun</v>
      </c>
      <c r="D961" t="str">
        <f>TEXT(tblData[[#This Row],[Rental Date]],"mmmm")</f>
        <v>June</v>
      </c>
      <c r="E961" t="s">
        <v>56</v>
      </c>
      <c r="F961" t="str">
        <f>TEXT(WEEKNUM(tblData[[#This Row],[Rental Date]]),"00")</f>
        <v>25</v>
      </c>
      <c r="G961" s="1">
        <f>EOMONTH(tblData[[#This Row],[Rental Date]],0)</f>
        <v>46203</v>
      </c>
      <c r="H961" t="s">
        <v>749</v>
      </c>
      <c r="I961" t="s">
        <v>39</v>
      </c>
      <c r="J961" t="s">
        <v>78</v>
      </c>
      <c r="K961" t="s">
        <v>25</v>
      </c>
      <c r="L961">
        <v>1</v>
      </c>
      <c r="M961" s="2">
        <v>50.4</v>
      </c>
      <c r="N961" t="s">
        <v>26</v>
      </c>
      <c r="O961" s="3">
        <v>0</v>
      </c>
      <c r="P961" s="3">
        <v>0</v>
      </c>
      <c r="Q961" s="2">
        <v>50.4</v>
      </c>
      <c r="R961" t="s">
        <v>34</v>
      </c>
      <c r="S961" t="s">
        <v>28</v>
      </c>
      <c r="T961" t="s">
        <v>51</v>
      </c>
      <c r="U961" t="s">
        <v>30</v>
      </c>
    </row>
    <row r="962" spans="1:21" x14ac:dyDescent="0.35">
      <c r="A962" t="s">
        <v>1041</v>
      </c>
      <c r="B962" s="1">
        <v>46193</v>
      </c>
      <c r="C962" t="str">
        <f>TEXT(tblData[[#This Row],[Rental Date]],"mmm")</f>
        <v>Jun</v>
      </c>
      <c r="D962" t="str">
        <f>TEXT(tblData[[#This Row],[Rental Date]],"mmmm")</f>
        <v>June</v>
      </c>
      <c r="E962" t="s">
        <v>56</v>
      </c>
      <c r="F962" t="str">
        <f>TEXT(WEEKNUM(tblData[[#This Row],[Rental Date]]),"00")</f>
        <v>25</v>
      </c>
      <c r="G962" s="1">
        <f>EOMONTH(tblData[[#This Row],[Rental Date]],0)</f>
        <v>46203</v>
      </c>
      <c r="H962" t="s">
        <v>749</v>
      </c>
      <c r="I962" t="s">
        <v>32</v>
      </c>
      <c r="J962" t="s">
        <v>86</v>
      </c>
      <c r="K962" t="s">
        <v>60</v>
      </c>
      <c r="L962">
        <v>1</v>
      </c>
      <c r="M962" s="2">
        <v>43.2</v>
      </c>
      <c r="N962" t="s">
        <v>61</v>
      </c>
      <c r="O962" s="3">
        <v>8</v>
      </c>
      <c r="P962" s="3">
        <v>0</v>
      </c>
      <c r="Q962" s="2">
        <v>51.2</v>
      </c>
      <c r="R962" t="s">
        <v>34</v>
      </c>
      <c r="S962" t="s">
        <v>50</v>
      </c>
      <c r="T962" t="s">
        <v>63</v>
      </c>
      <c r="U962" t="s">
        <v>36</v>
      </c>
    </row>
    <row r="963" spans="1:21" x14ac:dyDescent="0.35">
      <c r="A963" t="s">
        <v>1042</v>
      </c>
      <c r="B963" s="1">
        <v>46193</v>
      </c>
      <c r="C963" t="str">
        <f>TEXT(tblData[[#This Row],[Rental Date]],"mmm")</f>
        <v>Jun</v>
      </c>
      <c r="D963" t="str">
        <f>TEXT(tblData[[#This Row],[Rental Date]],"mmmm")</f>
        <v>June</v>
      </c>
      <c r="E963" t="s">
        <v>56</v>
      </c>
      <c r="F963" t="str">
        <f>TEXT(WEEKNUM(tblData[[#This Row],[Rental Date]]),"00")</f>
        <v>25</v>
      </c>
      <c r="G963" s="1">
        <f>EOMONTH(tblData[[#This Row],[Rental Date]],0)</f>
        <v>46203</v>
      </c>
      <c r="H963" t="s">
        <v>749</v>
      </c>
      <c r="I963" t="s">
        <v>48</v>
      </c>
      <c r="J963" t="s">
        <v>44</v>
      </c>
      <c r="K963" t="s">
        <v>25</v>
      </c>
      <c r="L963">
        <v>1</v>
      </c>
      <c r="M963" s="2">
        <v>62.4</v>
      </c>
      <c r="N963" t="s">
        <v>41</v>
      </c>
      <c r="O963" s="3">
        <v>5</v>
      </c>
      <c r="P963" s="3">
        <v>0</v>
      </c>
      <c r="Q963" s="2">
        <v>67.400000000000006</v>
      </c>
      <c r="R963" t="s">
        <v>42</v>
      </c>
      <c r="S963" t="s">
        <v>28</v>
      </c>
      <c r="T963" t="s">
        <v>90</v>
      </c>
      <c r="U963" t="s">
        <v>30</v>
      </c>
    </row>
    <row r="964" spans="1:21" x14ac:dyDescent="0.35">
      <c r="A964" t="s">
        <v>1043</v>
      </c>
      <c r="B964" s="1">
        <v>46193</v>
      </c>
      <c r="C964" t="str">
        <f>TEXT(tblData[[#This Row],[Rental Date]],"mmm")</f>
        <v>Jun</v>
      </c>
      <c r="D964" t="str">
        <f>TEXT(tblData[[#This Row],[Rental Date]],"mmmm")</f>
        <v>June</v>
      </c>
      <c r="E964" t="s">
        <v>56</v>
      </c>
      <c r="F964" t="str">
        <f>TEXT(WEEKNUM(tblData[[#This Row],[Rental Date]]),"00")</f>
        <v>25</v>
      </c>
      <c r="G964" s="1">
        <f>EOMONTH(tblData[[#This Row],[Rental Date]],0)</f>
        <v>46203</v>
      </c>
      <c r="H964" t="s">
        <v>749</v>
      </c>
      <c r="I964" t="s">
        <v>48</v>
      </c>
      <c r="J964" t="s">
        <v>86</v>
      </c>
      <c r="K964" t="s">
        <v>60</v>
      </c>
      <c r="L964">
        <v>1</v>
      </c>
      <c r="M964" s="2">
        <v>43.2</v>
      </c>
      <c r="N964" t="s">
        <v>89</v>
      </c>
      <c r="O964" s="3">
        <v>6</v>
      </c>
      <c r="P964" s="3">
        <v>0</v>
      </c>
      <c r="Q964" s="2">
        <v>49.2</v>
      </c>
      <c r="R964" t="s">
        <v>42</v>
      </c>
      <c r="S964" t="s">
        <v>46</v>
      </c>
      <c r="T964" t="s">
        <v>51</v>
      </c>
      <c r="U964" t="s">
        <v>30</v>
      </c>
    </row>
    <row r="965" spans="1:21" x14ac:dyDescent="0.35">
      <c r="A965" t="s">
        <v>1044</v>
      </c>
      <c r="B965" s="1">
        <v>46193</v>
      </c>
      <c r="C965" t="str">
        <f>TEXT(tblData[[#This Row],[Rental Date]],"mmm")</f>
        <v>Jun</v>
      </c>
      <c r="D965" t="str">
        <f>TEXT(tblData[[#This Row],[Rental Date]],"mmmm")</f>
        <v>June</v>
      </c>
      <c r="E965" t="s">
        <v>56</v>
      </c>
      <c r="F965" t="str">
        <f>TEXT(WEEKNUM(tblData[[#This Row],[Rental Date]]),"00")</f>
        <v>25</v>
      </c>
      <c r="G965" s="1">
        <f>EOMONTH(tblData[[#This Row],[Rental Date]],0)</f>
        <v>46203</v>
      </c>
      <c r="H965" t="s">
        <v>749</v>
      </c>
      <c r="I965" t="s">
        <v>48</v>
      </c>
      <c r="J965" t="s">
        <v>127</v>
      </c>
      <c r="K965" t="s">
        <v>25</v>
      </c>
      <c r="L965">
        <v>1</v>
      </c>
      <c r="M965" s="2">
        <v>19.2</v>
      </c>
      <c r="N965" t="s">
        <v>26</v>
      </c>
      <c r="O965" s="3">
        <v>0</v>
      </c>
      <c r="P965" s="3">
        <v>0</v>
      </c>
      <c r="Q965" s="2">
        <v>19.2</v>
      </c>
      <c r="R965" t="s">
        <v>45</v>
      </c>
      <c r="S965" t="s">
        <v>54</v>
      </c>
      <c r="T965" t="s">
        <v>29</v>
      </c>
      <c r="U965" t="s">
        <v>30</v>
      </c>
    </row>
    <row r="966" spans="1:21" x14ac:dyDescent="0.35">
      <c r="A966" t="s">
        <v>1045</v>
      </c>
      <c r="B966" s="1">
        <v>46193</v>
      </c>
      <c r="C966" t="str">
        <f>TEXT(tblData[[#This Row],[Rental Date]],"mmm")</f>
        <v>Jun</v>
      </c>
      <c r="D966" t="str">
        <f>TEXT(tblData[[#This Row],[Rental Date]],"mmmm")</f>
        <v>June</v>
      </c>
      <c r="E966" t="s">
        <v>56</v>
      </c>
      <c r="F966" t="str">
        <f>TEXT(WEEKNUM(tblData[[#This Row],[Rental Date]]),"00")</f>
        <v>25</v>
      </c>
      <c r="G966" s="1">
        <f>EOMONTH(tblData[[#This Row],[Rental Date]],0)</f>
        <v>46203</v>
      </c>
      <c r="H966" t="s">
        <v>749</v>
      </c>
      <c r="I966" t="s">
        <v>48</v>
      </c>
      <c r="J966" t="s">
        <v>138</v>
      </c>
      <c r="K966" t="s">
        <v>60</v>
      </c>
      <c r="L966">
        <v>1</v>
      </c>
      <c r="M966" s="2">
        <v>36</v>
      </c>
      <c r="N966" t="s">
        <v>26</v>
      </c>
      <c r="O966" s="3">
        <v>0</v>
      </c>
      <c r="P966" s="3">
        <v>0</v>
      </c>
      <c r="Q966" s="2">
        <v>36</v>
      </c>
      <c r="R966" t="s">
        <v>45</v>
      </c>
      <c r="S966" t="s">
        <v>50</v>
      </c>
      <c r="T966" t="s">
        <v>51</v>
      </c>
      <c r="U966" t="s">
        <v>30</v>
      </c>
    </row>
    <row r="967" spans="1:21" x14ac:dyDescent="0.35">
      <c r="A967" t="s">
        <v>1046</v>
      </c>
      <c r="B967" s="1">
        <v>46193</v>
      </c>
      <c r="C967" t="str">
        <f>TEXT(tblData[[#This Row],[Rental Date]],"mmm")</f>
        <v>Jun</v>
      </c>
      <c r="D967" t="str">
        <f>TEXT(tblData[[#This Row],[Rental Date]],"mmmm")</f>
        <v>June</v>
      </c>
      <c r="E967" t="s">
        <v>56</v>
      </c>
      <c r="F967" t="str">
        <f>TEXT(WEEKNUM(tblData[[#This Row],[Rental Date]]),"00")</f>
        <v>25</v>
      </c>
      <c r="G967" s="1">
        <f>EOMONTH(tblData[[#This Row],[Rental Date]],0)</f>
        <v>46203</v>
      </c>
      <c r="H967" t="s">
        <v>749</v>
      </c>
      <c r="I967" t="s">
        <v>23</v>
      </c>
      <c r="J967" t="s">
        <v>24</v>
      </c>
      <c r="K967" t="s">
        <v>60</v>
      </c>
      <c r="L967">
        <v>1</v>
      </c>
      <c r="M967" s="2">
        <v>38.4</v>
      </c>
      <c r="N967" t="s">
        <v>26</v>
      </c>
      <c r="O967" s="3">
        <v>0</v>
      </c>
      <c r="P967" s="3">
        <v>0</v>
      </c>
      <c r="Q967" s="2">
        <v>38.4</v>
      </c>
      <c r="R967" t="s">
        <v>94</v>
      </c>
      <c r="S967" t="s">
        <v>46</v>
      </c>
      <c r="T967" t="s">
        <v>90</v>
      </c>
      <c r="U967" t="s">
        <v>30</v>
      </c>
    </row>
    <row r="968" spans="1:21" x14ac:dyDescent="0.35">
      <c r="A968" t="s">
        <v>1047</v>
      </c>
      <c r="B968" s="1">
        <v>46193</v>
      </c>
      <c r="C968" t="str">
        <f>TEXT(tblData[[#This Row],[Rental Date]],"mmm")</f>
        <v>Jun</v>
      </c>
      <c r="D968" t="str">
        <f>TEXT(tblData[[#This Row],[Rental Date]],"mmmm")</f>
        <v>June</v>
      </c>
      <c r="E968" t="s">
        <v>56</v>
      </c>
      <c r="F968" t="str">
        <f>TEXT(WEEKNUM(tblData[[#This Row],[Rental Date]]),"00")</f>
        <v>25</v>
      </c>
      <c r="G968" s="1">
        <f>EOMONTH(tblData[[#This Row],[Rental Date]],0)</f>
        <v>46203</v>
      </c>
      <c r="H968" t="s">
        <v>749</v>
      </c>
      <c r="I968" t="s">
        <v>53</v>
      </c>
      <c r="J968" t="s">
        <v>33</v>
      </c>
      <c r="K968" t="s">
        <v>92</v>
      </c>
      <c r="L968">
        <v>1</v>
      </c>
      <c r="M968" s="2">
        <v>100.8</v>
      </c>
      <c r="N968" t="s">
        <v>41</v>
      </c>
      <c r="O968" s="3">
        <v>5</v>
      </c>
      <c r="P968" s="3">
        <v>15.87</v>
      </c>
      <c r="Q968" s="2">
        <v>89.93</v>
      </c>
      <c r="R968" t="s">
        <v>71</v>
      </c>
      <c r="S968" t="s">
        <v>28</v>
      </c>
      <c r="T968" t="s">
        <v>29</v>
      </c>
      <c r="U968" t="s">
        <v>30</v>
      </c>
    </row>
    <row r="969" spans="1:21" x14ac:dyDescent="0.35">
      <c r="A969" t="s">
        <v>1048</v>
      </c>
      <c r="B969" s="1">
        <v>46193</v>
      </c>
      <c r="C969" t="str">
        <f>TEXT(tblData[[#This Row],[Rental Date]],"mmm")</f>
        <v>Jun</v>
      </c>
      <c r="D969" t="str">
        <f>TEXT(tblData[[#This Row],[Rental Date]],"mmmm")</f>
        <v>June</v>
      </c>
      <c r="E969" t="s">
        <v>56</v>
      </c>
      <c r="F969" t="str">
        <f>TEXT(WEEKNUM(tblData[[#This Row],[Rental Date]]),"00")</f>
        <v>25</v>
      </c>
      <c r="G969" s="1">
        <f>EOMONTH(tblData[[#This Row],[Rental Date]],0)</f>
        <v>46203</v>
      </c>
      <c r="H969" t="s">
        <v>749</v>
      </c>
      <c r="I969" t="s">
        <v>39</v>
      </c>
      <c r="J969" t="s">
        <v>24</v>
      </c>
      <c r="K969" t="s">
        <v>40</v>
      </c>
      <c r="L969">
        <v>1</v>
      </c>
      <c r="M969" s="2">
        <v>91.2</v>
      </c>
      <c r="N969" t="s">
        <v>26</v>
      </c>
      <c r="O969" s="3">
        <v>0</v>
      </c>
      <c r="P969" s="3">
        <v>0</v>
      </c>
      <c r="Q969" s="2">
        <v>91.2</v>
      </c>
      <c r="R969" t="s">
        <v>27</v>
      </c>
      <c r="S969" t="s">
        <v>28</v>
      </c>
      <c r="T969" t="s">
        <v>29</v>
      </c>
      <c r="U969" t="s">
        <v>30</v>
      </c>
    </row>
    <row r="970" spans="1:21" x14ac:dyDescent="0.35">
      <c r="A970" t="s">
        <v>1049</v>
      </c>
      <c r="B970" s="1">
        <v>46193</v>
      </c>
      <c r="C970" t="str">
        <f>TEXT(tblData[[#This Row],[Rental Date]],"mmm")</f>
        <v>Jun</v>
      </c>
      <c r="D970" t="str">
        <f>TEXT(tblData[[#This Row],[Rental Date]],"mmmm")</f>
        <v>June</v>
      </c>
      <c r="E970" t="s">
        <v>56</v>
      </c>
      <c r="F970" t="str">
        <f>TEXT(WEEKNUM(tblData[[#This Row],[Rental Date]]),"00")</f>
        <v>25</v>
      </c>
      <c r="G970" s="1">
        <f>EOMONTH(tblData[[#This Row],[Rental Date]],0)</f>
        <v>46203</v>
      </c>
      <c r="H970" t="s">
        <v>749</v>
      </c>
      <c r="I970" t="s">
        <v>23</v>
      </c>
      <c r="J970" t="s">
        <v>78</v>
      </c>
      <c r="K970" t="s">
        <v>25</v>
      </c>
      <c r="L970">
        <v>1</v>
      </c>
      <c r="M970" s="2">
        <v>50.4</v>
      </c>
      <c r="N970" t="s">
        <v>26</v>
      </c>
      <c r="O970" s="3">
        <v>0</v>
      </c>
      <c r="P970" s="3">
        <v>0</v>
      </c>
      <c r="Q970" s="2">
        <v>50.4</v>
      </c>
      <c r="R970" t="s">
        <v>94</v>
      </c>
      <c r="S970" t="s">
        <v>46</v>
      </c>
      <c r="T970" t="s">
        <v>83</v>
      </c>
      <c r="U970" t="s">
        <v>58</v>
      </c>
    </row>
    <row r="971" spans="1:21" x14ac:dyDescent="0.35">
      <c r="A971" t="s">
        <v>1050</v>
      </c>
      <c r="B971" s="1">
        <v>46193</v>
      </c>
      <c r="C971" t="str">
        <f>TEXT(tblData[[#This Row],[Rental Date]],"mmm")</f>
        <v>Jun</v>
      </c>
      <c r="D971" t="str">
        <f>TEXT(tblData[[#This Row],[Rental Date]],"mmmm")</f>
        <v>June</v>
      </c>
      <c r="E971" t="s">
        <v>56</v>
      </c>
      <c r="F971" t="str">
        <f>TEXT(WEEKNUM(tblData[[#This Row],[Rental Date]]),"00")</f>
        <v>25</v>
      </c>
      <c r="G971" s="1">
        <f>EOMONTH(tblData[[#This Row],[Rental Date]],0)</f>
        <v>46203</v>
      </c>
      <c r="H971" t="s">
        <v>749</v>
      </c>
      <c r="I971" t="s">
        <v>48</v>
      </c>
      <c r="J971" t="s">
        <v>33</v>
      </c>
      <c r="K971" t="s">
        <v>40</v>
      </c>
      <c r="L971">
        <v>1</v>
      </c>
      <c r="M971" s="2">
        <v>69.599999999999994</v>
      </c>
      <c r="N971" t="s">
        <v>41</v>
      </c>
      <c r="O971" s="3">
        <v>5</v>
      </c>
      <c r="P971" s="3">
        <v>0</v>
      </c>
      <c r="Q971" s="2">
        <v>74.599999999999994</v>
      </c>
      <c r="R971" t="s">
        <v>94</v>
      </c>
      <c r="S971" t="s">
        <v>28</v>
      </c>
      <c r="T971" t="s">
        <v>29</v>
      </c>
      <c r="U971" t="s">
        <v>30</v>
      </c>
    </row>
    <row r="972" spans="1:21" x14ac:dyDescent="0.35">
      <c r="A972" t="s">
        <v>1051</v>
      </c>
      <c r="B972" s="1">
        <v>46193</v>
      </c>
      <c r="C972" t="str">
        <f>TEXT(tblData[[#This Row],[Rental Date]],"mmm")</f>
        <v>Jun</v>
      </c>
      <c r="D972" t="str">
        <f>TEXT(tblData[[#This Row],[Rental Date]],"mmmm")</f>
        <v>June</v>
      </c>
      <c r="E972" t="s">
        <v>56</v>
      </c>
      <c r="F972" t="str">
        <f>TEXT(WEEKNUM(tblData[[#This Row],[Rental Date]]),"00")</f>
        <v>25</v>
      </c>
      <c r="G972" s="1">
        <f>EOMONTH(tblData[[#This Row],[Rental Date]],0)</f>
        <v>46203</v>
      </c>
      <c r="H972" t="s">
        <v>749</v>
      </c>
      <c r="I972" t="s">
        <v>23</v>
      </c>
      <c r="J972" t="s">
        <v>49</v>
      </c>
      <c r="K972" t="s">
        <v>40</v>
      </c>
      <c r="L972">
        <v>1</v>
      </c>
      <c r="M972" s="2">
        <v>64.8</v>
      </c>
      <c r="N972" t="s">
        <v>89</v>
      </c>
      <c r="O972" s="3">
        <v>6</v>
      </c>
      <c r="P972" s="3">
        <v>0</v>
      </c>
      <c r="Q972" s="2">
        <v>70.8</v>
      </c>
      <c r="R972" t="s">
        <v>45</v>
      </c>
      <c r="S972" t="s">
        <v>35</v>
      </c>
      <c r="T972" t="s">
        <v>29</v>
      </c>
      <c r="U972" t="s">
        <v>30</v>
      </c>
    </row>
    <row r="973" spans="1:21" x14ac:dyDescent="0.35">
      <c r="A973" t="s">
        <v>1052</v>
      </c>
      <c r="B973" s="1">
        <v>46193</v>
      </c>
      <c r="C973" t="str">
        <f>TEXT(tblData[[#This Row],[Rental Date]],"mmm")</f>
        <v>Jun</v>
      </c>
      <c r="D973" t="str">
        <f>TEXT(tblData[[#This Row],[Rental Date]],"mmmm")</f>
        <v>June</v>
      </c>
      <c r="E973" t="s">
        <v>56</v>
      </c>
      <c r="F973" t="str">
        <f>TEXT(WEEKNUM(tblData[[#This Row],[Rental Date]]),"00")</f>
        <v>25</v>
      </c>
      <c r="G973" s="1">
        <f>EOMONTH(tblData[[#This Row],[Rental Date]],0)</f>
        <v>46203</v>
      </c>
      <c r="H973" t="s">
        <v>749</v>
      </c>
      <c r="I973" t="s">
        <v>39</v>
      </c>
      <c r="J973" t="s">
        <v>78</v>
      </c>
      <c r="K973" t="s">
        <v>40</v>
      </c>
      <c r="L973">
        <v>1</v>
      </c>
      <c r="M973" s="2">
        <v>74.400000000000006</v>
      </c>
      <c r="N973" t="s">
        <v>70</v>
      </c>
      <c r="O973" s="3">
        <v>7</v>
      </c>
      <c r="P973" s="3">
        <v>4.07</v>
      </c>
      <c r="Q973" s="2">
        <v>77.33</v>
      </c>
      <c r="R973" t="s">
        <v>76</v>
      </c>
      <c r="S973" t="s">
        <v>54</v>
      </c>
      <c r="T973" t="s">
        <v>29</v>
      </c>
      <c r="U973" t="s">
        <v>36</v>
      </c>
    </row>
    <row r="974" spans="1:21" x14ac:dyDescent="0.35">
      <c r="A974" t="s">
        <v>1053</v>
      </c>
      <c r="B974" s="1">
        <v>46193</v>
      </c>
      <c r="C974" t="str">
        <f>TEXT(tblData[[#This Row],[Rental Date]],"mmm")</f>
        <v>Jun</v>
      </c>
      <c r="D974" t="str">
        <f>TEXT(tblData[[#This Row],[Rental Date]],"mmmm")</f>
        <v>June</v>
      </c>
      <c r="E974" t="s">
        <v>56</v>
      </c>
      <c r="F974" t="str">
        <f>TEXT(WEEKNUM(tblData[[#This Row],[Rental Date]]),"00")</f>
        <v>25</v>
      </c>
      <c r="G974" s="1">
        <f>EOMONTH(tblData[[#This Row],[Rental Date]],0)</f>
        <v>46203</v>
      </c>
      <c r="H974" t="s">
        <v>749</v>
      </c>
      <c r="I974" t="s">
        <v>48</v>
      </c>
      <c r="J974" t="s">
        <v>49</v>
      </c>
      <c r="K974" t="s">
        <v>60</v>
      </c>
      <c r="L974">
        <v>1</v>
      </c>
      <c r="M974" s="2">
        <v>26.4</v>
      </c>
      <c r="N974" t="s">
        <v>26</v>
      </c>
      <c r="O974" s="3">
        <v>0</v>
      </c>
      <c r="P974" s="3">
        <v>0</v>
      </c>
      <c r="Q974" s="2">
        <v>26.4</v>
      </c>
      <c r="R974" t="s">
        <v>42</v>
      </c>
      <c r="S974" t="s">
        <v>28</v>
      </c>
      <c r="T974" t="s">
        <v>29</v>
      </c>
      <c r="U974" t="s">
        <v>30</v>
      </c>
    </row>
    <row r="975" spans="1:21" x14ac:dyDescent="0.35">
      <c r="A975" t="s">
        <v>1054</v>
      </c>
      <c r="B975" s="1">
        <v>46193</v>
      </c>
      <c r="C975" t="str">
        <f>TEXT(tblData[[#This Row],[Rental Date]],"mmm")</f>
        <v>Jun</v>
      </c>
      <c r="D975" t="str">
        <f>TEXT(tblData[[#This Row],[Rental Date]],"mmmm")</f>
        <v>June</v>
      </c>
      <c r="E975" t="s">
        <v>56</v>
      </c>
      <c r="F975" t="str">
        <f>TEXT(WEEKNUM(tblData[[#This Row],[Rental Date]]),"00")</f>
        <v>25</v>
      </c>
      <c r="G975" s="1">
        <f>EOMONTH(tblData[[#This Row],[Rental Date]],0)</f>
        <v>46203</v>
      </c>
      <c r="H975" t="s">
        <v>749</v>
      </c>
      <c r="I975" t="s">
        <v>23</v>
      </c>
      <c r="J975" t="s">
        <v>65</v>
      </c>
      <c r="K975" t="s">
        <v>60</v>
      </c>
      <c r="L975">
        <v>1</v>
      </c>
      <c r="M975" s="2">
        <v>14.4</v>
      </c>
      <c r="N975" t="s">
        <v>26</v>
      </c>
      <c r="O975" s="3">
        <v>0</v>
      </c>
      <c r="P975" s="3">
        <v>0</v>
      </c>
      <c r="Q975" s="2">
        <v>14.4</v>
      </c>
      <c r="R975" t="s">
        <v>57</v>
      </c>
      <c r="S975" t="s">
        <v>28</v>
      </c>
      <c r="T975" t="s">
        <v>51</v>
      </c>
      <c r="U975" t="s">
        <v>30</v>
      </c>
    </row>
    <row r="976" spans="1:21" x14ac:dyDescent="0.35">
      <c r="A976" t="s">
        <v>1055</v>
      </c>
      <c r="B976" s="1">
        <v>46193</v>
      </c>
      <c r="C976" t="str">
        <f>TEXT(tblData[[#This Row],[Rental Date]],"mmm")</f>
        <v>Jun</v>
      </c>
      <c r="D976" t="str">
        <f>TEXT(tblData[[#This Row],[Rental Date]],"mmmm")</f>
        <v>June</v>
      </c>
      <c r="E976" t="s">
        <v>56</v>
      </c>
      <c r="F976" t="str">
        <f>TEXT(WEEKNUM(tblData[[#This Row],[Rental Date]]),"00")</f>
        <v>25</v>
      </c>
      <c r="G976" s="1">
        <f>EOMONTH(tblData[[#This Row],[Rental Date]],0)</f>
        <v>46203</v>
      </c>
      <c r="H976" t="s">
        <v>749</v>
      </c>
      <c r="I976" t="s">
        <v>39</v>
      </c>
      <c r="J976" t="s">
        <v>78</v>
      </c>
      <c r="K976" t="s">
        <v>60</v>
      </c>
      <c r="L976">
        <v>1</v>
      </c>
      <c r="M976" s="2">
        <v>31.2</v>
      </c>
      <c r="N976" t="s">
        <v>41</v>
      </c>
      <c r="O976" s="3">
        <v>5</v>
      </c>
      <c r="P976" s="3">
        <v>0</v>
      </c>
      <c r="Q976" s="2">
        <v>36.200000000000003</v>
      </c>
      <c r="R976" t="s">
        <v>27</v>
      </c>
      <c r="S976" t="s">
        <v>35</v>
      </c>
      <c r="T976" t="s">
        <v>29</v>
      </c>
      <c r="U976" t="s">
        <v>58</v>
      </c>
    </row>
    <row r="977" spans="1:21" x14ac:dyDescent="0.35">
      <c r="A977" t="s">
        <v>1056</v>
      </c>
      <c r="B977" s="1">
        <v>46193</v>
      </c>
      <c r="C977" t="str">
        <f>TEXT(tblData[[#This Row],[Rental Date]],"mmm")</f>
        <v>Jun</v>
      </c>
      <c r="D977" t="str">
        <f>TEXT(tblData[[#This Row],[Rental Date]],"mmmm")</f>
        <v>June</v>
      </c>
      <c r="E977" t="s">
        <v>56</v>
      </c>
      <c r="F977" t="str">
        <f>TEXT(WEEKNUM(tblData[[#This Row],[Rental Date]]),"00")</f>
        <v>25</v>
      </c>
      <c r="G977" s="1">
        <f>EOMONTH(tblData[[#This Row],[Rental Date]],0)</f>
        <v>46203</v>
      </c>
      <c r="H977" t="s">
        <v>749</v>
      </c>
      <c r="I977" t="s">
        <v>23</v>
      </c>
      <c r="J977" t="s">
        <v>86</v>
      </c>
      <c r="K977" t="s">
        <v>40</v>
      </c>
      <c r="L977">
        <v>1</v>
      </c>
      <c r="M977" s="2">
        <v>103.2</v>
      </c>
      <c r="N977" t="s">
        <v>70</v>
      </c>
      <c r="O977" s="3">
        <v>7</v>
      </c>
      <c r="P977" s="3">
        <v>0</v>
      </c>
      <c r="Q977" s="2">
        <v>110.2</v>
      </c>
      <c r="R977" t="s">
        <v>71</v>
      </c>
      <c r="S977" t="s">
        <v>46</v>
      </c>
      <c r="T977" t="s">
        <v>29</v>
      </c>
      <c r="U977" t="s">
        <v>30</v>
      </c>
    </row>
    <row r="978" spans="1:21" x14ac:dyDescent="0.35">
      <c r="A978" t="s">
        <v>1057</v>
      </c>
      <c r="B978" s="1">
        <v>46193</v>
      </c>
      <c r="C978" t="str">
        <f>TEXT(tblData[[#This Row],[Rental Date]],"mmm")</f>
        <v>Jun</v>
      </c>
      <c r="D978" t="str">
        <f>TEXT(tblData[[#This Row],[Rental Date]],"mmmm")</f>
        <v>June</v>
      </c>
      <c r="E978" t="s">
        <v>56</v>
      </c>
      <c r="F978" t="str">
        <f>TEXT(WEEKNUM(tblData[[#This Row],[Rental Date]]),"00")</f>
        <v>25</v>
      </c>
      <c r="G978" s="1">
        <f>EOMONTH(tblData[[#This Row],[Rental Date]],0)</f>
        <v>46203</v>
      </c>
      <c r="H978" t="s">
        <v>749</v>
      </c>
      <c r="I978" t="s">
        <v>23</v>
      </c>
      <c r="J978" t="s">
        <v>78</v>
      </c>
      <c r="K978" t="s">
        <v>25</v>
      </c>
      <c r="L978">
        <v>1</v>
      </c>
      <c r="M978" s="2">
        <v>50.4</v>
      </c>
      <c r="N978" t="s">
        <v>41</v>
      </c>
      <c r="O978" s="3">
        <v>5</v>
      </c>
      <c r="P978" s="3">
        <v>0</v>
      </c>
      <c r="Q978" s="2">
        <v>55.4</v>
      </c>
      <c r="R978" t="s">
        <v>71</v>
      </c>
      <c r="S978" t="s">
        <v>35</v>
      </c>
      <c r="T978" t="s">
        <v>29</v>
      </c>
      <c r="U978" t="s">
        <v>30</v>
      </c>
    </row>
    <row r="979" spans="1:21" x14ac:dyDescent="0.35">
      <c r="A979" t="s">
        <v>1058</v>
      </c>
      <c r="B979" s="1">
        <v>46193</v>
      </c>
      <c r="C979" t="str">
        <f>TEXT(tblData[[#This Row],[Rental Date]],"mmm")</f>
        <v>Jun</v>
      </c>
      <c r="D979" t="str">
        <f>TEXT(tblData[[#This Row],[Rental Date]],"mmmm")</f>
        <v>June</v>
      </c>
      <c r="E979" t="s">
        <v>56</v>
      </c>
      <c r="F979" t="str">
        <f>TEXT(WEEKNUM(tblData[[#This Row],[Rental Date]]),"00")</f>
        <v>25</v>
      </c>
      <c r="G979" s="1">
        <f>EOMONTH(tblData[[#This Row],[Rental Date]],0)</f>
        <v>46203</v>
      </c>
      <c r="H979" t="s">
        <v>749</v>
      </c>
      <c r="I979" t="s">
        <v>23</v>
      </c>
      <c r="J979" t="s">
        <v>78</v>
      </c>
      <c r="K979" t="s">
        <v>40</v>
      </c>
      <c r="L979">
        <v>1</v>
      </c>
      <c r="M979" s="2">
        <v>74.400000000000006</v>
      </c>
      <c r="N979" t="s">
        <v>87</v>
      </c>
      <c r="O979" s="3">
        <v>10</v>
      </c>
      <c r="P979" s="3">
        <v>0</v>
      </c>
      <c r="Q979" s="2">
        <v>84.4</v>
      </c>
      <c r="R979" t="s">
        <v>66</v>
      </c>
      <c r="S979" t="s">
        <v>28</v>
      </c>
      <c r="T979" t="s">
        <v>29</v>
      </c>
      <c r="U979" t="s">
        <v>30</v>
      </c>
    </row>
    <row r="980" spans="1:21" x14ac:dyDescent="0.35">
      <c r="A980" t="s">
        <v>1059</v>
      </c>
      <c r="B980" s="1">
        <v>46193</v>
      </c>
      <c r="C980" t="str">
        <f>TEXT(tblData[[#This Row],[Rental Date]],"mmm")</f>
        <v>Jun</v>
      </c>
      <c r="D980" t="str">
        <f>TEXT(tblData[[#This Row],[Rental Date]],"mmmm")</f>
        <v>June</v>
      </c>
      <c r="E980" t="s">
        <v>56</v>
      </c>
      <c r="F980" t="str">
        <f>TEXT(WEEKNUM(tblData[[#This Row],[Rental Date]]),"00")</f>
        <v>25</v>
      </c>
      <c r="G980" s="1">
        <f>EOMONTH(tblData[[#This Row],[Rental Date]],0)</f>
        <v>46203</v>
      </c>
      <c r="H980" t="s">
        <v>749</v>
      </c>
      <c r="I980" t="s">
        <v>23</v>
      </c>
      <c r="J980" t="s">
        <v>33</v>
      </c>
      <c r="K980" t="s">
        <v>25</v>
      </c>
      <c r="L980">
        <v>1</v>
      </c>
      <c r="M980" s="2">
        <v>45.6</v>
      </c>
      <c r="N980" t="s">
        <v>61</v>
      </c>
      <c r="O980" s="3">
        <v>8</v>
      </c>
      <c r="P980" s="3">
        <v>0</v>
      </c>
      <c r="Q980" s="2">
        <v>53.6</v>
      </c>
      <c r="R980" t="s">
        <v>34</v>
      </c>
      <c r="S980" t="s">
        <v>35</v>
      </c>
      <c r="T980" t="s">
        <v>63</v>
      </c>
      <c r="U980" t="s">
        <v>30</v>
      </c>
    </row>
    <row r="981" spans="1:21" x14ac:dyDescent="0.35">
      <c r="A981" t="s">
        <v>1060</v>
      </c>
      <c r="B981" s="1">
        <v>46193</v>
      </c>
      <c r="C981" t="str">
        <f>TEXT(tblData[[#This Row],[Rental Date]],"mmm")</f>
        <v>Jun</v>
      </c>
      <c r="D981" t="str">
        <f>TEXT(tblData[[#This Row],[Rental Date]],"mmmm")</f>
        <v>June</v>
      </c>
      <c r="E981" t="s">
        <v>56</v>
      </c>
      <c r="F981" t="str">
        <f>TEXT(WEEKNUM(tblData[[#This Row],[Rental Date]]),"00")</f>
        <v>25</v>
      </c>
      <c r="G981" s="1">
        <f>EOMONTH(tblData[[#This Row],[Rental Date]],0)</f>
        <v>46203</v>
      </c>
      <c r="H981" t="s">
        <v>749</v>
      </c>
      <c r="I981" t="s">
        <v>39</v>
      </c>
      <c r="J981" t="s">
        <v>127</v>
      </c>
      <c r="K981" t="s">
        <v>40</v>
      </c>
      <c r="L981">
        <v>1</v>
      </c>
      <c r="M981" s="2">
        <v>28.8</v>
      </c>
      <c r="N981" t="s">
        <v>61</v>
      </c>
      <c r="O981" s="3">
        <v>8</v>
      </c>
      <c r="P981" s="3">
        <v>0</v>
      </c>
      <c r="Q981" s="2">
        <v>36.799999999999997</v>
      </c>
      <c r="R981" t="s">
        <v>62</v>
      </c>
      <c r="S981" t="s">
        <v>54</v>
      </c>
      <c r="T981" t="s">
        <v>51</v>
      </c>
      <c r="U981" t="s">
        <v>36</v>
      </c>
    </row>
    <row r="982" spans="1:21" x14ac:dyDescent="0.35">
      <c r="A982" t="s">
        <v>1061</v>
      </c>
      <c r="B982" s="1">
        <v>46193</v>
      </c>
      <c r="C982" t="str">
        <f>TEXT(tblData[[#This Row],[Rental Date]],"mmm")</f>
        <v>Jun</v>
      </c>
      <c r="D982" t="str">
        <f>TEXT(tblData[[#This Row],[Rental Date]],"mmmm")</f>
        <v>June</v>
      </c>
      <c r="E982" t="s">
        <v>56</v>
      </c>
      <c r="F982" t="str">
        <f>TEXT(WEEKNUM(tblData[[#This Row],[Rental Date]]),"00")</f>
        <v>25</v>
      </c>
      <c r="G982" s="1">
        <f>EOMONTH(tblData[[#This Row],[Rental Date]],0)</f>
        <v>46203</v>
      </c>
      <c r="H982" t="s">
        <v>749</v>
      </c>
      <c r="I982" t="s">
        <v>39</v>
      </c>
      <c r="J982" t="s">
        <v>65</v>
      </c>
      <c r="K982" t="s">
        <v>40</v>
      </c>
      <c r="L982">
        <v>1</v>
      </c>
      <c r="M982" s="2">
        <v>33.6</v>
      </c>
      <c r="N982" t="s">
        <v>26</v>
      </c>
      <c r="O982" s="3">
        <v>0</v>
      </c>
      <c r="P982" s="3">
        <v>0</v>
      </c>
      <c r="Q982" s="2">
        <v>33.6</v>
      </c>
      <c r="R982" t="s">
        <v>27</v>
      </c>
      <c r="S982" t="s">
        <v>46</v>
      </c>
      <c r="T982" t="s">
        <v>51</v>
      </c>
      <c r="U982" t="s">
        <v>30</v>
      </c>
    </row>
    <row r="983" spans="1:21" x14ac:dyDescent="0.35">
      <c r="A983" t="s">
        <v>1062</v>
      </c>
      <c r="B983" s="1">
        <v>46193</v>
      </c>
      <c r="C983" t="str">
        <f>TEXT(tblData[[#This Row],[Rental Date]],"mmm")</f>
        <v>Jun</v>
      </c>
      <c r="D983" t="str">
        <f>TEXT(tblData[[#This Row],[Rental Date]],"mmmm")</f>
        <v>June</v>
      </c>
      <c r="E983" t="s">
        <v>56</v>
      </c>
      <c r="F983" t="str">
        <f>TEXT(WEEKNUM(tblData[[#This Row],[Rental Date]]),"00")</f>
        <v>25</v>
      </c>
      <c r="G983" s="1">
        <f>EOMONTH(tblData[[#This Row],[Rental Date]],0)</f>
        <v>46203</v>
      </c>
      <c r="H983" t="s">
        <v>749</v>
      </c>
      <c r="I983" t="s">
        <v>39</v>
      </c>
      <c r="J983" t="s">
        <v>49</v>
      </c>
      <c r="K983" t="s">
        <v>25</v>
      </c>
      <c r="L983">
        <v>1</v>
      </c>
      <c r="M983" s="2">
        <v>43.2</v>
      </c>
      <c r="N983" t="s">
        <v>41</v>
      </c>
      <c r="O983" s="3">
        <v>5</v>
      </c>
      <c r="P983" s="3">
        <v>0</v>
      </c>
      <c r="Q983" s="2">
        <v>48.2</v>
      </c>
      <c r="R983" t="s">
        <v>42</v>
      </c>
      <c r="S983" t="s">
        <v>35</v>
      </c>
      <c r="T983" t="s">
        <v>29</v>
      </c>
      <c r="U983" t="s">
        <v>30</v>
      </c>
    </row>
    <row r="984" spans="1:21" x14ac:dyDescent="0.35">
      <c r="A984" t="s">
        <v>1063</v>
      </c>
      <c r="B984" s="1">
        <v>46193</v>
      </c>
      <c r="C984" t="str">
        <f>TEXT(tblData[[#This Row],[Rental Date]],"mmm")</f>
        <v>Jun</v>
      </c>
      <c r="D984" t="str">
        <f>TEXT(tblData[[#This Row],[Rental Date]],"mmmm")</f>
        <v>June</v>
      </c>
      <c r="E984" t="s">
        <v>56</v>
      </c>
      <c r="F984" t="str">
        <f>TEXT(WEEKNUM(tblData[[#This Row],[Rental Date]]),"00")</f>
        <v>25</v>
      </c>
      <c r="G984" s="1">
        <f>EOMONTH(tblData[[#This Row],[Rental Date]],0)</f>
        <v>46203</v>
      </c>
      <c r="H984" t="s">
        <v>749</v>
      </c>
      <c r="I984" t="s">
        <v>48</v>
      </c>
      <c r="J984" t="s">
        <v>49</v>
      </c>
      <c r="K984" t="s">
        <v>25</v>
      </c>
      <c r="L984">
        <v>1</v>
      </c>
      <c r="M984" s="2">
        <v>43.2</v>
      </c>
      <c r="N984" t="s">
        <v>26</v>
      </c>
      <c r="O984" s="3">
        <v>0</v>
      </c>
      <c r="P984" s="3">
        <v>0</v>
      </c>
      <c r="Q984" s="2">
        <v>43.2</v>
      </c>
      <c r="R984" t="s">
        <v>27</v>
      </c>
      <c r="S984" t="s">
        <v>50</v>
      </c>
      <c r="T984" t="s">
        <v>51</v>
      </c>
      <c r="U984" t="s">
        <v>30</v>
      </c>
    </row>
    <row r="985" spans="1:21" x14ac:dyDescent="0.35">
      <c r="A985" t="s">
        <v>1064</v>
      </c>
      <c r="B985" s="1">
        <v>46193</v>
      </c>
      <c r="C985" t="str">
        <f>TEXT(tblData[[#This Row],[Rental Date]],"mmm")</f>
        <v>Jun</v>
      </c>
      <c r="D985" t="str">
        <f>TEXT(tblData[[#This Row],[Rental Date]],"mmmm")</f>
        <v>June</v>
      </c>
      <c r="E985" t="s">
        <v>56</v>
      </c>
      <c r="F985" t="str">
        <f>TEXT(WEEKNUM(tblData[[#This Row],[Rental Date]]),"00")</f>
        <v>25</v>
      </c>
      <c r="G985" s="1">
        <f>EOMONTH(tblData[[#This Row],[Rental Date]],0)</f>
        <v>46203</v>
      </c>
      <c r="H985" t="s">
        <v>749</v>
      </c>
      <c r="I985" t="s">
        <v>23</v>
      </c>
      <c r="J985" t="s">
        <v>78</v>
      </c>
      <c r="K985" t="s">
        <v>25</v>
      </c>
      <c r="L985">
        <v>1</v>
      </c>
      <c r="M985" s="2">
        <v>50.4</v>
      </c>
      <c r="N985" t="s">
        <v>89</v>
      </c>
      <c r="O985" s="3">
        <v>6</v>
      </c>
      <c r="P985" s="3">
        <v>0</v>
      </c>
      <c r="Q985" s="2">
        <v>56.4</v>
      </c>
      <c r="R985" t="s">
        <v>27</v>
      </c>
      <c r="S985" t="s">
        <v>50</v>
      </c>
      <c r="T985" t="s">
        <v>29</v>
      </c>
      <c r="U985" t="s">
        <v>58</v>
      </c>
    </row>
    <row r="986" spans="1:21" x14ac:dyDescent="0.35">
      <c r="A986" t="s">
        <v>1065</v>
      </c>
      <c r="B986" s="1">
        <v>46193</v>
      </c>
      <c r="C986" t="str">
        <f>TEXT(tblData[[#This Row],[Rental Date]],"mmm")</f>
        <v>Jun</v>
      </c>
      <c r="D986" t="str">
        <f>TEXT(tblData[[#This Row],[Rental Date]],"mmmm")</f>
        <v>June</v>
      </c>
      <c r="E986" t="s">
        <v>56</v>
      </c>
      <c r="F986" t="str">
        <f>TEXT(WEEKNUM(tblData[[#This Row],[Rental Date]]),"00")</f>
        <v>25</v>
      </c>
      <c r="G986" s="1">
        <f>EOMONTH(tblData[[#This Row],[Rental Date]],0)</f>
        <v>46203</v>
      </c>
      <c r="H986" t="s">
        <v>749</v>
      </c>
      <c r="I986" t="s">
        <v>48</v>
      </c>
      <c r="J986" t="s">
        <v>44</v>
      </c>
      <c r="K986" t="s">
        <v>60</v>
      </c>
      <c r="L986">
        <v>1</v>
      </c>
      <c r="M986" s="2">
        <v>40.799999999999997</v>
      </c>
      <c r="N986" t="s">
        <v>89</v>
      </c>
      <c r="O986" s="3">
        <v>6</v>
      </c>
      <c r="P986" s="3">
        <v>0</v>
      </c>
      <c r="Q986" s="2">
        <v>46.8</v>
      </c>
      <c r="R986" t="s">
        <v>71</v>
      </c>
      <c r="S986" t="s">
        <v>50</v>
      </c>
      <c r="T986" t="s">
        <v>29</v>
      </c>
      <c r="U986" t="s">
        <v>30</v>
      </c>
    </row>
    <row r="987" spans="1:21" x14ac:dyDescent="0.35">
      <c r="A987" t="s">
        <v>1066</v>
      </c>
      <c r="B987" s="1">
        <v>46193</v>
      </c>
      <c r="C987" t="str">
        <f>TEXT(tblData[[#This Row],[Rental Date]],"mmm")</f>
        <v>Jun</v>
      </c>
      <c r="D987" t="str">
        <f>TEXT(tblData[[#This Row],[Rental Date]],"mmmm")</f>
        <v>June</v>
      </c>
      <c r="E987" t="s">
        <v>56</v>
      </c>
      <c r="F987" t="str">
        <f>TEXT(WEEKNUM(tblData[[#This Row],[Rental Date]]),"00")</f>
        <v>25</v>
      </c>
      <c r="G987" s="1">
        <f>EOMONTH(tblData[[#This Row],[Rental Date]],0)</f>
        <v>46203</v>
      </c>
      <c r="H987" t="s">
        <v>749</v>
      </c>
      <c r="I987" t="s">
        <v>23</v>
      </c>
      <c r="J987" t="s">
        <v>86</v>
      </c>
      <c r="K987" t="s">
        <v>92</v>
      </c>
      <c r="L987">
        <v>1</v>
      </c>
      <c r="M987" s="2">
        <v>148.80000000000001</v>
      </c>
      <c r="N987" t="s">
        <v>26</v>
      </c>
      <c r="O987" s="3">
        <v>0</v>
      </c>
      <c r="P987" s="3">
        <v>0</v>
      </c>
      <c r="Q987" s="2">
        <v>148.80000000000001</v>
      </c>
      <c r="R987" t="s">
        <v>66</v>
      </c>
      <c r="S987" t="s">
        <v>46</v>
      </c>
      <c r="T987" t="s">
        <v>90</v>
      </c>
      <c r="U987" t="s">
        <v>30</v>
      </c>
    </row>
    <row r="988" spans="1:21" x14ac:dyDescent="0.35">
      <c r="A988" t="s">
        <v>1067</v>
      </c>
      <c r="B988" s="1">
        <v>46194</v>
      </c>
      <c r="C988" t="str">
        <f>TEXT(tblData[[#This Row],[Rental Date]],"mmm")</f>
        <v>Jun</v>
      </c>
      <c r="D988" t="str">
        <f>TEXT(tblData[[#This Row],[Rental Date]],"mmmm")</f>
        <v>June</v>
      </c>
      <c r="E988" t="s">
        <v>68</v>
      </c>
      <c r="F988" t="str">
        <f>TEXT(WEEKNUM(tblData[[#This Row],[Rental Date]]),"00")</f>
        <v>26</v>
      </c>
      <c r="G988" s="1">
        <f>EOMONTH(tblData[[#This Row],[Rental Date]],0)</f>
        <v>46203</v>
      </c>
      <c r="H988" t="s">
        <v>749</v>
      </c>
      <c r="I988" t="s">
        <v>32</v>
      </c>
      <c r="J988" t="s">
        <v>78</v>
      </c>
      <c r="K988" t="s">
        <v>60</v>
      </c>
      <c r="L988">
        <v>1</v>
      </c>
      <c r="M988" s="2">
        <v>31.2</v>
      </c>
      <c r="N988" t="s">
        <v>26</v>
      </c>
      <c r="O988" s="3">
        <v>0</v>
      </c>
      <c r="P988" s="3">
        <v>1.56</v>
      </c>
      <c r="Q988" s="2">
        <v>29.64</v>
      </c>
      <c r="R988" t="s">
        <v>62</v>
      </c>
      <c r="S988" t="s">
        <v>46</v>
      </c>
      <c r="T988" t="s">
        <v>29</v>
      </c>
      <c r="U988" t="s">
        <v>30</v>
      </c>
    </row>
    <row r="989" spans="1:21" x14ac:dyDescent="0.35">
      <c r="A989" t="s">
        <v>1068</v>
      </c>
      <c r="B989" s="1">
        <v>46194</v>
      </c>
      <c r="C989" t="str">
        <f>TEXT(tblData[[#This Row],[Rental Date]],"mmm")</f>
        <v>Jun</v>
      </c>
      <c r="D989" t="str">
        <f>TEXT(tblData[[#This Row],[Rental Date]],"mmmm")</f>
        <v>June</v>
      </c>
      <c r="E989" t="s">
        <v>68</v>
      </c>
      <c r="F989" t="str">
        <f>TEXT(WEEKNUM(tblData[[#This Row],[Rental Date]]),"00")</f>
        <v>26</v>
      </c>
      <c r="G989" s="1">
        <f>EOMONTH(tblData[[#This Row],[Rental Date]],0)</f>
        <v>46203</v>
      </c>
      <c r="H989" t="s">
        <v>749</v>
      </c>
      <c r="I989" t="s">
        <v>39</v>
      </c>
      <c r="J989" t="s">
        <v>78</v>
      </c>
      <c r="K989" t="s">
        <v>60</v>
      </c>
      <c r="L989">
        <v>1</v>
      </c>
      <c r="M989" s="2">
        <v>31.2</v>
      </c>
      <c r="N989" t="s">
        <v>61</v>
      </c>
      <c r="O989" s="3">
        <v>8</v>
      </c>
      <c r="P989" s="3">
        <v>0</v>
      </c>
      <c r="Q989" s="2">
        <v>39.200000000000003</v>
      </c>
      <c r="R989" t="s">
        <v>57</v>
      </c>
      <c r="S989" t="s">
        <v>50</v>
      </c>
      <c r="T989" t="s">
        <v>63</v>
      </c>
      <c r="U989" t="s">
        <v>30</v>
      </c>
    </row>
    <row r="990" spans="1:21" x14ac:dyDescent="0.35">
      <c r="A990" t="s">
        <v>1069</v>
      </c>
      <c r="B990" s="1">
        <v>46194</v>
      </c>
      <c r="C990" t="str">
        <f>TEXT(tblData[[#This Row],[Rental Date]],"mmm")</f>
        <v>Jun</v>
      </c>
      <c r="D990" t="str">
        <f>TEXT(tblData[[#This Row],[Rental Date]],"mmmm")</f>
        <v>June</v>
      </c>
      <c r="E990" t="s">
        <v>68</v>
      </c>
      <c r="F990" t="str">
        <f>TEXT(WEEKNUM(tblData[[#This Row],[Rental Date]]),"00")</f>
        <v>26</v>
      </c>
      <c r="G990" s="1">
        <f>EOMONTH(tblData[[#This Row],[Rental Date]],0)</f>
        <v>46203</v>
      </c>
      <c r="H990" t="s">
        <v>749</v>
      </c>
      <c r="I990" t="s">
        <v>39</v>
      </c>
      <c r="J990" t="s">
        <v>65</v>
      </c>
      <c r="K990" t="s">
        <v>60</v>
      </c>
      <c r="L990">
        <v>1</v>
      </c>
      <c r="M990" s="2">
        <v>14.4</v>
      </c>
      <c r="N990" t="s">
        <v>89</v>
      </c>
      <c r="O990" s="3">
        <v>6</v>
      </c>
      <c r="P990" s="3">
        <v>0</v>
      </c>
      <c r="Q990" s="2">
        <v>20.399999999999999</v>
      </c>
      <c r="R990" t="s">
        <v>45</v>
      </c>
      <c r="S990" t="s">
        <v>46</v>
      </c>
      <c r="T990" t="s">
        <v>29</v>
      </c>
      <c r="U990" t="s">
        <v>30</v>
      </c>
    </row>
    <row r="991" spans="1:21" x14ac:dyDescent="0.35">
      <c r="A991" t="s">
        <v>1070</v>
      </c>
      <c r="B991" s="1">
        <v>46194</v>
      </c>
      <c r="C991" t="str">
        <f>TEXT(tblData[[#This Row],[Rental Date]],"mmm")</f>
        <v>Jun</v>
      </c>
      <c r="D991" t="str">
        <f>TEXT(tblData[[#This Row],[Rental Date]],"mmmm")</f>
        <v>June</v>
      </c>
      <c r="E991" t="s">
        <v>68</v>
      </c>
      <c r="F991" t="str">
        <f>TEXT(WEEKNUM(tblData[[#This Row],[Rental Date]]),"00")</f>
        <v>26</v>
      </c>
      <c r="G991" s="1">
        <f>EOMONTH(tblData[[#This Row],[Rental Date]],0)</f>
        <v>46203</v>
      </c>
      <c r="H991" t="s">
        <v>749</v>
      </c>
      <c r="I991" t="s">
        <v>39</v>
      </c>
      <c r="J991" t="s">
        <v>78</v>
      </c>
      <c r="K991" t="s">
        <v>25</v>
      </c>
      <c r="L991">
        <v>1</v>
      </c>
      <c r="M991" s="2">
        <v>50.4</v>
      </c>
      <c r="N991" t="s">
        <v>70</v>
      </c>
      <c r="O991" s="3">
        <v>7</v>
      </c>
      <c r="P991" s="3">
        <v>2.87</v>
      </c>
      <c r="Q991" s="2">
        <v>54.53</v>
      </c>
      <c r="R991" t="s">
        <v>94</v>
      </c>
      <c r="S991" t="s">
        <v>54</v>
      </c>
      <c r="T991" t="s">
        <v>29</v>
      </c>
      <c r="U991" t="s">
        <v>58</v>
      </c>
    </row>
    <row r="992" spans="1:21" x14ac:dyDescent="0.35">
      <c r="A992" t="s">
        <v>1071</v>
      </c>
      <c r="B992" s="1">
        <v>46194</v>
      </c>
      <c r="C992" t="str">
        <f>TEXT(tblData[[#This Row],[Rental Date]],"mmm")</f>
        <v>Jun</v>
      </c>
      <c r="D992" t="str">
        <f>TEXT(tblData[[#This Row],[Rental Date]],"mmmm")</f>
        <v>June</v>
      </c>
      <c r="E992" t="s">
        <v>68</v>
      </c>
      <c r="F992" t="str">
        <f>TEXT(WEEKNUM(tblData[[#This Row],[Rental Date]]),"00")</f>
        <v>26</v>
      </c>
      <c r="G992" s="1">
        <f>EOMONTH(tblData[[#This Row],[Rental Date]],0)</f>
        <v>46203</v>
      </c>
      <c r="H992" t="s">
        <v>749</v>
      </c>
      <c r="I992" t="s">
        <v>32</v>
      </c>
      <c r="J992" t="s">
        <v>78</v>
      </c>
      <c r="K992" t="s">
        <v>92</v>
      </c>
      <c r="L992">
        <v>1</v>
      </c>
      <c r="M992" s="2">
        <v>105.6</v>
      </c>
      <c r="N992" t="s">
        <v>26</v>
      </c>
      <c r="O992" s="3">
        <v>0</v>
      </c>
      <c r="P992" s="3">
        <v>10.56</v>
      </c>
      <c r="Q992" s="2">
        <v>95.04</v>
      </c>
      <c r="R992" t="s">
        <v>45</v>
      </c>
      <c r="S992" t="s">
        <v>35</v>
      </c>
      <c r="T992" t="s">
        <v>51</v>
      </c>
      <c r="U992" t="s">
        <v>58</v>
      </c>
    </row>
    <row r="993" spans="1:21" x14ac:dyDescent="0.35">
      <c r="A993" t="s">
        <v>1072</v>
      </c>
      <c r="B993" s="1">
        <v>46194</v>
      </c>
      <c r="C993" t="str">
        <f>TEXT(tblData[[#This Row],[Rental Date]],"mmm")</f>
        <v>Jun</v>
      </c>
      <c r="D993" t="str">
        <f>TEXT(tblData[[#This Row],[Rental Date]],"mmmm")</f>
        <v>June</v>
      </c>
      <c r="E993" t="s">
        <v>68</v>
      </c>
      <c r="F993" t="str">
        <f>TEXT(WEEKNUM(tblData[[#This Row],[Rental Date]]),"00")</f>
        <v>26</v>
      </c>
      <c r="G993" s="1">
        <f>EOMONTH(tblData[[#This Row],[Rental Date]],0)</f>
        <v>46203</v>
      </c>
      <c r="H993" t="s">
        <v>749</v>
      </c>
      <c r="I993" t="s">
        <v>53</v>
      </c>
      <c r="J993" t="s">
        <v>86</v>
      </c>
      <c r="K993" t="s">
        <v>60</v>
      </c>
      <c r="L993">
        <v>1</v>
      </c>
      <c r="M993" s="2">
        <v>43.2</v>
      </c>
      <c r="N993" t="s">
        <v>41</v>
      </c>
      <c r="O993" s="3">
        <v>5</v>
      </c>
      <c r="P993" s="3">
        <v>7.23</v>
      </c>
      <c r="Q993" s="2">
        <v>40.97</v>
      </c>
      <c r="R993" t="s">
        <v>62</v>
      </c>
      <c r="S993" t="s">
        <v>46</v>
      </c>
      <c r="T993" t="s">
        <v>29</v>
      </c>
      <c r="U993" t="s">
        <v>30</v>
      </c>
    </row>
    <row r="994" spans="1:21" x14ac:dyDescent="0.35">
      <c r="A994" t="s">
        <v>1073</v>
      </c>
      <c r="B994" s="1">
        <v>46194</v>
      </c>
      <c r="C994" t="str">
        <f>TEXT(tblData[[#This Row],[Rental Date]],"mmm")</f>
        <v>Jun</v>
      </c>
      <c r="D994" t="str">
        <f>TEXT(tblData[[#This Row],[Rental Date]],"mmmm")</f>
        <v>June</v>
      </c>
      <c r="E994" t="s">
        <v>68</v>
      </c>
      <c r="F994" t="str">
        <f>TEXT(WEEKNUM(tblData[[#This Row],[Rental Date]]),"00")</f>
        <v>26</v>
      </c>
      <c r="G994" s="1">
        <f>EOMONTH(tblData[[#This Row],[Rental Date]],0)</f>
        <v>46203</v>
      </c>
      <c r="H994" t="s">
        <v>749</v>
      </c>
      <c r="I994" t="s">
        <v>39</v>
      </c>
      <c r="J994" t="s">
        <v>78</v>
      </c>
      <c r="K994" t="s">
        <v>60</v>
      </c>
      <c r="L994">
        <v>1</v>
      </c>
      <c r="M994" s="2">
        <v>31.2</v>
      </c>
      <c r="N994" t="s">
        <v>26</v>
      </c>
      <c r="O994" s="3">
        <v>0</v>
      </c>
      <c r="P994" s="3">
        <v>0</v>
      </c>
      <c r="Q994" s="2">
        <v>31.2</v>
      </c>
      <c r="R994" t="s">
        <v>57</v>
      </c>
      <c r="S994" t="s">
        <v>28</v>
      </c>
      <c r="T994" t="s">
        <v>29</v>
      </c>
      <c r="U994" t="s">
        <v>30</v>
      </c>
    </row>
    <row r="995" spans="1:21" x14ac:dyDescent="0.35">
      <c r="A995" t="s">
        <v>1074</v>
      </c>
      <c r="B995" s="1">
        <v>46194</v>
      </c>
      <c r="C995" t="str">
        <f>TEXT(tblData[[#This Row],[Rental Date]],"mmm")</f>
        <v>Jun</v>
      </c>
      <c r="D995" t="str">
        <f>TEXT(tblData[[#This Row],[Rental Date]],"mmmm")</f>
        <v>June</v>
      </c>
      <c r="E995" t="s">
        <v>68</v>
      </c>
      <c r="F995" t="str">
        <f>TEXT(WEEKNUM(tblData[[#This Row],[Rental Date]]),"00")</f>
        <v>26</v>
      </c>
      <c r="G995" s="1">
        <f>EOMONTH(tblData[[#This Row],[Rental Date]],0)</f>
        <v>46203</v>
      </c>
      <c r="H995" t="s">
        <v>749</v>
      </c>
      <c r="I995" t="s">
        <v>32</v>
      </c>
      <c r="J995" t="s">
        <v>33</v>
      </c>
      <c r="K995" t="s">
        <v>60</v>
      </c>
      <c r="L995">
        <v>1</v>
      </c>
      <c r="M995" s="2">
        <v>28.8</v>
      </c>
      <c r="N995" t="s">
        <v>70</v>
      </c>
      <c r="O995" s="3">
        <v>7</v>
      </c>
      <c r="P995" s="3">
        <v>3.58</v>
      </c>
      <c r="Q995" s="2">
        <v>32.22</v>
      </c>
      <c r="R995" t="s">
        <v>71</v>
      </c>
      <c r="S995" t="s">
        <v>46</v>
      </c>
      <c r="T995" t="s">
        <v>29</v>
      </c>
      <c r="U995" t="s">
        <v>79</v>
      </c>
    </row>
    <row r="996" spans="1:21" x14ac:dyDescent="0.35">
      <c r="A996" t="s">
        <v>1075</v>
      </c>
      <c r="B996" s="1">
        <v>46194</v>
      </c>
      <c r="C996" t="str">
        <f>TEXT(tblData[[#This Row],[Rental Date]],"mmm")</f>
        <v>Jun</v>
      </c>
      <c r="D996" t="str">
        <f>TEXT(tblData[[#This Row],[Rental Date]],"mmmm")</f>
        <v>June</v>
      </c>
      <c r="E996" t="s">
        <v>68</v>
      </c>
      <c r="F996" t="str">
        <f>TEXT(WEEKNUM(tblData[[#This Row],[Rental Date]]),"00")</f>
        <v>26</v>
      </c>
      <c r="G996" s="1">
        <f>EOMONTH(tblData[[#This Row],[Rental Date]],0)</f>
        <v>46203</v>
      </c>
      <c r="H996" t="s">
        <v>749</v>
      </c>
      <c r="I996" t="s">
        <v>48</v>
      </c>
      <c r="J996" t="s">
        <v>65</v>
      </c>
      <c r="K996" t="s">
        <v>60</v>
      </c>
      <c r="L996">
        <v>1</v>
      </c>
      <c r="M996" s="2">
        <v>14.4</v>
      </c>
      <c r="N996" t="s">
        <v>26</v>
      </c>
      <c r="O996" s="3">
        <v>0</v>
      </c>
      <c r="P996" s="3">
        <v>0</v>
      </c>
      <c r="Q996" s="2">
        <v>14.4</v>
      </c>
      <c r="R996" t="s">
        <v>27</v>
      </c>
      <c r="S996" t="s">
        <v>50</v>
      </c>
      <c r="T996" t="s">
        <v>29</v>
      </c>
      <c r="U996" t="s">
        <v>58</v>
      </c>
    </row>
    <row r="997" spans="1:21" x14ac:dyDescent="0.35">
      <c r="A997" t="s">
        <v>1076</v>
      </c>
      <c r="B997" s="1">
        <v>46194</v>
      </c>
      <c r="C997" t="str">
        <f>TEXT(tblData[[#This Row],[Rental Date]],"mmm")</f>
        <v>Jun</v>
      </c>
      <c r="D997" t="str">
        <f>TEXT(tblData[[#This Row],[Rental Date]],"mmmm")</f>
        <v>June</v>
      </c>
      <c r="E997" t="s">
        <v>68</v>
      </c>
      <c r="F997" t="str">
        <f>TEXT(WEEKNUM(tblData[[#This Row],[Rental Date]]),"00")</f>
        <v>26</v>
      </c>
      <c r="G997" s="1">
        <f>EOMONTH(tblData[[#This Row],[Rental Date]],0)</f>
        <v>46203</v>
      </c>
      <c r="H997" t="s">
        <v>749</v>
      </c>
      <c r="I997" t="s">
        <v>48</v>
      </c>
      <c r="J997" t="s">
        <v>44</v>
      </c>
      <c r="K997" t="s">
        <v>40</v>
      </c>
      <c r="L997">
        <v>1</v>
      </c>
      <c r="M997" s="2">
        <v>93.6</v>
      </c>
      <c r="N997" t="s">
        <v>87</v>
      </c>
      <c r="O997" s="3">
        <v>10</v>
      </c>
      <c r="P997" s="3">
        <v>0</v>
      </c>
      <c r="Q997" s="2">
        <v>103.6</v>
      </c>
      <c r="R997" t="s">
        <v>62</v>
      </c>
      <c r="S997" t="s">
        <v>54</v>
      </c>
      <c r="T997" t="s">
        <v>63</v>
      </c>
      <c r="U997" t="s">
        <v>30</v>
      </c>
    </row>
    <row r="998" spans="1:21" x14ac:dyDescent="0.35">
      <c r="A998" t="s">
        <v>1077</v>
      </c>
      <c r="B998" s="1">
        <v>46194</v>
      </c>
      <c r="C998" t="str">
        <f>TEXT(tblData[[#This Row],[Rental Date]],"mmm")</f>
        <v>Jun</v>
      </c>
      <c r="D998" t="str">
        <f>TEXT(tblData[[#This Row],[Rental Date]],"mmmm")</f>
        <v>June</v>
      </c>
      <c r="E998" t="s">
        <v>68</v>
      </c>
      <c r="F998" t="str">
        <f>TEXT(WEEKNUM(tblData[[#This Row],[Rental Date]]),"00")</f>
        <v>26</v>
      </c>
      <c r="G998" s="1">
        <f>EOMONTH(tblData[[#This Row],[Rental Date]],0)</f>
        <v>46203</v>
      </c>
      <c r="H998" t="s">
        <v>749</v>
      </c>
      <c r="I998" t="s">
        <v>39</v>
      </c>
      <c r="J998" t="s">
        <v>33</v>
      </c>
      <c r="K998" t="s">
        <v>60</v>
      </c>
      <c r="L998">
        <v>1</v>
      </c>
      <c r="M998" s="2">
        <v>28.8</v>
      </c>
      <c r="N998" t="s">
        <v>26</v>
      </c>
      <c r="O998" s="3">
        <v>0</v>
      </c>
      <c r="P998" s="3">
        <v>0</v>
      </c>
      <c r="Q998" s="2">
        <v>28.8</v>
      </c>
      <c r="R998" t="s">
        <v>62</v>
      </c>
      <c r="S998" t="s">
        <v>54</v>
      </c>
      <c r="T998" t="s">
        <v>51</v>
      </c>
      <c r="U998" t="s">
        <v>30</v>
      </c>
    </row>
    <row r="999" spans="1:21" x14ac:dyDescent="0.35">
      <c r="A999" t="s">
        <v>1078</v>
      </c>
      <c r="B999" s="1">
        <v>46194</v>
      </c>
      <c r="C999" t="str">
        <f>TEXT(tblData[[#This Row],[Rental Date]],"mmm")</f>
        <v>Jun</v>
      </c>
      <c r="D999" t="str">
        <f>TEXT(tblData[[#This Row],[Rental Date]],"mmmm")</f>
        <v>June</v>
      </c>
      <c r="E999" t="s">
        <v>68</v>
      </c>
      <c r="F999" t="str">
        <f>TEXT(WEEKNUM(tblData[[#This Row],[Rental Date]]),"00")</f>
        <v>26</v>
      </c>
      <c r="G999" s="1">
        <f>EOMONTH(tblData[[#This Row],[Rental Date]],0)</f>
        <v>46203</v>
      </c>
      <c r="H999" t="s">
        <v>749</v>
      </c>
      <c r="I999" t="s">
        <v>32</v>
      </c>
      <c r="J999" t="s">
        <v>24</v>
      </c>
      <c r="K999" t="s">
        <v>25</v>
      </c>
      <c r="L999">
        <v>1</v>
      </c>
      <c r="M999" s="2">
        <v>60</v>
      </c>
      <c r="N999" t="s">
        <v>61</v>
      </c>
      <c r="O999" s="3">
        <v>8</v>
      </c>
      <c r="P999" s="3">
        <v>0</v>
      </c>
      <c r="Q999" s="2">
        <v>68</v>
      </c>
      <c r="R999" t="s">
        <v>45</v>
      </c>
      <c r="S999" t="s">
        <v>54</v>
      </c>
      <c r="T999" t="s">
        <v>90</v>
      </c>
      <c r="U999" t="s">
        <v>30</v>
      </c>
    </row>
    <row r="1000" spans="1:21" x14ac:dyDescent="0.35">
      <c r="A1000" t="s">
        <v>1079</v>
      </c>
      <c r="B1000" s="1">
        <v>46194</v>
      </c>
      <c r="C1000" t="str">
        <f>TEXT(tblData[[#This Row],[Rental Date]],"mmm")</f>
        <v>Jun</v>
      </c>
      <c r="D1000" t="str">
        <f>TEXT(tblData[[#This Row],[Rental Date]],"mmmm")</f>
        <v>June</v>
      </c>
      <c r="E1000" t="s">
        <v>68</v>
      </c>
      <c r="F1000" t="str">
        <f>TEXT(WEEKNUM(tblData[[#This Row],[Rental Date]]),"00")</f>
        <v>26</v>
      </c>
      <c r="G1000" s="1">
        <f>EOMONTH(tblData[[#This Row],[Rental Date]],0)</f>
        <v>46203</v>
      </c>
      <c r="H1000" t="s">
        <v>749</v>
      </c>
      <c r="I1000" t="s">
        <v>53</v>
      </c>
      <c r="J1000" t="s">
        <v>44</v>
      </c>
      <c r="K1000" t="s">
        <v>25</v>
      </c>
      <c r="L1000">
        <v>1</v>
      </c>
      <c r="M1000" s="2">
        <v>62.4</v>
      </c>
      <c r="N1000" t="s">
        <v>41</v>
      </c>
      <c r="O1000" s="3">
        <v>5</v>
      </c>
      <c r="P1000" s="3">
        <v>6.74</v>
      </c>
      <c r="Q1000" s="2">
        <v>60.66</v>
      </c>
      <c r="R1000" t="s">
        <v>42</v>
      </c>
      <c r="S1000" t="s">
        <v>50</v>
      </c>
      <c r="T1000" t="s">
        <v>29</v>
      </c>
      <c r="U1000" t="s">
        <v>30</v>
      </c>
    </row>
    <row r="1001" spans="1:21" x14ac:dyDescent="0.35">
      <c r="A1001" t="s">
        <v>1080</v>
      </c>
      <c r="B1001" s="1">
        <v>46194</v>
      </c>
      <c r="C1001" t="str">
        <f>TEXT(tblData[[#This Row],[Rental Date]],"mmm")</f>
        <v>Jun</v>
      </c>
      <c r="D1001" t="str">
        <f>TEXT(tblData[[#This Row],[Rental Date]],"mmmm")</f>
        <v>June</v>
      </c>
      <c r="E1001" t="s">
        <v>68</v>
      </c>
      <c r="F1001" t="str">
        <f>TEXT(WEEKNUM(tblData[[#This Row],[Rental Date]]),"00")</f>
        <v>26</v>
      </c>
      <c r="G1001" s="1">
        <f>EOMONTH(tblData[[#This Row],[Rental Date]],0)</f>
        <v>46203</v>
      </c>
      <c r="H1001" t="s">
        <v>749</v>
      </c>
      <c r="I1001" t="s">
        <v>48</v>
      </c>
      <c r="J1001" t="s">
        <v>33</v>
      </c>
      <c r="K1001" t="s">
        <v>92</v>
      </c>
      <c r="L1001">
        <v>1</v>
      </c>
      <c r="M1001" s="2">
        <v>100.8</v>
      </c>
      <c r="N1001" t="s">
        <v>26</v>
      </c>
      <c r="O1001" s="3">
        <v>0</v>
      </c>
      <c r="P1001" s="3">
        <v>0</v>
      </c>
      <c r="Q1001" s="2">
        <v>100.8</v>
      </c>
      <c r="R1001" t="s">
        <v>94</v>
      </c>
      <c r="S1001" t="s">
        <v>50</v>
      </c>
      <c r="T1001" t="s">
        <v>29</v>
      </c>
      <c r="U1001" t="s">
        <v>30</v>
      </c>
    </row>
    <row r="1002" spans="1:21" x14ac:dyDescent="0.35">
      <c r="A1002" t="s">
        <v>1081</v>
      </c>
      <c r="B1002" s="1">
        <v>46194</v>
      </c>
      <c r="C1002" t="str">
        <f>TEXT(tblData[[#This Row],[Rental Date]],"mmm")</f>
        <v>Jun</v>
      </c>
      <c r="D1002" t="str">
        <f>TEXT(tblData[[#This Row],[Rental Date]],"mmmm")</f>
        <v>June</v>
      </c>
      <c r="E1002" t="s">
        <v>68</v>
      </c>
      <c r="F1002" t="str">
        <f>TEXT(WEEKNUM(tblData[[#This Row],[Rental Date]]),"00")</f>
        <v>26</v>
      </c>
      <c r="G1002" s="1">
        <f>EOMONTH(tblData[[#This Row],[Rental Date]],0)</f>
        <v>46203</v>
      </c>
      <c r="H1002" t="s">
        <v>749</v>
      </c>
      <c r="I1002" t="s">
        <v>39</v>
      </c>
      <c r="J1002" t="s">
        <v>33</v>
      </c>
      <c r="K1002" t="s">
        <v>25</v>
      </c>
      <c r="L1002">
        <v>1</v>
      </c>
      <c r="M1002" s="2">
        <v>45.6</v>
      </c>
      <c r="N1002" t="s">
        <v>70</v>
      </c>
      <c r="O1002" s="3">
        <v>7</v>
      </c>
      <c r="P1002" s="3">
        <v>0</v>
      </c>
      <c r="Q1002" s="2">
        <v>52.6</v>
      </c>
      <c r="R1002" t="s">
        <v>42</v>
      </c>
      <c r="S1002" t="s">
        <v>50</v>
      </c>
      <c r="T1002" t="s">
        <v>83</v>
      </c>
      <c r="U1002" t="s">
        <v>30</v>
      </c>
    </row>
    <row r="1003" spans="1:21" x14ac:dyDescent="0.35">
      <c r="A1003" t="s">
        <v>1082</v>
      </c>
      <c r="B1003" s="1">
        <v>46194</v>
      </c>
      <c r="C1003" t="str">
        <f>TEXT(tblData[[#This Row],[Rental Date]],"mmm")</f>
        <v>Jun</v>
      </c>
      <c r="D1003" t="str">
        <f>TEXT(tblData[[#This Row],[Rental Date]],"mmmm")</f>
        <v>June</v>
      </c>
      <c r="E1003" t="s">
        <v>68</v>
      </c>
      <c r="F1003" t="str">
        <f>TEXT(WEEKNUM(tblData[[#This Row],[Rental Date]]),"00")</f>
        <v>26</v>
      </c>
      <c r="G1003" s="1">
        <f>EOMONTH(tblData[[#This Row],[Rental Date]],0)</f>
        <v>46203</v>
      </c>
      <c r="H1003" t="s">
        <v>749</v>
      </c>
      <c r="I1003" t="s">
        <v>39</v>
      </c>
      <c r="J1003" t="s">
        <v>24</v>
      </c>
      <c r="K1003" t="s">
        <v>60</v>
      </c>
      <c r="L1003">
        <v>1</v>
      </c>
      <c r="M1003" s="2">
        <v>38.4</v>
      </c>
      <c r="N1003" t="s">
        <v>26</v>
      </c>
      <c r="O1003" s="3">
        <v>0</v>
      </c>
      <c r="P1003" s="3">
        <v>0</v>
      </c>
      <c r="Q1003" s="2">
        <v>38.4</v>
      </c>
      <c r="R1003" t="s">
        <v>27</v>
      </c>
      <c r="S1003" t="s">
        <v>54</v>
      </c>
      <c r="T1003" t="s">
        <v>51</v>
      </c>
      <c r="U1003" t="s">
        <v>58</v>
      </c>
    </row>
    <row r="1004" spans="1:21" x14ac:dyDescent="0.35">
      <c r="A1004" t="s">
        <v>1083</v>
      </c>
      <c r="B1004" s="1">
        <v>46194</v>
      </c>
      <c r="C1004" t="str">
        <f>TEXT(tblData[[#This Row],[Rental Date]],"mmm")</f>
        <v>Jun</v>
      </c>
      <c r="D1004" t="str">
        <f>TEXT(tblData[[#This Row],[Rental Date]],"mmmm")</f>
        <v>June</v>
      </c>
      <c r="E1004" t="s">
        <v>68</v>
      </c>
      <c r="F1004" t="str">
        <f>TEXT(WEEKNUM(tblData[[#This Row],[Rental Date]]),"00")</f>
        <v>26</v>
      </c>
      <c r="G1004" s="1">
        <f>EOMONTH(tblData[[#This Row],[Rental Date]],0)</f>
        <v>46203</v>
      </c>
      <c r="H1004" t="s">
        <v>749</v>
      </c>
      <c r="I1004" t="s">
        <v>39</v>
      </c>
      <c r="J1004" t="s">
        <v>127</v>
      </c>
      <c r="K1004" t="s">
        <v>60</v>
      </c>
      <c r="L1004">
        <v>1</v>
      </c>
      <c r="M1004" s="2">
        <v>12</v>
      </c>
      <c r="N1004" t="s">
        <v>87</v>
      </c>
      <c r="O1004" s="3">
        <v>10</v>
      </c>
      <c r="P1004" s="3">
        <v>0</v>
      </c>
      <c r="Q1004" s="2">
        <v>22</v>
      </c>
      <c r="R1004" t="s">
        <v>94</v>
      </c>
      <c r="S1004" t="s">
        <v>35</v>
      </c>
      <c r="T1004" t="s">
        <v>51</v>
      </c>
      <c r="U1004" t="s">
        <v>30</v>
      </c>
    </row>
    <row r="1005" spans="1:21" x14ac:dyDescent="0.35">
      <c r="A1005" t="s">
        <v>1084</v>
      </c>
      <c r="B1005" s="1">
        <v>46194</v>
      </c>
      <c r="C1005" t="str">
        <f>TEXT(tblData[[#This Row],[Rental Date]],"mmm")</f>
        <v>Jun</v>
      </c>
      <c r="D1005" t="str">
        <f>TEXT(tblData[[#This Row],[Rental Date]],"mmmm")</f>
        <v>June</v>
      </c>
      <c r="E1005" t="s">
        <v>68</v>
      </c>
      <c r="F1005" t="str">
        <f>TEXT(WEEKNUM(tblData[[#This Row],[Rental Date]]),"00")</f>
        <v>26</v>
      </c>
      <c r="G1005" s="1">
        <f>EOMONTH(tblData[[#This Row],[Rental Date]],0)</f>
        <v>46203</v>
      </c>
      <c r="H1005" t="s">
        <v>749</v>
      </c>
      <c r="I1005" t="s">
        <v>32</v>
      </c>
      <c r="J1005" t="s">
        <v>78</v>
      </c>
      <c r="K1005" t="s">
        <v>25</v>
      </c>
      <c r="L1005">
        <v>1</v>
      </c>
      <c r="M1005" s="2">
        <v>50.4</v>
      </c>
      <c r="N1005" t="s">
        <v>89</v>
      </c>
      <c r="O1005" s="3">
        <v>6</v>
      </c>
      <c r="P1005" s="3">
        <v>2.82</v>
      </c>
      <c r="Q1005" s="2">
        <v>53.58</v>
      </c>
      <c r="R1005" t="s">
        <v>66</v>
      </c>
      <c r="S1005" t="s">
        <v>54</v>
      </c>
      <c r="T1005" t="s">
        <v>51</v>
      </c>
      <c r="U1005" t="s">
        <v>30</v>
      </c>
    </row>
    <row r="1006" spans="1:21" x14ac:dyDescent="0.35">
      <c r="A1006" t="s">
        <v>1085</v>
      </c>
      <c r="B1006" s="1">
        <v>46194</v>
      </c>
      <c r="C1006" t="str">
        <f>TEXT(tblData[[#This Row],[Rental Date]],"mmm")</f>
        <v>Jun</v>
      </c>
      <c r="D1006" t="str">
        <f>TEXT(tblData[[#This Row],[Rental Date]],"mmmm")</f>
        <v>June</v>
      </c>
      <c r="E1006" t="s">
        <v>68</v>
      </c>
      <c r="F1006" t="str">
        <f>TEXT(WEEKNUM(tblData[[#This Row],[Rental Date]]),"00")</f>
        <v>26</v>
      </c>
      <c r="G1006" s="1">
        <f>EOMONTH(tblData[[#This Row],[Rental Date]],0)</f>
        <v>46203</v>
      </c>
      <c r="H1006" t="s">
        <v>749</v>
      </c>
      <c r="I1006" t="s">
        <v>23</v>
      </c>
      <c r="J1006" t="s">
        <v>33</v>
      </c>
      <c r="K1006" t="s">
        <v>60</v>
      </c>
      <c r="L1006">
        <v>1</v>
      </c>
      <c r="M1006" s="2">
        <v>28.8</v>
      </c>
      <c r="N1006" t="s">
        <v>75</v>
      </c>
      <c r="O1006" s="3">
        <v>12</v>
      </c>
      <c r="P1006" s="3">
        <v>0</v>
      </c>
      <c r="Q1006" s="2">
        <v>40.799999999999997</v>
      </c>
      <c r="R1006" t="s">
        <v>27</v>
      </c>
      <c r="S1006" t="s">
        <v>28</v>
      </c>
      <c r="T1006" t="s">
        <v>29</v>
      </c>
      <c r="U1006" t="s">
        <v>58</v>
      </c>
    </row>
    <row r="1007" spans="1:21" x14ac:dyDescent="0.35">
      <c r="A1007" t="s">
        <v>1086</v>
      </c>
      <c r="B1007" s="1">
        <v>46194</v>
      </c>
      <c r="C1007" t="str">
        <f>TEXT(tblData[[#This Row],[Rental Date]],"mmm")</f>
        <v>Jun</v>
      </c>
      <c r="D1007" t="str">
        <f>TEXT(tblData[[#This Row],[Rental Date]],"mmmm")</f>
        <v>June</v>
      </c>
      <c r="E1007" t="s">
        <v>68</v>
      </c>
      <c r="F1007" t="str">
        <f>TEXT(WEEKNUM(tblData[[#This Row],[Rental Date]]),"00")</f>
        <v>26</v>
      </c>
      <c r="G1007" s="1">
        <f>EOMONTH(tblData[[#This Row],[Rental Date]],0)</f>
        <v>46203</v>
      </c>
      <c r="H1007" t="s">
        <v>749</v>
      </c>
      <c r="I1007" t="s">
        <v>48</v>
      </c>
      <c r="J1007" t="s">
        <v>65</v>
      </c>
      <c r="K1007" t="s">
        <v>25</v>
      </c>
      <c r="L1007">
        <v>1</v>
      </c>
      <c r="M1007" s="2">
        <v>21.6</v>
      </c>
      <c r="N1007" t="s">
        <v>87</v>
      </c>
      <c r="O1007" s="3">
        <v>10</v>
      </c>
      <c r="P1007" s="3">
        <v>0</v>
      </c>
      <c r="Q1007" s="2">
        <v>31.6</v>
      </c>
      <c r="R1007" t="s">
        <v>45</v>
      </c>
      <c r="S1007" t="s">
        <v>28</v>
      </c>
      <c r="T1007" t="s">
        <v>29</v>
      </c>
      <c r="U1007" t="s">
        <v>30</v>
      </c>
    </row>
    <row r="1008" spans="1:21" x14ac:dyDescent="0.35">
      <c r="A1008" t="s">
        <v>1087</v>
      </c>
      <c r="B1008" s="1">
        <v>46194</v>
      </c>
      <c r="C1008" t="str">
        <f>TEXT(tblData[[#This Row],[Rental Date]],"mmm")</f>
        <v>Jun</v>
      </c>
      <c r="D1008" t="str">
        <f>TEXT(tblData[[#This Row],[Rental Date]],"mmmm")</f>
        <v>June</v>
      </c>
      <c r="E1008" t="s">
        <v>68</v>
      </c>
      <c r="F1008" t="str">
        <f>TEXT(WEEKNUM(tblData[[#This Row],[Rental Date]]),"00")</f>
        <v>26</v>
      </c>
      <c r="G1008" s="1">
        <f>EOMONTH(tblData[[#This Row],[Rental Date]],0)</f>
        <v>46203</v>
      </c>
      <c r="H1008" t="s">
        <v>749</v>
      </c>
      <c r="I1008" t="s">
        <v>53</v>
      </c>
      <c r="J1008" t="s">
        <v>78</v>
      </c>
      <c r="K1008" t="s">
        <v>60</v>
      </c>
      <c r="L1008">
        <v>1</v>
      </c>
      <c r="M1008" s="2">
        <v>31.2</v>
      </c>
      <c r="N1008" t="s">
        <v>87</v>
      </c>
      <c r="O1008" s="3">
        <v>10</v>
      </c>
      <c r="P1008" s="3">
        <v>4.12</v>
      </c>
      <c r="Q1008" s="2">
        <v>37.08</v>
      </c>
      <c r="R1008" t="s">
        <v>34</v>
      </c>
      <c r="S1008" t="s">
        <v>28</v>
      </c>
      <c r="T1008" t="s">
        <v>29</v>
      </c>
      <c r="U1008" t="s">
        <v>30</v>
      </c>
    </row>
    <row r="1009" spans="1:21" x14ac:dyDescent="0.35">
      <c r="A1009" t="s">
        <v>1088</v>
      </c>
      <c r="B1009" s="1">
        <v>46194</v>
      </c>
      <c r="C1009" t="str">
        <f>TEXT(tblData[[#This Row],[Rental Date]],"mmm")</f>
        <v>Jun</v>
      </c>
      <c r="D1009" t="str">
        <f>TEXT(tblData[[#This Row],[Rental Date]],"mmmm")</f>
        <v>June</v>
      </c>
      <c r="E1009" t="s">
        <v>68</v>
      </c>
      <c r="F1009" t="str">
        <f>TEXT(WEEKNUM(tblData[[#This Row],[Rental Date]]),"00")</f>
        <v>26</v>
      </c>
      <c r="G1009" s="1">
        <f>EOMONTH(tblData[[#This Row],[Rental Date]],0)</f>
        <v>46203</v>
      </c>
      <c r="H1009" t="s">
        <v>749</v>
      </c>
      <c r="I1009" t="s">
        <v>32</v>
      </c>
      <c r="J1009" t="s">
        <v>78</v>
      </c>
      <c r="K1009" t="s">
        <v>25</v>
      </c>
      <c r="L1009">
        <v>1</v>
      </c>
      <c r="M1009" s="2">
        <v>50.4</v>
      </c>
      <c r="N1009" t="s">
        <v>70</v>
      </c>
      <c r="O1009" s="3">
        <v>7</v>
      </c>
      <c r="P1009" s="3">
        <v>5.74</v>
      </c>
      <c r="Q1009" s="2">
        <v>51.66</v>
      </c>
      <c r="R1009" t="s">
        <v>57</v>
      </c>
      <c r="S1009" t="s">
        <v>50</v>
      </c>
      <c r="T1009" t="s">
        <v>29</v>
      </c>
      <c r="U1009" t="s">
        <v>58</v>
      </c>
    </row>
    <row r="1010" spans="1:21" x14ac:dyDescent="0.35">
      <c r="A1010" t="s">
        <v>1089</v>
      </c>
      <c r="B1010" s="1">
        <v>46195</v>
      </c>
      <c r="C1010" t="str">
        <f>TEXT(tblData[[#This Row],[Rental Date]],"mmm")</f>
        <v>Jun</v>
      </c>
      <c r="D1010" t="str">
        <f>TEXT(tblData[[#This Row],[Rental Date]],"mmmm")</f>
        <v>June</v>
      </c>
      <c r="E1010" t="s">
        <v>74</v>
      </c>
      <c r="F1010" t="str">
        <f>TEXT(WEEKNUM(tblData[[#This Row],[Rental Date]]),"00")</f>
        <v>26</v>
      </c>
      <c r="G1010" s="1">
        <f>EOMONTH(tblData[[#This Row],[Rental Date]],0)</f>
        <v>46203</v>
      </c>
      <c r="H1010" t="s">
        <v>749</v>
      </c>
      <c r="I1010" t="s">
        <v>23</v>
      </c>
      <c r="J1010" t="s">
        <v>44</v>
      </c>
      <c r="K1010" t="s">
        <v>60</v>
      </c>
      <c r="L1010">
        <v>1</v>
      </c>
      <c r="M1010" s="2">
        <v>38.08</v>
      </c>
      <c r="N1010" t="s">
        <v>26</v>
      </c>
      <c r="O1010" s="3">
        <v>0</v>
      </c>
      <c r="P1010" s="3">
        <v>0</v>
      </c>
      <c r="Q1010" s="2">
        <v>38.08</v>
      </c>
      <c r="R1010" t="s">
        <v>57</v>
      </c>
      <c r="S1010" t="s">
        <v>50</v>
      </c>
      <c r="T1010" t="s">
        <v>51</v>
      </c>
      <c r="U1010" t="s">
        <v>58</v>
      </c>
    </row>
    <row r="1011" spans="1:21" x14ac:dyDescent="0.35">
      <c r="A1011" t="s">
        <v>1090</v>
      </c>
      <c r="B1011" s="1">
        <v>46195</v>
      </c>
      <c r="C1011" t="str">
        <f>TEXT(tblData[[#This Row],[Rental Date]],"mmm")</f>
        <v>Jun</v>
      </c>
      <c r="D1011" t="str">
        <f>TEXT(tblData[[#This Row],[Rental Date]],"mmmm")</f>
        <v>June</v>
      </c>
      <c r="E1011" t="s">
        <v>74</v>
      </c>
      <c r="F1011" t="str">
        <f>TEXT(WEEKNUM(tblData[[#This Row],[Rental Date]]),"00")</f>
        <v>26</v>
      </c>
      <c r="G1011" s="1">
        <f>EOMONTH(tblData[[#This Row],[Rental Date]],0)</f>
        <v>46203</v>
      </c>
      <c r="H1011" t="s">
        <v>749</v>
      </c>
      <c r="I1011" t="s">
        <v>32</v>
      </c>
      <c r="J1011" t="s">
        <v>78</v>
      </c>
      <c r="K1011" t="s">
        <v>60</v>
      </c>
      <c r="L1011">
        <v>1</v>
      </c>
      <c r="M1011" s="2">
        <v>29.12</v>
      </c>
      <c r="N1011" t="s">
        <v>89</v>
      </c>
      <c r="O1011" s="3">
        <v>6</v>
      </c>
      <c r="P1011" s="3">
        <v>1.76</v>
      </c>
      <c r="Q1011" s="2">
        <v>33.36</v>
      </c>
      <c r="R1011" t="s">
        <v>57</v>
      </c>
      <c r="S1011" t="s">
        <v>46</v>
      </c>
      <c r="T1011" t="s">
        <v>51</v>
      </c>
      <c r="U1011" t="s">
        <v>58</v>
      </c>
    </row>
    <row r="1012" spans="1:21" x14ac:dyDescent="0.35">
      <c r="A1012" t="s">
        <v>1091</v>
      </c>
      <c r="B1012" s="1">
        <v>46195</v>
      </c>
      <c r="C1012" t="str">
        <f>TEXT(tblData[[#This Row],[Rental Date]],"mmm")</f>
        <v>Jun</v>
      </c>
      <c r="D1012" t="str">
        <f>TEXT(tblData[[#This Row],[Rental Date]],"mmmm")</f>
        <v>June</v>
      </c>
      <c r="E1012" t="s">
        <v>74</v>
      </c>
      <c r="F1012" t="str">
        <f>TEXT(WEEKNUM(tblData[[#This Row],[Rental Date]]),"00")</f>
        <v>26</v>
      </c>
      <c r="G1012" s="1">
        <f>EOMONTH(tblData[[#This Row],[Rental Date]],0)</f>
        <v>46203</v>
      </c>
      <c r="H1012" t="s">
        <v>749</v>
      </c>
      <c r="I1012" t="s">
        <v>23</v>
      </c>
      <c r="J1012" t="s">
        <v>44</v>
      </c>
      <c r="K1012" t="s">
        <v>92</v>
      </c>
      <c r="L1012">
        <v>1</v>
      </c>
      <c r="M1012" s="2">
        <v>125.44</v>
      </c>
      <c r="N1012" t="s">
        <v>89</v>
      </c>
      <c r="O1012" s="3">
        <v>6</v>
      </c>
      <c r="P1012" s="3">
        <v>0</v>
      </c>
      <c r="Q1012" s="2">
        <v>131.44</v>
      </c>
      <c r="R1012" t="s">
        <v>94</v>
      </c>
      <c r="S1012" t="s">
        <v>46</v>
      </c>
      <c r="T1012" t="s">
        <v>29</v>
      </c>
      <c r="U1012" t="s">
        <v>79</v>
      </c>
    </row>
    <row r="1013" spans="1:21" x14ac:dyDescent="0.35">
      <c r="A1013" t="s">
        <v>1092</v>
      </c>
      <c r="B1013" s="1">
        <v>46195</v>
      </c>
      <c r="C1013" t="str">
        <f>TEXT(tblData[[#This Row],[Rental Date]],"mmm")</f>
        <v>Jun</v>
      </c>
      <c r="D1013" t="str">
        <f>TEXT(tblData[[#This Row],[Rental Date]],"mmmm")</f>
        <v>June</v>
      </c>
      <c r="E1013" t="s">
        <v>74</v>
      </c>
      <c r="F1013" t="str">
        <f>TEXT(WEEKNUM(tblData[[#This Row],[Rental Date]]),"00")</f>
        <v>26</v>
      </c>
      <c r="G1013" s="1">
        <f>EOMONTH(tblData[[#This Row],[Rental Date]],0)</f>
        <v>46203</v>
      </c>
      <c r="H1013" t="s">
        <v>749</v>
      </c>
      <c r="I1013" t="s">
        <v>32</v>
      </c>
      <c r="J1013" t="s">
        <v>127</v>
      </c>
      <c r="K1013" t="s">
        <v>60</v>
      </c>
      <c r="L1013">
        <v>1</v>
      </c>
      <c r="M1013" s="2">
        <v>11.2</v>
      </c>
      <c r="N1013" t="s">
        <v>70</v>
      </c>
      <c r="O1013" s="3">
        <v>7</v>
      </c>
      <c r="P1013" s="3">
        <v>0.91</v>
      </c>
      <c r="Q1013" s="2">
        <v>17.29</v>
      </c>
      <c r="R1013" t="s">
        <v>42</v>
      </c>
      <c r="S1013" t="s">
        <v>46</v>
      </c>
      <c r="T1013" t="s">
        <v>63</v>
      </c>
      <c r="U1013" t="s">
        <v>30</v>
      </c>
    </row>
    <row r="1014" spans="1:21" x14ac:dyDescent="0.35">
      <c r="A1014" t="s">
        <v>1093</v>
      </c>
      <c r="B1014" s="1">
        <v>46195</v>
      </c>
      <c r="C1014" t="str">
        <f>TEXT(tblData[[#This Row],[Rental Date]],"mmm")</f>
        <v>Jun</v>
      </c>
      <c r="D1014" t="str">
        <f>TEXT(tblData[[#This Row],[Rental Date]],"mmmm")</f>
        <v>June</v>
      </c>
      <c r="E1014" t="s">
        <v>74</v>
      </c>
      <c r="F1014" t="str">
        <f>TEXT(WEEKNUM(tblData[[#This Row],[Rental Date]]),"00")</f>
        <v>26</v>
      </c>
      <c r="G1014" s="1">
        <f>EOMONTH(tblData[[#This Row],[Rental Date]],0)</f>
        <v>46203</v>
      </c>
      <c r="H1014" t="s">
        <v>749</v>
      </c>
      <c r="I1014" t="s">
        <v>39</v>
      </c>
      <c r="J1014" t="s">
        <v>33</v>
      </c>
      <c r="K1014" t="s">
        <v>40</v>
      </c>
      <c r="L1014">
        <v>1</v>
      </c>
      <c r="M1014" s="2">
        <v>64.959999999999994</v>
      </c>
      <c r="N1014" t="s">
        <v>26</v>
      </c>
      <c r="O1014" s="3">
        <v>0</v>
      </c>
      <c r="P1014" s="3">
        <v>0</v>
      </c>
      <c r="Q1014" s="2">
        <v>64.959999999999994</v>
      </c>
      <c r="R1014" t="s">
        <v>34</v>
      </c>
      <c r="S1014" t="s">
        <v>35</v>
      </c>
      <c r="T1014" t="s">
        <v>29</v>
      </c>
      <c r="U1014" t="s">
        <v>30</v>
      </c>
    </row>
    <row r="1015" spans="1:21" x14ac:dyDescent="0.35">
      <c r="A1015" t="s">
        <v>1094</v>
      </c>
      <c r="B1015" s="1">
        <v>46195</v>
      </c>
      <c r="C1015" t="str">
        <f>TEXT(tblData[[#This Row],[Rental Date]],"mmm")</f>
        <v>Jun</v>
      </c>
      <c r="D1015" t="str">
        <f>TEXT(tblData[[#This Row],[Rental Date]],"mmmm")</f>
        <v>June</v>
      </c>
      <c r="E1015" t="s">
        <v>74</v>
      </c>
      <c r="F1015" t="str">
        <f>TEXT(WEEKNUM(tblData[[#This Row],[Rental Date]]),"00")</f>
        <v>26</v>
      </c>
      <c r="G1015" s="1">
        <f>EOMONTH(tblData[[#This Row],[Rental Date]],0)</f>
        <v>46203</v>
      </c>
      <c r="H1015" t="s">
        <v>749</v>
      </c>
      <c r="I1015" t="s">
        <v>23</v>
      </c>
      <c r="J1015" t="s">
        <v>33</v>
      </c>
      <c r="K1015" t="s">
        <v>40</v>
      </c>
      <c r="L1015">
        <v>1</v>
      </c>
      <c r="M1015" s="2">
        <v>64.959999999999994</v>
      </c>
      <c r="N1015" t="s">
        <v>61</v>
      </c>
      <c r="O1015" s="3">
        <v>8</v>
      </c>
      <c r="P1015" s="3">
        <v>0</v>
      </c>
      <c r="Q1015" s="2">
        <v>72.959999999999994</v>
      </c>
      <c r="R1015" t="s">
        <v>45</v>
      </c>
      <c r="S1015" t="s">
        <v>46</v>
      </c>
      <c r="T1015" t="s">
        <v>51</v>
      </c>
      <c r="U1015" t="s">
        <v>30</v>
      </c>
    </row>
    <row r="1016" spans="1:21" x14ac:dyDescent="0.35">
      <c r="A1016" t="s">
        <v>1095</v>
      </c>
      <c r="B1016" s="1">
        <v>46195</v>
      </c>
      <c r="C1016" t="str">
        <f>TEXT(tblData[[#This Row],[Rental Date]],"mmm")</f>
        <v>Jun</v>
      </c>
      <c r="D1016" t="str">
        <f>TEXT(tblData[[#This Row],[Rental Date]],"mmmm")</f>
        <v>June</v>
      </c>
      <c r="E1016" t="s">
        <v>74</v>
      </c>
      <c r="F1016" t="str">
        <f>TEXT(WEEKNUM(tblData[[#This Row],[Rental Date]]),"00")</f>
        <v>26</v>
      </c>
      <c r="G1016" s="1">
        <f>EOMONTH(tblData[[#This Row],[Rental Date]],0)</f>
        <v>46203</v>
      </c>
      <c r="H1016" t="s">
        <v>749</v>
      </c>
      <c r="I1016" t="s">
        <v>48</v>
      </c>
      <c r="J1016" t="s">
        <v>33</v>
      </c>
      <c r="K1016" t="s">
        <v>40</v>
      </c>
      <c r="L1016">
        <v>1</v>
      </c>
      <c r="M1016" s="2">
        <v>64.959999999999994</v>
      </c>
      <c r="N1016" t="s">
        <v>70</v>
      </c>
      <c r="O1016" s="3">
        <v>7</v>
      </c>
      <c r="P1016" s="3">
        <v>0</v>
      </c>
      <c r="Q1016" s="2">
        <v>71.959999999999994</v>
      </c>
      <c r="R1016" t="s">
        <v>27</v>
      </c>
      <c r="S1016" t="s">
        <v>35</v>
      </c>
      <c r="T1016" t="s">
        <v>63</v>
      </c>
      <c r="U1016" t="s">
        <v>30</v>
      </c>
    </row>
    <row r="1017" spans="1:21" x14ac:dyDescent="0.35">
      <c r="A1017" t="s">
        <v>1096</v>
      </c>
      <c r="B1017" s="1">
        <v>46195</v>
      </c>
      <c r="C1017" t="str">
        <f>TEXT(tblData[[#This Row],[Rental Date]],"mmm")</f>
        <v>Jun</v>
      </c>
      <c r="D1017" t="str">
        <f>TEXT(tblData[[#This Row],[Rental Date]],"mmmm")</f>
        <v>June</v>
      </c>
      <c r="E1017" t="s">
        <v>74</v>
      </c>
      <c r="F1017" t="str">
        <f>TEXT(WEEKNUM(tblData[[#This Row],[Rental Date]]),"00")</f>
        <v>26</v>
      </c>
      <c r="G1017" s="1">
        <f>EOMONTH(tblData[[#This Row],[Rental Date]],0)</f>
        <v>46203</v>
      </c>
      <c r="H1017" t="s">
        <v>749</v>
      </c>
      <c r="I1017" t="s">
        <v>48</v>
      </c>
      <c r="J1017" t="s">
        <v>111</v>
      </c>
      <c r="K1017" t="s">
        <v>60</v>
      </c>
      <c r="L1017">
        <v>1</v>
      </c>
      <c r="M1017" s="2">
        <v>15.68</v>
      </c>
      <c r="N1017" t="s">
        <v>26</v>
      </c>
      <c r="O1017" s="3">
        <v>0</v>
      </c>
      <c r="P1017" s="3">
        <v>0</v>
      </c>
      <c r="Q1017" s="2">
        <v>15.68</v>
      </c>
      <c r="R1017" t="s">
        <v>76</v>
      </c>
      <c r="S1017" t="s">
        <v>50</v>
      </c>
      <c r="T1017" t="s">
        <v>29</v>
      </c>
      <c r="U1017" t="s">
        <v>30</v>
      </c>
    </row>
    <row r="1018" spans="1:21" x14ac:dyDescent="0.35">
      <c r="A1018" t="s">
        <v>1097</v>
      </c>
      <c r="B1018" s="1">
        <v>46195</v>
      </c>
      <c r="C1018" t="str">
        <f>TEXT(tblData[[#This Row],[Rental Date]],"mmm")</f>
        <v>Jun</v>
      </c>
      <c r="D1018" t="str">
        <f>TEXT(tblData[[#This Row],[Rental Date]],"mmmm")</f>
        <v>June</v>
      </c>
      <c r="E1018" t="s">
        <v>74</v>
      </c>
      <c r="F1018" t="str">
        <f>TEXT(WEEKNUM(tblData[[#This Row],[Rental Date]]),"00")</f>
        <v>26</v>
      </c>
      <c r="G1018" s="1">
        <f>EOMONTH(tblData[[#This Row],[Rental Date]],0)</f>
        <v>46203</v>
      </c>
      <c r="H1018" t="s">
        <v>749</v>
      </c>
      <c r="I1018" t="s">
        <v>39</v>
      </c>
      <c r="J1018" t="s">
        <v>49</v>
      </c>
      <c r="K1018" t="s">
        <v>25</v>
      </c>
      <c r="L1018">
        <v>1</v>
      </c>
      <c r="M1018" s="2">
        <v>40.32</v>
      </c>
      <c r="N1018" t="s">
        <v>26</v>
      </c>
      <c r="O1018" s="3">
        <v>0</v>
      </c>
      <c r="P1018" s="3">
        <v>0</v>
      </c>
      <c r="Q1018" s="2">
        <v>40.32</v>
      </c>
      <c r="R1018" t="s">
        <v>71</v>
      </c>
      <c r="S1018" t="s">
        <v>54</v>
      </c>
      <c r="T1018" t="s">
        <v>29</v>
      </c>
      <c r="U1018" t="s">
        <v>58</v>
      </c>
    </row>
    <row r="1019" spans="1:21" x14ac:dyDescent="0.35">
      <c r="A1019" t="s">
        <v>1098</v>
      </c>
      <c r="B1019" s="1">
        <v>46195</v>
      </c>
      <c r="C1019" t="str">
        <f>TEXT(tblData[[#This Row],[Rental Date]],"mmm")</f>
        <v>Jun</v>
      </c>
      <c r="D1019" t="str">
        <f>TEXT(tblData[[#This Row],[Rental Date]],"mmmm")</f>
        <v>June</v>
      </c>
      <c r="E1019" t="s">
        <v>74</v>
      </c>
      <c r="F1019" t="str">
        <f>TEXT(WEEKNUM(tblData[[#This Row],[Rental Date]]),"00")</f>
        <v>26</v>
      </c>
      <c r="G1019" s="1">
        <f>EOMONTH(tblData[[#This Row],[Rental Date]],0)</f>
        <v>46203</v>
      </c>
      <c r="H1019" t="s">
        <v>749</v>
      </c>
      <c r="I1019" t="s">
        <v>32</v>
      </c>
      <c r="J1019" t="s">
        <v>65</v>
      </c>
      <c r="K1019" t="s">
        <v>40</v>
      </c>
      <c r="L1019">
        <v>1</v>
      </c>
      <c r="M1019" s="2">
        <v>31.36</v>
      </c>
      <c r="N1019" t="s">
        <v>70</v>
      </c>
      <c r="O1019" s="3">
        <v>7</v>
      </c>
      <c r="P1019" s="3">
        <v>0</v>
      </c>
      <c r="Q1019" s="2">
        <v>38.36</v>
      </c>
      <c r="R1019" t="s">
        <v>94</v>
      </c>
      <c r="S1019" t="s">
        <v>28</v>
      </c>
      <c r="T1019" t="s">
        <v>29</v>
      </c>
      <c r="U1019" t="s">
        <v>30</v>
      </c>
    </row>
    <row r="1020" spans="1:21" x14ac:dyDescent="0.35">
      <c r="A1020" t="s">
        <v>1099</v>
      </c>
      <c r="B1020" s="1">
        <v>46195</v>
      </c>
      <c r="C1020" t="str">
        <f>TEXT(tblData[[#This Row],[Rental Date]],"mmm")</f>
        <v>Jun</v>
      </c>
      <c r="D1020" t="str">
        <f>TEXT(tblData[[#This Row],[Rental Date]],"mmmm")</f>
        <v>June</v>
      </c>
      <c r="E1020" t="s">
        <v>74</v>
      </c>
      <c r="F1020" t="str">
        <f>TEXT(WEEKNUM(tblData[[#This Row],[Rental Date]]),"00")</f>
        <v>26</v>
      </c>
      <c r="G1020" s="1">
        <f>EOMONTH(tblData[[#This Row],[Rental Date]],0)</f>
        <v>46203</v>
      </c>
      <c r="H1020" t="s">
        <v>749</v>
      </c>
      <c r="I1020" t="s">
        <v>23</v>
      </c>
      <c r="J1020" t="s">
        <v>49</v>
      </c>
      <c r="K1020" t="s">
        <v>40</v>
      </c>
      <c r="L1020">
        <v>1</v>
      </c>
      <c r="M1020" s="2">
        <v>60.48</v>
      </c>
      <c r="N1020" t="s">
        <v>61</v>
      </c>
      <c r="O1020" s="3">
        <v>8</v>
      </c>
      <c r="P1020" s="3">
        <v>0</v>
      </c>
      <c r="Q1020" s="2">
        <v>68.48</v>
      </c>
      <c r="R1020" t="s">
        <v>45</v>
      </c>
      <c r="S1020" t="s">
        <v>35</v>
      </c>
      <c r="T1020" t="s">
        <v>29</v>
      </c>
      <c r="U1020" t="s">
        <v>30</v>
      </c>
    </row>
    <row r="1021" spans="1:21" x14ac:dyDescent="0.35">
      <c r="A1021" t="s">
        <v>1100</v>
      </c>
      <c r="B1021" s="1">
        <v>46196</v>
      </c>
      <c r="C1021" t="str">
        <f>TEXT(tblData[[#This Row],[Rental Date]],"mmm")</f>
        <v>Jun</v>
      </c>
      <c r="D1021" t="str">
        <f>TEXT(tblData[[#This Row],[Rental Date]],"mmmm")</f>
        <v>June</v>
      </c>
      <c r="E1021" t="s">
        <v>102</v>
      </c>
      <c r="F1021" t="str">
        <f>TEXT(WEEKNUM(tblData[[#This Row],[Rental Date]]),"00")</f>
        <v>26</v>
      </c>
      <c r="G1021" s="1">
        <f>EOMONTH(tblData[[#This Row],[Rental Date]],0)</f>
        <v>46203</v>
      </c>
      <c r="H1021" t="s">
        <v>749</v>
      </c>
      <c r="I1021" t="s">
        <v>48</v>
      </c>
      <c r="J1021" t="s">
        <v>127</v>
      </c>
      <c r="K1021" t="s">
        <v>40</v>
      </c>
      <c r="L1021">
        <v>1</v>
      </c>
      <c r="M1021" s="2">
        <v>26.88</v>
      </c>
      <c r="N1021" t="s">
        <v>87</v>
      </c>
      <c r="O1021" s="3">
        <v>10</v>
      </c>
      <c r="P1021" s="3">
        <v>0</v>
      </c>
      <c r="Q1021" s="2">
        <v>36.880000000000003</v>
      </c>
      <c r="R1021" t="s">
        <v>76</v>
      </c>
      <c r="S1021" t="s">
        <v>54</v>
      </c>
      <c r="T1021" t="s">
        <v>29</v>
      </c>
      <c r="U1021" t="s">
        <v>30</v>
      </c>
    </row>
    <row r="1022" spans="1:21" x14ac:dyDescent="0.35">
      <c r="A1022" t="s">
        <v>1101</v>
      </c>
      <c r="B1022" s="1">
        <v>46196</v>
      </c>
      <c r="C1022" t="str">
        <f>TEXT(tblData[[#This Row],[Rental Date]],"mmm")</f>
        <v>Jun</v>
      </c>
      <c r="D1022" t="str">
        <f>TEXT(tblData[[#This Row],[Rental Date]],"mmmm")</f>
        <v>June</v>
      </c>
      <c r="E1022" t="s">
        <v>102</v>
      </c>
      <c r="F1022" t="str">
        <f>TEXT(WEEKNUM(tblData[[#This Row],[Rental Date]]),"00")</f>
        <v>26</v>
      </c>
      <c r="G1022" s="1">
        <f>EOMONTH(tblData[[#This Row],[Rental Date]],0)</f>
        <v>46203</v>
      </c>
      <c r="H1022" t="s">
        <v>749</v>
      </c>
      <c r="I1022" t="s">
        <v>23</v>
      </c>
      <c r="J1022" t="s">
        <v>86</v>
      </c>
      <c r="K1022" t="s">
        <v>60</v>
      </c>
      <c r="L1022">
        <v>1</v>
      </c>
      <c r="M1022" s="2">
        <v>40.32</v>
      </c>
      <c r="N1022" t="s">
        <v>26</v>
      </c>
      <c r="O1022" s="3">
        <v>0</v>
      </c>
      <c r="P1022" s="3">
        <v>0</v>
      </c>
      <c r="Q1022" s="2">
        <v>40.32</v>
      </c>
      <c r="R1022" t="s">
        <v>42</v>
      </c>
      <c r="S1022" t="s">
        <v>54</v>
      </c>
      <c r="T1022" t="s">
        <v>51</v>
      </c>
      <c r="U1022" t="s">
        <v>30</v>
      </c>
    </row>
    <row r="1023" spans="1:21" x14ac:dyDescent="0.35">
      <c r="A1023" t="s">
        <v>1102</v>
      </c>
      <c r="B1023" s="1">
        <v>46196</v>
      </c>
      <c r="C1023" t="str">
        <f>TEXT(tblData[[#This Row],[Rental Date]],"mmm")</f>
        <v>Jun</v>
      </c>
      <c r="D1023" t="str">
        <f>TEXT(tblData[[#This Row],[Rental Date]],"mmmm")</f>
        <v>June</v>
      </c>
      <c r="E1023" t="s">
        <v>102</v>
      </c>
      <c r="F1023" t="str">
        <f>TEXT(WEEKNUM(tblData[[#This Row],[Rental Date]]),"00")</f>
        <v>26</v>
      </c>
      <c r="G1023" s="1">
        <f>EOMONTH(tblData[[#This Row],[Rental Date]],0)</f>
        <v>46203</v>
      </c>
      <c r="H1023" t="s">
        <v>749</v>
      </c>
      <c r="I1023" t="s">
        <v>23</v>
      </c>
      <c r="J1023" t="s">
        <v>78</v>
      </c>
      <c r="K1023" t="s">
        <v>60</v>
      </c>
      <c r="L1023">
        <v>1</v>
      </c>
      <c r="M1023" s="2">
        <v>29.12</v>
      </c>
      <c r="N1023" t="s">
        <v>89</v>
      </c>
      <c r="O1023" s="3">
        <v>6</v>
      </c>
      <c r="P1023" s="3">
        <v>0</v>
      </c>
      <c r="Q1023" s="2">
        <v>35.119999999999997</v>
      </c>
      <c r="R1023" t="s">
        <v>45</v>
      </c>
      <c r="S1023" t="s">
        <v>54</v>
      </c>
      <c r="T1023" t="s">
        <v>51</v>
      </c>
      <c r="U1023" t="s">
        <v>30</v>
      </c>
    </row>
    <row r="1024" spans="1:21" x14ac:dyDescent="0.35">
      <c r="A1024" t="s">
        <v>1103</v>
      </c>
      <c r="B1024" s="1">
        <v>46196</v>
      </c>
      <c r="C1024" t="str">
        <f>TEXT(tblData[[#This Row],[Rental Date]],"mmm")</f>
        <v>Jun</v>
      </c>
      <c r="D1024" t="str">
        <f>TEXT(tblData[[#This Row],[Rental Date]],"mmmm")</f>
        <v>June</v>
      </c>
      <c r="E1024" t="s">
        <v>102</v>
      </c>
      <c r="F1024" t="str">
        <f>TEXT(WEEKNUM(tblData[[#This Row],[Rental Date]]),"00")</f>
        <v>26</v>
      </c>
      <c r="G1024" s="1">
        <f>EOMONTH(tblData[[#This Row],[Rental Date]],0)</f>
        <v>46203</v>
      </c>
      <c r="H1024" t="s">
        <v>749</v>
      </c>
      <c r="I1024" t="s">
        <v>39</v>
      </c>
      <c r="J1024" t="s">
        <v>65</v>
      </c>
      <c r="K1024" t="s">
        <v>40</v>
      </c>
      <c r="L1024">
        <v>1</v>
      </c>
      <c r="M1024" s="2">
        <v>31.36</v>
      </c>
      <c r="N1024" t="s">
        <v>87</v>
      </c>
      <c r="O1024" s="3">
        <v>10</v>
      </c>
      <c r="P1024" s="3">
        <v>0</v>
      </c>
      <c r="Q1024" s="2">
        <v>41.36</v>
      </c>
      <c r="R1024" t="s">
        <v>42</v>
      </c>
      <c r="S1024" t="s">
        <v>54</v>
      </c>
      <c r="T1024" t="s">
        <v>29</v>
      </c>
      <c r="U1024" t="s">
        <v>30</v>
      </c>
    </row>
    <row r="1025" spans="1:21" x14ac:dyDescent="0.35">
      <c r="A1025" t="s">
        <v>1104</v>
      </c>
      <c r="B1025" s="1">
        <v>46196</v>
      </c>
      <c r="C1025" t="str">
        <f>TEXT(tblData[[#This Row],[Rental Date]],"mmm")</f>
        <v>Jun</v>
      </c>
      <c r="D1025" t="str">
        <f>TEXT(tblData[[#This Row],[Rental Date]],"mmmm")</f>
        <v>June</v>
      </c>
      <c r="E1025" t="s">
        <v>102</v>
      </c>
      <c r="F1025" t="str">
        <f>TEXT(WEEKNUM(tblData[[#This Row],[Rental Date]]),"00")</f>
        <v>26</v>
      </c>
      <c r="G1025" s="1">
        <f>EOMONTH(tblData[[#This Row],[Rental Date]],0)</f>
        <v>46203</v>
      </c>
      <c r="H1025" t="s">
        <v>749</v>
      </c>
      <c r="I1025" t="s">
        <v>48</v>
      </c>
      <c r="J1025" t="s">
        <v>138</v>
      </c>
      <c r="K1025" t="s">
        <v>25</v>
      </c>
      <c r="L1025">
        <v>1</v>
      </c>
      <c r="M1025" s="2">
        <v>53.76</v>
      </c>
      <c r="N1025" t="s">
        <v>26</v>
      </c>
      <c r="O1025" s="3">
        <v>0</v>
      </c>
      <c r="P1025" s="3">
        <v>0</v>
      </c>
      <c r="Q1025" s="2">
        <v>53.76</v>
      </c>
      <c r="R1025" t="s">
        <v>45</v>
      </c>
      <c r="S1025" t="s">
        <v>50</v>
      </c>
      <c r="T1025" t="s">
        <v>51</v>
      </c>
      <c r="U1025" t="s">
        <v>58</v>
      </c>
    </row>
    <row r="1026" spans="1:21" x14ac:dyDescent="0.35">
      <c r="A1026" t="s">
        <v>1105</v>
      </c>
      <c r="B1026" s="1">
        <v>46196</v>
      </c>
      <c r="C1026" t="str">
        <f>TEXT(tblData[[#This Row],[Rental Date]],"mmm")</f>
        <v>Jun</v>
      </c>
      <c r="D1026" t="str">
        <f>TEXT(tblData[[#This Row],[Rental Date]],"mmmm")</f>
        <v>June</v>
      </c>
      <c r="E1026" t="s">
        <v>102</v>
      </c>
      <c r="F1026" t="str">
        <f>TEXT(WEEKNUM(tblData[[#This Row],[Rental Date]]),"00")</f>
        <v>26</v>
      </c>
      <c r="G1026" s="1">
        <f>EOMONTH(tblData[[#This Row],[Rental Date]],0)</f>
        <v>46203</v>
      </c>
      <c r="H1026" t="s">
        <v>749</v>
      </c>
      <c r="I1026" t="s">
        <v>23</v>
      </c>
      <c r="J1026" t="s">
        <v>78</v>
      </c>
      <c r="K1026" t="s">
        <v>25</v>
      </c>
      <c r="L1026">
        <v>1</v>
      </c>
      <c r="M1026" s="2">
        <v>47.04</v>
      </c>
      <c r="N1026" t="s">
        <v>26</v>
      </c>
      <c r="O1026" s="3">
        <v>0</v>
      </c>
      <c r="P1026" s="3">
        <v>0</v>
      </c>
      <c r="Q1026" s="2">
        <v>47.04</v>
      </c>
      <c r="R1026" t="s">
        <v>27</v>
      </c>
      <c r="S1026" t="s">
        <v>50</v>
      </c>
      <c r="T1026" t="s">
        <v>90</v>
      </c>
      <c r="U1026" t="s">
        <v>30</v>
      </c>
    </row>
    <row r="1027" spans="1:21" x14ac:dyDescent="0.35">
      <c r="A1027" t="s">
        <v>1106</v>
      </c>
      <c r="B1027" s="1">
        <v>46197</v>
      </c>
      <c r="C1027" t="str">
        <f>TEXT(tblData[[#This Row],[Rental Date]],"mmm")</f>
        <v>Jun</v>
      </c>
      <c r="D1027" t="str">
        <f>TEXT(tblData[[#This Row],[Rental Date]],"mmmm")</f>
        <v>June</v>
      </c>
      <c r="E1027" t="s">
        <v>109</v>
      </c>
      <c r="F1027" t="str">
        <f>TEXT(WEEKNUM(tblData[[#This Row],[Rental Date]]),"00")</f>
        <v>26</v>
      </c>
      <c r="G1027" s="1">
        <f>EOMONTH(tblData[[#This Row],[Rental Date]],0)</f>
        <v>46203</v>
      </c>
      <c r="H1027" t="s">
        <v>749</v>
      </c>
      <c r="I1027" t="s">
        <v>23</v>
      </c>
      <c r="J1027" t="s">
        <v>78</v>
      </c>
      <c r="K1027" t="s">
        <v>40</v>
      </c>
      <c r="L1027">
        <v>1</v>
      </c>
      <c r="M1027" s="2">
        <v>69.44</v>
      </c>
      <c r="N1027" t="s">
        <v>26</v>
      </c>
      <c r="O1027" s="3">
        <v>0</v>
      </c>
      <c r="P1027" s="3">
        <v>0</v>
      </c>
      <c r="Q1027" s="2">
        <v>69.44</v>
      </c>
      <c r="R1027" t="s">
        <v>57</v>
      </c>
      <c r="S1027" t="s">
        <v>46</v>
      </c>
      <c r="T1027" t="s">
        <v>29</v>
      </c>
      <c r="U1027" t="s">
        <v>79</v>
      </c>
    </row>
    <row r="1028" spans="1:21" x14ac:dyDescent="0.35">
      <c r="A1028" t="s">
        <v>1107</v>
      </c>
      <c r="B1028" s="1">
        <v>46197</v>
      </c>
      <c r="C1028" t="str">
        <f>TEXT(tblData[[#This Row],[Rental Date]],"mmm")</f>
        <v>Jun</v>
      </c>
      <c r="D1028" t="str">
        <f>TEXT(tblData[[#This Row],[Rental Date]],"mmmm")</f>
        <v>June</v>
      </c>
      <c r="E1028" t="s">
        <v>109</v>
      </c>
      <c r="F1028" t="str">
        <f>TEXT(WEEKNUM(tblData[[#This Row],[Rental Date]]),"00")</f>
        <v>26</v>
      </c>
      <c r="G1028" s="1">
        <f>EOMONTH(tblData[[#This Row],[Rental Date]],0)</f>
        <v>46203</v>
      </c>
      <c r="H1028" t="s">
        <v>749</v>
      </c>
      <c r="I1028" t="s">
        <v>23</v>
      </c>
      <c r="J1028" t="s">
        <v>33</v>
      </c>
      <c r="K1028" t="s">
        <v>92</v>
      </c>
      <c r="L1028">
        <v>1</v>
      </c>
      <c r="M1028" s="2">
        <v>94.08</v>
      </c>
      <c r="N1028" t="s">
        <v>41</v>
      </c>
      <c r="O1028" s="3">
        <v>5</v>
      </c>
      <c r="P1028" s="3">
        <v>0</v>
      </c>
      <c r="Q1028" s="2">
        <v>99.08</v>
      </c>
      <c r="R1028" t="s">
        <v>45</v>
      </c>
      <c r="S1028" t="s">
        <v>28</v>
      </c>
      <c r="T1028" t="s">
        <v>29</v>
      </c>
      <c r="U1028" t="s">
        <v>79</v>
      </c>
    </row>
    <row r="1029" spans="1:21" x14ac:dyDescent="0.35">
      <c r="A1029" t="s">
        <v>1108</v>
      </c>
      <c r="B1029" s="1">
        <v>46197</v>
      </c>
      <c r="C1029" t="str">
        <f>TEXT(tblData[[#This Row],[Rental Date]],"mmm")</f>
        <v>Jun</v>
      </c>
      <c r="D1029" t="str">
        <f>TEXT(tblData[[#This Row],[Rental Date]],"mmmm")</f>
        <v>June</v>
      </c>
      <c r="E1029" t="s">
        <v>109</v>
      </c>
      <c r="F1029" t="str">
        <f>TEXT(WEEKNUM(tblData[[#This Row],[Rental Date]]),"00")</f>
        <v>26</v>
      </c>
      <c r="G1029" s="1">
        <f>EOMONTH(tblData[[#This Row],[Rental Date]],0)</f>
        <v>46203</v>
      </c>
      <c r="H1029" t="s">
        <v>749</v>
      </c>
      <c r="I1029" t="s">
        <v>48</v>
      </c>
      <c r="J1029" t="s">
        <v>44</v>
      </c>
      <c r="K1029" t="s">
        <v>40</v>
      </c>
      <c r="L1029">
        <v>1</v>
      </c>
      <c r="M1029" s="2">
        <v>87.36</v>
      </c>
      <c r="N1029" t="s">
        <v>41</v>
      </c>
      <c r="O1029" s="3">
        <v>5</v>
      </c>
      <c r="P1029" s="3">
        <v>0</v>
      </c>
      <c r="Q1029" s="2">
        <v>92.36</v>
      </c>
      <c r="R1029" t="s">
        <v>71</v>
      </c>
      <c r="S1029" t="s">
        <v>46</v>
      </c>
      <c r="T1029" t="s">
        <v>29</v>
      </c>
      <c r="U1029" t="s">
        <v>58</v>
      </c>
    </row>
    <row r="1030" spans="1:21" x14ac:dyDescent="0.35">
      <c r="A1030" t="s">
        <v>1109</v>
      </c>
      <c r="B1030" s="1">
        <v>46197</v>
      </c>
      <c r="C1030" t="str">
        <f>TEXT(tblData[[#This Row],[Rental Date]],"mmm")</f>
        <v>Jun</v>
      </c>
      <c r="D1030" t="str">
        <f>TEXT(tblData[[#This Row],[Rental Date]],"mmmm")</f>
        <v>June</v>
      </c>
      <c r="E1030" t="s">
        <v>109</v>
      </c>
      <c r="F1030" t="str">
        <f>TEXT(WEEKNUM(tblData[[#This Row],[Rental Date]]),"00")</f>
        <v>26</v>
      </c>
      <c r="G1030" s="1">
        <f>EOMONTH(tblData[[#This Row],[Rental Date]],0)</f>
        <v>46203</v>
      </c>
      <c r="H1030" t="s">
        <v>749</v>
      </c>
      <c r="I1030" t="s">
        <v>39</v>
      </c>
      <c r="J1030" t="s">
        <v>49</v>
      </c>
      <c r="K1030" t="s">
        <v>60</v>
      </c>
      <c r="L1030">
        <v>1</v>
      </c>
      <c r="M1030" s="2">
        <v>24.64</v>
      </c>
      <c r="N1030" t="s">
        <v>26</v>
      </c>
      <c r="O1030" s="3">
        <v>0</v>
      </c>
      <c r="P1030" s="3">
        <v>0</v>
      </c>
      <c r="Q1030" s="2">
        <v>24.64</v>
      </c>
      <c r="R1030" t="s">
        <v>27</v>
      </c>
      <c r="S1030" t="s">
        <v>35</v>
      </c>
      <c r="T1030" t="s">
        <v>29</v>
      </c>
      <c r="U1030" t="s">
        <v>30</v>
      </c>
    </row>
    <row r="1031" spans="1:21" x14ac:dyDescent="0.35">
      <c r="A1031" t="s">
        <v>1110</v>
      </c>
      <c r="B1031" s="1">
        <v>46197</v>
      </c>
      <c r="C1031" t="str">
        <f>TEXT(tblData[[#This Row],[Rental Date]],"mmm")</f>
        <v>Jun</v>
      </c>
      <c r="D1031" t="str">
        <f>TEXT(tblData[[#This Row],[Rental Date]],"mmmm")</f>
        <v>June</v>
      </c>
      <c r="E1031" t="s">
        <v>109</v>
      </c>
      <c r="F1031" t="str">
        <f>TEXT(WEEKNUM(tblData[[#This Row],[Rental Date]]),"00")</f>
        <v>26</v>
      </c>
      <c r="G1031" s="1">
        <f>EOMONTH(tblData[[#This Row],[Rental Date]],0)</f>
        <v>46203</v>
      </c>
      <c r="H1031" t="s">
        <v>749</v>
      </c>
      <c r="I1031" t="s">
        <v>48</v>
      </c>
      <c r="J1031" t="s">
        <v>65</v>
      </c>
      <c r="K1031" t="s">
        <v>40</v>
      </c>
      <c r="L1031">
        <v>1</v>
      </c>
      <c r="M1031" s="2">
        <v>31.36</v>
      </c>
      <c r="N1031" t="s">
        <v>87</v>
      </c>
      <c r="O1031" s="3">
        <v>10</v>
      </c>
      <c r="P1031" s="3">
        <v>0</v>
      </c>
      <c r="Q1031" s="2">
        <v>41.36</v>
      </c>
      <c r="R1031" t="s">
        <v>76</v>
      </c>
      <c r="S1031" t="s">
        <v>54</v>
      </c>
      <c r="T1031" t="s">
        <v>29</v>
      </c>
      <c r="U1031" t="s">
        <v>30</v>
      </c>
    </row>
    <row r="1032" spans="1:21" x14ac:dyDescent="0.35">
      <c r="A1032" t="s">
        <v>1111</v>
      </c>
      <c r="B1032" s="1">
        <v>46197</v>
      </c>
      <c r="C1032" t="str">
        <f>TEXT(tblData[[#This Row],[Rental Date]],"mmm")</f>
        <v>Jun</v>
      </c>
      <c r="D1032" t="str">
        <f>TEXT(tblData[[#This Row],[Rental Date]],"mmmm")</f>
        <v>June</v>
      </c>
      <c r="E1032" t="s">
        <v>109</v>
      </c>
      <c r="F1032" t="str">
        <f>TEXT(WEEKNUM(tblData[[#This Row],[Rental Date]]),"00")</f>
        <v>26</v>
      </c>
      <c r="G1032" s="1">
        <f>EOMONTH(tblData[[#This Row],[Rental Date]],0)</f>
        <v>46203</v>
      </c>
      <c r="H1032" t="s">
        <v>749</v>
      </c>
      <c r="I1032" t="s">
        <v>48</v>
      </c>
      <c r="J1032" t="s">
        <v>33</v>
      </c>
      <c r="K1032" t="s">
        <v>25</v>
      </c>
      <c r="L1032">
        <v>1</v>
      </c>
      <c r="M1032" s="2">
        <v>42.56</v>
      </c>
      <c r="N1032" t="s">
        <v>41</v>
      </c>
      <c r="O1032" s="3">
        <v>5</v>
      </c>
      <c r="P1032" s="3">
        <v>0</v>
      </c>
      <c r="Q1032" s="2">
        <v>47.56</v>
      </c>
      <c r="R1032" t="s">
        <v>71</v>
      </c>
      <c r="S1032" t="s">
        <v>28</v>
      </c>
      <c r="T1032" t="s">
        <v>63</v>
      </c>
      <c r="U1032" t="s">
        <v>79</v>
      </c>
    </row>
    <row r="1033" spans="1:21" x14ac:dyDescent="0.35">
      <c r="A1033" t="s">
        <v>1112</v>
      </c>
      <c r="B1033" s="1">
        <v>46197</v>
      </c>
      <c r="C1033" t="str">
        <f>TEXT(tblData[[#This Row],[Rental Date]],"mmm")</f>
        <v>Jun</v>
      </c>
      <c r="D1033" t="str">
        <f>TEXT(tblData[[#This Row],[Rental Date]],"mmmm")</f>
        <v>June</v>
      </c>
      <c r="E1033" t="s">
        <v>109</v>
      </c>
      <c r="F1033" t="str">
        <f>TEXT(WEEKNUM(tblData[[#This Row],[Rental Date]]),"00")</f>
        <v>26</v>
      </c>
      <c r="G1033" s="1">
        <f>EOMONTH(tblData[[#This Row],[Rental Date]],0)</f>
        <v>46203</v>
      </c>
      <c r="H1033" t="s">
        <v>749</v>
      </c>
      <c r="I1033" t="s">
        <v>39</v>
      </c>
      <c r="J1033" t="s">
        <v>44</v>
      </c>
      <c r="K1033" t="s">
        <v>60</v>
      </c>
      <c r="L1033">
        <v>1</v>
      </c>
      <c r="M1033" s="2">
        <v>38.08</v>
      </c>
      <c r="N1033" t="s">
        <v>75</v>
      </c>
      <c r="O1033" s="3">
        <v>12</v>
      </c>
      <c r="P1033" s="3">
        <v>0</v>
      </c>
      <c r="Q1033" s="2">
        <v>50.08</v>
      </c>
      <c r="R1033" t="s">
        <v>34</v>
      </c>
      <c r="S1033" t="s">
        <v>50</v>
      </c>
      <c r="T1033" t="s">
        <v>51</v>
      </c>
      <c r="U1033" t="s">
        <v>30</v>
      </c>
    </row>
    <row r="1034" spans="1:21" x14ac:dyDescent="0.35">
      <c r="A1034" t="s">
        <v>1113</v>
      </c>
      <c r="B1034" s="1">
        <v>46197</v>
      </c>
      <c r="C1034" t="str">
        <f>TEXT(tblData[[#This Row],[Rental Date]],"mmm")</f>
        <v>Jun</v>
      </c>
      <c r="D1034" t="str">
        <f>TEXT(tblData[[#This Row],[Rental Date]],"mmmm")</f>
        <v>June</v>
      </c>
      <c r="E1034" t="s">
        <v>109</v>
      </c>
      <c r="F1034" t="str">
        <f>TEXT(WEEKNUM(tblData[[#This Row],[Rental Date]]),"00")</f>
        <v>26</v>
      </c>
      <c r="G1034" s="1">
        <f>EOMONTH(tblData[[#This Row],[Rental Date]],0)</f>
        <v>46203</v>
      </c>
      <c r="H1034" t="s">
        <v>749</v>
      </c>
      <c r="I1034" t="s">
        <v>48</v>
      </c>
      <c r="J1034" t="s">
        <v>111</v>
      </c>
      <c r="K1034" t="s">
        <v>60</v>
      </c>
      <c r="L1034">
        <v>1</v>
      </c>
      <c r="M1034" s="2">
        <v>15.68</v>
      </c>
      <c r="N1034" t="s">
        <v>89</v>
      </c>
      <c r="O1034" s="3">
        <v>6</v>
      </c>
      <c r="P1034" s="3">
        <v>0</v>
      </c>
      <c r="Q1034" s="2">
        <v>21.68</v>
      </c>
      <c r="R1034" t="s">
        <v>94</v>
      </c>
      <c r="S1034" t="s">
        <v>28</v>
      </c>
      <c r="T1034" t="s">
        <v>29</v>
      </c>
      <c r="U1034" t="s">
        <v>30</v>
      </c>
    </row>
    <row r="1035" spans="1:21" x14ac:dyDescent="0.35">
      <c r="A1035" t="s">
        <v>1114</v>
      </c>
      <c r="B1035" s="1">
        <v>46197</v>
      </c>
      <c r="C1035" t="str">
        <f>TEXT(tblData[[#This Row],[Rental Date]],"mmm")</f>
        <v>Jun</v>
      </c>
      <c r="D1035" t="str">
        <f>TEXT(tblData[[#This Row],[Rental Date]],"mmmm")</f>
        <v>June</v>
      </c>
      <c r="E1035" t="s">
        <v>109</v>
      </c>
      <c r="F1035" t="str">
        <f>TEXT(WEEKNUM(tblData[[#This Row],[Rental Date]]),"00")</f>
        <v>26</v>
      </c>
      <c r="G1035" s="1">
        <f>EOMONTH(tblData[[#This Row],[Rental Date]],0)</f>
        <v>46203</v>
      </c>
      <c r="H1035" t="s">
        <v>749</v>
      </c>
      <c r="I1035" t="s">
        <v>39</v>
      </c>
      <c r="J1035" t="s">
        <v>78</v>
      </c>
      <c r="K1035" t="s">
        <v>60</v>
      </c>
      <c r="L1035">
        <v>1</v>
      </c>
      <c r="M1035" s="2">
        <v>29.12</v>
      </c>
      <c r="N1035" t="s">
        <v>87</v>
      </c>
      <c r="O1035" s="3">
        <v>10</v>
      </c>
      <c r="P1035" s="3">
        <v>0</v>
      </c>
      <c r="Q1035" s="2">
        <v>39.119999999999997</v>
      </c>
      <c r="R1035" t="s">
        <v>27</v>
      </c>
      <c r="S1035" t="s">
        <v>28</v>
      </c>
      <c r="T1035" t="s">
        <v>51</v>
      </c>
      <c r="U1035" t="s">
        <v>79</v>
      </c>
    </row>
    <row r="1036" spans="1:21" x14ac:dyDescent="0.35">
      <c r="A1036" t="s">
        <v>1115</v>
      </c>
      <c r="B1036" s="1">
        <v>46197</v>
      </c>
      <c r="C1036" t="str">
        <f>TEXT(tblData[[#This Row],[Rental Date]],"mmm")</f>
        <v>Jun</v>
      </c>
      <c r="D1036" t="str">
        <f>TEXT(tblData[[#This Row],[Rental Date]],"mmmm")</f>
        <v>June</v>
      </c>
      <c r="E1036" t="s">
        <v>109</v>
      </c>
      <c r="F1036" t="str">
        <f>TEXT(WEEKNUM(tblData[[#This Row],[Rental Date]]),"00")</f>
        <v>26</v>
      </c>
      <c r="G1036" s="1">
        <f>EOMONTH(tblData[[#This Row],[Rental Date]],0)</f>
        <v>46203</v>
      </c>
      <c r="H1036" t="s">
        <v>749</v>
      </c>
      <c r="I1036" t="s">
        <v>23</v>
      </c>
      <c r="J1036" t="s">
        <v>44</v>
      </c>
      <c r="K1036" t="s">
        <v>60</v>
      </c>
      <c r="L1036">
        <v>1</v>
      </c>
      <c r="M1036" s="2">
        <v>38.08</v>
      </c>
      <c r="N1036" t="s">
        <v>26</v>
      </c>
      <c r="O1036" s="3">
        <v>0</v>
      </c>
      <c r="P1036" s="3">
        <v>0</v>
      </c>
      <c r="Q1036" s="2">
        <v>38.08</v>
      </c>
      <c r="R1036" t="s">
        <v>66</v>
      </c>
      <c r="S1036" t="s">
        <v>35</v>
      </c>
      <c r="T1036" t="s">
        <v>51</v>
      </c>
      <c r="U1036" t="s">
        <v>58</v>
      </c>
    </row>
    <row r="1037" spans="1:21" x14ac:dyDescent="0.35">
      <c r="A1037" t="s">
        <v>1116</v>
      </c>
      <c r="B1037" s="1">
        <v>46197</v>
      </c>
      <c r="C1037" t="str">
        <f>TEXT(tblData[[#This Row],[Rental Date]],"mmm")</f>
        <v>Jun</v>
      </c>
      <c r="D1037" t="str">
        <f>TEXT(tblData[[#This Row],[Rental Date]],"mmmm")</f>
        <v>June</v>
      </c>
      <c r="E1037" t="s">
        <v>109</v>
      </c>
      <c r="F1037" t="str">
        <f>TEXT(WEEKNUM(tblData[[#This Row],[Rental Date]]),"00")</f>
        <v>26</v>
      </c>
      <c r="G1037" s="1">
        <f>EOMONTH(tblData[[#This Row],[Rental Date]],0)</f>
        <v>46203</v>
      </c>
      <c r="H1037" t="s">
        <v>749</v>
      </c>
      <c r="I1037" t="s">
        <v>48</v>
      </c>
      <c r="J1037" t="s">
        <v>127</v>
      </c>
      <c r="K1037" t="s">
        <v>60</v>
      </c>
      <c r="L1037">
        <v>1</v>
      </c>
      <c r="M1037" s="2">
        <v>11.2</v>
      </c>
      <c r="N1037" t="s">
        <v>41</v>
      </c>
      <c r="O1037" s="3">
        <v>5</v>
      </c>
      <c r="P1037" s="3">
        <v>0</v>
      </c>
      <c r="Q1037" s="2">
        <v>16.2</v>
      </c>
      <c r="R1037" t="s">
        <v>62</v>
      </c>
      <c r="S1037" t="s">
        <v>46</v>
      </c>
      <c r="T1037" t="s">
        <v>90</v>
      </c>
      <c r="U1037" t="s">
        <v>58</v>
      </c>
    </row>
    <row r="1038" spans="1:21" x14ac:dyDescent="0.35">
      <c r="A1038" t="s">
        <v>1117</v>
      </c>
      <c r="B1038" s="1">
        <v>46197</v>
      </c>
      <c r="C1038" t="str">
        <f>TEXT(tblData[[#This Row],[Rental Date]],"mmm")</f>
        <v>Jun</v>
      </c>
      <c r="D1038" t="str">
        <f>TEXT(tblData[[#This Row],[Rental Date]],"mmmm")</f>
        <v>June</v>
      </c>
      <c r="E1038" t="s">
        <v>109</v>
      </c>
      <c r="F1038" t="str">
        <f>TEXT(WEEKNUM(tblData[[#This Row],[Rental Date]]),"00")</f>
        <v>26</v>
      </c>
      <c r="G1038" s="1">
        <f>EOMONTH(tblData[[#This Row],[Rental Date]],0)</f>
        <v>46203</v>
      </c>
      <c r="H1038" t="s">
        <v>749</v>
      </c>
      <c r="I1038" t="s">
        <v>39</v>
      </c>
      <c r="J1038" t="s">
        <v>78</v>
      </c>
      <c r="K1038" t="s">
        <v>25</v>
      </c>
      <c r="L1038">
        <v>1</v>
      </c>
      <c r="M1038" s="2">
        <v>47.04</v>
      </c>
      <c r="N1038" t="s">
        <v>70</v>
      </c>
      <c r="O1038" s="3">
        <v>7</v>
      </c>
      <c r="P1038" s="3">
        <v>0</v>
      </c>
      <c r="Q1038" s="2">
        <v>54.04</v>
      </c>
      <c r="R1038" t="s">
        <v>57</v>
      </c>
      <c r="S1038" t="s">
        <v>50</v>
      </c>
      <c r="T1038" t="s">
        <v>51</v>
      </c>
      <c r="U1038" t="s">
        <v>30</v>
      </c>
    </row>
    <row r="1039" spans="1:21" x14ac:dyDescent="0.35">
      <c r="A1039" t="s">
        <v>1118</v>
      </c>
      <c r="B1039" s="1">
        <v>46198</v>
      </c>
      <c r="C1039" t="str">
        <f>TEXT(tblData[[#This Row],[Rental Date]],"mmm")</f>
        <v>Jun</v>
      </c>
      <c r="D1039" t="str">
        <f>TEXT(tblData[[#This Row],[Rental Date]],"mmmm")</f>
        <v>June</v>
      </c>
      <c r="E1039" t="s">
        <v>21</v>
      </c>
      <c r="F1039" t="str">
        <f>TEXT(WEEKNUM(tblData[[#This Row],[Rental Date]]),"00")</f>
        <v>26</v>
      </c>
      <c r="G1039" s="1">
        <f>EOMONTH(tblData[[#This Row],[Rental Date]],0)</f>
        <v>46203</v>
      </c>
      <c r="H1039" t="s">
        <v>749</v>
      </c>
      <c r="I1039" t="s">
        <v>23</v>
      </c>
      <c r="J1039" t="s">
        <v>24</v>
      </c>
      <c r="K1039" t="s">
        <v>92</v>
      </c>
      <c r="L1039">
        <v>1</v>
      </c>
      <c r="M1039" s="2">
        <v>123.2</v>
      </c>
      <c r="N1039" t="s">
        <v>41</v>
      </c>
      <c r="O1039" s="3">
        <v>5</v>
      </c>
      <c r="P1039" s="3">
        <v>0</v>
      </c>
      <c r="Q1039" s="2">
        <v>128.19999999999999</v>
      </c>
      <c r="R1039" t="s">
        <v>71</v>
      </c>
      <c r="S1039" t="s">
        <v>28</v>
      </c>
      <c r="T1039" t="s">
        <v>29</v>
      </c>
      <c r="U1039" t="s">
        <v>30</v>
      </c>
    </row>
    <row r="1040" spans="1:21" x14ac:dyDescent="0.35">
      <c r="A1040" t="s">
        <v>1119</v>
      </c>
      <c r="B1040" s="1">
        <v>46198</v>
      </c>
      <c r="C1040" t="str">
        <f>TEXT(tblData[[#This Row],[Rental Date]],"mmm")</f>
        <v>Jun</v>
      </c>
      <c r="D1040" t="str">
        <f>TEXT(tblData[[#This Row],[Rental Date]],"mmmm")</f>
        <v>June</v>
      </c>
      <c r="E1040" t="s">
        <v>21</v>
      </c>
      <c r="F1040" t="str">
        <f>TEXT(WEEKNUM(tblData[[#This Row],[Rental Date]]),"00")</f>
        <v>26</v>
      </c>
      <c r="G1040" s="1">
        <f>EOMONTH(tblData[[#This Row],[Rental Date]],0)</f>
        <v>46203</v>
      </c>
      <c r="H1040" t="s">
        <v>749</v>
      </c>
      <c r="I1040" t="s">
        <v>39</v>
      </c>
      <c r="J1040" t="s">
        <v>24</v>
      </c>
      <c r="K1040" t="s">
        <v>60</v>
      </c>
      <c r="L1040">
        <v>1</v>
      </c>
      <c r="M1040" s="2">
        <v>35.840000000000003</v>
      </c>
      <c r="N1040" t="s">
        <v>26</v>
      </c>
      <c r="O1040" s="3">
        <v>0</v>
      </c>
      <c r="P1040" s="3">
        <v>0</v>
      </c>
      <c r="Q1040" s="2">
        <v>35.840000000000003</v>
      </c>
      <c r="R1040" t="s">
        <v>45</v>
      </c>
      <c r="S1040" t="s">
        <v>46</v>
      </c>
      <c r="T1040" t="s">
        <v>63</v>
      </c>
      <c r="U1040" t="s">
        <v>30</v>
      </c>
    </row>
    <row r="1041" spans="1:21" x14ac:dyDescent="0.35">
      <c r="A1041" t="s">
        <v>1120</v>
      </c>
      <c r="B1041" s="1">
        <v>46198</v>
      </c>
      <c r="C1041" t="str">
        <f>TEXT(tblData[[#This Row],[Rental Date]],"mmm")</f>
        <v>Jun</v>
      </c>
      <c r="D1041" t="str">
        <f>TEXT(tblData[[#This Row],[Rental Date]],"mmmm")</f>
        <v>June</v>
      </c>
      <c r="E1041" t="s">
        <v>21</v>
      </c>
      <c r="F1041" t="str">
        <f>TEXT(WEEKNUM(tblData[[#This Row],[Rental Date]]),"00")</f>
        <v>26</v>
      </c>
      <c r="G1041" s="1">
        <f>EOMONTH(tblData[[#This Row],[Rental Date]],0)</f>
        <v>46203</v>
      </c>
      <c r="H1041" t="s">
        <v>749</v>
      </c>
      <c r="I1041" t="s">
        <v>53</v>
      </c>
      <c r="J1041" t="s">
        <v>33</v>
      </c>
      <c r="K1041" t="s">
        <v>92</v>
      </c>
      <c r="L1041">
        <v>1</v>
      </c>
      <c r="M1041" s="2">
        <v>94.08</v>
      </c>
      <c r="N1041" t="s">
        <v>41</v>
      </c>
      <c r="O1041" s="3">
        <v>5</v>
      </c>
      <c r="P1041" s="3">
        <v>14.86</v>
      </c>
      <c r="Q1041" s="2">
        <v>84.22</v>
      </c>
      <c r="R1041" t="s">
        <v>62</v>
      </c>
      <c r="S1041" t="s">
        <v>50</v>
      </c>
      <c r="T1041" t="s">
        <v>29</v>
      </c>
      <c r="U1041" t="s">
        <v>30</v>
      </c>
    </row>
    <row r="1042" spans="1:21" x14ac:dyDescent="0.35">
      <c r="A1042" t="s">
        <v>1121</v>
      </c>
      <c r="B1042" s="1">
        <v>46198</v>
      </c>
      <c r="C1042" t="str">
        <f>TEXT(tblData[[#This Row],[Rental Date]],"mmm")</f>
        <v>Jun</v>
      </c>
      <c r="D1042" t="str">
        <f>TEXT(tblData[[#This Row],[Rental Date]],"mmmm")</f>
        <v>June</v>
      </c>
      <c r="E1042" t="s">
        <v>21</v>
      </c>
      <c r="F1042" t="str">
        <f>TEXT(WEEKNUM(tblData[[#This Row],[Rental Date]]),"00")</f>
        <v>26</v>
      </c>
      <c r="G1042" s="1">
        <f>EOMONTH(tblData[[#This Row],[Rental Date]],0)</f>
        <v>46203</v>
      </c>
      <c r="H1042" t="s">
        <v>749</v>
      </c>
      <c r="I1042" t="s">
        <v>23</v>
      </c>
      <c r="J1042" t="s">
        <v>111</v>
      </c>
      <c r="K1042" t="s">
        <v>92</v>
      </c>
      <c r="L1042">
        <v>1</v>
      </c>
      <c r="M1042" s="2">
        <v>53.76</v>
      </c>
      <c r="N1042" t="s">
        <v>26</v>
      </c>
      <c r="O1042" s="3">
        <v>0</v>
      </c>
      <c r="P1042" s="3">
        <v>0</v>
      </c>
      <c r="Q1042" s="2">
        <v>53.76</v>
      </c>
      <c r="R1042" t="s">
        <v>27</v>
      </c>
      <c r="S1042" t="s">
        <v>54</v>
      </c>
      <c r="T1042" t="s">
        <v>51</v>
      </c>
      <c r="U1042" t="s">
        <v>30</v>
      </c>
    </row>
    <row r="1043" spans="1:21" x14ac:dyDescent="0.35">
      <c r="A1043" t="s">
        <v>1122</v>
      </c>
      <c r="B1043" s="1">
        <v>46198</v>
      </c>
      <c r="C1043" t="str">
        <f>TEXT(tblData[[#This Row],[Rental Date]],"mmm")</f>
        <v>Jun</v>
      </c>
      <c r="D1043" t="str">
        <f>TEXT(tblData[[#This Row],[Rental Date]],"mmmm")</f>
        <v>June</v>
      </c>
      <c r="E1043" t="s">
        <v>21</v>
      </c>
      <c r="F1043" t="str">
        <f>TEXT(WEEKNUM(tblData[[#This Row],[Rental Date]]),"00")</f>
        <v>26</v>
      </c>
      <c r="G1043" s="1">
        <f>EOMONTH(tblData[[#This Row],[Rental Date]],0)</f>
        <v>46203</v>
      </c>
      <c r="H1043" t="s">
        <v>749</v>
      </c>
      <c r="I1043" t="s">
        <v>48</v>
      </c>
      <c r="J1043" t="s">
        <v>78</v>
      </c>
      <c r="K1043" t="s">
        <v>92</v>
      </c>
      <c r="L1043">
        <v>1</v>
      </c>
      <c r="M1043" s="2">
        <v>98.56</v>
      </c>
      <c r="N1043" t="s">
        <v>89</v>
      </c>
      <c r="O1043" s="3">
        <v>6</v>
      </c>
      <c r="P1043" s="3">
        <v>0</v>
      </c>
      <c r="Q1043" s="2">
        <v>104.56</v>
      </c>
      <c r="R1043" t="s">
        <v>62</v>
      </c>
      <c r="S1043" t="s">
        <v>28</v>
      </c>
      <c r="T1043" t="s">
        <v>51</v>
      </c>
      <c r="U1043" t="s">
        <v>30</v>
      </c>
    </row>
    <row r="1044" spans="1:21" x14ac:dyDescent="0.35">
      <c r="A1044" t="s">
        <v>1123</v>
      </c>
      <c r="B1044" s="1">
        <v>46198</v>
      </c>
      <c r="C1044" t="str">
        <f>TEXT(tblData[[#This Row],[Rental Date]],"mmm")</f>
        <v>Jun</v>
      </c>
      <c r="D1044" t="str">
        <f>TEXT(tblData[[#This Row],[Rental Date]],"mmmm")</f>
        <v>June</v>
      </c>
      <c r="E1044" t="s">
        <v>21</v>
      </c>
      <c r="F1044" t="str">
        <f>TEXT(WEEKNUM(tblData[[#This Row],[Rental Date]]),"00")</f>
        <v>26</v>
      </c>
      <c r="G1044" s="1">
        <f>EOMONTH(tblData[[#This Row],[Rental Date]],0)</f>
        <v>46203</v>
      </c>
      <c r="H1044" t="s">
        <v>749</v>
      </c>
      <c r="I1044" t="s">
        <v>53</v>
      </c>
      <c r="J1044" t="s">
        <v>33</v>
      </c>
      <c r="K1044" t="s">
        <v>25</v>
      </c>
      <c r="L1044">
        <v>1</v>
      </c>
      <c r="M1044" s="2">
        <v>42.56</v>
      </c>
      <c r="N1044" t="s">
        <v>26</v>
      </c>
      <c r="O1044" s="3">
        <v>0</v>
      </c>
      <c r="P1044" s="3">
        <v>6.38</v>
      </c>
      <c r="Q1044" s="2">
        <v>36.18</v>
      </c>
      <c r="R1044" t="s">
        <v>66</v>
      </c>
      <c r="S1044" t="s">
        <v>35</v>
      </c>
      <c r="T1044" t="s">
        <v>63</v>
      </c>
      <c r="U1044" t="s">
        <v>30</v>
      </c>
    </row>
    <row r="1045" spans="1:21" x14ac:dyDescent="0.35">
      <c r="A1045" t="s">
        <v>1124</v>
      </c>
      <c r="B1045" s="1">
        <v>46198</v>
      </c>
      <c r="C1045" t="str">
        <f>TEXT(tblData[[#This Row],[Rental Date]],"mmm")</f>
        <v>Jun</v>
      </c>
      <c r="D1045" t="str">
        <f>TEXT(tblData[[#This Row],[Rental Date]],"mmmm")</f>
        <v>June</v>
      </c>
      <c r="E1045" t="s">
        <v>21</v>
      </c>
      <c r="F1045" t="str">
        <f>TEXT(WEEKNUM(tblData[[#This Row],[Rental Date]]),"00")</f>
        <v>26</v>
      </c>
      <c r="G1045" s="1">
        <f>EOMONTH(tblData[[#This Row],[Rental Date]],0)</f>
        <v>46203</v>
      </c>
      <c r="H1045" t="s">
        <v>749</v>
      </c>
      <c r="I1045" t="s">
        <v>53</v>
      </c>
      <c r="J1045" t="s">
        <v>111</v>
      </c>
      <c r="K1045" t="s">
        <v>92</v>
      </c>
      <c r="L1045">
        <v>1</v>
      </c>
      <c r="M1045" s="2">
        <v>53.76</v>
      </c>
      <c r="N1045" t="s">
        <v>26</v>
      </c>
      <c r="O1045" s="3">
        <v>0</v>
      </c>
      <c r="P1045" s="3">
        <v>8.06</v>
      </c>
      <c r="Q1045" s="2">
        <v>45.7</v>
      </c>
      <c r="R1045" t="s">
        <v>45</v>
      </c>
      <c r="S1045" t="s">
        <v>28</v>
      </c>
      <c r="T1045" t="s">
        <v>29</v>
      </c>
      <c r="U1045" t="s">
        <v>30</v>
      </c>
    </row>
    <row r="1046" spans="1:21" x14ac:dyDescent="0.35">
      <c r="A1046" t="s">
        <v>1125</v>
      </c>
      <c r="B1046" s="1">
        <v>46198</v>
      </c>
      <c r="C1046" t="str">
        <f>TEXT(tblData[[#This Row],[Rental Date]],"mmm")</f>
        <v>Jun</v>
      </c>
      <c r="D1046" t="str">
        <f>TEXT(tblData[[#This Row],[Rental Date]],"mmmm")</f>
        <v>June</v>
      </c>
      <c r="E1046" t="s">
        <v>21</v>
      </c>
      <c r="F1046" t="str">
        <f>TEXT(WEEKNUM(tblData[[#This Row],[Rental Date]]),"00")</f>
        <v>26</v>
      </c>
      <c r="G1046" s="1">
        <f>EOMONTH(tblData[[#This Row],[Rental Date]],0)</f>
        <v>46203</v>
      </c>
      <c r="H1046" t="s">
        <v>749</v>
      </c>
      <c r="I1046" t="s">
        <v>48</v>
      </c>
      <c r="J1046" t="s">
        <v>86</v>
      </c>
      <c r="K1046" t="s">
        <v>92</v>
      </c>
      <c r="L1046">
        <v>1</v>
      </c>
      <c r="M1046" s="2">
        <v>138.88</v>
      </c>
      <c r="N1046" t="s">
        <v>89</v>
      </c>
      <c r="O1046" s="3">
        <v>6</v>
      </c>
      <c r="P1046" s="3">
        <v>0</v>
      </c>
      <c r="Q1046" s="2">
        <v>144.88</v>
      </c>
      <c r="R1046" t="s">
        <v>45</v>
      </c>
      <c r="S1046" t="s">
        <v>35</v>
      </c>
      <c r="T1046" t="s">
        <v>83</v>
      </c>
      <c r="U1046" t="s">
        <v>30</v>
      </c>
    </row>
    <row r="1047" spans="1:21" x14ac:dyDescent="0.35">
      <c r="A1047" t="s">
        <v>1126</v>
      </c>
      <c r="B1047" s="1">
        <v>46198</v>
      </c>
      <c r="C1047" t="str">
        <f>TEXT(tblData[[#This Row],[Rental Date]],"mmm")</f>
        <v>Jun</v>
      </c>
      <c r="D1047" t="str">
        <f>TEXT(tblData[[#This Row],[Rental Date]],"mmmm")</f>
        <v>June</v>
      </c>
      <c r="E1047" t="s">
        <v>21</v>
      </c>
      <c r="F1047" t="str">
        <f>TEXT(WEEKNUM(tblData[[#This Row],[Rental Date]]),"00")</f>
        <v>26</v>
      </c>
      <c r="G1047" s="1">
        <f>EOMONTH(tblData[[#This Row],[Rental Date]],0)</f>
        <v>46203</v>
      </c>
      <c r="H1047" t="s">
        <v>749</v>
      </c>
      <c r="I1047" t="s">
        <v>23</v>
      </c>
      <c r="J1047" t="s">
        <v>65</v>
      </c>
      <c r="K1047" t="s">
        <v>25</v>
      </c>
      <c r="L1047">
        <v>1</v>
      </c>
      <c r="M1047" s="2">
        <v>20.16</v>
      </c>
      <c r="N1047" t="s">
        <v>26</v>
      </c>
      <c r="O1047" s="3">
        <v>0</v>
      </c>
      <c r="P1047" s="3">
        <v>0</v>
      </c>
      <c r="Q1047" s="2">
        <v>20.16</v>
      </c>
      <c r="R1047" t="s">
        <v>94</v>
      </c>
      <c r="S1047" t="s">
        <v>46</v>
      </c>
      <c r="T1047" t="s">
        <v>63</v>
      </c>
      <c r="U1047" t="s">
        <v>30</v>
      </c>
    </row>
    <row r="1048" spans="1:21" x14ac:dyDescent="0.35">
      <c r="A1048" t="s">
        <v>1127</v>
      </c>
      <c r="B1048" s="1">
        <v>46198</v>
      </c>
      <c r="C1048" t="str">
        <f>TEXT(tblData[[#This Row],[Rental Date]],"mmm")</f>
        <v>Jun</v>
      </c>
      <c r="D1048" t="str">
        <f>TEXT(tblData[[#This Row],[Rental Date]],"mmmm")</f>
        <v>June</v>
      </c>
      <c r="E1048" t="s">
        <v>21</v>
      </c>
      <c r="F1048" t="str">
        <f>TEXT(WEEKNUM(tblData[[#This Row],[Rental Date]]),"00")</f>
        <v>26</v>
      </c>
      <c r="G1048" s="1">
        <f>EOMONTH(tblData[[#This Row],[Rental Date]],0)</f>
        <v>46203</v>
      </c>
      <c r="H1048" t="s">
        <v>749</v>
      </c>
      <c r="I1048" t="s">
        <v>48</v>
      </c>
      <c r="J1048" t="s">
        <v>49</v>
      </c>
      <c r="K1048" t="s">
        <v>40</v>
      </c>
      <c r="L1048">
        <v>1</v>
      </c>
      <c r="M1048" s="2">
        <v>60.48</v>
      </c>
      <c r="N1048" t="s">
        <v>26</v>
      </c>
      <c r="O1048" s="3">
        <v>0</v>
      </c>
      <c r="P1048" s="3">
        <v>0</v>
      </c>
      <c r="Q1048" s="2">
        <v>60.48</v>
      </c>
      <c r="R1048" t="s">
        <v>42</v>
      </c>
      <c r="S1048" t="s">
        <v>35</v>
      </c>
      <c r="T1048" t="s">
        <v>29</v>
      </c>
      <c r="U1048" t="s">
        <v>30</v>
      </c>
    </row>
    <row r="1049" spans="1:21" x14ac:dyDescent="0.35">
      <c r="A1049" t="s">
        <v>1128</v>
      </c>
      <c r="B1049" s="1">
        <v>46198</v>
      </c>
      <c r="C1049" t="str">
        <f>TEXT(tblData[[#This Row],[Rental Date]],"mmm")</f>
        <v>Jun</v>
      </c>
      <c r="D1049" t="str">
        <f>TEXT(tblData[[#This Row],[Rental Date]],"mmmm")</f>
        <v>June</v>
      </c>
      <c r="E1049" t="s">
        <v>21</v>
      </c>
      <c r="F1049" t="str">
        <f>TEXT(WEEKNUM(tblData[[#This Row],[Rental Date]]),"00")</f>
        <v>26</v>
      </c>
      <c r="G1049" s="1">
        <f>EOMONTH(tblData[[#This Row],[Rental Date]],0)</f>
        <v>46203</v>
      </c>
      <c r="H1049" t="s">
        <v>749</v>
      </c>
      <c r="I1049" t="s">
        <v>23</v>
      </c>
      <c r="J1049" t="s">
        <v>78</v>
      </c>
      <c r="K1049" t="s">
        <v>40</v>
      </c>
      <c r="L1049">
        <v>1</v>
      </c>
      <c r="M1049" s="2">
        <v>69.44</v>
      </c>
      <c r="N1049" t="s">
        <v>61</v>
      </c>
      <c r="O1049" s="3">
        <v>8</v>
      </c>
      <c r="P1049" s="3">
        <v>0</v>
      </c>
      <c r="Q1049" s="2">
        <v>77.44</v>
      </c>
      <c r="R1049" t="s">
        <v>42</v>
      </c>
      <c r="S1049" t="s">
        <v>28</v>
      </c>
      <c r="T1049" t="s">
        <v>29</v>
      </c>
      <c r="U1049" t="s">
        <v>30</v>
      </c>
    </row>
    <row r="1050" spans="1:21" x14ac:dyDescent="0.35">
      <c r="A1050" t="s">
        <v>1129</v>
      </c>
      <c r="B1050" s="1">
        <v>46198</v>
      </c>
      <c r="C1050" t="str">
        <f>TEXT(tblData[[#This Row],[Rental Date]],"mmm")</f>
        <v>Jun</v>
      </c>
      <c r="D1050" t="str">
        <f>TEXT(tblData[[#This Row],[Rental Date]],"mmmm")</f>
        <v>June</v>
      </c>
      <c r="E1050" t="s">
        <v>21</v>
      </c>
      <c r="F1050" t="str">
        <f>TEXT(WEEKNUM(tblData[[#This Row],[Rental Date]]),"00")</f>
        <v>26</v>
      </c>
      <c r="G1050" s="1">
        <f>EOMONTH(tblData[[#This Row],[Rental Date]],0)</f>
        <v>46203</v>
      </c>
      <c r="H1050" t="s">
        <v>749</v>
      </c>
      <c r="I1050" t="s">
        <v>48</v>
      </c>
      <c r="J1050" t="s">
        <v>33</v>
      </c>
      <c r="K1050" t="s">
        <v>25</v>
      </c>
      <c r="L1050">
        <v>1</v>
      </c>
      <c r="M1050" s="2">
        <v>42.56</v>
      </c>
      <c r="N1050" t="s">
        <v>26</v>
      </c>
      <c r="O1050" s="3">
        <v>0</v>
      </c>
      <c r="P1050" s="3">
        <v>0</v>
      </c>
      <c r="Q1050" s="2">
        <v>42.56</v>
      </c>
      <c r="R1050" t="s">
        <v>57</v>
      </c>
      <c r="S1050" t="s">
        <v>28</v>
      </c>
      <c r="T1050" t="s">
        <v>83</v>
      </c>
      <c r="U1050" t="s">
        <v>30</v>
      </c>
    </row>
    <row r="1051" spans="1:21" x14ac:dyDescent="0.35">
      <c r="A1051" t="s">
        <v>1130</v>
      </c>
      <c r="B1051" s="1">
        <v>46199</v>
      </c>
      <c r="C1051" t="str">
        <f>TEXT(tblData[[#This Row],[Rental Date]],"mmm")</f>
        <v>Jun</v>
      </c>
      <c r="D1051" t="str">
        <f>TEXT(tblData[[#This Row],[Rental Date]],"mmmm")</f>
        <v>June</v>
      </c>
      <c r="E1051" t="s">
        <v>38</v>
      </c>
      <c r="F1051" t="str">
        <f>TEXT(WEEKNUM(tblData[[#This Row],[Rental Date]]),"00")</f>
        <v>26</v>
      </c>
      <c r="G1051" s="1">
        <f>EOMONTH(tblData[[#This Row],[Rental Date]],0)</f>
        <v>46203</v>
      </c>
      <c r="H1051" t="s">
        <v>749</v>
      </c>
      <c r="I1051" t="s">
        <v>39</v>
      </c>
      <c r="J1051" t="s">
        <v>78</v>
      </c>
      <c r="K1051" t="s">
        <v>40</v>
      </c>
      <c r="L1051">
        <v>1</v>
      </c>
      <c r="M1051" s="2">
        <v>69.44</v>
      </c>
      <c r="N1051" t="s">
        <v>26</v>
      </c>
      <c r="O1051" s="3">
        <v>0</v>
      </c>
      <c r="P1051" s="3">
        <v>0</v>
      </c>
      <c r="Q1051" s="2">
        <v>69.44</v>
      </c>
      <c r="R1051" t="s">
        <v>66</v>
      </c>
      <c r="S1051" t="s">
        <v>35</v>
      </c>
      <c r="T1051" t="s">
        <v>51</v>
      </c>
      <c r="U1051" t="s">
        <v>30</v>
      </c>
    </row>
    <row r="1052" spans="1:21" x14ac:dyDescent="0.35">
      <c r="A1052" t="s">
        <v>1131</v>
      </c>
      <c r="B1052" s="1">
        <v>46199</v>
      </c>
      <c r="C1052" t="str">
        <f>TEXT(tblData[[#This Row],[Rental Date]],"mmm")</f>
        <v>Jun</v>
      </c>
      <c r="D1052" t="str">
        <f>TEXT(tblData[[#This Row],[Rental Date]],"mmmm")</f>
        <v>June</v>
      </c>
      <c r="E1052" t="s">
        <v>38</v>
      </c>
      <c r="F1052" t="str">
        <f>TEXT(WEEKNUM(tblData[[#This Row],[Rental Date]]),"00")</f>
        <v>26</v>
      </c>
      <c r="G1052" s="1">
        <f>EOMONTH(tblData[[#This Row],[Rental Date]],0)</f>
        <v>46203</v>
      </c>
      <c r="H1052" t="s">
        <v>749</v>
      </c>
      <c r="I1052" t="s">
        <v>48</v>
      </c>
      <c r="J1052" t="s">
        <v>33</v>
      </c>
      <c r="K1052" t="s">
        <v>92</v>
      </c>
      <c r="L1052">
        <v>1</v>
      </c>
      <c r="M1052" s="2">
        <v>94.08</v>
      </c>
      <c r="N1052" t="s">
        <v>26</v>
      </c>
      <c r="O1052" s="3">
        <v>0</v>
      </c>
      <c r="P1052" s="3">
        <v>0</v>
      </c>
      <c r="Q1052" s="2">
        <v>94.08</v>
      </c>
      <c r="R1052" t="s">
        <v>71</v>
      </c>
      <c r="S1052" t="s">
        <v>50</v>
      </c>
      <c r="T1052" t="s">
        <v>51</v>
      </c>
      <c r="U1052" t="s">
        <v>58</v>
      </c>
    </row>
    <row r="1053" spans="1:21" x14ac:dyDescent="0.35">
      <c r="A1053" t="s">
        <v>1132</v>
      </c>
      <c r="B1053" s="1">
        <v>46199</v>
      </c>
      <c r="C1053" t="str">
        <f>TEXT(tblData[[#This Row],[Rental Date]],"mmm")</f>
        <v>Jun</v>
      </c>
      <c r="D1053" t="str">
        <f>TEXT(tblData[[#This Row],[Rental Date]],"mmmm")</f>
        <v>June</v>
      </c>
      <c r="E1053" t="s">
        <v>38</v>
      </c>
      <c r="F1053" t="str">
        <f>TEXT(WEEKNUM(tblData[[#This Row],[Rental Date]]),"00")</f>
        <v>26</v>
      </c>
      <c r="G1053" s="1">
        <f>EOMONTH(tblData[[#This Row],[Rental Date]],0)</f>
        <v>46203</v>
      </c>
      <c r="H1053" t="s">
        <v>749</v>
      </c>
      <c r="I1053" t="s">
        <v>39</v>
      </c>
      <c r="J1053" t="s">
        <v>127</v>
      </c>
      <c r="K1053" t="s">
        <v>60</v>
      </c>
      <c r="L1053">
        <v>1</v>
      </c>
      <c r="M1053" s="2">
        <v>11.2</v>
      </c>
      <c r="N1053" t="s">
        <v>26</v>
      </c>
      <c r="O1053" s="3">
        <v>0</v>
      </c>
      <c r="P1053" s="3">
        <v>0</v>
      </c>
      <c r="Q1053" s="2">
        <v>11.2</v>
      </c>
      <c r="R1053" t="s">
        <v>94</v>
      </c>
      <c r="S1053" t="s">
        <v>46</v>
      </c>
      <c r="T1053" t="s">
        <v>51</v>
      </c>
      <c r="U1053" t="s">
        <v>30</v>
      </c>
    </row>
    <row r="1054" spans="1:21" x14ac:dyDescent="0.35">
      <c r="A1054" t="s">
        <v>1133</v>
      </c>
      <c r="B1054" s="1">
        <v>46199</v>
      </c>
      <c r="C1054" t="str">
        <f>TEXT(tblData[[#This Row],[Rental Date]],"mmm")</f>
        <v>Jun</v>
      </c>
      <c r="D1054" t="str">
        <f>TEXT(tblData[[#This Row],[Rental Date]],"mmmm")</f>
        <v>June</v>
      </c>
      <c r="E1054" t="s">
        <v>38</v>
      </c>
      <c r="F1054" t="str">
        <f>TEXT(WEEKNUM(tblData[[#This Row],[Rental Date]]),"00")</f>
        <v>26</v>
      </c>
      <c r="G1054" s="1">
        <f>EOMONTH(tblData[[#This Row],[Rental Date]],0)</f>
        <v>46203</v>
      </c>
      <c r="H1054" t="s">
        <v>749</v>
      </c>
      <c r="I1054" t="s">
        <v>32</v>
      </c>
      <c r="J1054" t="s">
        <v>24</v>
      </c>
      <c r="K1054" t="s">
        <v>40</v>
      </c>
      <c r="L1054">
        <v>1</v>
      </c>
      <c r="M1054" s="2">
        <v>85.12</v>
      </c>
      <c r="N1054" t="s">
        <v>26</v>
      </c>
      <c r="O1054" s="3">
        <v>0</v>
      </c>
      <c r="P1054" s="3">
        <v>0</v>
      </c>
      <c r="Q1054" s="2">
        <v>85.12</v>
      </c>
      <c r="R1054" t="s">
        <v>71</v>
      </c>
      <c r="S1054" t="s">
        <v>54</v>
      </c>
      <c r="T1054" t="s">
        <v>29</v>
      </c>
      <c r="U1054" t="s">
        <v>30</v>
      </c>
    </row>
    <row r="1055" spans="1:21" x14ac:dyDescent="0.35">
      <c r="A1055" t="s">
        <v>1134</v>
      </c>
      <c r="B1055" s="1">
        <v>46199</v>
      </c>
      <c r="C1055" t="str">
        <f>TEXT(tblData[[#This Row],[Rental Date]],"mmm")</f>
        <v>Jun</v>
      </c>
      <c r="D1055" t="str">
        <f>TEXT(tblData[[#This Row],[Rental Date]],"mmmm")</f>
        <v>June</v>
      </c>
      <c r="E1055" t="s">
        <v>38</v>
      </c>
      <c r="F1055" t="str">
        <f>TEXT(WEEKNUM(tblData[[#This Row],[Rental Date]]),"00")</f>
        <v>26</v>
      </c>
      <c r="G1055" s="1">
        <f>EOMONTH(tblData[[#This Row],[Rental Date]],0)</f>
        <v>46203</v>
      </c>
      <c r="H1055" t="s">
        <v>749</v>
      </c>
      <c r="I1055" t="s">
        <v>32</v>
      </c>
      <c r="J1055" t="s">
        <v>49</v>
      </c>
      <c r="K1055" t="s">
        <v>92</v>
      </c>
      <c r="L1055">
        <v>1</v>
      </c>
      <c r="M1055" s="2">
        <v>85.12</v>
      </c>
      <c r="N1055" t="s">
        <v>61</v>
      </c>
      <c r="O1055" s="3">
        <v>8</v>
      </c>
      <c r="P1055" s="3">
        <v>4.66</v>
      </c>
      <c r="Q1055" s="2">
        <v>88.46</v>
      </c>
      <c r="R1055" t="s">
        <v>66</v>
      </c>
      <c r="S1055" t="s">
        <v>35</v>
      </c>
      <c r="T1055" t="s">
        <v>29</v>
      </c>
      <c r="U1055" t="s">
        <v>30</v>
      </c>
    </row>
    <row r="1056" spans="1:21" x14ac:dyDescent="0.35">
      <c r="A1056" t="s">
        <v>1135</v>
      </c>
      <c r="B1056" s="1">
        <v>46199</v>
      </c>
      <c r="C1056" t="str">
        <f>TEXT(tblData[[#This Row],[Rental Date]],"mmm")</f>
        <v>Jun</v>
      </c>
      <c r="D1056" t="str">
        <f>TEXT(tblData[[#This Row],[Rental Date]],"mmmm")</f>
        <v>June</v>
      </c>
      <c r="E1056" t="s">
        <v>38</v>
      </c>
      <c r="F1056" t="str">
        <f>TEXT(WEEKNUM(tblData[[#This Row],[Rental Date]]),"00")</f>
        <v>26</v>
      </c>
      <c r="G1056" s="1">
        <f>EOMONTH(tblData[[#This Row],[Rental Date]],0)</f>
        <v>46203</v>
      </c>
      <c r="H1056" t="s">
        <v>749</v>
      </c>
      <c r="I1056" t="s">
        <v>39</v>
      </c>
      <c r="J1056" t="s">
        <v>78</v>
      </c>
      <c r="K1056" t="s">
        <v>92</v>
      </c>
      <c r="L1056">
        <v>1</v>
      </c>
      <c r="M1056" s="2">
        <v>98.56</v>
      </c>
      <c r="N1056" t="s">
        <v>89</v>
      </c>
      <c r="O1056" s="3">
        <v>6</v>
      </c>
      <c r="P1056" s="3">
        <v>0</v>
      </c>
      <c r="Q1056" s="2">
        <v>104.56</v>
      </c>
      <c r="R1056" t="s">
        <v>66</v>
      </c>
      <c r="S1056" t="s">
        <v>54</v>
      </c>
      <c r="T1056" t="s">
        <v>90</v>
      </c>
      <c r="U1056" t="s">
        <v>30</v>
      </c>
    </row>
    <row r="1057" spans="1:21" x14ac:dyDescent="0.35">
      <c r="A1057" t="s">
        <v>1136</v>
      </c>
      <c r="B1057" s="1">
        <v>46199</v>
      </c>
      <c r="C1057" t="str">
        <f>TEXT(tblData[[#This Row],[Rental Date]],"mmm")</f>
        <v>Jun</v>
      </c>
      <c r="D1057" t="str">
        <f>TEXT(tblData[[#This Row],[Rental Date]],"mmmm")</f>
        <v>June</v>
      </c>
      <c r="E1057" t="s">
        <v>38</v>
      </c>
      <c r="F1057" t="str">
        <f>TEXT(WEEKNUM(tblData[[#This Row],[Rental Date]]),"00")</f>
        <v>26</v>
      </c>
      <c r="G1057" s="1">
        <f>EOMONTH(tblData[[#This Row],[Rental Date]],0)</f>
        <v>46203</v>
      </c>
      <c r="H1057" t="s">
        <v>749</v>
      </c>
      <c r="I1057" t="s">
        <v>48</v>
      </c>
      <c r="J1057" t="s">
        <v>78</v>
      </c>
      <c r="K1057" t="s">
        <v>25</v>
      </c>
      <c r="L1057">
        <v>1</v>
      </c>
      <c r="M1057" s="2">
        <v>47.04</v>
      </c>
      <c r="N1057" t="s">
        <v>89</v>
      </c>
      <c r="O1057" s="3">
        <v>6</v>
      </c>
      <c r="P1057" s="3">
        <v>0</v>
      </c>
      <c r="Q1057" s="2">
        <v>53.04</v>
      </c>
      <c r="R1057" t="s">
        <v>94</v>
      </c>
      <c r="S1057" t="s">
        <v>46</v>
      </c>
      <c r="T1057" t="s">
        <v>90</v>
      </c>
      <c r="U1057" t="s">
        <v>30</v>
      </c>
    </row>
    <row r="1058" spans="1:21" x14ac:dyDescent="0.35">
      <c r="A1058" t="s">
        <v>1137</v>
      </c>
      <c r="B1058" s="1">
        <v>46199</v>
      </c>
      <c r="C1058" t="str">
        <f>TEXT(tblData[[#This Row],[Rental Date]],"mmm")</f>
        <v>Jun</v>
      </c>
      <c r="D1058" t="str">
        <f>TEXT(tblData[[#This Row],[Rental Date]],"mmmm")</f>
        <v>June</v>
      </c>
      <c r="E1058" t="s">
        <v>38</v>
      </c>
      <c r="F1058" t="str">
        <f>TEXT(WEEKNUM(tblData[[#This Row],[Rental Date]]),"00")</f>
        <v>26</v>
      </c>
      <c r="G1058" s="1">
        <f>EOMONTH(tblData[[#This Row],[Rental Date]],0)</f>
        <v>46203</v>
      </c>
      <c r="H1058" t="s">
        <v>749</v>
      </c>
      <c r="I1058" t="s">
        <v>48</v>
      </c>
      <c r="J1058" t="s">
        <v>65</v>
      </c>
      <c r="K1058" t="s">
        <v>60</v>
      </c>
      <c r="L1058">
        <v>1</v>
      </c>
      <c r="M1058" s="2">
        <v>13.44</v>
      </c>
      <c r="N1058" t="s">
        <v>70</v>
      </c>
      <c r="O1058" s="3">
        <v>7</v>
      </c>
      <c r="P1058" s="3">
        <v>0</v>
      </c>
      <c r="Q1058" s="2">
        <v>20.440000000000001</v>
      </c>
      <c r="R1058" t="s">
        <v>27</v>
      </c>
      <c r="S1058" t="s">
        <v>50</v>
      </c>
      <c r="T1058" t="s">
        <v>29</v>
      </c>
      <c r="U1058" t="s">
        <v>30</v>
      </c>
    </row>
    <row r="1059" spans="1:21" x14ac:dyDescent="0.35">
      <c r="A1059" t="s">
        <v>1138</v>
      </c>
      <c r="B1059" s="1">
        <v>46199</v>
      </c>
      <c r="C1059" t="str">
        <f>TEXT(tblData[[#This Row],[Rental Date]],"mmm")</f>
        <v>Jun</v>
      </c>
      <c r="D1059" t="str">
        <f>TEXT(tblData[[#This Row],[Rental Date]],"mmmm")</f>
        <v>June</v>
      </c>
      <c r="E1059" t="s">
        <v>38</v>
      </c>
      <c r="F1059" t="str">
        <f>TEXT(WEEKNUM(tblData[[#This Row],[Rental Date]]),"00")</f>
        <v>26</v>
      </c>
      <c r="G1059" s="1">
        <f>EOMONTH(tblData[[#This Row],[Rental Date]],0)</f>
        <v>46203</v>
      </c>
      <c r="H1059" t="s">
        <v>749</v>
      </c>
      <c r="I1059" t="s">
        <v>39</v>
      </c>
      <c r="J1059" t="s">
        <v>111</v>
      </c>
      <c r="K1059" t="s">
        <v>60</v>
      </c>
      <c r="L1059">
        <v>1</v>
      </c>
      <c r="M1059" s="2">
        <v>15.68</v>
      </c>
      <c r="N1059" t="s">
        <v>89</v>
      </c>
      <c r="O1059" s="3">
        <v>6</v>
      </c>
      <c r="P1059" s="3">
        <v>0</v>
      </c>
      <c r="Q1059" s="2">
        <v>21.68</v>
      </c>
      <c r="R1059" t="s">
        <v>94</v>
      </c>
      <c r="S1059" t="s">
        <v>50</v>
      </c>
      <c r="T1059" t="s">
        <v>51</v>
      </c>
      <c r="U1059" t="s">
        <v>30</v>
      </c>
    </row>
    <row r="1060" spans="1:21" x14ac:dyDescent="0.35">
      <c r="A1060" t="s">
        <v>1139</v>
      </c>
      <c r="B1060" s="1">
        <v>46199</v>
      </c>
      <c r="C1060" t="str">
        <f>TEXT(tblData[[#This Row],[Rental Date]],"mmm")</f>
        <v>Jun</v>
      </c>
      <c r="D1060" t="str">
        <f>TEXT(tblData[[#This Row],[Rental Date]],"mmmm")</f>
        <v>June</v>
      </c>
      <c r="E1060" t="s">
        <v>38</v>
      </c>
      <c r="F1060" t="str">
        <f>TEXT(WEEKNUM(tblData[[#This Row],[Rental Date]]),"00")</f>
        <v>26</v>
      </c>
      <c r="G1060" s="1">
        <f>EOMONTH(tblData[[#This Row],[Rental Date]],0)</f>
        <v>46203</v>
      </c>
      <c r="H1060" t="s">
        <v>749</v>
      </c>
      <c r="I1060" t="s">
        <v>48</v>
      </c>
      <c r="J1060" t="s">
        <v>33</v>
      </c>
      <c r="K1060" t="s">
        <v>40</v>
      </c>
      <c r="L1060">
        <v>1</v>
      </c>
      <c r="M1060" s="2">
        <v>64.959999999999994</v>
      </c>
      <c r="N1060" t="s">
        <v>41</v>
      </c>
      <c r="O1060" s="3">
        <v>5</v>
      </c>
      <c r="P1060" s="3">
        <v>0</v>
      </c>
      <c r="Q1060" s="2">
        <v>69.959999999999994</v>
      </c>
      <c r="R1060" t="s">
        <v>94</v>
      </c>
      <c r="S1060" t="s">
        <v>54</v>
      </c>
      <c r="T1060" t="s">
        <v>29</v>
      </c>
      <c r="U1060" t="s">
        <v>30</v>
      </c>
    </row>
    <row r="1061" spans="1:21" x14ac:dyDescent="0.35">
      <c r="A1061" t="s">
        <v>1140</v>
      </c>
      <c r="B1061" s="1">
        <v>46199</v>
      </c>
      <c r="C1061" t="str">
        <f>TEXT(tblData[[#This Row],[Rental Date]],"mmm")</f>
        <v>Jun</v>
      </c>
      <c r="D1061" t="str">
        <f>TEXT(tblData[[#This Row],[Rental Date]],"mmmm")</f>
        <v>June</v>
      </c>
      <c r="E1061" t="s">
        <v>38</v>
      </c>
      <c r="F1061" t="str">
        <f>TEXT(WEEKNUM(tblData[[#This Row],[Rental Date]]),"00")</f>
        <v>26</v>
      </c>
      <c r="G1061" s="1">
        <f>EOMONTH(tblData[[#This Row],[Rental Date]],0)</f>
        <v>46203</v>
      </c>
      <c r="H1061" t="s">
        <v>749</v>
      </c>
      <c r="I1061" t="s">
        <v>48</v>
      </c>
      <c r="J1061" t="s">
        <v>49</v>
      </c>
      <c r="K1061" t="s">
        <v>25</v>
      </c>
      <c r="L1061">
        <v>1</v>
      </c>
      <c r="M1061" s="2">
        <v>40.32</v>
      </c>
      <c r="N1061" t="s">
        <v>70</v>
      </c>
      <c r="O1061" s="3">
        <v>7</v>
      </c>
      <c r="P1061" s="3">
        <v>0</v>
      </c>
      <c r="Q1061" s="2">
        <v>47.32</v>
      </c>
      <c r="R1061" t="s">
        <v>71</v>
      </c>
      <c r="S1061" t="s">
        <v>35</v>
      </c>
      <c r="T1061" t="s">
        <v>51</v>
      </c>
      <c r="U1061" t="s">
        <v>30</v>
      </c>
    </row>
    <row r="1062" spans="1:21" x14ac:dyDescent="0.35">
      <c r="A1062" t="s">
        <v>1141</v>
      </c>
      <c r="B1062" s="1">
        <v>46199</v>
      </c>
      <c r="C1062" t="str">
        <f>TEXT(tblData[[#This Row],[Rental Date]],"mmm")</f>
        <v>Jun</v>
      </c>
      <c r="D1062" t="str">
        <f>TEXT(tblData[[#This Row],[Rental Date]],"mmmm")</f>
        <v>June</v>
      </c>
      <c r="E1062" t="s">
        <v>38</v>
      </c>
      <c r="F1062" t="str">
        <f>TEXT(WEEKNUM(tblData[[#This Row],[Rental Date]]),"00")</f>
        <v>26</v>
      </c>
      <c r="G1062" s="1">
        <f>EOMONTH(tblData[[#This Row],[Rental Date]],0)</f>
        <v>46203</v>
      </c>
      <c r="H1062" t="s">
        <v>749</v>
      </c>
      <c r="I1062" t="s">
        <v>39</v>
      </c>
      <c r="J1062" t="s">
        <v>127</v>
      </c>
      <c r="K1062" t="s">
        <v>60</v>
      </c>
      <c r="L1062">
        <v>1</v>
      </c>
      <c r="M1062" s="2">
        <v>11.2</v>
      </c>
      <c r="N1062" t="s">
        <v>75</v>
      </c>
      <c r="O1062" s="3">
        <v>12</v>
      </c>
      <c r="P1062" s="3">
        <v>0</v>
      </c>
      <c r="Q1062" s="2">
        <v>23.2</v>
      </c>
      <c r="R1062" t="s">
        <v>76</v>
      </c>
      <c r="S1062" t="s">
        <v>35</v>
      </c>
      <c r="T1062" t="s">
        <v>51</v>
      </c>
      <c r="U1062" t="s">
        <v>30</v>
      </c>
    </row>
    <row r="1063" spans="1:21" x14ac:dyDescent="0.35">
      <c r="A1063" t="s">
        <v>1142</v>
      </c>
      <c r="B1063" s="1">
        <v>46199</v>
      </c>
      <c r="C1063" t="str">
        <f>TEXT(tblData[[#This Row],[Rental Date]],"mmm")</f>
        <v>Jun</v>
      </c>
      <c r="D1063" t="str">
        <f>TEXT(tblData[[#This Row],[Rental Date]],"mmmm")</f>
        <v>June</v>
      </c>
      <c r="E1063" t="s">
        <v>38</v>
      </c>
      <c r="F1063" t="str">
        <f>TEXT(WEEKNUM(tblData[[#This Row],[Rental Date]]),"00")</f>
        <v>26</v>
      </c>
      <c r="G1063" s="1">
        <f>EOMONTH(tblData[[#This Row],[Rental Date]],0)</f>
        <v>46203</v>
      </c>
      <c r="H1063" t="s">
        <v>749</v>
      </c>
      <c r="I1063" t="s">
        <v>53</v>
      </c>
      <c r="J1063" t="s">
        <v>44</v>
      </c>
      <c r="K1063" t="s">
        <v>60</v>
      </c>
      <c r="L1063">
        <v>1</v>
      </c>
      <c r="M1063" s="2">
        <v>38.08</v>
      </c>
      <c r="N1063" t="s">
        <v>26</v>
      </c>
      <c r="O1063" s="3">
        <v>0</v>
      </c>
      <c r="P1063" s="3">
        <v>5.71</v>
      </c>
      <c r="Q1063" s="2">
        <v>32.369999999999997</v>
      </c>
      <c r="R1063" t="s">
        <v>71</v>
      </c>
      <c r="S1063" t="s">
        <v>50</v>
      </c>
      <c r="T1063" t="s">
        <v>90</v>
      </c>
      <c r="U1063" t="s">
        <v>30</v>
      </c>
    </row>
    <row r="1064" spans="1:21" x14ac:dyDescent="0.35">
      <c r="A1064" t="s">
        <v>1143</v>
      </c>
      <c r="B1064" s="1">
        <v>46199</v>
      </c>
      <c r="C1064" t="str">
        <f>TEXT(tblData[[#This Row],[Rental Date]],"mmm")</f>
        <v>Jun</v>
      </c>
      <c r="D1064" t="str">
        <f>TEXT(tblData[[#This Row],[Rental Date]],"mmmm")</f>
        <v>June</v>
      </c>
      <c r="E1064" t="s">
        <v>38</v>
      </c>
      <c r="F1064" t="str">
        <f>TEXT(WEEKNUM(tblData[[#This Row],[Rental Date]]),"00")</f>
        <v>26</v>
      </c>
      <c r="G1064" s="1">
        <f>EOMONTH(tblData[[#This Row],[Rental Date]],0)</f>
        <v>46203</v>
      </c>
      <c r="H1064" t="s">
        <v>749</v>
      </c>
      <c r="I1064" t="s">
        <v>48</v>
      </c>
      <c r="J1064" t="s">
        <v>111</v>
      </c>
      <c r="K1064" t="s">
        <v>60</v>
      </c>
      <c r="L1064">
        <v>1</v>
      </c>
      <c r="M1064" s="2">
        <v>15.68</v>
      </c>
      <c r="N1064" t="s">
        <v>26</v>
      </c>
      <c r="O1064" s="3">
        <v>0</v>
      </c>
      <c r="P1064" s="3">
        <v>0</v>
      </c>
      <c r="Q1064" s="2">
        <v>15.68</v>
      </c>
      <c r="R1064" t="s">
        <v>45</v>
      </c>
      <c r="S1064" t="s">
        <v>28</v>
      </c>
      <c r="T1064" t="s">
        <v>29</v>
      </c>
      <c r="U1064" t="s">
        <v>30</v>
      </c>
    </row>
    <row r="1065" spans="1:21" x14ac:dyDescent="0.35">
      <c r="A1065" t="s">
        <v>1144</v>
      </c>
      <c r="B1065" s="1">
        <v>46200</v>
      </c>
      <c r="C1065" t="str">
        <f>TEXT(tblData[[#This Row],[Rental Date]],"mmm")</f>
        <v>Jun</v>
      </c>
      <c r="D1065" t="str">
        <f>TEXT(tblData[[#This Row],[Rental Date]],"mmmm")</f>
        <v>June</v>
      </c>
      <c r="E1065" t="s">
        <v>56</v>
      </c>
      <c r="F1065" t="str">
        <f>TEXT(WEEKNUM(tblData[[#This Row],[Rental Date]]),"00")</f>
        <v>26</v>
      </c>
      <c r="G1065" s="1">
        <f>EOMONTH(tblData[[#This Row],[Rental Date]],0)</f>
        <v>46203</v>
      </c>
      <c r="H1065" t="s">
        <v>749</v>
      </c>
      <c r="I1065" t="s">
        <v>48</v>
      </c>
      <c r="J1065" t="s">
        <v>44</v>
      </c>
      <c r="K1065" t="s">
        <v>25</v>
      </c>
      <c r="L1065">
        <v>1</v>
      </c>
      <c r="M1065" s="2">
        <v>62.4</v>
      </c>
      <c r="N1065" t="s">
        <v>75</v>
      </c>
      <c r="O1065" s="3">
        <v>12</v>
      </c>
      <c r="P1065" s="3">
        <v>0</v>
      </c>
      <c r="Q1065" s="2">
        <v>74.400000000000006</v>
      </c>
      <c r="R1065" t="s">
        <v>76</v>
      </c>
      <c r="S1065" t="s">
        <v>28</v>
      </c>
      <c r="T1065" t="s">
        <v>29</v>
      </c>
      <c r="U1065" t="s">
        <v>30</v>
      </c>
    </row>
    <row r="1066" spans="1:21" x14ac:dyDescent="0.35">
      <c r="A1066" t="s">
        <v>1145</v>
      </c>
      <c r="B1066" s="1">
        <v>46200</v>
      </c>
      <c r="C1066" t="str">
        <f>TEXT(tblData[[#This Row],[Rental Date]],"mmm")</f>
        <v>Jun</v>
      </c>
      <c r="D1066" t="str">
        <f>TEXT(tblData[[#This Row],[Rental Date]],"mmmm")</f>
        <v>June</v>
      </c>
      <c r="E1066" t="s">
        <v>56</v>
      </c>
      <c r="F1066" t="str">
        <f>TEXT(WEEKNUM(tblData[[#This Row],[Rental Date]]),"00")</f>
        <v>26</v>
      </c>
      <c r="G1066" s="1">
        <f>EOMONTH(tblData[[#This Row],[Rental Date]],0)</f>
        <v>46203</v>
      </c>
      <c r="H1066" t="s">
        <v>749</v>
      </c>
      <c r="I1066" t="s">
        <v>53</v>
      </c>
      <c r="J1066" t="s">
        <v>138</v>
      </c>
      <c r="K1066" t="s">
        <v>40</v>
      </c>
      <c r="L1066">
        <v>1</v>
      </c>
      <c r="M1066" s="2">
        <v>86.4</v>
      </c>
      <c r="N1066" t="s">
        <v>70</v>
      </c>
      <c r="O1066" s="3">
        <v>7</v>
      </c>
      <c r="P1066" s="3">
        <v>9.34</v>
      </c>
      <c r="Q1066" s="2">
        <v>84.06</v>
      </c>
      <c r="R1066" t="s">
        <v>94</v>
      </c>
      <c r="S1066" t="s">
        <v>54</v>
      </c>
      <c r="T1066" t="s">
        <v>29</v>
      </c>
      <c r="U1066" t="s">
        <v>30</v>
      </c>
    </row>
    <row r="1067" spans="1:21" x14ac:dyDescent="0.35">
      <c r="A1067" t="s">
        <v>1146</v>
      </c>
      <c r="B1067" s="1">
        <v>46200</v>
      </c>
      <c r="C1067" t="str">
        <f>TEXT(tblData[[#This Row],[Rental Date]],"mmm")</f>
        <v>Jun</v>
      </c>
      <c r="D1067" t="str">
        <f>TEXT(tblData[[#This Row],[Rental Date]],"mmmm")</f>
        <v>June</v>
      </c>
      <c r="E1067" t="s">
        <v>56</v>
      </c>
      <c r="F1067" t="str">
        <f>TEXT(WEEKNUM(tblData[[#This Row],[Rental Date]]),"00")</f>
        <v>26</v>
      </c>
      <c r="G1067" s="1">
        <f>EOMONTH(tblData[[#This Row],[Rental Date]],0)</f>
        <v>46203</v>
      </c>
      <c r="H1067" t="s">
        <v>749</v>
      </c>
      <c r="I1067" t="s">
        <v>32</v>
      </c>
      <c r="J1067" t="s">
        <v>44</v>
      </c>
      <c r="K1067" t="s">
        <v>25</v>
      </c>
      <c r="L1067">
        <v>1</v>
      </c>
      <c r="M1067" s="2">
        <v>62.4</v>
      </c>
      <c r="N1067" t="s">
        <v>26</v>
      </c>
      <c r="O1067" s="3">
        <v>0</v>
      </c>
      <c r="P1067" s="3">
        <v>6.24</v>
      </c>
      <c r="Q1067" s="2">
        <v>56.16</v>
      </c>
      <c r="R1067" t="s">
        <v>76</v>
      </c>
      <c r="S1067" t="s">
        <v>28</v>
      </c>
      <c r="T1067" t="s">
        <v>29</v>
      </c>
      <c r="U1067" t="s">
        <v>58</v>
      </c>
    </row>
    <row r="1068" spans="1:21" x14ac:dyDescent="0.35">
      <c r="A1068" t="s">
        <v>1147</v>
      </c>
      <c r="B1068" s="1">
        <v>46200</v>
      </c>
      <c r="C1068" t="str">
        <f>TEXT(tblData[[#This Row],[Rental Date]],"mmm")</f>
        <v>Jun</v>
      </c>
      <c r="D1068" t="str">
        <f>TEXT(tblData[[#This Row],[Rental Date]],"mmmm")</f>
        <v>June</v>
      </c>
      <c r="E1068" t="s">
        <v>56</v>
      </c>
      <c r="F1068" t="str">
        <f>TEXT(WEEKNUM(tblData[[#This Row],[Rental Date]]),"00")</f>
        <v>26</v>
      </c>
      <c r="G1068" s="1">
        <f>EOMONTH(tblData[[#This Row],[Rental Date]],0)</f>
        <v>46203</v>
      </c>
      <c r="H1068" t="s">
        <v>749</v>
      </c>
      <c r="I1068" t="s">
        <v>23</v>
      </c>
      <c r="J1068" t="s">
        <v>65</v>
      </c>
      <c r="K1068" t="s">
        <v>60</v>
      </c>
      <c r="L1068">
        <v>1</v>
      </c>
      <c r="M1068" s="2">
        <v>14.4</v>
      </c>
      <c r="N1068" t="s">
        <v>26</v>
      </c>
      <c r="O1068" s="3">
        <v>0</v>
      </c>
      <c r="P1068" s="3">
        <v>0</v>
      </c>
      <c r="Q1068" s="2">
        <v>14.4</v>
      </c>
      <c r="R1068" t="s">
        <v>45</v>
      </c>
      <c r="S1068" t="s">
        <v>46</v>
      </c>
      <c r="T1068" t="s">
        <v>63</v>
      </c>
      <c r="U1068" t="s">
        <v>30</v>
      </c>
    </row>
    <row r="1069" spans="1:21" x14ac:dyDescent="0.35">
      <c r="A1069" t="s">
        <v>1148</v>
      </c>
      <c r="B1069" s="1">
        <v>46200</v>
      </c>
      <c r="C1069" t="str">
        <f>TEXT(tblData[[#This Row],[Rental Date]],"mmm")</f>
        <v>Jun</v>
      </c>
      <c r="D1069" t="str">
        <f>TEXT(tblData[[#This Row],[Rental Date]],"mmmm")</f>
        <v>June</v>
      </c>
      <c r="E1069" t="s">
        <v>56</v>
      </c>
      <c r="F1069" t="str">
        <f>TEXT(WEEKNUM(tblData[[#This Row],[Rental Date]]),"00")</f>
        <v>26</v>
      </c>
      <c r="G1069" s="1">
        <f>EOMONTH(tblData[[#This Row],[Rental Date]],0)</f>
        <v>46203</v>
      </c>
      <c r="H1069" t="s">
        <v>749</v>
      </c>
      <c r="I1069" t="s">
        <v>39</v>
      </c>
      <c r="J1069" t="s">
        <v>49</v>
      </c>
      <c r="K1069" t="s">
        <v>25</v>
      </c>
      <c r="L1069">
        <v>1</v>
      </c>
      <c r="M1069" s="2">
        <v>43.2</v>
      </c>
      <c r="N1069" t="s">
        <v>41</v>
      </c>
      <c r="O1069" s="3">
        <v>5</v>
      </c>
      <c r="P1069" s="3">
        <v>0</v>
      </c>
      <c r="Q1069" s="2">
        <v>48.2</v>
      </c>
      <c r="R1069" t="s">
        <v>76</v>
      </c>
      <c r="S1069" t="s">
        <v>46</v>
      </c>
      <c r="T1069" t="s">
        <v>29</v>
      </c>
      <c r="U1069" t="s">
        <v>30</v>
      </c>
    </row>
    <row r="1070" spans="1:21" x14ac:dyDescent="0.35">
      <c r="A1070" t="s">
        <v>1149</v>
      </c>
      <c r="B1070" s="1">
        <v>46200</v>
      </c>
      <c r="C1070" t="str">
        <f>TEXT(tblData[[#This Row],[Rental Date]],"mmm")</f>
        <v>Jun</v>
      </c>
      <c r="D1070" t="str">
        <f>TEXT(tblData[[#This Row],[Rental Date]],"mmmm")</f>
        <v>June</v>
      </c>
      <c r="E1070" t="s">
        <v>56</v>
      </c>
      <c r="F1070" t="str">
        <f>TEXT(WEEKNUM(tblData[[#This Row],[Rental Date]]),"00")</f>
        <v>26</v>
      </c>
      <c r="G1070" s="1">
        <f>EOMONTH(tblData[[#This Row],[Rental Date]],0)</f>
        <v>46203</v>
      </c>
      <c r="H1070" t="s">
        <v>749</v>
      </c>
      <c r="I1070" t="s">
        <v>48</v>
      </c>
      <c r="J1070" t="s">
        <v>33</v>
      </c>
      <c r="K1070" t="s">
        <v>40</v>
      </c>
      <c r="L1070">
        <v>1</v>
      </c>
      <c r="M1070" s="2">
        <v>69.599999999999994</v>
      </c>
      <c r="N1070" t="s">
        <v>89</v>
      </c>
      <c r="O1070" s="3">
        <v>6</v>
      </c>
      <c r="P1070" s="3">
        <v>0</v>
      </c>
      <c r="Q1070" s="2">
        <v>75.599999999999994</v>
      </c>
      <c r="R1070" t="s">
        <v>71</v>
      </c>
      <c r="S1070" t="s">
        <v>54</v>
      </c>
      <c r="T1070" t="s">
        <v>29</v>
      </c>
      <c r="U1070" t="s">
        <v>30</v>
      </c>
    </row>
    <row r="1071" spans="1:21" x14ac:dyDescent="0.35">
      <c r="A1071" t="s">
        <v>1150</v>
      </c>
      <c r="B1071" s="1">
        <v>46200</v>
      </c>
      <c r="C1071" t="str">
        <f>TEXT(tblData[[#This Row],[Rental Date]],"mmm")</f>
        <v>Jun</v>
      </c>
      <c r="D1071" t="str">
        <f>TEXT(tblData[[#This Row],[Rental Date]],"mmmm")</f>
        <v>June</v>
      </c>
      <c r="E1071" t="s">
        <v>56</v>
      </c>
      <c r="F1071" t="str">
        <f>TEXT(WEEKNUM(tblData[[#This Row],[Rental Date]]),"00")</f>
        <v>26</v>
      </c>
      <c r="G1071" s="1">
        <f>EOMONTH(tblData[[#This Row],[Rental Date]],0)</f>
        <v>46203</v>
      </c>
      <c r="H1071" t="s">
        <v>749</v>
      </c>
      <c r="I1071" t="s">
        <v>23</v>
      </c>
      <c r="J1071" t="s">
        <v>86</v>
      </c>
      <c r="K1071" t="s">
        <v>60</v>
      </c>
      <c r="L1071">
        <v>1</v>
      </c>
      <c r="M1071" s="2">
        <v>43.2</v>
      </c>
      <c r="N1071" t="s">
        <v>26</v>
      </c>
      <c r="O1071" s="3">
        <v>0</v>
      </c>
      <c r="P1071" s="3">
        <v>0</v>
      </c>
      <c r="Q1071" s="2">
        <v>43.2</v>
      </c>
      <c r="R1071" t="s">
        <v>57</v>
      </c>
      <c r="S1071" t="s">
        <v>35</v>
      </c>
      <c r="T1071" t="s">
        <v>51</v>
      </c>
      <c r="U1071" t="s">
        <v>30</v>
      </c>
    </row>
    <row r="1072" spans="1:21" x14ac:dyDescent="0.35">
      <c r="A1072" t="s">
        <v>1151</v>
      </c>
      <c r="B1072" s="1">
        <v>46200</v>
      </c>
      <c r="C1072" t="str">
        <f>TEXT(tblData[[#This Row],[Rental Date]],"mmm")</f>
        <v>Jun</v>
      </c>
      <c r="D1072" t="str">
        <f>TEXT(tblData[[#This Row],[Rental Date]],"mmmm")</f>
        <v>June</v>
      </c>
      <c r="E1072" t="s">
        <v>56</v>
      </c>
      <c r="F1072" t="str">
        <f>TEXT(WEEKNUM(tblData[[#This Row],[Rental Date]]),"00")</f>
        <v>26</v>
      </c>
      <c r="G1072" s="1">
        <f>EOMONTH(tblData[[#This Row],[Rental Date]],0)</f>
        <v>46203</v>
      </c>
      <c r="H1072" t="s">
        <v>749</v>
      </c>
      <c r="I1072" t="s">
        <v>39</v>
      </c>
      <c r="J1072" t="s">
        <v>33</v>
      </c>
      <c r="K1072" t="s">
        <v>92</v>
      </c>
      <c r="L1072">
        <v>1</v>
      </c>
      <c r="M1072" s="2">
        <v>100.8</v>
      </c>
      <c r="N1072" t="s">
        <v>26</v>
      </c>
      <c r="O1072" s="3">
        <v>0</v>
      </c>
      <c r="P1072" s="3">
        <v>0</v>
      </c>
      <c r="Q1072" s="2">
        <v>100.8</v>
      </c>
      <c r="R1072" t="s">
        <v>27</v>
      </c>
      <c r="S1072" t="s">
        <v>46</v>
      </c>
      <c r="T1072" t="s">
        <v>29</v>
      </c>
      <c r="U1072" t="s">
        <v>30</v>
      </c>
    </row>
    <row r="1073" spans="1:21" x14ac:dyDescent="0.35">
      <c r="A1073" t="s">
        <v>1152</v>
      </c>
      <c r="B1073" s="1">
        <v>46200</v>
      </c>
      <c r="C1073" t="str">
        <f>TEXT(tblData[[#This Row],[Rental Date]],"mmm")</f>
        <v>Jun</v>
      </c>
      <c r="D1073" t="str">
        <f>TEXT(tblData[[#This Row],[Rental Date]],"mmmm")</f>
        <v>June</v>
      </c>
      <c r="E1073" t="s">
        <v>56</v>
      </c>
      <c r="F1073" t="str">
        <f>TEXT(WEEKNUM(tblData[[#This Row],[Rental Date]]),"00")</f>
        <v>26</v>
      </c>
      <c r="G1073" s="1">
        <f>EOMONTH(tblData[[#This Row],[Rental Date]],0)</f>
        <v>46203</v>
      </c>
      <c r="H1073" t="s">
        <v>749</v>
      </c>
      <c r="I1073" t="s">
        <v>39</v>
      </c>
      <c r="J1073" t="s">
        <v>33</v>
      </c>
      <c r="K1073" t="s">
        <v>25</v>
      </c>
      <c r="L1073">
        <v>1</v>
      </c>
      <c r="M1073" s="2">
        <v>45.6</v>
      </c>
      <c r="N1073" t="s">
        <v>41</v>
      </c>
      <c r="O1073" s="3">
        <v>5</v>
      </c>
      <c r="P1073" s="3">
        <v>0</v>
      </c>
      <c r="Q1073" s="2">
        <v>50.6</v>
      </c>
      <c r="R1073" t="s">
        <v>71</v>
      </c>
      <c r="S1073" t="s">
        <v>50</v>
      </c>
      <c r="T1073" t="s">
        <v>63</v>
      </c>
      <c r="U1073" t="s">
        <v>30</v>
      </c>
    </row>
    <row r="1074" spans="1:21" x14ac:dyDescent="0.35">
      <c r="A1074" t="s">
        <v>1153</v>
      </c>
      <c r="B1074" s="1">
        <v>46200</v>
      </c>
      <c r="C1074" t="str">
        <f>TEXT(tblData[[#This Row],[Rental Date]],"mmm")</f>
        <v>Jun</v>
      </c>
      <c r="D1074" t="str">
        <f>TEXT(tblData[[#This Row],[Rental Date]],"mmmm")</f>
        <v>June</v>
      </c>
      <c r="E1074" t="s">
        <v>56</v>
      </c>
      <c r="F1074" t="str">
        <f>TEXT(WEEKNUM(tblData[[#This Row],[Rental Date]]),"00")</f>
        <v>26</v>
      </c>
      <c r="G1074" s="1">
        <f>EOMONTH(tblData[[#This Row],[Rental Date]],0)</f>
        <v>46203</v>
      </c>
      <c r="H1074" t="s">
        <v>749</v>
      </c>
      <c r="I1074" t="s">
        <v>39</v>
      </c>
      <c r="J1074" t="s">
        <v>44</v>
      </c>
      <c r="K1074" t="s">
        <v>60</v>
      </c>
      <c r="L1074">
        <v>1</v>
      </c>
      <c r="M1074" s="2">
        <v>40.799999999999997</v>
      </c>
      <c r="N1074" t="s">
        <v>70</v>
      </c>
      <c r="O1074" s="3">
        <v>7</v>
      </c>
      <c r="P1074" s="3">
        <v>0</v>
      </c>
      <c r="Q1074" s="2">
        <v>47.8</v>
      </c>
      <c r="R1074" t="s">
        <v>66</v>
      </c>
      <c r="S1074" t="s">
        <v>46</v>
      </c>
      <c r="T1074" t="s">
        <v>29</v>
      </c>
      <c r="U1074" t="s">
        <v>30</v>
      </c>
    </row>
    <row r="1075" spans="1:21" x14ac:dyDescent="0.35">
      <c r="A1075" t="s">
        <v>1154</v>
      </c>
      <c r="B1075" s="1">
        <v>46200</v>
      </c>
      <c r="C1075" t="str">
        <f>TEXT(tblData[[#This Row],[Rental Date]],"mmm")</f>
        <v>Jun</v>
      </c>
      <c r="D1075" t="str">
        <f>TEXT(tblData[[#This Row],[Rental Date]],"mmmm")</f>
        <v>June</v>
      </c>
      <c r="E1075" t="s">
        <v>56</v>
      </c>
      <c r="F1075" t="str">
        <f>TEXT(WEEKNUM(tblData[[#This Row],[Rental Date]]),"00")</f>
        <v>26</v>
      </c>
      <c r="G1075" s="1">
        <f>EOMONTH(tblData[[#This Row],[Rental Date]],0)</f>
        <v>46203</v>
      </c>
      <c r="H1075" t="s">
        <v>749</v>
      </c>
      <c r="I1075" t="s">
        <v>48</v>
      </c>
      <c r="J1075" t="s">
        <v>49</v>
      </c>
      <c r="K1075" t="s">
        <v>25</v>
      </c>
      <c r="L1075">
        <v>1</v>
      </c>
      <c r="M1075" s="2">
        <v>43.2</v>
      </c>
      <c r="N1075" t="s">
        <v>26</v>
      </c>
      <c r="O1075" s="3">
        <v>0</v>
      </c>
      <c r="P1075" s="3">
        <v>0</v>
      </c>
      <c r="Q1075" s="2">
        <v>43.2</v>
      </c>
      <c r="R1075" t="s">
        <v>57</v>
      </c>
      <c r="S1075" t="s">
        <v>46</v>
      </c>
      <c r="T1075" t="s">
        <v>29</v>
      </c>
      <c r="U1075" t="s">
        <v>30</v>
      </c>
    </row>
    <row r="1076" spans="1:21" x14ac:dyDescent="0.35">
      <c r="A1076" t="s">
        <v>1155</v>
      </c>
      <c r="B1076" s="1">
        <v>46200</v>
      </c>
      <c r="C1076" t="str">
        <f>TEXT(tblData[[#This Row],[Rental Date]],"mmm")</f>
        <v>Jun</v>
      </c>
      <c r="D1076" t="str">
        <f>TEXT(tblData[[#This Row],[Rental Date]],"mmmm")</f>
        <v>June</v>
      </c>
      <c r="E1076" t="s">
        <v>56</v>
      </c>
      <c r="F1076" t="str">
        <f>TEXT(WEEKNUM(tblData[[#This Row],[Rental Date]]),"00")</f>
        <v>26</v>
      </c>
      <c r="G1076" s="1">
        <f>EOMONTH(tblData[[#This Row],[Rental Date]],0)</f>
        <v>46203</v>
      </c>
      <c r="H1076" t="s">
        <v>749</v>
      </c>
      <c r="I1076" t="s">
        <v>32</v>
      </c>
      <c r="J1076" t="s">
        <v>33</v>
      </c>
      <c r="K1076" t="s">
        <v>25</v>
      </c>
      <c r="L1076">
        <v>1</v>
      </c>
      <c r="M1076" s="2">
        <v>45.6</v>
      </c>
      <c r="N1076" t="s">
        <v>89</v>
      </c>
      <c r="O1076" s="3">
        <v>6</v>
      </c>
      <c r="P1076" s="3">
        <v>2.58</v>
      </c>
      <c r="Q1076" s="2">
        <v>49.02</v>
      </c>
      <c r="R1076" t="s">
        <v>34</v>
      </c>
      <c r="S1076" t="s">
        <v>46</v>
      </c>
      <c r="T1076" t="s">
        <v>51</v>
      </c>
      <c r="U1076" t="s">
        <v>30</v>
      </c>
    </row>
    <row r="1077" spans="1:21" x14ac:dyDescent="0.35">
      <c r="A1077" t="s">
        <v>1156</v>
      </c>
      <c r="B1077" s="1">
        <v>46200</v>
      </c>
      <c r="C1077" t="str">
        <f>TEXT(tblData[[#This Row],[Rental Date]],"mmm")</f>
        <v>Jun</v>
      </c>
      <c r="D1077" t="str">
        <f>TEXT(tblData[[#This Row],[Rental Date]],"mmmm")</f>
        <v>June</v>
      </c>
      <c r="E1077" t="s">
        <v>56</v>
      </c>
      <c r="F1077" t="str">
        <f>TEXT(WEEKNUM(tblData[[#This Row],[Rental Date]]),"00")</f>
        <v>26</v>
      </c>
      <c r="G1077" s="1">
        <f>EOMONTH(tblData[[#This Row],[Rental Date]],0)</f>
        <v>46203</v>
      </c>
      <c r="H1077" t="s">
        <v>749</v>
      </c>
      <c r="I1077" t="s">
        <v>39</v>
      </c>
      <c r="J1077" t="s">
        <v>33</v>
      </c>
      <c r="K1077" t="s">
        <v>60</v>
      </c>
      <c r="L1077">
        <v>1</v>
      </c>
      <c r="M1077" s="2">
        <v>28.8</v>
      </c>
      <c r="N1077" t="s">
        <v>26</v>
      </c>
      <c r="O1077" s="3">
        <v>0</v>
      </c>
      <c r="P1077" s="3">
        <v>0</v>
      </c>
      <c r="Q1077" s="2">
        <v>28.8</v>
      </c>
      <c r="R1077" t="s">
        <v>76</v>
      </c>
      <c r="S1077" t="s">
        <v>28</v>
      </c>
      <c r="T1077" t="s">
        <v>29</v>
      </c>
      <c r="U1077" t="s">
        <v>30</v>
      </c>
    </row>
    <row r="1078" spans="1:21" x14ac:dyDescent="0.35">
      <c r="A1078" t="s">
        <v>1157</v>
      </c>
      <c r="B1078" s="1">
        <v>46200</v>
      </c>
      <c r="C1078" t="str">
        <f>TEXT(tblData[[#This Row],[Rental Date]],"mmm")</f>
        <v>Jun</v>
      </c>
      <c r="D1078" t="str">
        <f>TEXT(tblData[[#This Row],[Rental Date]],"mmmm")</f>
        <v>June</v>
      </c>
      <c r="E1078" t="s">
        <v>56</v>
      </c>
      <c r="F1078" t="str">
        <f>TEXT(WEEKNUM(tblData[[#This Row],[Rental Date]]),"00")</f>
        <v>26</v>
      </c>
      <c r="G1078" s="1">
        <f>EOMONTH(tblData[[#This Row],[Rental Date]],0)</f>
        <v>46203</v>
      </c>
      <c r="H1078" t="s">
        <v>749</v>
      </c>
      <c r="I1078" t="s">
        <v>39</v>
      </c>
      <c r="J1078" t="s">
        <v>33</v>
      </c>
      <c r="K1078" t="s">
        <v>60</v>
      </c>
      <c r="L1078">
        <v>1</v>
      </c>
      <c r="M1078" s="2">
        <v>28.8</v>
      </c>
      <c r="N1078" t="s">
        <v>89</v>
      </c>
      <c r="O1078" s="3">
        <v>6</v>
      </c>
      <c r="P1078" s="3">
        <v>0</v>
      </c>
      <c r="Q1078" s="2">
        <v>34.799999999999997</v>
      </c>
      <c r="R1078" t="s">
        <v>71</v>
      </c>
      <c r="S1078" t="s">
        <v>35</v>
      </c>
      <c r="T1078" t="s">
        <v>90</v>
      </c>
      <c r="U1078" t="s">
        <v>58</v>
      </c>
    </row>
    <row r="1079" spans="1:21" x14ac:dyDescent="0.35">
      <c r="A1079" t="s">
        <v>1158</v>
      </c>
      <c r="B1079" s="1">
        <v>46201</v>
      </c>
      <c r="C1079" t="str">
        <f>TEXT(tblData[[#This Row],[Rental Date]],"mmm")</f>
        <v>Jun</v>
      </c>
      <c r="D1079" t="str">
        <f>TEXT(tblData[[#This Row],[Rental Date]],"mmmm")</f>
        <v>June</v>
      </c>
      <c r="E1079" t="s">
        <v>68</v>
      </c>
      <c r="F1079" t="str">
        <f>TEXT(WEEKNUM(tblData[[#This Row],[Rental Date]]),"00")</f>
        <v>27</v>
      </c>
      <c r="G1079" s="1">
        <f>EOMONTH(tblData[[#This Row],[Rental Date]],0)</f>
        <v>46203</v>
      </c>
      <c r="H1079" t="s">
        <v>749</v>
      </c>
      <c r="I1079" t="s">
        <v>48</v>
      </c>
      <c r="J1079" t="s">
        <v>33</v>
      </c>
      <c r="K1079" t="s">
        <v>25</v>
      </c>
      <c r="L1079">
        <v>1</v>
      </c>
      <c r="M1079" s="2">
        <v>45.6</v>
      </c>
      <c r="N1079" t="s">
        <v>87</v>
      </c>
      <c r="O1079" s="3">
        <v>10</v>
      </c>
      <c r="P1079" s="3">
        <v>0</v>
      </c>
      <c r="Q1079" s="2">
        <v>55.6</v>
      </c>
      <c r="R1079" t="s">
        <v>34</v>
      </c>
      <c r="S1079" t="s">
        <v>54</v>
      </c>
      <c r="T1079" t="s">
        <v>29</v>
      </c>
      <c r="U1079" t="s">
        <v>30</v>
      </c>
    </row>
    <row r="1080" spans="1:21" x14ac:dyDescent="0.35">
      <c r="A1080" t="s">
        <v>1159</v>
      </c>
      <c r="B1080" s="1">
        <v>46201</v>
      </c>
      <c r="C1080" t="str">
        <f>TEXT(tblData[[#This Row],[Rental Date]],"mmm")</f>
        <v>Jun</v>
      </c>
      <c r="D1080" t="str">
        <f>TEXT(tblData[[#This Row],[Rental Date]],"mmmm")</f>
        <v>June</v>
      </c>
      <c r="E1080" t="s">
        <v>68</v>
      </c>
      <c r="F1080" t="str">
        <f>TEXT(WEEKNUM(tblData[[#This Row],[Rental Date]]),"00")</f>
        <v>27</v>
      </c>
      <c r="G1080" s="1">
        <f>EOMONTH(tblData[[#This Row],[Rental Date]],0)</f>
        <v>46203</v>
      </c>
      <c r="H1080" t="s">
        <v>749</v>
      </c>
      <c r="I1080" t="s">
        <v>23</v>
      </c>
      <c r="J1080" t="s">
        <v>78</v>
      </c>
      <c r="K1080" t="s">
        <v>40</v>
      </c>
      <c r="L1080">
        <v>1</v>
      </c>
      <c r="M1080" s="2">
        <v>74.400000000000006</v>
      </c>
      <c r="N1080" t="s">
        <v>89</v>
      </c>
      <c r="O1080" s="3">
        <v>6</v>
      </c>
      <c r="P1080" s="3">
        <v>0</v>
      </c>
      <c r="Q1080" s="2">
        <v>80.400000000000006</v>
      </c>
      <c r="R1080" t="s">
        <v>66</v>
      </c>
      <c r="S1080" t="s">
        <v>54</v>
      </c>
      <c r="T1080" t="s">
        <v>51</v>
      </c>
      <c r="U1080" t="s">
        <v>58</v>
      </c>
    </row>
    <row r="1081" spans="1:21" x14ac:dyDescent="0.35">
      <c r="A1081" t="s">
        <v>1160</v>
      </c>
      <c r="B1081" s="1">
        <v>46201</v>
      </c>
      <c r="C1081" t="str">
        <f>TEXT(tblData[[#This Row],[Rental Date]],"mmm")</f>
        <v>Jun</v>
      </c>
      <c r="D1081" t="str">
        <f>TEXT(tblData[[#This Row],[Rental Date]],"mmmm")</f>
        <v>June</v>
      </c>
      <c r="E1081" t="s">
        <v>68</v>
      </c>
      <c r="F1081" t="str">
        <f>TEXT(WEEKNUM(tblData[[#This Row],[Rental Date]]),"00")</f>
        <v>27</v>
      </c>
      <c r="G1081" s="1">
        <f>EOMONTH(tblData[[#This Row],[Rental Date]],0)</f>
        <v>46203</v>
      </c>
      <c r="H1081" t="s">
        <v>749</v>
      </c>
      <c r="I1081" t="s">
        <v>48</v>
      </c>
      <c r="J1081" t="s">
        <v>78</v>
      </c>
      <c r="K1081" t="s">
        <v>40</v>
      </c>
      <c r="L1081">
        <v>1</v>
      </c>
      <c r="M1081" s="2">
        <v>74.400000000000006</v>
      </c>
      <c r="N1081" t="s">
        <v>26</v>
      </c>
      <c r="O1081" s="3">
        <v>0</v>
      </c>
      <c r="P1081" s="3">
        <v>0</v>
      </c>
      <c r="Q1081" s="2">
        <v>74.400000000000006</v>
      </c>
      <c r="R1081" t="s">
        <v>66</v>
      </c>
      <c r="S1081" t="s">
        <v>54</v>
      </c>
      <c r="T1081" t="s">
        <v>83</v>
      </c>
      <c r="U1081" t="s">
        <v>58</v>
      </c>
    </row>
    <row r="1082" spans="1:21" x14ac:dyDescent="0.35">
      <c r="A1082" t="s">
        <v>1161</v>
      </c>
      <c r="B1082" s="1">
        <v>46201</v>
      </c>
      <c r="C1082" t="str">
        <f>TEXT(tblData[[#This Row],[Rental Date]],"mmm")</f>
        <v>Jun</v>
      </c>
      <c r="D1082" t="str">
        <f>TEXT(tblData[[#This Row],[Rental Date]],"mmmm")</f>
        <v>June</v>
      </c>
      <c r="E1082" t="s">
        <v>68</v>
      </c>
      <c r="F1082" t="str">
        <f>TEXT(WEEKNUM(tblData[[#This Row],[Rental Date]]),"00")</f>
        <v>27</v>
      </c>
      <c r="G1082" s="1">
        <f>EOMONTH(tblData[[#This Row],[Rental Date]],0)</f>
        <v>46203</v>
      </c>
      <c r="H1082" t="s">
        <v>749</v>
      </c>
      <c r="I1082" t="s">
        <v>23</v>
      </c>
      <c r="J1082" t="s">
        <v>78</v>
      </c>
      <c r="K1082" t="s">
        <v>60</v>
      </c>
      <c r="L1082">
        <v>1</v>
      </c>
      <c r="M1082" s="2">
        <v>31.2</v>
      </c>
      <c r="N1082" t="s">
        <v>26</v>
      </c>
      <c r="O1082" s="3">
        <v>0</v>
      </c>
      <c r="P1082" s="3">
        <v>0</v>
      </c>
      <c r="Q1082" s="2">
        <v>31.2</v>
      </c>
      <c r="R1082" t="s">
        <v>76</v>
      </c>
      <c r="S1082" t="s">
        <v>50</v>
      </c>
      <c r="T1082" t="s">
        <v>90</v>
      </c>
      <c r="U1082" t="s">
        <v>36</v>
      </c>
    </row>
    <row r="1083" spans="1:21" x14ac:dyDescent="0.35">
      <c r="A1083" t="s">
        <v>1162</v>
      </c>
      <c r="B1083" s="1">
        <v>46201</v>
      </c>
      <c r="C1083" t="str">
        <f>TEXT(tblData[[#This Row],[Rental Date]],"mmm")</f>
        <v>Jun</v>
      </c>
      <c r="D1083" t="str">
        <f>TEXT(tblData[[#This Row],[Rental Date]],"mmmm")</f>
        <v>June</v>
      </c>
      <c r="E1083" t="s">
        <v>68</v>
      </c>
      <c r="F1083" t="str">
        <f>TEXT(WEEKNUM(tblData[[#This Row],[Rental Date]]),"00")</f>
        <v>27</v>
      </c>
      <c r="G1083" s="1">
        <f>EOMONTH(tblData[[#This Row],[Rental Date]],0)</f>
        <v>46203</v>
      </c>
      <c r="H1083" t="s">
        <v>749</v>
      </c>
      <c r="I1083" t="s">
        <v>48</v>
      </c>
      <c r="J1083" t="s">
        <v>33</v>
      </c>
      <c r="K1083" t="s">
        <v>25</v>
      </c>
      <c r="L1083">
        <v>1</v>
      </c>
      <c r="M1083" s="2">
        <v>45.6</v>
      </c>
      <c r="N1083" t="s">
        <v>26</v>
      </c>
      <c r="O1083" s="3">
        <v>0</v>
      </c>
      <c r="P1083" s="3">
        <v>0</v>
      </c>
      <c r="Q1083" s="2">
        <v>45.6</v>
      </c>
      <c r="R1083" t="s">
        <v>42</v>
      </c>
      <c r="S1083" t="s">
        <v>54</v>
      </c>
      <c r="T1083" t="s">
        <v>29</v>
      </c>
      <c r="U1083" t="s">
        <v>30</v>
      </c>
    </row>
    <row r="1084" spans="1:21" x14ac:dyDescent="0.35">
      <c r="A1084" t="s">
        <v>1163</v>
      </c>
      <c r="B1084" s="1">
        <v>46201</v>
      </c>
      <c r="C1084" t="str">
        <f>TEXT(tblData[[#This Row],[Rental Date]],"mmm")</f>
        <v>Jun</v>
      </c>
      <c r="D1084" t="str">
        <f>TEXT(tblData[[#This Row],[Rental Date]],"mmmm")</f>
        <v>June</v>
      </c>
      <c r="E1084" t="s">
        <v>68</v>
      </c>
      <c r="F1084" t="str">
        <f>TEXT(WEEKNUM(tblData[[#This Row],[Rental Date]]),"00")</f>
        <v>27</v>
      </c>
      <c r="G1084" s="1">
        <f>EOMONTH(tblData[[#This Row],[Rental Date]],0)</f>
        <v>46203</v>
      </c>
      <c r="H1084" t="s">
        <v>749</v>
      </c>
      <c r="I1084" t="s">
        <v>39</v>
      </c>
      <c r="J1084" t="s">
        <v>78</v>
      </c>
      <c r="K1084" t="s">
        <v>60</v>
      </c>
      <c r="L1084">
        <v>1</v>
      </c>
      <c r="M1084" s="2">
        <v>31.2</v>
      </c>
      <c r="N1084" t="s">
        <v>41</v>
      </c>
      <c r="O1084" s="3">
        <v>5</v>
      </c>
      <c r="P1084" s="3">
        <v>0</v>
      </c>
      <c r="Q1084" s="2">
        <v>36.200000000000003</v>
      </c>
      <c r="R1084" t="s">
        <v>57</v>
      </c>
      <c r="S1084" t="s">
        <v>46</v>
      </c>
      <c r="T1084" t="s">
        <v>51</v>
      </c>
      <c r="U1084" t="s">
        <v>79</v>
      </c>
    </row>
    <row r="1085" spans="1:21" x14ac:dyDescent="0.35">
      <c r="A1085" t="s">
        <v>1164</v>
      </c>
      <c r="B1085" s="1">
        <v>46201</v>
      </c>
      <c r="C1085" t="str">
        <f>TEXT(tblData[[#This Row],[Rental Date]],"mmm")</f>
        <v>Jun</v>
      </c>
      <c r="D1085" t="str">
        <f>TEXT(tblData[[#This Row],[Rental Date]],"mmmm")</f>
        <v>June</v>
      </c>
      <c r="E1085" t="s">
        <v>68</v>
      </c>
      <c r="F1085" t="str">
        <f>TEXT(WEEKNUM(tblData[[#This Row],[Rental Date]]),"00")</f>
        <v>27</v>
      </c>
      <c r="G1085" s="1">
        <f>EOMONTH(tblData[[#This Row],[Rental Date]],0)</f>
        <v>46203</v>
      </c>
      <c r="H1085" t="s">
        <v>749</v>
      </c>
      <c r="I1085" t="s">
        <v>39</v>
      </c>
      <c r="J1085" t="s">
        <v>65</v>
      </c>
      <c r="K1085" t="s">
        <v>40</v>
      </c>
      <c r="L1085">
        <v>1</v>
      </c>
      <c r="M1085" s="2">
        <v>33.6</v>
      </c>
      <c r="N1085" t="s">
        <v>26</v>
      </c>
      <c r="O1085" s="3">
        <v>0</v>
      </c>
      <c r="P1085" s="3">
        <v>0</v>
      </c>
      <c r="Q1085" s="2">
        <v>33.6</v>
      </c>
      <c r="R1085" t="s">
        <v>71</v>
      </c>
      <c r="S1085" t="s">
        <v>28</v>
      </c>
      <c r="T1085" t="s">
        <v>51</v>
      </c>
      <c r="U1085" t="s">
        <v>30</v>
      </c>
    </row>
    <row r="1086" spans="1:21" x14ac:dyDescent="0.35">
      <c r="A1086" t="s">
        <v>1165</v>
      </c>
      <c r="B1086" s="1">
        <v>46201</v>
      </c>
      <c r="C1086" t="str">
        <f>TEXT(tblData[[#This Row],[Rental Date]],"mmm")</f>
        <v>Jun</v>
      </c>
      <c r="D1086" t="str">
        <f>TEXT(tblData[[#This Row],[Rental Date]],"mmmm")</f>
        <v>June</v>
      </c>
      <c r="E1086" t="s">
        <v>68</v>
      </c>
      <c r="F1086" t="str">
        <f>TEXT(WEEKNUM(tblData[[#This Row],[Rental Date]]),"00")</f>
        <v>27</v>
      </c>
      <c r="G1086" s="1">
        <f>EOMONTH(tblData[[#This Row],[Rental Date]],0)</f>
        <v>46203</v>
      </c>
      <c r="H1086" t="s">
        <v>749</v>
      </c>
      <c r="I1086" t="s">
        <v>23</v>
      </c>
      <c r="J1086" t="s">
        <v>33</v>
      </c>
      <c r="K1086" t="s">
        <v>60</v>
      </c>
      <c r="L1086">
        <v>1</v>
      </c>
      <c r="M1086" s="2">
        <v>28.8</v>
      </c>
      <c r="N1086" t="s">
        <v>26</v>
      </c>
      <c r="O1086" s="3">
        <v>0</v>
      </c>
      <c r="P1086" s="3">
        <v>0</v>
      </c>
      <c r="Q1086" s="2">
        <v>28.8</v>
      </c>
      <c r="R1086" t="s">
        <v>71</v>
      </c>
      <c r="S1086" t="s">
        <v>50</v>
      </c>
      <c r="T1086" t="s">
        <v>29</v>
      </c>
      <c r="U1086" t="s">
        <v>30</v>
      </c>
    </row>
    <row r="1087" spans="1:21" x14ac:dyDescent="0.35">
      <c r="A1087" t="s">
        <v>1166</v>
      </c>
      <c r="B1087" s="1">
        <v>46201</v>
      </c>
      <c r="C1087" t="str">
        <f>TEXT(tblData[[#This Row],[Rental Date]],"mmm")</f>
        <v>Jun</v>
      </c>
      <c r="D1087" t="str">
        <f>TEXT(tblData[[#This Row],[Rental Date]],"mmmm")</f>
        <v>June</v>
      </c>
      <c r="E1087" t="s">
        <v>68</v>
      </c>
      <c r="F1087" t="str">
        <f>TEXT(WEEKNUM(tblData[[#This Row],[Rental Date]]),"00")</f>
        <v>27</v>
      </c>
      <c r="G1087" s="1">
        <f>EOMONTH(tblData[[#This Row],[Rental Date]],0)</f>
        <v>46203</v>
      </c>
      <c r="H1087" t="s">
        <v>749</v>
      </c>
      <c r="I1087" t="s">
        <v>23</v>
      </c>
      <c r="J1087" t="s">
        <v>44</v>
      </c>
      <c r="K1087" t="s">
        <v>40</v>
      </c>
      <c r="L1087">
        <v>1</v>
      </c>
      <c r="M1087" s="2">
        <v>93.6</v>
      </c>
      <c r="N1087" t="s">
        <v>75</v>
      </c>
      <c r="O1087" s="3">
        <v>12</v>
      </c>
      <c r="P1087" s="3">
        <v>0</v>
      </c>
      <c r="Q1087" s="2">
        <v>105.6</v>
      </c>
      <c r="R1087" t="s">
        <v>66</v>
      </c>
      <c r="S1087" t="s">
        <v>35</v>
      </c>
      <c r="T1087" t="s">
        <v>51</v>
      </c>
      <c r="U1087" t="s">
        <v>30</v>
      </c>
    </row>
    <row r="1088" spans="1:21" x14ac:dyDescent="0.35">
      <c r="A1088" t="s">
        <v>1167</v>
      </c>
      <c r="B1088" s="1">
        <v>46201</v>
      </c>
      <c r="C1088" t="str">
        <f>TEXT(tblData[[#This Row],[Rental Date]],"mmm")</f>
        <v>Jun</v>
      </c>
      <c r="D1088" t="str">
        <f>TEXT(tblData[[#This Row],[Rental Date]],"mmmm")</f>
        <v>June</v>
      </c>
      <c r="E1088" t="s">
        <v>68</v>
      </c>
      <c r="F1088" t="str">
        <f>TEXT(WEEKNUM(tblData[[#This Row],[Rental Date]]),"00")</f>
        <v>27</v>
      </c>
      <c r="G1088" s="1">
        <f>EOMONTH(tblData[[#This Row],[Rental Date]],0)</f>
        <v>46203</v>
      </c>
      <c r="H1088" t="s">
        <v>749</v>
      </c>
      <c r="I1088" t="s">
        <v>23</v>
      </c>
      <c r="J1088" t="s">
        <v>111</v>
      </c>
      <c r="K1088" t="s">
        <v>60</v>
      </c>
      <c r="L1088">
        <v>1</v>
      </c>
      <c r="M1088" s="2">
        <v>16.8</v>
      </c>
      <c r="N1088" t="s">
        <v>89</v>
      </c>
      <c r="O1088" s="3">
        <v>6</v>
      </c>
      <c r="P1088" s="3">
        <v>0</v>
      </c>
      <c r="Q1088" s="2">
        <v>22.8</v>
      </c>
      <c r="R1088" t="s">
        <v>94</v>
      </c>
      <c r="S1088" t="s">
        <v>46</v>
      </c>
      <c r="T1088" t="s">
        <v>29</v>
      </c>
      <c r="U1088" t="s">
        <v>30</v>
      </c>
    </row>
    <row r="1089" spans="1:21" x14ac:dyDescent="0.35">
      <c r="A1089" t="s">
        <v>1168</v>
      </c>
      <c r="B1089" s="1">
        <v>46201</v>
      </c>
      <c r="C1089" t="str">
        <f>TEXT(tblData[[#This Row],[Rental Date]],"mmm")</f>
        <v>Jun</v>
      </c>
      <c r="D1089" t="str">
        <f>TEXT(tblData[[#This Row],[Rental Date]],"mmmm")</f>
        <v>June</v>
      </c>
      <c r="E1089" t="s">
        <v>68</v>
      </c>
      <c r="F1089" t="str">
        <f>TEXT(WEEKNUM(tblData[[#This Row],[Rental Date]]),"00")</f>
        <v>27</v>
      </c>
      <c r="G1089" s="1">
        <f>EOMONTH(tblData[[#This Row],[Rental Date]],0)</f>
        <v>46203</v>
      </c>
      <c r="H1089" t="s">
        <v>749</v>
      </c>
      <c r="I1089" t="s">
        <v>23</v>
      </c>
      <c r="J1089" t="s">
        <v>44</v>
      </c>
      <c r="K1089" t="s">
        <v>40</v>
      </c>
      <c r="L1089">
        <v>1</v>
      </c>
      <c r="M1089" s="2">
        <v>93.6</v>
      </c>
      <c r="N1089" t="s">
        <v>89</v>
      </c>
      <c r="O1089" s="3">
        <v>6</v>
      </c>
      <c r="P1089" s="3">
        <v>0</v>
      </c>
      <c r="Q1089" s="2">
        <v>99.6</v>
      </c>
      <c r="R1089" t="s">
        <v>71</v>
      </c>
      <c r="S1089" t="s">
        <v>50</v>
      </c>
      <c r="T1089" t="s">
        <v>63</v>
      </c>
      <c r="U1089" t="s">
        <v>58</v>
      </c>
    </row>
    <row r="1090" spans="1:21" x14ac:dyDescent="0.35">
      <c r="A1090" t="s">
        <v>1169</v>
      </c>
      <c r="B1090" s="1">
        <v>46201</v>
      </c>
      <c r="C1090" t="str">
        <f>TEXT(tblData[[#This Row],[Rental Date]],"mmm")</f>
        <v>Jun</v>
      </c>
      <c r="D1090" t="str">
        <f>TEXT(tblData[[#This Row],[Rental Date]],"mmmm")</f>
        <v>June</v>
      </c>
      <c r="E1090" t="s">
        <v>68</v>
      </c>
      <c r="F1090" t="str">
        <f>TEXT(WEEKNUM(tblData[[#This Row],[Rental Date]]),"00")</f>
        <v>27</v>
      </c>
      <c r="G1090" s="1">
        <f>EOMONTH(tblData[[#This Row],[Rental Date]],0)</f>
        <v>46203</v>
      </c>
      <c r="H1090" t="s">
        <v>749</v>
      </c>
      <c r="I1090" t="s">
        <v>48</v>
      </c>
      <c r="J1090" t="s">
        <v>111</v>
      </c>
      <c r="K1090" t="s">
        <v>40</v>
      </c>
      <c r="L1090">
        <v>1</v>
      </c>
      <c r="M1090" s="2">
        <v>40.799999999999997</v>
      </c>
      <c r="N1090" t="s">
        <v>26</v>
      </c>
      <c r="O1090" s="3">
        <v>0</v>
      </c>
      <c r="P1090" s="3">
        <v>0</v>
      </c>
      <c r="Q1090" s="2">
        <v>40.799999999999997</v>
      </c>
      <c r="R1090" t="s">
        <v>62</v>
      </c>
      <c r="S1090" t="s">
        <v>35</v>
      </c>
      <c r="T1090" t="s">
        <v>29</v>
      </c>
      <c r="U1090" t="s">
        <v>58</v>
      </c>
    </row>
    <row r="1091" spans="1:21" x14ac:dyDescent="0.35">
      <c r="A1091" t="s">
        <v>1170</v>
      </c>
      <c r="B1091" s="1">
        <v>46201</v>
      </c>
      <c r="C1091" t="str">
        <f>TEXT(tblData[[#This Row],[Rental Date]],"mmm")</f>
        <v>Jun</v>
      </c>
      <c r="D1091" t="str">
        <f>TEXT(tblData[[#This Row],[Rental Date]],"mmmm")</f>
        <v>June</v>
      </c>
      <c r="E1091" t="s">
        <v>68</v>
      </c>
      <c r="F1091" t="str">
        <f>TEXT(WEEKNUM(tblData[[#This Row],[Rental Date]]),"00")</f>
        <v>27</v>
      </c>
      <c r="G1091" s="1">
        <f>EOMONTH(tblData[[#This Row],[Rental Date]],0)</f>
        <v>46203</v>
      </c>
      <c r="H1091" t="s">
        <v>749</v>
      </c>
      <c r="I1091" t="s">
        <v>48</v>
      </c>
      <c r="J1091" t="s">
        <v>44</v>
      </c>
      <c r="K1091" t="s">
        <v>60</v>
      </c>
      <c r="L1091">
        <v>1</v>
      </c>
      <c r="M1091" s="2">
        <v>40.799999999999997</v>
      </c>
      <c r="N1091" t="s">
        <v>87</v>
      </c>
      <c r="O1091" s="3">
        <v>10</v>
      </c>
      <c r="P1091" s="3">
        <v>0</v>
      </c>
      <c r="Q1091" s="2">
        <v>50.8</v>
      </c>
      <c r="R1091" t="s">
        <v>66</v>
      </c>
      <c r="S1091" t="s">
        <v>50</v>
      </c>
      <c r="T1091" t="s">
        <v>90</v>
      </c>
      <c r="U1091" t="s">
        <v>30</v>
      </c>
    </row>
    <row r="1092" spans="1:21" x14ac:dyDescent="0.35">
      <c r="A1092" t="s">
        <v>1171</v>
      </c>
      <c r="B1092" s="1">
        <v>46201</v>
      </c>
      <c r="C1092" t="str">
        <f>TEXT(tblData[[#This Row],[Rental Date]],"mmm")</f>
        <v>Jun</v>
      </c>
      <c r="D1092" t="str">
        <f>TEXT(tblData[[#This Row],[Rental Date]],"mmmm")</f>
        <v>June</v>
      </c>
      <c r="E1092" t="s">
        <v>68</v>
      </c>
      <c r="F1092" t="str">
        <f>TEXT(WEEKNUM(tblData[[#This Row],[Rental Date]]),"00")</f>
        <v>27</v>
      </c>
      <c r="G1092" s="1">
        <f>EOMONTH(tblData[[#This Row],[Rental Date]],0)</f>
        <v>46203</v>
      </c>
      <c r="H1092" t="s">
        <v>749</v>
      </c>
      <c r="I1092" t="s">
        <v>48</v>
      </c>
      <c r="J1092" t="s">
        <v>44</v>
      </c>
      <c r="K1092" t="s">
        <v>60</v>
      </c>
      <c r="L1092">
        <v>1</v>
      </c>
      <c r="M1092" s="2">
        <v>40.799999999999997</v>
      </c>
      <c r="N1092" t="s">
        <v>61</v>
      </c>
      <c r="O1092" s="3">
        <v>8</v>
      </c>
      <c r="P1092" s="3">
        <v>0</v>
      </c>
      <c r="Q1092" s="2">
        <v>48.8</v>
      </c>
      <c r="R1092" t="s">
        <v>27</v>
      </c>
      <c r="S1092" t="s">
        <v>46</v>
      </c>
      <c r="T1092" t="s">
        <v>29</v>
      </c>
      <c r="U1092" t="s">
        <v>30</v>
      </c>
    </row>
    <row r="1093" spans="1:21" x14ac:dyDescent="0.35">
      <c r="A1093" t="s">
        <v>1172</v>
      </c>
      <c r="B1093" s="1">
        <v>46201</v>
      </c>
      <c r="C1093" t="str">
        <f>TEXT(tblData[[#This Row],[Rental Date]],"mmm")</f>
        <v>Jun</v>
      </c>
      <c r="D1093" t="str">
        <f>TEXT(tblData[[#This Row],[Rental Date]],"mmmm")</f>
        <v>June</v>
      </c>
      <c r="E1093" t="s">
        <v>68</v>
      </c>
      <c r="F1093" t="str">
        <f>TEXT(WEEKNUM(tblData[[#This Row],[Rental Date]]),"00")</f>
        <v>27</v>
      </c>
      <c r="G1093" s="1">
        <f>EOMONTH(tblData[[#This Row],[Rental Date]],0)</f>
        <v>46203</v>
      </c>
      <c r="H1093" t="s">
        <v>749</v>
      </c>
      <c r="I1093" t="s">
        <v>39</v>
      </c>
      <c r="J1093" t="s">
        <v>49</v>
      </c>
      <c r="K1093" t="s">
        <v>60</v>
      </c>
      <c r="L1093">
        <v>1</v>
      </c>
      <c r="M1093" s="2">
        <v>26.4</v>
      </c>
      <c r="N1093" t="s">
        <v>26</v>
      </c>
      <c r="O1093" s="3">
        <v>0</v>
      </c>
      <c r="P1093" s="3">
        <v>0</v>
      </c>
      <c r="Q1093" s="2">
        <v>26.4</v>
      </c>
      <c r="R1093" t="s">
        <v>76</v>
      </c>
      <c r="S1093" t="s">
        <v>46</v>
      </c>
      <c r="T1093" t="s">
        <v>83</v>
      </c>
      <c r="U1093" t="s">
        <v>30</v>
      </c>
    </row>
    <row r="1094" spans="1:21" x14ac:dyDescent="0.35">
      <c r="A1094" t="s">
        <v>1173</v>
      </c>
      <c r="B1094" s="1">
        <v>46201</v>
      </c>
      <c r="C1094" t="str">
        <f>TEXT(tblData[[#This Row],[Rental Date]],"mmm")</f>
        <v>Jun</v>
      </c>
      <c r="D1094" t="str">
        <f>TEXT(tblData[[#This Row],[Rental Date]],"mmmm")</f>
        <v>June</v>
      </c>
      <c r="E1094" t="s">
        <v>68</v>
      </c>
      <c r="F1094" t="str">
        <f>TEXT(WEEKNUM(tblData[[#This Row],[Rental Date]]),"00")</f>
        <v>27</v>
      </c>
      <c r="G1094" s="1">
        <f>EOMONTH(tblData[[#This Row],[Rental Date]],0)</f>
        <v>46203</v>
      </c>
      <c r="H1094" t="s">
        <v>749</v>
      </c>
      <c r="I1094" t="s">
        <v>23</v>
      </c>
      <c r="J1094" t="s">
        <v>33</v>
      </c>
      <c r="K1094" t="s">
        <v>25</v>
      </c>
      <c r="L1094">
        <v>1</v>
      </c>
      <c r="M1094" s="2">
        <v>45.6</v>
      </c>
      <c r="N1094" t="s">
        <v>26</v>
      </c>
      <c r="O1094" s="3">
        <v>0</v>
      </c>
      <c r="P1094" s="3">
        <v>0</v>
      </c>
      <c r="Q1094" s="2">
        <v>45.6</v>
      </c>
      <c r="R1094" t="s">
        <v>94</v>
      </c>
      <c r="S1094" t="s">
        <v>46</v>
      </c>
      <c r="T1094" t="s">
        <v>63</v>
      </c>
      <c r="U1094" t="s">
        <v>30</v>
      </c>
    </row>
    <row r="1095" spans="1:21" x14ac:dyDescent="0.35">
      <c r="A1095" t="s">
        <v>1174</v>
      </c>
      <c r="B1095" s="1">
        <v>46201</v>
      </c>
      <c r="C1095" t="str">
        <f>TEXT(tblData[[#This Row],[Rental Date]],"mmm")</f>
        <v>Jun</v>
      </c>
      <c r="D1095" t="str">
        <f>TEXT(tblData[[#This Row],[Rental Date]],"mmmm")</f>
        <v>June</v>
      </c>
      <c r="E1095" t="s">
        <v>68</v>
      </c>
      <c r="F1095" t="str">
        <f>TEXT(WEEKNUM(tblData[[#This Row],[Rental Date]]),"00")</f>
        <v>27</v>
      </c>
      <c r="G1095" s="1">
        <f>EOMONTH(tblData[[#This Row],[Rental Date]],0)</f>
        <v>46203</v>
      </c>
      <c r="H1095" t="s">
        <v>749</v>
      </c>
      <c r="I1095" t="s">
        <v>39</v>
      </c>
      <c r="J1095" t="s">
        <v>127</v>
      </c>
      <c r="K1095" t="s">
        <v>25</v>
      </c>
      <c r="L1095">
        <v>1</v>
      </c>
      <c r="M1095" s="2">
        <v>19.2</v>
      </c>
      <c r="N1095" t="s">
        <v>89</v>
      </c>
      <c r="O1095" s="3">
        <v>6</v>
      </c>
      <c r="P1095" s="3">
        <v>0</v>
      </c>
      <c r="Q1095" s="2">
        <v>25.2</v>
      </c>
      <c r="R1095" t="s">
        <v>62</v>
      </c>
      <c r="S1095" t="s">
        <v>54</v>
      </c>
      <c r="T1095" t="s">
        <v>90</v>
      </c>
      <c r="U1095" t="s">
        <v>30</v>
      </c>
    </row>
    <row r="1096" spans="1:21" x14ac:dyDescent="0.35">
      <c r="A1096" t="s">
        <v>1175</v>
      </c>
      <c r="B1096" s="1">
        <v>46201</v>
      </c>
      <c r="C1096" t="str">
        <f>TEXT(tblData[[#This Row],[Rental Date]],"mmm")</f>
        <v>Jun</v>
      </c>
      <c r="D1096" t="str">
        <f>TEXT(tblData[[#This Row],[Rental Date]],"mmmm")</f>
        <v>June</v>
      </c>
      <c r="E1096" t="s">
        <v>68</v>
      </c>
      <c r="F1096" t="str">
        <f>TEXT(WEEKNUM(tblData[[#This Row],[Rental Date]]),"00")</f>
        <v>27</v>
      </c>
      <c r="G1096" s="1">
        <f>EOMONTH(tblData[[#This Row],[Rental Date]],0)</f>
        <v>46203</v>
      </c>
      <c r="H1096" t="s">
        <v>749</v>
      </c>
      <c r="I1096" t="s">
        <v>32</v>
      </c>
      <c r="J1096" t="s">
        <v>86</v>
      </c>
      <c r="K1096" t="s">
        <v>92</v>
      </c>
      <c r="L1096">
        <v>1</v>
      </c>
      <c r="M1096" s="2">
        <v>148.80000000000001</v>
      </c>
      <c r="N1096" t="s">
        <v>26</v>
      </c>
      <c r="O1096" s="3">
        <v>0</v>
      </c>
      <c r="P1096" s="3">
        <v>0</v>
      </c>
      <c r="Q1096" s="2">
        <v>148.80000000000001</v>
      </c>
      <c r="R1096" t="s">
        <v>34</v>
      </c>
      <c r="S1096" t="s">
        <v>54</v>
      </c>
      <c r="T1096" t="s">
        <v>90</v>
      </c>
      <c r="U1096" t="s">
        <v>30</v>
      </c>
    </row>
    <row r="1097" spans="1:21" x14ac:dyDescent="0.35">
      <c r="A1097" t="s">
        <v>1176</v>
      </c>
      <c r="B1097" s="1">
        <v>46201</v>
      </c>
      <c r="C1097" t="str">
        <f>TEXT(tblData[[#This Row],[Rental Date]],"mmm")</f>
        <v>Jun</v>
      </c>
      <c r="D1097" t="str">
        <f>TEXT(tblData[[#This Row],[Rental Date]],"mmmm")</f>
        <v>June</v>
      </c>
      <c r="E1097" t="s">
        <v>68</v>
      </c>
      <c r="F1097" t="str">
        <f>TEXT(WEEKNUM(tblData[[#This Row],[Rental Date]]),"00")</f>
        <v>27</v>
      </c>
      <c r="G1097" s="1">
        <f>EOMONTH(tblData[[#This Row],[Rental Date]],0)</f>
        <v>46203</v>
      </c>
      <c r="H1097" t="s">
        <v>749</v>
      </c>
      <c r="I1097" t="s">
        <v>48</v>
      </c>
      <c r="J1097" t="s">
        <v>24</v>
      </c>
      <c r="K1097" t="s">
        <v>92</v>
      </c>
      <c r="L1097">
        <v>1</v>
      </c>
      <c r="M1097" s="2">
        <v>132</v>
      </c>
      <c r="N1097" t="s">
        <v>41</v>
      </c>
      <c r="O1097" s="3">
        <v>5</v>
      </c>
      <c r="P1097" s="3">
        <v>0</v>
      </c>
      <c r="Q1097" s="2">
        <v>137</v>
      </c>
      <c r="R1097" t="s">
        <v>71</v>
      </c>
      <c r="S1097" t="s">
        <v>35</v>
      </c>
      <c r="T1097" t="s">
        <v>29</v>
      </c>
      <c r="U1097" t="s">
        <v>36</v>
      </c>
    </row>
    <row r="1098" spans="1:21" x14ac:dyDescent="0.35">
      <c r="A1098" t="s">
        <v>1177</v>
      </c>
      <c r="B1098" s="1">
        <v>46201</v>
      </c>
      <c r="C1098" t="str">
        <f>TEXT(tblData[[#This Row],[Rental Date]],"mmm")</f>
        <v>Jun</v>
      </c>
      <c r="D1098" t="str">
        <f>TEXT(tblData[[#This Row],[Rental Date]],"mmmm")</f>
        <v>June</v>
      </c>
      <c r="E1098" t="s">
        <v>68</v>
      </c>
      <c r="F1098" t="str">
        <f>TEXT(WEEKNUM(tblData[[#This Row],[Rental Date]]),"00")</f>
        <v>27</v>
      </c>
      <c r="G1098" s="1">
        <f>EOMONTH(tblData[[#This Row],[Rental Date]],0)</f>
        <v>46203</v>
      </c>
      <c r="H1098" t="s">
        <v>749</v>
      </c>
      <c r="I1098" t="s">
        <v>39</v>
      </c>
      <c r="J1098" t="s">
        <v>78</v>
      </c>
      <c r="K1098" t="s">
        <v>25</v>
      </c>
      <c r="L1098">
        <v>1</v>
      </c>
      <c r="M1098" s="2">
        <v>50.4</v>
      </c>
      <c r="N1098" t="s">
        <v>70</v>
      </c>
      <c r="O1098" s="3">
        <v>7</v>
      </c>
      <c r="P1098" s="3">
        <v>0</v>
      </c>
      <c r="Q1098" s="2">
        <v>57.4</v>
      </c>
      <c r="R1098" t="s">
        <v>45</v>
      </c>
      <c r="S1098" t="s">
        <v>50</v>
      </c>
      <c r="T1098" t="s">
        <v>29</v>
      </c>
      <c r="U1098" t="s">
        <v>30</v>
      </c>
    </row>
    <row r="1099" spans="1:21" x14ac:dyDescent="0.35">
      <c r="A1099" t="s">
        <v>1178</v>
      </c>
      <c r="B1099" s="1">
        <v>46202</v>
      </c>
      <c r="C1099" t="str">
        <f>TEXT(tblData[[#This Row],[Rental Date]],"mmm")</f>
        <v>Jun</v>
      </c>
      <c r="D1099" t="str">
        <f>TEXT(tblData[[#This Row],[Rental Date]],"mmmm")</f>
        <v>June</v>
      </c>
      <c r="E1099" t="s">
        <v>74</v>
      </c>
      <c r="F1099" t="str">
        <f>TEXT(WEEKNUM(tblData[[#This Row],[Rental Date]]),"00")</f>
        <v>27</v>
      </c>
      <c r="G1099" s="1">
        <f>EOMONTH(tblData[[#This Row],[Rental Date]],0)</f>
        <v>46203</v>
      </c>
      <c r="H1099" t="s">
        <v>749</v>
      </c>
      <c r="I1099" t="s">
        <v>32</v>
      </c>
      <c r="J1099" t="s">
        <v>24</v>
      </c>
      <c r="K1099" t="s">
        <v>25</v>
      </c>
      <c r="L1099">
        <v>1</v>
      </c>
      <c r="M1099" s="2">
        <v>56</v>
      </c>
      <c r="N1099" t="s">
        <v>26</v>
      </c>
      <c r="O1099" s="3">
        <v>0</v>
      </c>
      <c r="P1099" s="3">
        <v>0</v>
      </c>
      <c r="Q1099" s="2">
        <v>56</v>
      </c>
      <c r="R1099" t="s">
        <v>76</v>
      </c>
      <c r="S1099" t="s">
        <v>28</v>
      </c>
      <c r="T1099" t="s">
        <v>29</v>
      </c>
      <c r="U1099" t="s">
        <v>30</v>
      </c>
    </row>
    <row r="1100" spans="1:21" x14ac:dyDescent="0.35">
      <c r="A1100" t="s">
        <v>1179</v>
      </c>
      <c r="B1100" s="1">
        <v>46202</v>
      </c>
      <c r="C1100" t="str">
        <f>TEXT(tblData[[#This Row],[Rental Date]],"mmm")</f>
        <v>Jun</v>
      </c>
      <c r="D1100" t="str">
        <f>TEXT(tblData[[#This Row],[Rental Date]],"mmmm")</f>
        <v>June</v>
      </c>
      <c r="E1100" t="s">
        <v>74</v>
      </c>
      <c r="F1100" t="str">
        <f>TEXT(WEEKNUM(tblData[[#This Row],[Rental Date]]),"00")</f>
        <v>27</v>
      </c>
      <c r="G1100" s="1">
        <f>EOMONTH(tblData[[#This Row],[Rental Date]],0)</f>
        <v>46203</v>
      </c>
      <c r="H1100" t="s">
        <v>749</v>
      </c>
      <c r="I1100" t="s">
        <v>23</v>
      </c>
      <c r="J1100" t="s">
        <v>33</v>
      </c>
      <c r="K1100" t="s">
        <v>40</v>
      </c>
      <c r="L1100">
        <v>1</v>
      </c>
      <c r="M1100" s="2">
        <v>64.959999999999994</v>
      </c>
      <c r="N1100" t="s">
        <v>26</v>
      </c>
      <c r="O1100" s="3">
        <v>0</v>
      </c>
      <c r="P1100" s="3">
        <v>0</v>
      </c>
      <c r="Q1100" s="2">
        <v>64.959999999999994</v>
      </c>
      <c r="R1100" t="s">
        <v>34</v>
      </c>
      <c r="S1100" t="s">
        <v>46</v>
      </c>
      <c r="T1100" t="s">
        <v>90</v>
      </c>
      <c r="U1100" t="s">
        <v>79</v>
      </c>
    </row>
    <row r="1101" spans="1:21" x14ac:dyDescent="0.35">
      <c r="A1101" t="s">
        <v>1180</v>
      </c>
      <c r="B1101" s="1">
        <v>46202</v>
      </c>
      <c r="C1101" t="str">
        <f>TEXT(tblData[[#This Row],[Rental Date]],"mmm")</f>
        <v>Jun</v>
      </c>
      <c r="D1101" t="str">
        <f>TEXT(tblData[[#This Row],[Rental Date]],"mmmm")</f>
        <v>June</v>
      </c>
      <c r="E1101" t="s">
        <v>74</v>
      </c>
      <c r="F1101" t="str">
        <f>TEXT(WEEKNUM(tblData[[#This Row],[Rental Date]]),"00")</f>
        <v>27</v>
      </c>
      <c r="G1101" s="1">
        <f>EOMONTH(tblData[[#This Row],[Rental Date]],0)</f>
        <v>46203</v>
      </c>
      <c r="H1101" t="s">
        <v>749</v>
      </c>
      <c r="I1101" t="s">
        <v>48</v>
      </c>
      <c r="J1101" t="s">
        <v>33</v>
      </c>
      <c r="K1101" t="s">
        <v>25</v>
      </c>
      <c r="L1101">
        <v>1</v>
      </c>
      <c r="M1101" s="2">
        <v>42.56</v>
      </c>
      <c r="N1101" t="s">
        <v>26</v>
      </c>
      <c r="O1101" s="3">
        <v>0</v>
      </c>
      <c r="P1101" s="3">
        <v>0</v>
      </c>
      <c r="Q1101" s="2">
        <v>42.56</v>
      </c>
      <c r="R1101" t="s">
        <v>94</v>
      </c>
      <c r="S1101" t="s">
        <v>28</v>
      </c>
      <c r="T1101" t="s">
        <v>51</v>
      </c>
      <c r="U1101" t="s">
        <v>30</v>
      </c>
    </row>
    <row r="1102" spans="1:21" x14ac:dyDescent="0.35">
      <c r="A1102" t="s">
        <v>1181</v>
      </c>
      <c r="B1102" s="1">
        <v>46202</v>
      </c>
      <c r="C1102" t="str">
        <f>TEXT(tblData[[#This Row],[Rental Date]],"mmm")</f>
        <v>Jun</v>
      </c>
      <c r="D1102" t="str">
        <f>TEXT(tblData[[#This Row],[Rental Date]],"mmmm")</f>
        <v>June</v>
      </c>
      <c r="E1102" t="s">
        <v>74</v>
      </c>
      <c r="F1102" t="str">
        <f>TEXT(WEEKNUM(tblData[[#This Row],[Rental Date]]),"00")</f>
        <v>27</v>
      </c>
      <c r="G1102" s="1">
        <f>EOMONTH(tblData[[#This Row],[Rental Date]],0)</f>
        <v>46203</v>
      </c>
      <c r="H1102" t="s">
        <v>749</v>
      </c>
      <c r="I1102" t="s">
        <v>23</v>
      </c>
      <c r="J1102" t="s">
        <v>138</v>
      </c>
      <c r="K1102" t="s">
        <v>40</v>
      </c>
      <c r="L1102">
        <v>1</v>
      </c>
      <c r="M1102" s="2">
        <v>80.64</v>
      </c>
      <c r="N1102" t="s">
        <v>26</v>
      </c>
      <c r="O1102" s="3">
        <v>0</v>
      </c>
      <c r="P1102" s="3">
        <v>0</v>
      </c>
      <c r="Q1102" s="2">
        <v>80.64</v>
      </c>
      <c r="R1102" t="s">
        <v>66</v>
      </c>
      <c r="S1102" t="s">
        <v>28</v>
      </c>
      <c r="T1102" t="s">
        <v>51</v>
      </c>
      <c r="U1102" t="s">
        <v>30</v>
      </c>
    </row>
    <row r="1103" spans="1:21" x14ac:dyDescent="0.35">
      <c r="A1103" t="s">
        <v>1182</v>
      </c>
      <c r="B1103" s="1">
        <v>46202</v>
      </c>
      <c r="C1103" t="str">
        <f>TEXT(tblData[[#This Row],[Rental Date]],"mmm")</f>
        <v>Jun</v>
      </c>
      <c r="D1103" t="str">
        <f>TEXT(tblData[[#This Row],[Rental Date]],"mmmm")</f>
        <v>June</v>
      </c>
      <c r="E1103" t="s">
        <v>74</v>
      </c>
      <c r="F1103" t="str">
        <f>TEXT(WEEKNUM(tblData[[#This Row],[Rental Date]]),"00")</f>
        <v>27</v>
      </c>
      <c r="G1103" s="1">
        <f>EOMONTH(tblData[[#This Row],[Rental Date]],0)</f>
        <v>46203</v>
      </c>
      <c r="H1103" t="s">
        <v>749</v>
      </c>
      <c r="I1103" t="s">
        <v>32</v>
      </c>
      <c r="J1103" t="s">
        <v>44</v>
      </c>
      <c r="K1103" t="s">
        <v>92</v>
      </c>
      <c r="L1103">
        <v>1</v>
      </c>
      <c r="M1103" s="2">
        <v>125.44</v>
      </c>
      <c r="N1103" t="s">
        <v>26</v>
      </c>
      <c r="O1103" s="3">
        <v>0</v>
      </c>
      <c r="P1103" s="3">
        <v>12.54</v>
      </c>
      <c r="Q1103" s="2">
        <v>112.9</v>
      </c>
      <c r="R1103" t="s">
        <v>66</v>
      </c>
      <c r="S1103" t="s">
        <v>50</v>
      </c>
      <c r="T1103" t="s">
        <v>90</v>
      </c>
      <c r="U1103" t="s">
        <v>30</v>
      </c>
    </row>
    <row r="1104" spans="1:21" x14ac:dyDescent="0.35">
      <c r="A1104" t="s">
        <v>1183</v>
      </c>
      <c r="B1104" s="1">
        <v>46202</v>
      </c>
      <c r="C1104" t="str">
        <f>TEXT(tblData[[#This Row],[Rental Date]],"mmm")</f>
        <v>Jun</v>
      </c>
      <c r="D1104" t="str">
        <f>TEXT(tblData[[#This Row],[Rental Date]],"mmmm")</f>
        <v>June</v>
      </c>
      <c r="E1104" t="s">
        <v>74</v>
      </c>
      <c r="F1104" t="str">
        <f>TEXT(WEEKNUM(tblData[[#This Row],[Rental Date]]),"00")</f>
        <v>27</v>
      </c>
      <c r="G1104" s="1">
        <f>EOMONTH(tblData[[#This Row],[Rental Date]],0)</f>
        <v>46203</v>
      </c>
      <c r="H1104" t="s">
        <v>749</v>
      </c>
      <c r="I1104" t="s">
        <v>48</v>
      </c>
      <c r="J1104" t="s">
        <v>33</v>
      </c>
      <c r="K1104" t="s">
        <v>40</v>
      </c>
      <c r="L1104">
        <v>1</v>
      </c>
      <c r="M1104" s="2">
        <v>64.959999999999994</v>
      </c>
      <c r="N1104" t="s">
        <v>26</v>
      </c>
      <c r="O1104" s="3">
        <v>0</v>
      </c>
      <c r="P1104" s="3">
        <v>0</v>
      </c>
      <c r="Q1104" s="2">
        <v>64.959999999999994</v>
      </c>
      <c r="R1104" t="s">
        <v>34</v>
      </c>
      <c r="S1104" t="s">
        <v>46</v>
      </c>
      <c r="T1104" t="s">
        <v>63</v>
      </c>
      <c r="U1104" t="s">
        <v>58</v>
      </c>
    </row>
    <row r="1105" spans="1:21" x14ac:dyDescent="0.35">
      <c r="A1105" t="s">
        <v>1184</v>
      </c>
      <c r="B1105" s="1">
        <v>46202</v>
      </c>
      <c r="C1105" t="str">
        <f>TEXT(tblData[[#This Row],[Rental Date]],"mmm")</f>
        <v>Jun</v>
      </c>
      <c r="D1105" t="str">
        <f>TEXT(tblData[[#This Row],[Rental Date]],"mmmm")</f>
        <v>June</v>
      </c>
      <c r="E1105" t="s">
        <v>74</v>
      </c>
      <c r="F1105" t="str">
        <f>TEXT(WEEKNUM(tblData[[#This Row],[Rental Date]]),"00")</f>
        <v>27</v>
      </c>
      <c r="G1105" s="1">
        <f>EOMONTH(tblData[[#This Row],[Rental Date]],0)</f>
        <v>46203</v>
      </c>
      <c r="H1105" t="s">
        <v>749</v>
      </c>
      <c r="I1105" t="s">
        <v>23</v>
      </c>
      <c r="J1105" t="s">
        <v>33</v>
      </c>
      <c r="K1105" t="s">
        <v>60</v>
      </c>
      <c r="L1105">
        <v>1</v>
      </c>
      <c r="M1105" s="2">
        <v>26.88</v>
      </c>
      <c r="N1105" t="s">
        <v>87</v>
      </c>
      <c r="O1105" s="3">
        <v>10</v>
      </c>
      <c r="P1105" s="3">
        <v>0</v>
      </c>
      <c r="Q1105" s="2">
        <v>36.880000000000003</v>
      </c>
      <c r="R1105" t="s">
        <v>57</v>
      </c>
      <c r="S1105" t="s">
        <v>54</v>
      </c>
      <c r="T1105" t="s">
        <v>51</v>
      </c>
      <c r="U1105" t="s">
        <v>30</v>
      </c>
    </row>
    <row r="1106" spans="1:21" x14ac:dyDescent="0.35">
      <c r="A1106" t="s">
        <v>1185</v>
      </c>
      <c r="B1106" s="1">
        <v>46202</v>
      </c>
      <c r="C1106" t="str">
        <f>TEXT(tblData[[#This Row],[Rental Date]],"mmm")</f>
        <v>Jun</v>
      </c>
      <c r="D1106" t="str">
        <f>TEXT(tblData[[#This Row],[Rental Date]],"mmmm")</f>
        <v>June</v>
      </c>
      <c r="E1106" t="s">
        <v>74</v>
      </c>
      <c r="F1106" t="str">
        <f>TEXT(WEEKNUM(tblData[[#This Row],[Rental Date]]),"00")</f>
        <v>27</v>
      </c>
      <c r="G1106" s="1">
        <f>EOMONTH(tblData[[#This Row],[Rental Date]],0)</f>
        <v>46203</v>
      </c>
      <c r="H1106" t="s">
        <v>749</v>
      </c>
      <c r="I1106" t="s">
        <v>48</v>
      </c>
      <c r="J1106" t="s">
        <v>111</v>
      </c>
      <c r="K1106" t="s">
        <v>25</v>
      </c>
      <c r="L1106">
        <v>1</v>
      </c>
      <c r="M1106" s="2">
        <v>24.64</v>
      </c>
      <c r="N1106" t="s">
        <v>26</v>
      </c>
      <c r="O1106" s="3">
        <v>0</v>
      </c>
      <c r="P1106" s="3">
        <v>0</v>
      </c>
      <c r="Q1106" s="2">
        <v>24.64</v>
      </c>
      <c r="R1106" t="s">
        <v>66</v>
      </c>
      <c r="S1106" t="s">
        <v>46</v>
      </c>
      <c r="T1106" t="s">
        <v>29</v>
      </c>
      <c r="U1106" t="s">
        <v>79</v>
      </c>
    </row>
    <row r="1107" spans="1:21" x14ac:dyDescent="0.35">
      <c r="A1107" t="s">
        <v>1186</v>
      </c>
      <c r="B1107" s="1">
        <v>46202</v>
      </c>
      <c r="C1107" t="str">
        <f>TEXT(tblData[[#This Row],[Rental Date]],"mmm")</f>
        <v>Jun</v>
      </c>
      <c r="D1107" t="str">
        <f>TEXT(tblData[[#This Row],[Rental Date]],"mmmm")</f>
        <v>June</v>
      </c>
      <c r="E1107" t="s">
        <v>74</v>
      </c>
      <c r="F1107" t="str">
        <f>TEXT(WEEKNUM(tblData[[#This Row],[Rental Date]]),"00")</f>
        <v>27</v>
      </c>
      <c r="G1107" s="1">
        <f>EOMONTH(tblData[[#This Row],[Rental Date]],0)</f>
        <v>46203</v>
      </c>
      <c r="H1107" t="s">
        <v>749</v>
      </c>
      <c r="I1107" t="s">
        <v>48</v>
      </c>
      <c r="J1107" t="s">
        <v>33</v>
      </c>
      <c r="K1107" t="s">
        <v>40</v>
      </c>
      <c r="L1107">
        <v>1</v>
      </c>
      <c r="M1107" s="2">
        <v>64.959999999999994</v>
      </c>
      <c r="N1107" t="s">
        <v>26</v>
      </c>
      <c r="O1107" s="3">
        <v>0</v>
      </c>
      <c r="P1107" s="3">
        <v>0</v>
      </c>
      <c r="Q1107" s="2">
        <v>64.959999999999994</v>
      </c>
      <c r="R1107" t="s">
        <v>45</v>
      </c>
      <c r="S1107" t="s">
        <v>50</v>
      </c>
      <c r="T1107" t="s">
        <v>29</v>
      </c>
      <c r="U1107" t="s">
        <v>58</v>
      </c>
    </row>
    <row r="1108" spans="1:21" x14ac:dyDescent="0.35">
      <c r="A1108" t="s">
        <v>1187</v>
      </c>
      <c r="B1108" s="1">
        <v>46202</v>
      </c>
      <c r="C1108" t="str">
        <f>TEXT(tblData[[#This Row],[Rental Date]],"mmm")</f>
        <v>Jun</v>
      </c>
      <c r="D1108" t="str">
        <f>TEXT(tblData[[#This Row],[Rental Date]],"mmmm")</f>
        <v>June</v>
      </c>
      <c r="E1108" t="s">
        <v>74</v>
      </c>
      <c r="F1108" t="str">
        <f>TEXT(WEEKNUM(tblData[[#This Row],[Rental Date]]),"00")</f>
        <v>27</v>
      </c>
      <c r="G1108" s="1">
        <f>EOMONTH(tblData[[#This Row],[Rental Date]],0)</f>
        <v>46203</v>
      </c>
      <c r="H1108" t="s">
        <v>749</v>
      </c>
      <c r="I1108" t="s">
        <v>23</v>
      </c>
      <c r="J1108" t="s">
        <v>111</v>
      </c>
      <c r="K1108" t="s">
        <v>25</v>
      </c>
      <c r="L1108">
        <v>1</v>
      </c>
      <c r="M1108" s="2">
        <v>24.64</v>
      </c>
      <c r="N1108" t="s">
        <v>26</v>
      </c>
      <c r="O1108" s="3">
        <v>0</v>
      </c>
      <c r="P1108" s="3">
        <v>0</v>
      </c>
      <c r="Q1108" s="2">
        <v>24.64</v>
      </c>
      <c r="R1108" t="s">
        <v>34</v>
      </c>
      <c r="S1108" t="s">
        <v>35</v>
      </c>
      <c r="T1108" t="s">
        <v>29</v>
      </c>
      <c r="U1108" t="s">
        <v>30</v>
      </c>
    </row>
    <row r="1109" spans="1:21" x14ac:dyDescent="0.35">
      <c r="A1109" t="s">
        <v>1188</v>
      </c>
      <c r="B1109" s="1">
        <v>46202</v>
      </c>
      <c r="C1109" t="str">
        <f>TEXT(tblData[[#This Row],[Rental Date]],"mmm")</f>
        <v>Jun</v>
      </c>
      <c r="D1109" t="str">
        <f>TEXT(tblData[[#This Row],[Rental Date]],"mmmm")</f>
        <v>June</v>
      </c>
      <c r="E1109" t="s">
        <v>74</v>
      </c>
      <c r="F1109" t="str">
        <f>TEXT(WEEKNUM(tblData[[#This Row],[Rental Date]]),"00")</f>
        <v>27</v>
      </c>
      <c r="G1109" s="1">
        <f>EOMONTH(tblData[[#This Row],[Rental Date]],0)</f>
        <v>46203</v>
      </c>
      <c r="H1109" t="s">
        <v>749</v>
      </c>
      <c r="I1109" t="s">
        <v>48</v>
      </c>
      <c r="J1109" t="s">
        <v>33</v>
      </c>
      <c r="K1109" t="s">
        <v>92</v>
      </c>
      <c r="L1109">
        <v>1</v>
      </c>
      <c r="M1109" s="2">
        <v>94.08</v>
      </c>
      <c r="N1109" t="s">
        <v>87</v>
      </c>
      <c r="O1109" s="3">
        <v>10</v>
      </c>
      <c r="P1109" s="3">
        <v>0</v>
      </c>
      <c r="Q1109" s="2">
        <v>104.08</v>
      </c>
      <c r="R1109" t="s">
        <v>57</v>
      </c>
      <c r="S1109" t="s">
        <v>35</v>
      </c>
      <c r="T1109" t="s">
        <v>51</v>
      </c>
      <c r="U1109" t="s">
        <v>30</v>
      </c>
    </row>
    <row r="1110" spans="1:21" x14ac:dyDescent="0.35">
      <c r="A1110" t="s">
        <v>1189</v>
      </c>
      <c r="B1110" s="1">
        <v>46202</v>
      </c>
      <c r="C1110" t="str">
        <f>TEXT(tblData[[#This Row],[Rental Date]],"mmm")</f>
        <v>Jun</v>
      </c>
      <c r="D1110" t="str">
        <f>TEXT(tblData[[#This Row],[Rental Date]],"mmmm")</f>
        <v>June</v>
      </c>
      <c r="E1110" t="s">
        <v>74</v>
      </c>
      <c r="F1110" t="str">
        <f>TEXT(WEEKNUM(tblData[[#This Row],[Rental Date]]),"00")</f>
        <v>27</v>
      </c>
      <c r="G1110" s="1">
        <f>EOMONTH(tblData[[#This Row],[Rental Date]],0)</f>
        <v>46203</v>
      </c>
      <c r="H1110" t="s">
        <v>749</v>
      </c>
      <c r="I1110" t="s">
        <v>53</v>
      </c>
      <c r="J1110" t="s">
        <v>33</v>
      </c>
      <c r="K1110" t="s">
        <v>60</v>
      </c>
      <c r="L1110">
        <v>1</v>
      </c>
      <c r="M1110" s="2">
        <v>26.88</v>
      </c>
      <c r="N1110" t="s">
        <v>26</v>
      </c>
      <c r="O1110" s="3">
        <v>0</v>
      </c>
      <c r="P1110" s="3">
        <v>4.03</v>
      </c>
      <c r="Q1110" s="2">
        <v>22.85</v>
      </c>
      <c r="R1110" t="s">
        <v>34</v>
      </c>
      <c r="S1110" t="s">
        <v>50</v>
      </c>
      <c r="T1110" t="s">
        <v>51</v>
      </c>
      <c r="U1110" t="s">
        <v>30</v>
      </c>
    </row>
    <row r="1111" spans="1:21" x14ac:dyDescent="0.35">
      <c r="A1111" t="s">
        <v>1190</v>
      </c>
      <c r="B1111" s="1">
        <v>46203</v>
      </c>
      <c r="C1111" t="str">
        <f>TEXT(tblData[[#This Row],[Rental Date]],"mmm")</f>
        <v>Jun</v>
      </c>
      <c r="D1111" t="str">
        <f>TEXT(tblData[[#This Row],[Rental Date]],"mmmm")</f>
        <v>June</v>
      </c>
      <c r="E1111" t="s">
        <v>102</v>
      </c>
      <c r="F1111" t="str">
        <f>TEXT(WEEKNUM(tblData[[#This Row],[Rental Date]]),"00")</f>
        <v>27</v>
      </c>
      <c r="G1111" s="1">
        <f>EOMONTH(tblData[[#This Row],[Rental Date]],0)</f>
        <v>46203</v>
      </c>
      <c r="H1111" t="s">
        <v>749</v>
      </c>
      <c r="I1111" t="s">
        <v>48</v>
      </c>
      <c r="J1111" t="s">
        <v>44</v>
      </c>
      <c r="K1111" t="s">
        <v>25</v>
      </c>
      <c r="L1111">
        <v>1</v>
      </c>
      <c r="M1111" s="2">
        <v>58.24</v>
      </c>
      <c r="N1111" t="s">
        <v>26</v>
      </c>
      <c r="O1111" s="3">
        <v>0</v>
      </c>
      <c r="P1111" s="3">
        <v>0</v>
      </c>
      <c r="Q1111" s="2">
        <v>58.24</v>
      </c>
      <c r="R1111" t="s">
        <v>76</v>
      </c>
      <c r="S1111" t="s">
        <v>28</v>
      </c>
      <c r="T1111" t="s">
        <v>63</v>
      </c>
      <c r="U1111" t="s">
        <v>30</v>
      </c>
    </row>
    <row r="1112" spans="1:21" x14ac:dyDescent="0.35">
      <c r="A1112" t="s">
        <v>1191</v>
      </c>
      <c r="B1112" s="1">
        <v>46203</v>
      </c>
      <c r="C1112" t="str">
        <f>TEXT(tblData[[#This Row],[Rental Date]],"mmm")</f>
        <v>Jun</v>
      </c>
      <c r="D1112" t="str">
        <f>TEXT(tblData[[#This Row],[Rental Date]],"mmmm")</f>
        <v>June</v>
      </c>
      <c r="E1112" t="s">
        <v>102</v>
      </c>
      <c r="F1112" t="str">
        <f>TEXT(WEEKNUM(tblData[[#This Row],[Rental Date]]),"00")</f>
        <v>27</v>
      </c>
      <c r="G1112" s="1">
        <f>EOMONTH(tblData[[#This Row],[Rental Date]],0)</f>
        <v>46203</v>
      </c>
      <c r="H1112" t="s">
        <v>749</v>
      </c>
      <c r="I1112" t="s">
        <v>23</v>
      </c>
      <c r="J1112" t="s">
        <v>33</v>
      </c>
      <c r="K1112" t="s">
        <v>25</v>
      </c>
      <c r="L1112">
        <v>1</v>
      </c>
      <c r="M1112" s="2">
        <v>42.56</v>
      </c>
      <c r="N1112" t="s">
        <v>89</v>
      </c>
      <c r="O1112" s="3">
        <v>6</v>
      </c>
      <c r="P1112" s="3">
        <v>0</v>
      </c>
      <c r="Q1112" s="2">
        <v>48.56</v>
      </c>
      <c r="R1112" t="s">
        <v>62</v>
      </c>
      <c r="S1112" t="s">
        <v>54</v>
      </c>
      <c r="T1112" t="s">
        <v>29</v>
      </c>
      <c r="U1112" t="s">
        <v>30</v>
      </c>
    </row>
    <row r="1113" spans="1:21" x14ac:dyDescent="0.35">
      <c r="A1113" t="s">
        <v>1192</v>
      </c>
      <c r="B1113" s="1">
        <v>46203</v>
      </c>
      <c r="C1113" t="str">
        <f>TEXT(tblData[[#This Row],[Rental Date]],"mmm")</f>
        <v>Jun</v>
      </c>
      <c r="D1113" t="str">
        <f>TEXT(tblData[[#This Row],[Rental Date]],"mmmm")</f>
        <v>June</v>
      </c>
      <c r="E1113" t="s">
        <v>102</v>
      </c>
      <c r="F1113" t="str">
        <f>TEXT(WEEKNUM(tblData[[#This Row],[Rental Date]]),"00")</f>
        <v>27</v>
      </c>
      <c r="G1113" s="1">
        <f>EOMONTH(tblData[[#This Row],[Rental Date]],0)</f>
        <v>46203</v>
      </c>
      <c r="H1113" t="s">
        <v>749</v>
      </c>
      <c r="I1113" t="s">
        <v>32</v>
      </c>
      <c r="J1113" t="s">
        <v>33</v>
      </c>
      <c r="K1113" t="s">
        <v>25</v>
      </c>
      <c r="L1113">
        <v>1</v>
      </c>
      <c r="M1113" s="2">
        <v>42.56</v>
      </c>
      <c r="N1113" t="s">
        <v>26</v>
      </c>
      <c r="O1113" s="3">
        <v>0</v>
      </c>
      <c r="P1113" s="3">
        <v>4.26</v>
      </c>
      <c r="Q1113" s="2">
        <v>38.299999999999997</v>
      </c>
      <c r="R1113" t="s">
        <v>34</v>
      </c>
      <c r="S1113" t="s">
        <v>35</v>
      </c>
      <c r="T1113" t="s">
        <v>51</v>
      </c>
      <c r="U1113" t="s">
        <v>30</v>
      </c>
    </row>
    <row r="1114" spans="1:21" x14ac:dyDescent="0.35">
      <c r="A1114" t="s">
        <v>1193</v>
      </c>
      <c r="B1114" s="1">
        <v>46203</v>
      </c>
      <c r="C1114" t="str">
        <f>TEXT(tblData[[#This Row],[Rental Date]],"mmm")</f>
        <v>Jun</v>
      </c>
      <c r="D1114" t="str">
        <f>TEXT(tblData[[#This Row],[Rental Date]],"mmmm")</f>
        <v>June</v>
      </c>
      <c r="E1114" t="s">
        <v>102</v>
      </c>
      <c r="F1114" t="str">
        <f>TEXT(WEEKNUM(tblData[[#This Row],[Rental Date]]),"00")</f>
        <v>27</v>
      </c>
      <c r="G1114" s="1">
        <f>EOMONTH(tblData[[#This Row],[Rental Date]],0)</f>
        <v>46203</v>
      </c>
      <c r="H1114" t="s">
        <v>749</v>
      </c>
      <c r="I1114" t="s">
        <v>23</v>
      </c>
      <c r="J1114" t="s">
        <v>44</v>
      </c>
      <c r="K1114" t="s">
        <v>25</v>
      </c>
      <c r="L1114">
        <v>1</v>
      </c>
      <c r="M1114" s="2">
        <v>58.24</v>
      </c>
      <c r="N1114" t="s">
        <v>26</v>
      </c>
      <c r="O1114" s="3">
        <v>0</v>
      </c>
      <c r="P1114" s="3">
        <v>0</v>
      </c>
      <c r="Q1114" s="2">
        <v>58.24</v>
      </c>
      <c r="R1114" t="s">
        <v>42</v>
      </c>
      <c r="S1114" t="s">
        <v>50</v>
      </c>
      <c r="T1114" t="s">
        <v>83</v>
      </c>
      <c r="U1114" t="s">
        <v>30</v>
      </c>
    </row>
    <row r="1115" spans="1:21" x14ac:dyDescent="0.35">
      <c r="A1115" t="s">
        <v>1194</v>
      </c>
      <c r="B1115" s="1">
        <v>46203</v>
      </c>
      <c r="C1115" t="str">
        <f>TEXT(tblData[[#This Row],[Rental Date]],"mmm")</f>
        <v>Jun</v>
      </c>
      <c r="D1115" t="str">
        <f>TEXT(tblData[[#This Row],[Rental Date]],"mmmm")</f>
        <v>June</v>
      </c>
      <c r="E1115" t="s">
        <v>102</v>
      </c>
      <c r="F1115" t="str">
        <f>TEXT(WEEKNUM(tblData[[#This Row],[Rental Date]]),"00")</f>
        <v>27</v>
      </c>
      <c r="G1115" s="1">
        <f>EOMONTH(tblData[[#This Row],[Rental Date]],0)</f>
        <v>46203</v>
      </c>
      <c r="H1115" t="s">
        <v>749</v>
      </c>
      <c r="I1115" t="s">
        <v>39</v>
      </c>
      <c r="J1115" t="s">
        <v>49</v>
      </c>
      <c r="K1115" t="s">
        <v>60</v>
      </c>
      <c r="L1115">
        <v>1</v>
      </c>
      <c r="M1115" s="2">
        <v>24.64</v>
      </c>
      <c r="N1115" t="s">
        <v>26</v>
      </c>
      <c r="O1115" s="3">
        <v>0</v>
      </c>
      <c r="P1115" s="3">
        <v>0</v>
      </c>
      <c r="Q1115" s="2">
        <v>24.64</v>
      </c>
      <c r="R1115" t="s">
        <v>66</v>
      </c>
      <c r="S1115" t="s">
        <v>54</v>
      </c>
      <c r="T1115" t="s">
        <v>51</v>
      </c>
      <c r="U1115" t="s">
        <v>58</v>
      </c>
    </row>
    <row r="1116" spans="1:21" x14ac:dyDescent="0.35">
      <c r="A1116" t="s">
        <v>1195</v>
      </c>
      <c r="B1116" s="1">
        <v>46203</v>
      </c>
      <c r="C1116" t="str">
        <f>TEXT(tblData[[#This Row],[Rental Date]],"mmm")</f>
        <v>Jun</v>
      </c>
      <c r="D1116" t="str">
        <f>TEXT(tblData[[#This Row],[Rental Date]],"mmmm")</f>
        <v>June</v>
      </c>
      <c r="E1116" t="s">
        <v>102</v>
      </c>
      <c r="F1116" t="str">
        <f>TEXT(WEEKNUM(tblData[[#This Row],[Rental Date]]),"00")</f>
        <v>27</v>
      </c>
      <c r="G1116" s="1">
        <f>EOMONTH(tblData[[#This Row],[Rental Date]],0)</f>
        <v>46203</v>
      </c>
      <c r="H1116" t="s">
        <v>749</v>
      </c>
      <c r="I1116" t="s">
        <v>23</v>
      </c>
      <c r="J1116" t="s">
        <v>78</v>
      </c>
      <c r="K1116" t="s">
        <v>60</v>
      </c>
      <c r="L1116">
        <v>1</v>
      </c>
      <c r="M1116" s="2">
        <v>29.12</v>
      </c>
      <c r="N1116" t="s">
        <v>26</v>
      </c>
      <c r="O1116" s="3">
        <v>0</v>
      </c>
      <c r="P1116" s="3">
        <v>1.46</v>
      </c>
      <c r="Q1116" s="2">
        <v>27.66</v>
      </c>
      <c r="R1116" t="s">
        <v>57</v>
      </c>
      <c r="S1116" t="s">
        <v>28</v>
      </c>
      <c r="T1116" t="s">
        <v>29</v>
      </c>
      <c r="U1116" t="s">
        <v>58</v>
      </c>
    </row>
    <row r="1117" spans="1:21" x14ac:dyDescent="0.35">
      <c r="A1117" t="s">
        <v>1196</v>
      </c>
      <c r="B1117" s="1">
        <v>46204</v>
      </c>
      <c r="C1117" t="str">
        <f>TEXT(tblData[[#This Row],[Rental Date]],"mmm")</f>
        <v>Jul</v>
      </c>
      <c r="D1117" t="str">
        <f>TEXT(tblData[[#This Row],[Rental Date]],"mmmm")</f>
        <v>July</v>
      </c>
      <c r="E1117" t="s">
        <v>109</v>
      </c>
      <c r="F1117" t="str">
        <f>TEXT(WEEKNUM(tblData[[#This Row],[Rental Date]]),"00")</f>
        <v>27</v>
      </c>
      <c r="G1117" s="1">
        <f>EOMONTH(tblData[[#This Row],[Rental Date]],0)</f>
        <v>46234</v>
      </c>
      <c r="H1117" t="s">
        <v>749</v>
      </c>
      <c r="I1117" t="s">
        <v>39</v>
      </c>
      <c r="J1117" t="s">
        <v>33</v>
      </c>
      <c r="K1117" t="s">
        <v>25</v>
      </c>
      <c r="L1117">
        <v>1</v>
      </c>
      <c r="M1117" s="2">
        <v>42.56</v>
      </c>
      <c r="N1117" t="s">
        <v>61</v>
      </c>
      <c r="O1117" s="3">
        <v>8</v>
      </c>
      <c r="P1117" s="3">
        <v>0</v>
      </c>
      <c r="Q1117" s="2">
        <v>50.56</v>
      </c>
      <c r="R1117" t="s">
        <v>57</v>
      </c>
      <c r="S1117" t="s">
        <v>46</v>
      </c>
      <c r="T1117" t="s">
        <v>29</v>
      </c>
      <c r="U1117" t="s">
        <v>30</v>
      </c>
    </row>
    <row r="1118" spans="1:21" x14ac:dyDescent="0.35">
      <c r="A1118" t="s">
        <v>1197</v>
      </c>
      <c r="B1118" s="1">
        <v>46204</v>
      </c>
      <c r="C1118" t="str">
        <f>TEXT(tblData[[#This Row],[Rental Date]],"mmm")</f>
        <v>Jul</v>
      </c>
      <c r="D1118" t="str">
        <f>TEXT(tblData[[#This Row],[Rental Date]],"mmmm")</f>
        <v>July</v>
      </c>
      <c r="E1118" t="s">
        <v>109</v>
      </c>
      <c r="F1118" t="str">
        <f>TEXT(WEEKNUM(tblData[[#This Row],[Rental Date]]),"00")</f>
        <v>27</v>
      </c>
      <c r="G1118" s="1">
        <f>EOMONTH(tblData[[#This Row],[Rental Date]],0)</f>
        <v>46234</v>
      </c>
      <c r="H1118" t="s">
        <v>749</v>
      </c>
      <c r="I1118" t="s">
        <v>48</v>
      </c>
      <c r="J1118" t="s">
        <v>78</v>
      </c>
      <c r="K1118" t="s">
        <v>60</v>
      </c>
      <c r="L1118">
        <v>1</v>
      </c>
      <c r="M1118" s="2">
        <v>29.12</v>
      </c>
      <c r="N1118" t="s">
        <v>89</v>
      </c>
      <c r="O1118" s="3">
        <v>6</v>
      </c>
      <c r="P1118" s="3">
        <v>0</v>
      </c>
      <c r="Q1118" s="2">
        <v>35.119999999999997</v>
      </c>
      <c r="R1118" t="s">
        <v>27</v>
      </c>
      <c r="S1118" t="s">
        <v>50</v>
      </c>
      <c r="T1118" t="s">
        <v>29</v>
      </c>
      <c r="U1118" t="s">
        <v>30</v>
      </c>
    </row>
    <row r="1119" spans="1:21" x14ac:dyDescent="0.35">
      <c r="A1119" t="s">
        <v>1198</v>
      </c>
      <c r="B1119" s="1">
        <v>46204</v>
      </c>
      <c r="C1119" t="str">
        <f>TEXT(tblData[[#This Row],[Rental Date]],"mmm")</f>
        <v>Jul</v>
      </c>
      <c r="D1119" t="str">
        <f>TEXT(tblData[[#This Row],[Rental Date]],"mmmm")</f>
        <v>July</v>
      </c>
      <c r="E1119" t="s">
        <v>109</v>
      </c>
      <c r="F1119" t="str">
        <f>TEXT(WEEKNUM(tblData[[#This Row],[Rental Date]]),"00")</f>
        <v>27</v>
      </c>
      <c r="G1119" s="1">
        <f>EOMONTH(tblData[[#This Row],[Rental Date]],0)</f>
        <v>46234</v>
      </c>
      <c r="H1119" t="s">
        <v>749</v>
      </c>
      <c r="I1119" t="s">
        <v>39</v>
      </c>
      <c r="J1119" t="s">
        <v>49</v>
      </c>
      <c r="K1119" t="s">
        <v>25</v>
      </c>
      <c r="L1119">
        <v>1</v>
      </c>
      <c r="M1119" s="2">
        <v>40.32</v>
      </c>
      <c r="N1119" t="s">
        <v>87</v>
      </c>
      <c r="O1119" s="3">
        <v>10</v>
      </c>
      <c r="P1119" s="3">
        <v>0</v>
      </c>
      <c r="Q1119" s="2">
        <v>50.32</v>
      </c>
      <c r="R1119" t="s">
        <v>76</v>
      </c>
      <c r="S1119" t="s">
        <v>28</v>
      </c>
      <c r="T1119" t="s">
        <v>90</v>
      </c>
      <c r="U1119" t="s">
        <v>30</v>
      </c>
    </row>
    <row r="1120" spans="1:21" x14ac:dyDescent="0.35">
      <c r="A1120" t="s">
        <v>1199</v>
      </c>
      <c r="B1120" s="1">
        <v>46204</v>
      </c>
      <c r="C1120" t="str">
        <f>TEXT(tblData[[#This Row],[Rental Date]],"mmm")</f>
        <v>Jul</v>
      </c>
      <c r="D1120" t="str">
        <f>TEXT(tblData[[#This Row],[Rental Date]],"mmmm")</f>
        <v>July</v>
      </c>
      <c r="E1120" t="s">
        <v>109</v>
      </c>
      <c r="F1120" t="str">
        <f>TEXT(WEEKNUM(tblData[[#This Row],[Rental Date]]),"00")</f>
        <v>27</v>
      </c>
      <c r="G1120" s="1">
        <f>EOMONTH(tblData[[#This Row],[Rental Date]],0)</f>
        <v>46234</v>
      </c>
      <c r="H1120" t="s">
        <v>749</v>
      </c>
      <c r="I1120" t="s">
        <v>48</v>
      </c>
      <c r="J1120" t="s">
        <v>44</v>
      </c>
      <c r="K1120" t="s">
        <v>25</v>
      </c>
      <c r="L1120">
        <v>1</v>
      </c>
      <c r="M1120" s="2">
        <v>58.24</v>
      </c>
      <c r="N1120" t="s">
        <v>26</v>
      </c>
      <c r="O1120" s="3">
        <v>0</v>
      </c>
      <c r="P1120" s="3">
        <v>0</v>
      </c>
      <c r="Q1120" s="2">
        <v>58.24</v>
      </c>
      <c r="R1120" t="s">
        <v>71</v>
      </c>
      <c r="S1120" t="s">
        <v>54</v>
      </c>
      <c r="T1120" t="s">
        <v>51</v>
      </c>
      <c r="U1120" t="s">
        <v>79</v>
      </c>
    </row>
    <row r="1121" spans="1:21" x14ac:dyDescent="0.35">
      <c r="A1121" t="s">
        <v>1200</v>
      </c>
      <c r="B1121" s="1">
        <v>46204</v>
      </c>
      <c r="C1121" t="str">
        <f>TEXT(tblData[[#This Row],[Rental Date]],"mmm")</f>
        <v>Jul</v>
      </c>
      <c r="D1121" t="str">
        <f>TEXT(tblData[[#This Row],[Rental Date]],"mmmm")</f>
        <v>July</v>
      </c>
      <c r="E1121" t="s">
        <v>109</v>
      </c>
      <c r="F1121" t="str">
        <f>TEXT(WEEKNUM(tblData[[#This Row],[Rental Date]]),"00")</f>
        <v>27</v>
      </c>
      <c r="G1121" s="1">
        <f>EOMONTH(tblData[[#This Row],[Rental Date]],0)</f>
        <v>46234</v>
      </c>
      <c r="H1121" t="s">
        <v>749</v>
      </c>
      <c r="I1121" t="s">
        <v>48</v>
      </c>
      <c r="J1121" t="s">
        <v>49</v>
      </c>
      <c r="K1121" t="s">
        <v>25</v>
      </c>
      <c r="L1121">
        <v>1</v>
      </c>
      <c r="M1121" s="2">
        <v>40.32</v>
      </c>
      <c r="N1121" t="s">
        <v>89</v>
      </c>
      <c r="O1121" s="3">
        <v>6</v>
      </c>
      <c r="P1121" s="3">
        <v>0</v>
      </c>
      <c r="Q1121" s="2">
        <v>46.32</v>
      </c>
      <c r="R1121" t="s">
        <v>34</v>
      </c>
      <c r="S1121" t="s">
        <v>50</v>
      </c>
      <c r="T1121" t="s">
        <v>29</v>
      </c>
      <c r="U1121" t="s">
        <v>30</v>
      </c>
    </row>
    <row r="1122" spans="1:21" x14ac:dyDescent="0.35">
      <c r="A1122" t="s">
        <v>1201</v>
      </c>
      <c r="B1122" s="1">
        <v>46204</v>
      </c>
      <c r="C1122" t="str">
        <f>TEXT(tblData[[#This Row],[Rental Date]],"mmm")</f>
        <v>Jul</v>
      </c>
      <c r="D1122" t="str">
        <f>TEXT(tblData[[#This Row],[Rental Date]],"mmmm")</f>
        <v>July</v>
      </c>
      <c r="E1122" t="s">
        <v>109</v>
      </c>
      <c r="F1122" t="str">
        <f>TEXT(WEEKNUM(tblData[[#This Row],[Rental Date]]),"00")</f>
        <v>27</v>
      </c>
      <c r="G1122" s="1">
        <f>EOMONTH(tblData[[#This Row],[Rental Date]],0)</f>
        <v>46234</v>
      </c>
      <c r="H1122" t="s">
        <v>749</v>
      </c>
      <c r="I1122" t="s">
        <v>39</v>
      </c>
      <c r="J1122" t="s">
        <v>138</v>
      </c>
      <c r="K1122" t="s">
        <v>40</v>
      </c>
      <c r="L1122">
        <v>1</v>
      </c>
      <c r="M1122" s="2">
        <v>80.64</v>
      </c>
      <c r="N1122" t="s">
        <v>70</v>
      </c>
      <c r="O1122" s="3">
        <v>7</v>
      </c>
      <c r="P1122" s="3">
        <v>0</v>
      </c>
      <c r="Q1122" s="2">
        <v>87.64</v>
      </c>
      <c r="R1122" t="s">
        <v>42</v>
      </c>
      <c r="S1122" t="s">
        <v>54</v>
      </c>
      <c r="T1122" t="s">
        <v>29</v>
      </c>
      <c r="U1122" t="s">
        <v>79</v>
      </c>
    </row>
    <row r="1123" spans="1:21" x14ac:dyDescent="0.35">
      <c r="A1123" t="s">
        <v>1202</v>
      </c>
      <c r="B1123" s="1">
        <v>46204</v>
      </c>
      <c r="C1123" t="str">
        <f>TEXT(tblData[[#This Row],[Rental Date]],"mmm")</f>
        <v>Jul</v>
      </c>
      <c r="D1123" t="str">
        <f>TEXT(tblData[[#This Row],[Rental Date]],"mmmm")</f>
        <v>July</v>
      </c>
      <c r="E1123" t="s">
        <v>109</v>
      </c>
      <c r="F1123" t="str">
        <f>TEXT(WEEKNUM(tblData[[#This Row],[Rental Date]]),"00")</f>
        <v>27</v>
      </c>
      <c r="G1123" s="1">
        <f>EOMONTH(tblData[[#This Row],[Rental Date]],0)</f>
        <v>46234</v>
      </c>
      <c r="H1123" t="s">
        <v>749</v>
      </c>
      <c r="I1123" t="s">
        <v>32</v>
      </c>
      <c r="J1123" t="s">
        <v>111</v>
      </c>
      <c r="K1123" t="s">
        <v>92</v>
      </c>
      <c r="L1123">
        <v>1</v>
      </c>
      <c r="M1123" s="2">
        <v>53.76</v>
      </c>
      <c r="N1123" t="s">
        <v>41</v>
      </c>
      <c r="O1123" s="3">
        <v>5</v>
      </c>
      <c r="P1123" s="3">
        <v>2.94</v>
      </c>
      <c r="Q1123" s="2">
        <v>55.82</v>
      </c>
      <c r="R1123" t="s">
        <v>71</v>
      </c>
      <c r="S1123" t="s">
        <v>50</v>
      </c>
      <c r="T1123" t="s">
        <v>29</v>
      </c>
      <c r="U1123" t="s">
        <v>58</v>
      </c>
    </row>
    <row r="1124" spans="1:21" x14ac:dyDescent="0.35">
      <c r="A1124" t="s">
        <v>1203</v>
      </c>
      <c r="B1124" s="1">
        <v>46204</v>
      </c>
      <c r="C1124" t="str">
        <f>TEXT(tblData[[#This Row],[Rental Date]],"mmm")</f>
        <v>Jul</v>
      </c>
      <c r="D1124" t="str">
        <f>TEXT(tblData[[#This Row],[Rental Date]],"mmmm")</f>
        <v>July</v>
      </c>
      <c r="E1124" t="s">
        <v>109</v>
      </c>
      <c r="F1124" t="str">
        <f>TEXT(WEEKNUM(tblData[[#This Row],[Rental Date]]),"00")</f>
        <v>27</v>
      </c>
      <c r="G1124" s="1">
        <f>EOMONTH(tblData[[#This Row],[Rental Date]],0)</f>
        <v>46234</v>
      </c>
      <c r="H1124" t="s">
        <v>749</v>
      </c>
      <c r="I1124" t="s">
        <v>53</v>
      </c>
      <c r="J1124" t="s">
        <v>111</v>
      </c>
      <c r="K1124" t="s">
        <v>92</v>
      </c>
      <c r="L1124">
        <v>1</v>
      </c>
      <c r="M1124" s="2">
        <v>53.76</v>
      </c>
      <c r="N1124" t="s">
        <v>61</v>
      </c>
      <c r="O1124" s="3">
        <v>8</v>
      </c>
      <c r="P1124" s="3">
        <v>6.18</v>
      </c>
      <c r="Q1124" s="2">
        <v>55.58</v>
      </c>
      <c r="R1124" t="s">
        <v>76</v>
      </c>
      <c r="S1124" t="s">
        <v>50</v>
      </c>
      <c r="T1124" t="s">
        <v>29</v>
      </c>
      <c r="U1124" t="s">
        <v>58</v>
      </c>
    </row>
    <row r="1125" spans="1:21" x14ac:dyDescent="0.35">
      <c r="A1125" t="s">
        <v>1204</v>
      </c>
      <c r="B1125" s="1">
        <v>46204</v>
      </c>
      <c r="C1125" t="str">
        <f>TEXT(tblData[[#This Row],[Rental Date]],"mmm")</f>
        <v>Jul</v>
      </c>
      <c r="D1125" t="str">
        <f>TEXT(tblData[[#This Row],[Rental Date]],"mmmm")</f>
        <v>July</v>
      </c>
      <c r="E1125" t="s">
        <v>109</v>
      </c>
      <c r="F1125" t="str">
        <f>TEXT(WEEKNUM(tblData[[#This Row],[Rental Date]]),"00")</f>
        <v>27</v>
      </c>
      <c r="G1125" s="1">
        <f>EOMONTH(tblData[[#This Row],[Rental Date]],0)</f>
        <v>46234</v>
      </c>
      <c r="H1125" t="s">
        <v>749</v>
      </c>
      <c r="I1125" t="s">
        <v>48</v>
      </c>
      <c r="J1125" t="s">
        <v>78</v>
      </c>
      <c r="K1125" t="s">
        <v>25</v>
      </c>
      <c r="L1125">
        <v>1</v>
      </c>
      <c r="M1125" s="2">
        <v>47.04</v>
      </c>
      <c r="N1125" t="s">
        <v>89</v>
      </c>
      <c r="O1125" s="3">
        <v>6</v>
      </c>
      <c r="P1125" s="3">
        <v>0</v>
      </c>
      <c r="Q1125" s="2">
        <v>53.04</v>
      </c>
      <c r="R1125" t="s">
        <v>71</v>
      </c>
      <c r="S1125" t="s">
        <v>50</v>
      </c>
      <c r="T1125" t="s">
        <v>29</v>
      </c>
      <c r="U1125" t="s">
        <v>30</v>
      </c>
    </row>
    <row r="1126" spans="1:21" x14ac:dyDescent="0.35">
      <c r="A1126" t="s">
        <v>1205</v>
      </c>
      <c r="B1126" s="1">
        <v>46204</v>
      </c>
      <c r="C1126" t="str">
        <f>TEXT(tblData[[#This Row],[Rental Date]],"mmm")</f>
        <v>Jul</v>
      </c>
      <c r="D1126" t="str">
        <f>TEXT(tblData[[#This Row],[Rental Date]],"mmmm")</f>
        <v>July</v>
      </c>
      <c r="E1126" t="s">
        <v>109</v>
      </c>
      <c r="F1126" t="str">
        <f>TEXT(WEEKNUM(tblData[[#This Row],[Rental Date]]),"00")</f>
        <v>27</v>
      </c>
      <c r="G1126" s="1">
        <f>EOMONTH(tblData[[#This Row],[Rental Date]],0)</f>
        <v>46234</v>
      </c>
      <c r="H1126" t="s">
        <v>749</v>
      </c>
      <c r="I1126" t="s">
        <v>32</v>
      </c>
      <c r="J1126" t="s">
        <v>78</v>
      </c>
      <c r="K1126" t="s">
        <v>92</v>
      </c>
      <c r="L1126">
        <v>1</v>
      </c>
      <c r="M1126" s="2">
        <v>98.56</v>
      </c>
      <c r="N1126" t="s">
        <v>41</v>
      </c>
      <c r="O1126" s="3">
        <v>5</v>
      </c>
      <c r="P1126" s="3">
        <v>0</v>
      </c>
      <c r="Q1126" s="2">
        <v>103.56</v>
      </c>
      <c r="R1126" t="s">
        <v>42</v>
      </c>
      <c r="S1126" t="s">
        <v>46</v>
      </c>
      <c r="T1126" t="s">
        <v>63</v>
      </c>
      <c r="U1126" t="s">
        <v>30</v>
      </c>
    </row>
    <row r="1127" spans="1:21" x14ac:dyDescent="0.35">
      <c r="A1127" t="s">
        <v>1206</v>
      </c>
      <c r="B1127" s="1">
        <v>46204</v>
      </c>
      <c r="C1127" t="str">
        <f>TEXT(tblData[[#This Row],[Rental Date]],"mmm")</f>
        <v>Jul</v>
      </c>
      <c r="D1127" t="str">
        <f>TEXT(tblData[[#This Row],[Rental Date]],"mmmm")</f>
        <v>July</v>
      </c>
      <c r="E1127" t="s">
        <v>109</v>
      </c>
      <c r="F1127" t="str">
        <f>TEXT(WEEKNUM(tblData[[#This Row],[Rental Date]]),"00")</f>
        <v>27</v>
      </c>
      <c r="G1127" s="1">
        <f>EOMONTH(tblData[[#This Row],[Rental Date]],0)</f>
        <v>46234</v>
      </c>
      <c r="H1127" t="s">
        <v>749</v>
      </c>
      <c r="I1127" t="s">
        <v>48</v>
      </c>
      <c r="J1127" t="s">
        <v>33</v>
      </c>
      <c r="K1127" t="s">
        <v>40</v>
      </c>
      <c r="L1127">
        <v>1</v>
      </c>
      <c r="M1127" s="2">
        <v>64.959999999999994</v>
      </c>
      <c r="N1127" t="s">
        <v>26</v>
      </c>
      <c r="O1127" s="3">
        <v>0</v>
      </c>
      <c r="P1127" s="3">
        <v>0</v>
      </c>
      <c r="Q1127" s="2">
        <v>64.959999999999994</v>
      </c>
      <c r="R1127" t="s">
        <v>45</v>
      </c>
      <c r="S1127" t="s">
        <v>50</v>
      </c>
      <c r="T1127" t="s">
        <v>51</v>
      </c>
      <c r="U1127" t="s">
        <v>30</v>
      </c>
    </row>
    <row r="1128" spans="1:21" x14ac:dyDescent="0.35">
      <c r="A1128" t="s">
        <v>1207</v>
      </c>
      <c r="B1128" s="1">
        <v>46204</v>
      </c>
      <c r="C1128" t="str">
        <f>TEXT(tblData[[#This Row],[Rental Date]],"mmm")</f>
        <v>Jul</v>
      </c>
      <c r="D1128" t="str">
        <f>TEXT(tblData[[#This Row],[Rental Date]],"mmmm")</f>
        <v>July</v>
      </c>
      <c r="E1128" t="s">
        <v>109</v>
      </c>
      <c r="F1128" t="str">
        <f>TEXT(WEEKNUM(tblData[[#This Row],[Rental Date]]),"00")</f>
        <v>27</v>
      </c>
      <c r="G1128" s="1">
        <f>EOMONTH(tblData[[#This Row],[Rental Date]],0)</f>
        <v>46234</v>
      </c>
      <c r="H1128" t="s">
        <v>749</v>
      </c>
      <c r="I1128" t="s">
        <v>53</v>
      </c>
      <c r="J1128" t="s">
        <v>44</v>
      </c>
      <c r="K1128" t="s">
        <v>60</v>
      </c>
      <c r="L1128">
        <v>1</v>
      </c>
      <c r="M1128" s="2">
        <v>38.08</v>
      </c>
      <c r="N1128" t="s">
        <v>89</v>
      </c>
      <c r="O1128" s="3">
        <v>6</v>
      </c>
      <c r="P1128" s="3">
        <v>4.41</v>
      </c>
      <c r="Q1128" s="2">
        <v>39.67</v>
      </c>
      <c r="R1128" t="s">
        <v>27</v>
      </c>
      <c r="S1128" t="s">
        <v>46</v>
      </c>
      <c r="T1128" t="s">
        <v>90</v>
      </c>
      <c r="U1128" t="s">
        <v>30</v>
      </c>
    </row>
    <row r="1129" spans="1:21" x14ac:dyDescent="0.35">
      <c r="A1129" t="s">
        <v>1208</v>
      </c>
      <c r="B1129" s="1">
        <v>46204</v>
      </c>
      <c r="C1129" t="str">
        <f>TEXT(tblData[[#This Row],[Rental Date]],"mmm")</f>
        <v>Jul</v>
      </c>
      <c r="D1129" t="str">
        <f>TEXT(tblData[[#This Row],[Rental Date]],"mmmm")</f>
        <v>July</v>
      </c>
      <c r="E1129" t="s">
        <v>109</v>
      </c>
      <c r="F1129" t="str">
        <f>TEXT(WEEKNUM(tblData[[#This Row],[Rental Date]]),"00")</f>
        <v>27</v>
      </c>
      <c r="G1129" s="1">
        <f>EOMONTH(tblData[[#This Row],[Rental Date]],0)</f>
        <v>46234</v>
      </c>
      <c r="H1129" t="s">
        <v>749</v>
      </c>
      <c r="I1129" t="s">
        <v>23</v>
      </c>
      <c r="J1129" t="s">
        <v>33</v>
      </c>
      <c r="K1129" t="s">
        <v>40</v>
      </c>
      <c r="L1129">
        <v>1</v>
      </c>
      <c r="M1129" s="2">
        <v>64.959999999999994</v>
      </c>
      <c r="N1129" t="s">
        <v>26</v>
      </c>
      <c r="O1129" s="3">
        <v>0</v>
      </c>
      <c r="P1129" s="3">
        <v>0</v>
      </c>
      <c r="Q1129" s="2">
        <v>64.959999999999994</v>
      </c>
      <c r="R1129" t="s">
        <v>45</v>
      </c>
      <c r="S1129" t="s">
        <v>54</v>
      </c>
      <c r="T1129" t="s">
        <v>29</v>
      </c>
      <c r="U1129" t="s">
        <v>58</v>
      </c>
    </row>
    <row r="1130" spans="1:21" x14ac:dyDescent="0.35">
      <c r="A1130" t="s">
        <v>1209</v>
      </c>
      <c r="B1130" s="1">
        <v>46204</v>
      </c>
      <c r="C1130" t="str">
        <f>TEXT(tblData[[#This Row],[Rental Date]],"mmm")</f>
        <v>Jul</v>
      </c>
      <c r="D1130" t="str">
        <f>TEXT(tblData[[#This Row],[Rental Date]],"mmmm")</f>
        <v>July</v>
      </c>
      <c r="E1130" t="s">
        <v>109</v>
      </c>
      <c r="F1130" t="str">
        <f>TEXT(WEEKNUM(tblData[[#This Row],[Rental Date]]),"00")</f>
        <v>27</v>
      </c>
      <c r="G1130" s="1">
        <f>EOMONTH(tblData[[#This Row],[Rental Date]],0)</f>
        <v>46234</v>
      </c>
      <c r="H1130" t="s">
        <v>749</v>
      </c>
      <c r="I1130" t="s">
        <v>48</v>
      </c>
      <c r="J1130" t="s">
        <v>33</v>
      </c>
      <c r="K1130" t="s">
        <v>60</v>
      </c>
      <c r="L1130">
        <v>1</v>
      </c>
      <c r="M1130" s="2">
        <v>26.88</v>
      </c>
      <c r="N1130" t="s">
        <v>26</v>
      </c>
      <c r="O1130" s="3">
        <v>0</v>
      </c>
      <c r="P1130" s="3">
        <v>0</v>
      </c>
      <c r="Q1130" s="2">
        <v>26.88</v>
      </c>
      <c r="R1130" t="s">
        <v>71</v>
      </c>
      <c r="S1130" t="s">
        <v>35</v>
      </c>
      <c r="T1130" t="s">
        <v>29</v>
      </c>
      <c r="U1130" t="s">
        <v>58</v>
      </c>
    </row>
    <row r="1131" spans="1:21" x14ac:dyDescent="0.35">
      <c r="A1131" t="s">
        <v>1210</v>
      </c>
      <c r="B1131" s="1">
        <v>46204</v>
      </c>
      <c r="C1131" t="str">
        <f>TEXT(tblData[[#This Row],[Rental Date]],"mmm")</f>
        <v>Jul</v>
      </c>
      <c r="D1131" t="str">
        <f>TEXT(tblData[[#This Row],[Rental Date]],"mmmm")</f>
        <v>July</v>
      </c>
      <c r="E1131" t="s">
        <v>109</v>
      </c>
      <c r="F1131" t="str">
        <f>TEXT(WEEKNUM(tblData[[#This Row],[Rental Date]]),"00")</f>
        <v>27</v>
      </c>
      <c r="G1131" s="1">
        <f>EOMONTH(tblData[[#This Row],[Rental Date]],0)</f>
        <v>46234</v>
      </c>
      <c r="H1131" t="s">
        <v>749</v>
      </c>
      <c r="I1131" t="s">
        <v>39</v>
      </c>
      <c r="J1131" t="s">
        <v>127</v>
      </c>
      <c r="K1131" t="s">
        <v>25</v>
      </c>
      <c r="L1131">
        <v>1</v>
      </c>
      <c r="M1131" s="2">
        <v>17.920000000000002</v>
      </c>
      <c r="N1131" t="s">
        <v>26</v>
      </c>
      <c r="O1131" s="3">
        <v>0</v>
      </c>
      <c r="P1131" s="3">
        <v>0</v>
      </c>
      <c r="Q1131" s="2">
        <v>17.920000000000002</v>
      </c>
      <c r="R1131" t="s">
        <v>45</v>
      </c>
      <c r="S1131" t="s">
        <v>28</v>
      </c>
      <c r="T1131" t="s">
        <v>29</v>
      </c>
      <c r="U1131" t="s">
        <v>30</v>
      </c>
    </row>
    <row r="1132" spans="1:21" x14ac:dyDescent="0.35">
      <c r="A1132" t="s">
        <v>1211</v>
      </c>
      <c r="B1132" s="1">
        <v>46204</v>
      </c>
      <c r="C1132" t="str">
        <f>TEXT(tblData[[#This Row],[Rental Date]],"mmm")</f>
        <v>Jul</v>
      </c>
      <c r="D1132" t="str">
        <f>TEXT(tblData[[#This Row],[Rental Date]],"mmmm")</f>
        <v>July</v>
      </c>
      <c r="E1132" t="s">
        <v>109</v>
      </c>
      <c r="F1132" t="str">
        <f>TEXT(WEEKNUM(tblData[[#This Row],[Rental Date]]),"00")</f>
        <v>27</v>
      </c>
      <c r="G1132" s="1">
        <f>EOMONTH(tblData[[#This Row],[Rental Date]],0)</f>
        <v>46234</v>
      </c>
      <c r="H1132" t="s">
        <v>749</v>
      </c>
      <c r="I1132" t="s">
        <v>39</v>
      </c>
      <c r="J1132" t="s">
        <v>49</v>
      </c>
      <c r="K1132" t="s">
        <v>60</v>
      </c>
      <c r="L1132">
        <v>1</v>
      </c>
      <c r="M1132" s="2">
        <v>24.64</v>
      </c>
      <c r="N1132" t="s">
        <v>26</v>
      </c>
      <c r="O1132" s="3">
        <v>0</v>
      </c>
      <c r="P1132" s="3">
        <v>1.23</v>
      </c>
      <c r="Q1132" s="2">
        <v>23.41</v>
      </c>
      <c r="R1132" t="s">
        <v>62</v>
      </c>
      <c r="S1132" t="s">
        <v>28</v>
      </c>
      <c r="T1132" t="s">
        <v>51</v>
      </c>
      <c r="U1132" t="s">
        <v>30</v>
      </c>
    </row>
    <row r="1133" spans="1:21" x14ac:dyDescent="0.35">
      <c r="A1133" t="s">
        <v>1212</v>
      </c>
      <c r="B1133" s="1">
        <v>46204</v>
      </c>
      <c r="C1133" t="str">
        <f>TEXT(tblData[[#This Row],[Rental Date]],"mmm")</f>
        <v>Jul</v>
      </c>
      <c r="D1133" t="str">
        <f>TEXT(tblData[[#This Row],[Rental Date]],"mmmm")</f>
        <v>July</v>
      </c>
      <c r="E1133" t="s">
        <v>109</v>
      </c>
      <c r="F1133" t="str">
        <f>TEXT(WEEKNUM(tblData[[#This Row],[Rental Date]]),"00")</f>
        <v>27</v>
      </c>
      <c r="G1133" s="1">
        <f>EOMONTH(tblData[[#This Row],[Rental Date]],0)</f>
        <v>46234</v>
      </c>
      <c r="H1133" t="s">
        <v>749</v>
      </c>
      <c r="I1133" t="s">
        <v>39</v>
      </c>
      <c r="J1133" t="s">
        <v>44</v>
      </c>
      <c r="K1133" t="s">
        <v>40</v>
      </c>
      <c r="L1133">
        <v>1</v>
      </c>
      <c r="M1133" s="2">
        <v>87.36</v>
      </c>
      <c r="N1133" t="s">
        <v>41</v>
      </c>
      <c r="O1133" s="3">
        <v>5</v>
      </c>
      <c r="P1133" s="3">
        <v>0</v>
      </c>
      <c r="Q1133" s="2">
        <v>92.36</v>
      </c>
      <c r="R1133" t="s">
        <v>94</v>
      </c>
      <c r="S1133" t="s">
        <v>28</v>
      </c>
      <c r="T1133" t="s">
        <v>51</v>
      </c>
      <c r="U1133" t="s">
        <v>58</v>
      </c>
    </row>
    <row r="1134" spans="1:21" x14ac:dyDescent="0.35">
      <c r="A1134" t="s">
        <v>1213</v>
      </c>
      <c r="B1134" s="1">
        <v>46204</v>
      </c>
      <c r="C1134" t="str">
        <f>TEXT(tblData[[#This Row],[Rental Date]],"mmm")</f>
        <v>Jul</v>
      </c>
      <c r="D1134" t="str">
        <f>TEXT(tblData[[#This Row],[Rental Date]],"mmmm")</f>
        <v>July</v>
      </c>
      <c r="E1134" t="s">
        <v>109</v>
      </c>
      <c r="F1134" t="str">
        <f>TEXT(WEEKNUM(tblData[[#This Row],[Rental Date]]),"00")</f>
        <v>27</v>
      </c>
      <c r="G1134" s="1">
        <f>EOMONTH(tblData[[#This Row],[Rental Date]],0)</f>
        <v>46234</v>
      </c>
      <c r="H1134" t="s">
        <v>749</v>
      </c>
      <c r="I1134" t="s">
        <v>23</v>
      </c>
      <c r="J1134" t="s">
        <v>49</v>
      </c>
      <c r="K1134" t="s">
        <v>60</v>
      </c>
      <c r="L1134">
        <v>1</v>
      </c>
      <c r="M1134" s="2">
        <v>24.64</v>
      </c>
      <c r="N1134" t="s">
        <v>26</v>
      </c>
      <c r="O1134" s="3">
        <v>0</v>
      </c>
      <c r="P1134" s="3">
        <v>0</v>
      </c>
      <c r="Q1134" s="2">
        <v>24.64</v>
      </c>
      <c r="R1134" t="s">
        <v>76</v>
      </c>
      <c r="S1134" t="s">
        <v>46</v>
      </c>
      <c r="T1134" t="s">
        <v>51</v>
      </c>
      <c r="U1134" t="s">
        <v>79</v>
      </c>
    </row>
    <row r="1135" spans="1:21" x14ac:dyDescent="0.35">
      <c r="A1135" t="s">
        <v>1214</v>
      </c>
      <c r="B1135" s="1">
        <v>46204</v>
      </c>
      <c r="C1135" t="str">
        <f>TEXT(tblData[[#This Row],[Rental Date]],"mmm")</f>
        <v>Jul</v>
      </c>
      <c r="D1135" t="str">
        <f>TEXT(tblData[[#This Row],[Rental Date]],"mmmm")</f>
        <v>July</v>
      </c>
      <c r="E1135" t="s">
        <v>109</v>
      </c>
      <c r="F1135" t="str">
        <f>TEXT(WEEKNUM(tblData[[#This Row],[Rental Date]]),"00")</f>
        <v>27</v>
      </c>
      <c r="G1135" s="1">
        <f>EOMONTH(tblData[[#This Row],[Rental Date]],0)</f>
        <v>46234</v>
      </c>
      <c r="H1135" t="s">
        <v>749</v>
      </c>
      <c r="I1135" t="s">
        <v>48</v>
      </c>
      <c r="J1135" t="s">
        <v>33</v>
      </c>
      <c r="K1135" t="s">
        <v>60</v>
      </c>
      <c r="L1135">
        <v>1</v>
      </c>
      <c r="M1135" s="2">
        <v>26.88</v>
      </c>
      <c r="N1135" t="s">
        <v>41</v>
      </c>
      <c r="O1135" s="3">
        <v>5</v>
      </c>
      <c r="P1135" s="3">
        <v>0</v>
      </c>
      <c r="Q1135" s="2">
        <v>31.88</v>
      </c>
      <c r="R1135" t="s">
        <v>94</v>
      </c>
      <c r="S1135" t="s">
        <v>28</v>
      </c>
      <c r="T1135" t="s">
        <v>29</v>
      </c>
      <c r="U1135" t="s">
        <v>30</v>
      </c>
    </row>
    <row r="1136" spans="1:21" x14ac:dyDescent="0.35">
      <c r="A1136" t="s">
        <v>1215</v>
      </c>
      <c r="B1136" s="1">
        <v>46204</v>
      </c>
      <c r="C1136" t="str">
        <f>TEXT(tblData[[#This Row],[Rental Date]],"mmm")</f>
        <v>Jul</v>
      </c>
      <c r="D1136" t="str">
        <f>TEXT(tblData[[#This Row],[Rental Date]],"mmmm")</f>
        <v>July</v>
      </c>
      <c r="E1136" t="s">
        <v>109</v>
      </c>
      <c r="F1136" t="str">
        <f>TEXT(WEEKNUM(tblData[[#This Row],[Rental Date]]),"00")</f>
        <v>27</v>
      </c>
      <c r="G1136" s="1">
        <f>EOMONTH(tblData[[#This Row],[Rental Date]],0)</f>
        <v>46234</v>
      </c>
      <c r="H1136" t="s">
        <v>749</v>
      </c>
      <c r="I1136" t="s">
        <v>39</v>
      </c>
      <c r="J1136" t="s">
        <v>65</v>
      </c>
      <c r="K1136" t="s">
        <v>25</v>
      </c>
      <c r="L1136">
        <v>1</v>
      </c>
      <c r="M1136" s="2">
        <v>20.16</v>
      </c>
      <c r="N1136" t="s">
        <v>89</v>
      </c>
      <c r="O1136" s="3">
        <v>6</v>
      </c>
      <c r="P1136" s="3">
        <v>0</v>
      </c>
      <c r="Q1136" s="2">
        <v>26.16</v>
      </c>
      <c r="R1136" t="s">
        <v>94</v>
      </c>
      <c r="S1136" t="s">
        <v>46</v>
      </c>
      <c r="T1136" t="s">
        <v>51</v>
      </c>
      <c r="U1136" t="s">
        <v>30</v>
      </c>
    </row>
    <row r="1137" spans="1:21" x14ac:dyDescent="0.35">
      <c r="A1137" t="s">
        <v>1216</v>
      </c>
      <c r="B1137" s="1">
        <v>46205</v>
      </c>
      <c r="C1137" t="str">
        <f>TEXT(tblData[[#This Row],[Rental Date]],"mmm")</f>
        <v>Jul</v>
      </c>
      <c r="D1137" t="str">
        <f>TEXT(tblData[[#This Row],[Rental Date]],"mmmm")</f>
        <v>July</v>
      </c>
      <c r="E1137" t="s">
        <v>21</v>
      </c>
      <c r="F1137" t="str">
        <f>TEXT(WEEKNUM(tblData[[#This Row],[Rental Date]]),"00")</f>
        <v>27</v>
      </c>
      <c r="G1137" s="1">
        <f>EOMONTH(tblData[[#This Row],[Rental Date]],0)</f>
        <v>46234</v>
      </c>
      <c r="H1137" t="s">
        <v>749</v>
      </c>
      <c r="I1137" t="s">
        <v>23</v>
      </c>
      <c r="J1137" t="s">
        <v>44</v>
      </c>
      <c r="K1137" t="s">
        <v>60</v>
      </c>
      <c r="L1137">
        <v>1</v>
      </c>
      <c r="M1137" s="2">
        <v>38.08</v>
      </c>
      <c r="N1137" t="s">
        <v>87</v>
      </c>
      <c r="O1137" s="3">
        <v>10</v>
      </c>
      <c r="P1137" s="3">
        <v>0</v>
      </c>
      <c r="Q1137" s="2">
        <v>48.08</v>
      </c>
      <c r="R1137" t="s">
        <v>62</v>
      </c>
      <c r="S1137" t="s">
        <v>50</v>
      </c>
      <c r="T1137" t="s">
        <v>29</v>
      </c>
      <c r="U1137" t="s">
        <v>30</v>
      </c>
    </row>
    <row r="1138" spans="1:21" x14ac:dyDescent="0.35">
      <c r="A1138" t="s">
        <v>1217</v>
      </c>
      <c r="B1138" s="1">
        <v>46205</v>
      </c>
      <c r="C1138" t="str">
        <f>TEXT(tblData[[#This Row],[Rental Date]],"mmm")</f>
        <v>Jul</v>
      </c>
      <c r="D1138" t="str">
        <f>TEXT(tblData[[#This Row],[Rental Date]],"mmmm")</f>
        <v>July</v>
      </c>
      <c r="E1138" t="s">
        <v>21</v>
      </c>
      <c r="F1138" t="str">
        <f>TEXT(WEEKNUM(tblData[[#This Row],[Rental Date]]),"00")</f>
        <v>27</v>
      </c>
      <c r="G1138" s="1">
        <f>EOMONTH(tblData[[#This Row],[Rental Date]],0)</f>
        <v>46234</v>
      </c>
      <c r="H1138" t="s">
        <v>749</v>
      </c>
      <c r="I1138" t="s">
        <v>48</v>
      </c>
      <c r="J1138" t="s">
        <v>111</v>
      </c>
      <c r="K1138" t="s">
        <v>25</v>
      </c>
      <c r="L1138">
        <v>1</v>
      </c>
      <c r="M1138" s="2">
        <v>24.64</v>
      </c>
      <c r="N1138" t="s">
        <v>61</v>
      </c>
      <c r="O1138" s="3">
        <v>8</v>
      </c>
      <c r="P1138" s="3">
        <v>0</v>
      </c>
      <c r="Q1138" s="2">
        <v>32.64</v>
      </c>
      <c r="R1138" t="s">
        <v>66</v>
      </c>
      <c r="S1138" t="s">
        <v>46</v>
      </c>
      <c r="T1138" t="s">
        <v>51</v>
      </c>
      <c r="U1138" t="s">
        <v>30</v>
      </c>
    </row>
    <row r="1139" spans="1:21" x14ac:dyDescent="0.35">
      <c r="A1139" t="s">
        <v>1218</v>
      </c>
      <c r="B1139" s="1">
        <v>46205</v>
      </c>
      <c r="C1139" t="str">
        <f>TEXT(tblData[[#This Row],[Rental Date]],"mmm")</f>
        <v>Jul</v>
      </c>
      <c r="D1139" t="str">
        <f>TEXT(tblData[[#This Row],[Rental Date]],"mmmm")</f>
        <v>July</v>
      </c>
      <c r="E1139" t="s">
        <v>21</v>
      </c>
      <c r="F1139" t="str">
        <f>TEXT(WEEKNUM(tblData[[#This Row],[Rental Date]]),"00")</f>
        <v>27</v>
      </c>
      <c r="G1139" s="1">
        <f>EOMONTH(tblData[[#This Row],[Rental Date]],0)</f>
        <v>46234</v>
      </c>
      <c r="H1139" t="s">
        <v>749</v>
      </c>
      <c r="I1139" t="s">
        <v>48</v>
      </c>
      <c r="J1139" t="s">
        <v>65</v>
      </c>
      <c r="K1139" t="s">
        <v>40</v>
      </c>
      <c r="L1139">
        <v>1</v>
      </c>
      <c r="M1139" s="2">
        <v>31.36</v>
      </c>
      <c r="N1139" t="s">
        <v>61</v>
      </c>
      <c r="O1139" s="3">
        <v>8</v>
      </c>
      <c r="P1139" s="3">
        <v>0</v>
      </c>
      <c r="Q1139" s="2">
        <v>39.36</v>
      </c>
      <c r="R1139" t="s">
        <v>76</v>
      </c>
      <c r="S1139" t="s">
        <v>54</v>
      </c>
      <c r="T1139" t="s">
        <v>51</v>
      </c>
      <c r="U1139" t="s">
        <v>30</v>
      </c>
    </row>
    <row r="1140" spans="1:21" x14ac:dyDescent="0.35">
      <c r="A1140" t="s">
        <v>1219</v>
      </c>
      <c r="B1140" s="1">
        <v>46205</v>
      </c>
      <c r="C1140" t="str">
        <f>TEXT(tblData[[#This Row],[Rental Date]],"mmm")</f>
        <v>Jul</v>
      </c>
      <c r="D1140" t="str">
        <f>TEXT(tblData[[#This Row],[Rental Date]],"mmmm")</f>
        <v>July</v>
      </c>
      <c r="E1140" t="s">
        <v>21</v>
      </c>
      <c r="F1140" t="str">
        <f>TEXT(WEEKNUM(tblData[[#This Row],[Rental Date]]),"00")</f>
        <v>27</v>
      </c>
      <c r="G1140" s="1">
        <f>EOMONTH(tblData[[#This Row],[Rental Date]],0)</f>
        <v>46234</v>
      </c>
      <c r="H1140" t="s">
        <v>749</v>
      </c>
      <c r="I1140" t="s">
        <v>39</v>
      </c>
      <c r="J1140" t="s">
        <v>49</v>
      </c>
      <c r="K1140" t="s">
        <v>60</v>
      </c>
      <c r="L1140">
        <v>1</v>
      </c>
      <c r="M1140" s="2">
        <v>24.64</v>
      </c>
      <c r="N1140" t="s">
        <v>26</v>
      </c>
      <c r="O1140" s="3">
        <v>0</v>
      </c>
      <c r="P1140" s="3">
        <v>0</v>
      </c>
      <c r="Q1140" s="2">
        <v>24.64</v>
      </c>
      <c r="R1140" t="s">
        <v>34</v>
      </c>
      <c r="S1140" t="s">
        <v>28</v>
      </c>
      <c r="T1140" t="s">
        <v>51</v>
      </c>
      <c r="U1140" t="s">
        <v>58</v>
      </c>
    </row>
    <row r="1141" spans="1:21" x14ac:dyDescent="0.35">
      <c r="A1141" t="s">
        <v>1220</v>
      </c>
      <c r="B1141" s="1">
        <v>46205</v>
      </c>
      <c r="C1141" t="str">
        <f>TEXT(tblData[[#This Row],[Rental Date]],"mmm")</f>
        <v>Jul</v>
      </c>
      <c r="D1141" t="str">
        <f>TEXT(tblData[[#This Row],[Rental Date]],"mmmm")</f>
        <v>July</v>
      </c>
      <c r="E1141" t="s">
        <v>21</v>
      </c>
      <c r="F1141" t="str">
        <f>TEXT(WEEKNUM(tblData[[#This Row],[Rental Date]]),"00")</f>
        <v>27</v>
      </c>
      <c r="G1141" s="1">
        <f>EOMONTH(tblData[[#This Row],[Rental Date]],0)</f>
        <v>46234</v>
      </c>
      <c r="H1141" t="s">
        <v>749</v>
      </c>
      <c r="I1141" t="s">
        <v>48</v>
      </c>
      <c r="J1141" t="s">
        <v>78</v>
      </c>
      <c r="K1141" t="s">
        <v>60</v>
      </c>
      <c r="L1141">
        <v>1</v>
      </c>
      <c r="M1141" s="2">
        <v>29.12</v>
      </c>
      <c r="N1141" t="s">
        <v>41</v>
      </c>
      <c r="O1141" s="3">
        <v>5</v>
      </c>
      <c r="P1141" s="3">
        <v>0</v>
      </c>
      <c r="Q1141" s="2">
        <v>34.119999999999997</v>
      </c>
      <c r="R1141" t="s">
        <v>45</v>
      </c>
      <c r="S1141" t="s">
        <v>28</v>
      </c>
      <c r="T1141" t="s">
        <v>51</v>
      </c>
      <c r="U1141" t="s">
        <v>30</v>
      </c>
    </row>
    <row r="1142" spans="1:21" x14ac:dyDescent="0.35">
      <c r="A1142" t="s">
        <v>1221</v>
      </c>
      <c r="B1142" s="1">
        <v>46205</v>
      </c>
      <c r="C1142" t="str">
        <f>TEXT(tblData[[#This Row],[Rental Date]],"mmm")</f>
        <v>Jul</v>
      </c>
      <c r="D1142" t="str">
        <f>TEXT(tblData[[#This Row],[Rental Date]],"mmmm")</f>
        <v>July</v>
      </c>
      <c r="E1142" t="s">
        <v>21</v>
      </c>
      <c r="F1142" t="str">
        <f>TEXT(WEEKNUM(tblData[[#This Row],[Rental Date]]),"00")</f>
        <v>27</v>
      </c>
      <c r="G1142" s="1">
        <f>EOMONTH(tblData[[#This Row],[Rental Date]],0)</f>
        <v>46234</v>
      </c>
      <c r="H1142" t="s">
        <v>749</v>
      </c>
      <c r="I1142" t="s">
        <v>48</v>
      </c>
      <c r="J1142" t="s">
        <v>44</v>
      </c>
      <c r="K1142" t="s">
        <v>25</v>
      </c>
      <c r="L1142">
        <v>1</v>
      </c>
      <c r="M1142" s="2">
        <v>58.24</v>
      </c>
      <c r="N1142" t="s">
        <v>26</v>
      </c>
      <c r="O1142" s="3">
        <v>0</v>
      </c>
      <c r="P1142" s="3">
        <v>0</v>
      </c>
      <c r="Q1142" s="2">
        <v>58.24</v>
      </c>
      <c r="R1142" t="s">
        <v>62</v>
      </c>
      <c r="S1142" t="s">
        <v>28</v>
      </c>
      <c r="T1142" t="s">
        <v>29</v>
      </c>
      <c r="U1142" t="s">
        <v>30</v>
      </c>
    </row>
    <row r="1143" spans="1:21" x14ac:dyDescent="0.35">
      <c r="A1143" t="s">
        <v>1222</v>
      </c>
      <c r="B1143" s="1">
        <v>46205</v>
      </c>
      <c r="C1143" t="str">
        <f>TEXT(tblData[[#This Row],[Rental Date]],"mmm")</f>
        <v>Jul</v>
      </c>
      <c r="D1143" t="str">
        <f>TEXT(tblData[[#This Row],[Rental Date]],"mmmm")</f>
        <v>July</v>
      </c>
      <c r="E1143" t="s">
        <v>21</v>
      </c>
      <c r="F1143" t="str">
        <f>TEXT(WEEKNUM(tblData[[#This Row],[Rental Date]]),"00")</f>
        <v>27</v>
      </c>
      <c r="G1143" s="1">
        <f>EOMONTH(tblData[[#This Row],[Rental Date]],0)</f>
        <v>46234</v>
      </c>
      <c r="H1143" t="s">
        <v>749</v>
      </c>
      <c r="I1143" t="s">
        <v>23</v>
      </c>
      <c r="J1143" t="s">
        <v>127</v>
      </c>
      <c r="K1143" t="s">
        <v>40</v>
      </c>
      <c r="L1143">
        <v>1</v>
      </c>
      <c r="M1143" s="2">
        <v>26.88</v>
      </c>
      <c r="N1143" t="s">
        <v>26</v>
      </c>
      <c r="O1143" s="3">
        <v>0</v>
      </c>
      <c r="P1143" s="3">
        <v>0</v>
      </c>
      <c r="Q1143" s="2">
        <v>26.88</v>
      </c>
      <c r="R1143" t="s">
        <v>94</v>
      </c>
      <c r="S1143" t="s">
        <v>35</v>
      </c>
      <c r="T1143" t="s">
        <v>63</v>
      </c>
      <c r="U1143" t="s">
        <v>58</v>
      </c>
    </row>
    <row r="1144" spans="1:21" x14ac:dyDescent="0.35">
      <c r="A1144" t="s">
        <v>1223</v>
      </c>
      <c r="B1144" s="1">
        <v>46205</v>
      </c>
      <c r="C1144" t="str">
        <f>TEXT(tblData[[#This Row],[Rental Date]],"mmm")</f>
        <v>Jul</v>
      </c>
      <c r="D1144" t="str">
        <f>TEXT(tblData[[#This Row],[Rental Date]],"mmmm")</f>
        <v>July</v>
      </c>
      <c r="E1144" t="s">
        <v>21</v>
      </c>
      <c r="F1144" t="str">
        <f>TEXT(WEEKNUM(tblData[[#This Row],[Rental Date]]),"00")</f>
        <v>27</v>
      </c>
      <c r="G1144" s="1">
        <f>EOMONTH(tblData[[#This Row],[Rental Date]],0)</f>
        <v>46234</v>
      </c>
      <c r="H1144" t="s">
        <v>749</v>
      </c>
      <c r="I1144" t="s">
        <v>23</v>
      </c>
      <c r="J1144" t="s">
        <v>44</v>
      </c>
      <c r="K1144" t="s">
        <v>25</v>
      </c>
      <c r="L1144">
        <v>1</v>
      </c>
      <c r="M1144" s="2">
        <v>58.24</v>
      </c>
      <c r="N1144" t="s">
        <v>87</v>
      </c>
      <c r="O1144" s="3">
        <v>10</v>
      </c>
      <c r="P1144" s="3">
        <v>0</v>
      </c>
      <c r="Q1144" s="2">
        <v>68.239999999999995</v>
      </c>
      <c r="R1144" t="s">
        <v>27</v>
      </c>
      <c r="S1144" t="s">
        <v>28</v>
      </c>
      <c r="T1144" t="s">
        <v>29</v>
      </c>
      <c r="U1144" t="s">
        <v>30</v>
      </c>
    </row>
    <row r="1145" spans="1:21" x14ac:dyDescent="0.35">
      <c r="A1145" t="s">
        <v>1224</v>
      </c>
      <c r="B1145" s="1">
        <v>46205</v>
      </c>
      <c r="C1145" t="str">
        <f>TEXT(tblData[[#This Row],[Rental Date]],"mmm")</f>
        <v>Jul</v>
      </c>
      <c r="D1145" t="str">
        <f>TEXT(tblData[[#This Row],[Rental Date]],"mmmm")</f>
        <v>July</v>
      </c>
      <c r="E1145" t="s">
        <v>21</v>
      </c>
      <c r="F1145" t="str">
        <f>TEXT(WEEKNUM(tblData[[#This Row],[Rental Date]]),"00")</f>
        <v>27</v>
      </c>
      <c r="G1145" s="1">
        <f>EOMONTH(tblData[[#This Row],[Rental Date]],0)</f>
        <v>46234</v>
      </c>
      <c r="H1145" t="s">
        <v>749</v>
      </c>
      <c r="I1145" t="s">
        <v>32</v>
      </c>
      <c r="J1145" t="s">
        <v>49</v>
      </c>
      <c r="K1145" t="s">
        <v>25</v>
      </c>
      <c r="L1145">
        <v>1</v>
      </c>
      <c r="M1145" s="2">
        <v>40.32</v>
      </c>
      <c r="N1145" t="s">
        <v>26</v>
      </c>
      <c r="O1145" s="3">
        <v>0</v>
      </c>
      <c r="P1145" s="3">
        <v>4.03</v>
      </c>
      <c r="Q1145" s="2">
        <v>36.29</v>
      </c>
      <c r="R1145" t="s">
        <v>62</v>
      </c>
      <c r="S1145" t="s">
        <v>35</v>
      </c>
      <c r="T1145" t="s">
        <v>29</v>
      </c>
      <c r="U1145" t="s">
        <v>30</v>
      </c>
    </row>
    <row r="1146" spans="1:21" x14ac:dyDescent="0.35">
      <c r="A1146" t="s">
        <v>1225</v>
      </c>
      <c r="B1146" s="1">
        <v>46205</v>
      </c>
      <c r="C1146" t="str">
        <f>TEXT(tblData[[#This Row],[Rental Date]],"mmm")</f>
        <v>Jul</v>
      </c>
      <c r="D1146" t="str">
        <f>TEXT(tblData[[#This Row],[Rental Date]],"mmmm")</f>
        <v>July</v>
      </c>
      <c r="E1146" t="s">
        <v>21</v>
      </c>
      <c r="F1146" t="str">
        <f>TEXT(WEEKNUM(tblData[[#This Row],[Rental Date]]),"00")</f>
        <v>27</v>
      </c>
      <c r="G1146" s="1">
        <f>EOMONTH(tblData[[#This Row],[Rental Date]],0)</f>
        <v>46234</v>
      </c>
      <c r="H1146" t="s">
        <v>749</v>
      </c>
      <c r="I1146" t="s">
        <v>23</v>
      </c>
      <c r="J1146" t="s">
        <v>78</v>
      </c>
      <c r="K1146" t="s">
        <v>25</v>
      </c>
      <c r="L1146">
        <v>1</v>
      </c>
      <c r="M1146" s="2">
        <v>47.04</v>
      </c>
      <c r="N1146" t="s">
        <v>41</v>
      </c>
      <c r="O1146" s="3">
        <v>5</v>
      </c>
      <c r="P1146" s="3">
        <v>0</v>
      </c>
      <c r="Q1146" s="2">
        <v>52.04</v>
      </c>
      <c r="R1146" t="s">
        <v>94</v>
      </c>
      <c r="S1146" t="s">
        <v>46</v>
      </c>
      <c r="T1146" t="s">
        <v>90</v>
      </c>
      <c r="U1146" t="s">
        <v>30</v>
      </c>
    </row>
    <row r="1147" spans="1:21" x14ac:dyDescent="0.35">
      <c r="A1147" t="s">
        <v>1226</v>
      </c>
      <c r="B1147" s="1">
        <v>46205</v>
      </c>
      <c r="C1147" t="str">
        <f>TEXT(tblData[[#This Row],[Rental Date]],"mmm")</f>
        <v>Jul</v>
      </c>
      <c r="D1147" t="str">
        <f>TEXT(tblData[[#This Row],[Rental Date]],"mmmm")</f>
        <v>July</v>
      </c>
      <c r="E1147" t="s">
        <v>21</v>
      </c>
      <c r="F1147" t="str">
        <f>TEXT(WEEKNUM(tblData[[#This Row],[Rental Date]]),"00")</f>
        <v>27</v>
      </c>
      <c r="G1147" s="1">
        <f>EOMONTH(tblData[[#This Row],[Rental Date]],0)</f>
        <v>46234</v>
      </c>
      <c r="H1147" t="s">
        <v>749</v>
      </c>
      <c r="I1147" t="s">
        <v>39</v>
      </c>
      <c r="J1147" t="s">
        <v>49</v>
      </c>
      <c r="K1147" t="s">
        <v>40</v>
      </c>
      <c r="L1147">
        <v>1</v>
      </c>
      <c r="M1147" s="2">
        <v>60.48</v>
      </c>
      <c r="N1147" t="s">
        <v>75</v>
      </c>
      <c r="O1147" s="3">
        <v>12</v>
      </c>
      <c r="P1147" s="3">
        <v>0</v>
      </c>
      <c r="Q1147" s="2">
        <v>72.48</v>
      </c>
      <c r="R1147" t="s">
        <v>62</v>
      </c>
      <c r="S1147" t="s">
        <v>35</v>
      </c>
      <c r="T1147" t="s">
        <v>90</v>
      </c>
      <c r="U1147" t="s">
        <v>30</v>
      </c>
    </row>
    <row r="1148" spans="1:21" x14ac:dyDescent="0.35">
      <c r="A1148" t="s">
        <v>1227</v>
      </c>
      <c r="B1148" s="1">
        <v>46205</v>
      </c>
      <c r="C1148" t="str">
        <f>TEXT(tblData[[#This Row],[Rental Date]],"mmm")</f>
        <v>Jul</v>
      </c>
      <c r="D1148" t="str">
        <f>TEXT(tblData[[#This Row],[Rental Date]],"mmmm")</f>
        <v>July</v>
      </c>
      <c r="E1148" t="s">
        <v>21</v>
      </c>
      <c r="F1148" t="str">
        <f>TEXT(WEEKNUM(tblData[[#This Row],[Rental Date]]),"00")</f>
        <v>27</v>
      </c>
      <c r="G1148" s="1">
        <f>EOMONTH(tblData[[#This Row],[Rental Date]],0)</f>
        <v>46234</v>
      </c>
      <c r="H1148" t="s">
        <v>749</v>
      </c>
      <c r="I1148" t="s">
        <v>32</v>
      </c>
      <c r="J1148" t="s">
        <v>86</v>
      </c>
      <c r="K1148" t="s">
        <v>92</v>
      </c>
      <c r="L1148">
        <v>1</v>
      </c>
      <c r="M1148" s="2">
        <v>138.88</v>
      </c>
      <c r="N1148" t="s">
        <v>26</v>
      </c>
      <c r="O1148" s="3">
        <v>0</v>
      </c>
      <c r="P1148" s="3">
        <v>6.94</v>
      </c>
      <c r="Q1148" s="2">
        <v>131.94</v>
      </c>
      <c r="R1148" t="s">
        <v>76</v>
      </c>
      <c r="S1148" t="s">
        <v>46</v>
      </c>
      <c r="T1148" t="s">
        <v>29</v>
      </c>
      <c r="U1148" t="s">
        <v>30</v>
      </c>
    </row>
    <row r="1149" spans="1:21" x14ac:dyDescent="0.35">
      <c r="A1149" t="s">
        <v>1228</v>
      </c>
      <c r="B1149" s="1">
        <v>46206</v>
      </c>
      <c r="C1149" t="str">
        <f>TEXT(tblData[[#This Row],[Rental Date]],"mmm")</f>
        <v>Jul</v>
      </c>
      <c r="D1149" t="str">
        <f>TEXT(tblData[[#This Row],[Rental Date]],"mmmm")</f>
        <v>July</v>
      </c>
      <c r="E1149" t="s">
        <v>38</v>
      </c>
      <c r="F1149" t="str">
        <f>TEXT(WEEKNUM(tblData[[#This Row],[Rental Date]]),"00")</f>
        <v>27</v>
      </c>
      <c r="G1149" s="1">
        <f>EOMONTH(tblData[[#This Row],[Rental Date]],0)</f>
        <v>46234</v>
      </c>
      <c r="H1149" t="s">
        <v>749</v>
      </c>
      <c r="I1149" t="s">
        <v>23</v>
      </c>
      <c r="J1149" t="s">
        <v>49</v>
      </c>
      <c r="K1149" t="s">
        <v>92</v>
      </c>
      <c r="L1149">
        <v>1</v>
      </c>
      <c r="M1149" s="2">
        <v>96.52</v>
      </c>
      <c r="N1149" t="s">
        <v>26</v>
      </c>
      <c r="O1149" s="3">
        <v>0</v>
      </c>
      <c r="P1149" s="3">
        <v>0</v>
      </c>
      <c r="Q1149" s="2">
        <v>96.52</v>
      </c>
      <c r="R1149" t="s">
        <v>76</v>
      </c>
      <c r="S1149" t="s">
        <v>28</v>
      </c>
      <c r="T1149" t="s">
        <v>63</v>
      </c>
      <c r="U1149" t="s">
        <v>58</v>
      </c>
    </row>
    <row r="1150" spans="1:21" x14ac:dyDescent="0.35">
      <c r="A1150" t="s">
        <v>1229</v>
      </c>
      <c r="B1150" s="1">
        <v>46206</v>
      </c>
      <c r="C1150" t="str">
        <f>TEXT(tblData[[#This Row],[Rental Date]],"mmm")</f>
        <v>Jul</v>
      </c>
      <c r="D1150" t="str">
        <f>TEXT(tblData[[#This Row],[Rental Date]],"mmmm")</f>
        <v>July</v>
      </c>
      <c r="E1150" t="s">
        <v>38</v>
      </c>
      <c r="F1150" t="str">
        <f>TEXT(WEEKNUM(tblData[[#This Row],[Rental Date]]),"00")</f>
        <v>27</v>
      </c>
      <c r="G1150" s="1">
        <f>EOMONTH(tblData[[#This Row],[Rental Date]],0)</f>
        <v>46234</v>
      </c>
      <c r="H1150" t="s">
        <v>749</v>
      </c>
      <c r="I1150" t="s">
        <v>32</v>
      </c>
      <c r="J1150" t="s">
        <v>44</v>
      </c>
      <c r="K1150" t="s">
        <v>60</v>
      </c>
      <c r="L1150">
        <v>1</v>
      </c>
      <c r="M1150" s="2">
        <v>43.18</v>
      </c>
      <c r="N1150" t="s">
        <v>87</v>
      </c>
      <c r="O1150" s="3">
        <v>10</v>
      </c>
      <c r="P1150" s="3">
        <v>0</v>
      </c>
      <c r="Q1150" s="2">
        <v>53.18</v>
      </c>
      <c r="R1150" t="s">
        <v>62</v>
      </c>
      <c r="S1150" t="s">
        <v>35</v>
      </c>
      <c r="T1150" t="s">
        <v>90</v>
      </c>
      <c r="U1150" t="s">
        <v>79</v>
      </c>
    </row>
    <row r="1151" spans="1:21" x14ac:dyDescent="0.35">
      <c r="A1151" t="s">
        <v>1230</v>
      </c>
      <c r="B1151" s="1">
        <v>46206</v>
      </c>
      <c r="C1151" t="str">
        <f>TEXT(tblData[[#This Row],[Rental Date]],"mmm")</f>
        <v>Jul</v>
      </c>
      <c r="D1151" t="str">
        <f>TEXT(tblData[[#This Row],[Rental Date]],"mmmm")</f>
        <v>July</v>
      </c>
      <c r="E1151" t="s">
        <v>38</v>
      </c>
      <c r="F1151" t="str">
        <f>TEXT(WEEKNUM(tblData[[#This Row],[Rental Date]]),"00")</f>
        <v>27</v>
      </c>
      <c r="G1151" s="1">
        <f>EOMONTH(tblData[[#This Row],[Rental Date]],0)</f>
        <v>46234</v>
      </c>
      <c r="H1151" t="s">
        <v>749</v>
      </c>
      <c r="I1151" t="s">
        <v>23</v>
      </c>
      <c r="J1151" t="s">
        <v>33</v>
      </c>
      <c r="K1151" t="s">
        <v>60</v>
      </c>
      <c r="L1151">
        <v>1</v>
      </c>
      <c r="M1151" s="2">
        <v>30.48</v>
      </c>
      <c r="N1151" t="s">
        <v>26</v>
      </c>
      <c r="O1151" s="3">
        <v>0</v>
      </c>
      <c r="P1151" s="3">
        <v>0</v>
      </c>
      <c r="Q1151" s="2">
        <v>30.48</v>
      </c>
      <c r="R1151" t="s">
        <v>76</v>
      </c>
      <c r="S1151" t="s">
        <v>28</v>
      </c>
      <c r="T1151" t="s">
        <v>29</v>
      </c>
      <c r="U1151" t="s">
        <v>30</v>
      </c>
    </row>
    <row r="1152" spans="1:21" x14ac:dyDescent="0.35">
      <c r="A1152" t="s">
        <v>1231</v>
      </c>
      <c r="B1152" s="1">
        <v>46206</v>
      </c>
      <c r="C1152" t="str">
        <f>TEXT(tblData[[#This Row],[Rental Date]],"mmm")</f>
        <v>Jul</v>
      </c>
      <c r="D1152" t="str">
        <f>TEXT(tblData[[#This Row],[Rental Date]],"mmmm")</f>
        <v>July</v>
      </c>
      <c r="E1152" t="s">
        <v>38</v>
      </c>
      <c r="F1152" t="str">
        <f>TEXT(WEEKNUM(tblData[[#This Row],[Rental Date]]),"00")</f>
        <v>27</v>
      </c>
      <c r="G1152" s="1">
        <f>EOMONTH(tblData[[#This Row],[Rental Date]],0)</f>
        <v>46234</v>
      </c>
      <c r="H1152" t="s">
        <v>749</v>
      </c>
      <c r="I1152" t="s">
        <v>48</v>
      </c>
      <c r="J1152" t="s">
        <v>78</v>
      </c>
      <c r="K1152" t="s">
        <v>40</v>
      </c>
      <c r="L1152">
        <v>1</v>
      </c>
      <c r="M1152" s="2">
        <v>78.739999999999995</v>
      </c>
      <c r="N1152" t="s">
        <v>26</v>
      </c>
      <c r="O1152" s="3">
        <v>0</v>
      </c>
      <c r="P1152" s="3">
        <v>0</v>
      </c>
      <c r="Q1152" s="2">
        <v>78.739999999999995</v>
      </c>
      <c r="R1152" t="s">
        <v>62</v>
      </c>
      <c r="S1152" t="s">
        <v>54</v>
      </c>
      <c r="T1152" t="s">
        <v>29</v>
      </c>
      <c r="U1152" t="s">
        <v>30</v>
      </c>
    </row>
    <row r="1153" spans="1:21" x14ac:dyDescent="0.35">
      <c r="A1153" t="s">
        <v>1232</v>
      </c>
      <c r="B1153" s="1">
        <v>46206</v>
      </c>
      <c r="C1153" t="str">
        <f>TEXT(tblData[[#This Row],[Rental Date]],"mmm")</f>
        <v>Jul</v>
      </c>
      <c r="D1153" t="str">
        <f>TEXT(tblData[[#This Row],[Rental Date]],"mmmm")</f>
        <v>July</v>
      </c>
      <c r="E1153" t="s">
        <v>38</v>
      </c>
      <c r="F1153" t="str">
        <f>TEXT(WEEKNUM(tblData[[#This Row],[Rental Date]]),"00")</f>
        <v>27</v>
      </c>
      <c r="G1153" s="1">
        <f>EOMONTH(tblData[[#This Row],[Rental Date]],0)</f>
        <v>46234</v>
      </c>
      <c r="H1153" t="s">
        <v>749</v>
      </c>
      <c r="I1153" t="s">
        <v>32</v>
      </c>
      <c r="J1153" t="s">
        <v>33</v>
      </c>
      <c r="K1153" t="s">
        <v>60</v>
      </c>
      <c r="L1153">
        <v>1</v>
      </c>
      <c r="M1153" s="2">
        <v>30.48</v>
      </c>
      <c r="N1153" t="s">
        <v>41</v>
      </c>
      <c r="O1153" s="3">
        <v>5</v>
      </c>
      <c r="P1153" s="3">
        <v>1.77</v>
      </c>
      <c r="Q1153" s="2">
        <v>33.71</v>
      </c>
      <c r="R1153" t="s">
        <v>76</v>
      </c>
      <c r="S1153" t="s">
        <v>54</v>
      </c>
      <c r="T1153" t="s">
        <v>29</v>
      </c>
      <c r="U1153" t="s">
        <v>30</v>
      </c>
    </row>
    <row r="1154" spans="1:21" x14ac:dyDescent="0.35">
      <c r="A1154" t="s">
        <v>1233</v>
      </c>
      <c r="B1154" s="1">
        <v>46206</v>
      </c>
      <c r="C1154" t="str">
        <f>TEXT(tblData[[#This Row],[Rental Date]],"mmm")</f>
        <v>Jul</v>
      </c>
      <c r="D1154" t="str">
        <f>TEXT(tblData[[#This Row],[Rental Date]],"mmmm")</f>
        <v>July</v>
      </c>
      <c r="E1154" t="s">
        <v>38</v>
      </c>
      <c r="F1154" t="str">
        <f>TEXT(WEEKNUM(tblData[[#This Row],[Rental Date]]),"00")</f>
        <v>27</v>
      </c>
      <c r="G1154" s="1">
        <f>EOMONTH(tblData[[#This Row],[Rental Date]],0)</f>
        <v>46234</v>
      </c>
      <c r="H1154" t="s">
        <v>749</v>
      </c>
      <c r="I1154" t="s">
        <v>48</v>
      </c>
      <c r="J1154" t="s">
        <v>111</v>
      </c>
      <c r="K1154" t="s">
        <v>92</v>
      </c>
      <c r="L1154">
        <v>1</v>
      </c>
      <c r="M1154" s="2">
        <v>60.96</v>
      </c>
      <c r="N1154" t="s">
        <v>41</v>
      </c>
      <c r="O1154" s="3">
        <v>5</v>
      </c>
      <c r="P1154" s="3">
        <v>0</v>
      </c>
      <c r="Q1154" s="2">
        <v>65.959999999999994</v>
      </c>
      <c r="R1154" t="s">
        <v>66</v>
      </c>
      <c r="S1154" t="s">
        <v>35</v>
      </c>
      <c r="T1154" t="s">
        <v>90</v>
      </c>
      <c r="U1154" t="s">
        <v>58</v>
      </c>
    </row>
    <row r="1155" spans="1:21" x14ac:dyDescent="0.35">
      <c r="A1155" t="s">
        <v>1234</v>
      </c>
      <c r="B1155" s="1">
        <v>46206</v>
      </c>
      <c r="C1155" t="str">
        <f>TEXT(tblData[[#This Row],[Rental Date]],"mmm")</f>
        <v>Jul</v>
      </c>
      <c r="D1155" t="str">
        <f>TEXT(tblData[[#This Row],[Rental Date]],"mmmm")</f>
        <v>July</v>
      </c>
      <c r="E1155" t="s">
        <v>38</v>
      </c>
      <c r="F1155" t="str">
        <f>TEXT(WEEKNUM(tblData[[#This Row],[Rental Date]]),"00")</f>
        <v>27</v>
      </c>
      <c r="G1155" s="1">
        <f>EOMONTH(tblData[[#This Row],[Rental Date]],0)</f>
        <v>46234</v>
      </c>
      <c r="H1155" t="s">
        <v>749</v>
      </c>
      <c r="I1155" t="s">
        <v>39</v>
      </c>
      <c r="J1155" t="s">
        <v>78</v>
      </c>
      <c r="K1155" t="s">
        <v>92</v>
      </c>
      <c r="L1155">
        <v>1</v>
      </c>
      <c r="M1155" s="2">
        <v>111.76</v>
      </c>
      <c r="N1155" t="s">
        <v>26</v>
      </c>
      <c r="O1155" s="3">
        <v>0</v>
      </c>
      <c r="P1155" s="3">
        <v>0</v>
      </c>
      <c r="Q1155" s="2">
        <v>111.76</v>
      </c>
      <c r="R1155" t="s">
        <v>62</v>
      </c>
      <c r="S1155" t="s">
        <v>28</v>
      </c>
      <c r="T1155" t="s">
        <v>29</v>
      </c>
      <c r="U1155" t="s">
        <v>30</v>
      </c>
    </row>
    <row r="1156" spans="1:21" x14ac:dyDescent="0.35">
      <c r="A1156" t="s">
        <v>1235</v>
      </c>
      <c r="B1156" s="1">
        <v>46206</v>
      </c>
      <c r="C1156" t="str">
        <f>TEXT(tblData[[#This Row],[Rental Date]],"mmm")</f>
        <v>Jul</v>
      </c>
      <c r="D1156" t="str">
        <f>TEXT(tblData[[#This Row],[Rental Date]],"mmmm")</f>
        <v>July</v>
      </c>
      <c r="E1156" t="s">
        <v>38</v>
      </c>
      <c r="F1156" t="str">
        <f>TEXT(WEEKNUM(tblData[[#This Row],[Rental Date]]),"00")</f>
        <v>27</v>
      </c>
      <c r="G1156" s="1">
        <f>EOMONTH(tblData[[#This Row],[Rental Date]],0)</f>
        <v>46234</v>
      </c>
      <c r="H1156" t="s">
        <v>749</v>
      </c>
      <c r="I1156" t="s">
        <v>39</v>
      </c>
      <c r="J1156" t="s">
        <v>138</v>
      </c>
      <c r="K1156" t="s">
        <v>25</v>
      </c>
      <c r="L1156">
        <v>1</v>
      </c>
      <c r="M1156" s="2">
        <v>60.96</v>
      </c>
      <c r="N1156" t="s">
        <v>75</v>
      </c>
      <c r="O1156" s="3">
        <v>12</v>
      </c>
      <c r="P1156" s="3">
        <v>0</v>
      </c>
      <c r="Q1156" s="2">
        <v>72.959999999999994</v>
      </c>
      <c r="R1156" t="s">
        <v>34</v>
      </c>
      <c r="S1156" t="s">
        <v>28</v>
      </c>
      <c r="T1156" t="s">
        <v>63</v>
      </c>
      <c r="U1156" t="s">
        <v>30</v>
      </c>
    </row>
    <row r="1157" spans="1:21" x14ac:dyDescent="0.35">
      <c r="A1157" t="s">
        <v>1236</v>
      </c>
      <c r="B1157" s="1">
        <v>46206</v>
      </c>
      <c r="C1157" t="str">
        <f>TEXT(tblData[[#This Row],[Rental Date]],"mmm")</f>
        <v>Jul</v>
      </c>
      <c r="D1157" t="str">
        <f>TEXT(tblData[[#This Row],[Rental Date]],"mmmm")</f>
        <v>July</v>
      </c>
      <c r="E1157" t="s">
        <v>38</v>
      </c>
      <c r="F1157" t="str">
        <f>TEXT(WEEKNUM(tblData[[#This Row],[Rental Date]]),"00")</f>
        <v>27</v>
      </c>
      <c r="G1157" s="1">
        <f>EOMONTH(tblData[[#This Row],[Rental Date]],0)</f>
        <v>46234</v>
      </c>
      <c r="H1157" t="s">
        <v>749</v>
      </c>
      <c r="I1157" t="s">
        <v>39</v>
      </c>
      <c r="J1157" t="s">
        <v>33</v>
      </c>
      <c r="K1157" t="s">
        <v>25</v>
      </c>
      <c r="L1157">
        <v>1</v>
      </c>
      <c r="M1157" s="2">
        <v>48.26</v>
      </c>
      <c r="N1157" t="s">
        <v>26</v>
      </c>
      <c r="O1157" s="3">
        <v>0</v>
      </c>
      <c r="P1157" s="3">
        <v>0</v>
      </c>
      <c r="Q1157" s="2">
        <v>48.26</v>
      </c>
      <c r="R1157" t="s">
        <v>71</v>
      </c>
      <c r="S1157" t="s">
        <v>54</v>
      </c>
      <c r="T1157" t="s">
        <v>51</v>
      </c>
      <c r="U1157" t="s">
        <v>30</v>
      </c>
    </row>
    <row r="1158" spans="1:21" x14ac:dyDescent="0.35">
      <c r="A1158" t="s">
        <v>1237</v>
      </c>
      <c r="B1158" s="1">
        <v>46206</v>
      </c>
      <c r="C1158" t="str">
        <f>TEXT(tblData[[#This Row],[Rental Date]],"mmm")</f>
        <v>Jul</v>
      </c>
      <c r="D1158" t="str">
        <f>TEXT(tblData[[#This Row],[Rental Date]],"mmmm")</f>
        <v>July</v>
      </c>
      <c r="E1158" t="s">
        <v>38</v>
      </c>
      <c r="F1158" t="str">
        <f>TEXT(WEEKNUM(tblData[[#This Row],[Rental Date]]),"00")</f>
        <v>27</v>
      </c>
      <c r="G1158" s="1">
        <f>EOMONTH(tblData[[#This Row],[Rental Date]],0)</f>
        <v>46234</v>
      </c>
      <c r="H1158" t="s">
        <v>749</v>
      </c>
      <c r="I1158" t="s">
        <v>48</v>
      </c>
      <c r="J1158" t="s">
        <v>127</v>
      </c>
      <c r="K1158" t="s">
        <v>60</v>
      </c>
      <c r="L1158">
        <v>1</v>
      </c>
      <c r="M1158" s="2">
        <v>12.7</v>
      </c>
      <c r="N1158" t="s">
        <v>26</v>
      </c>
      <c r="O1158" s="3">
        <v>0</v>
      </c>
      <c r="P1158" s="3">
        <v>0</v>
      </c>
      <c r="Q1158" s="2">
        <v>12.7</v>
      </c>
      <c r="R1158" t="s">
        <v>76</v>
      </c>
      <c r="S1158" t="s">
        <v>54</v>
      </c>
      <c r="T1158" t="s">
        <v>63</v>
      </c>
      <c r="U1158" t="s">
        <v>58</v>
      </c>
    </row>
    <row r="1159" spans="1:21" x14ac:dyDescent="0.35">
      <c r="A1159" t="s">
        <v>1238</v>
      </c>
      <c r="B1159" s="1">
        <v>46206</v>
      </c>
      <c r="C1159" t="str">
        <f>TEXT(tblData[[#This Row],[Rental Date]],"mmm")</f>
        <v>Jul</v>
      </c>
      <c r="D1159" t="str">
        <f>TEXT(tblData[[#This Row],[Rental Date]],"mmmm")</f>
        <v>July</v>
      </c>
      <c r="E1159" t="s">
        <v>38</v>
      </c>
      <c r="F1159" t="str">
        <f>TEXT(WEEKNUM(tblData[[#This Row],[Rental Date]]),"00")</f>
        <v>27</v>
      </c>
      <c r="G1159" s="1">
        <f>EOMONTH(tblData[[#This Row],[Rental Date]],0)</f>
        <v>46234</v>
      </c>
      <c r="H1159" t="s">
        <v>749</v>
      </c>
      <c r="I1159" t="s">
        <v>39</v>
      </c>
      <c r="J1159" t="s">
        <v>33</v>
      </c>
      <c r="K1159" t="s">
        <v>60</v>
      </c>
      <c r="L1159">
        <v>1</v>
      </c>
      <c r="M1159" s="2">
        <v>30.48</v>
      </c>
      <c r="N1159" t="s">
        <v>87</v>
      </c>
      <c r="O1159" s="3">
        <v>10</v>
      </c>
      <c r="P1159" s="3">
        <v>0</v>
      </c>
      <c r="Q1159" s="2">
        <v>40.479999999999997</v>
      </c>
      <c r="R1159" t="s">
        <v>34</v>
      </c>
      <c r="S1159" t="s">
        <v>50</v>
      </c>
      <c r="T1159" t="s">
        <v>51</v>
      </c>
      <c r="U1159" t="s">
        <v>30</v>
      </c>
    </row>
    <row r="1160" spans="1:21" x14ac:dyDescent="0.35">
      <c r="A1160" t="s">
        <v>1239</v>
      </c>
      <c r="B1160" s="1">
        <v>46206</v>
      </c>
      <c r="C1160" t="str">
        <f>TEXT(tblData[[#This Row],[Rental Date]],"mmm")</f>
        <v>Jul</v>
      </c>
      <c r="D1160" t="str">
        <f>TEXT(tblData[[#This Row],[Rental Date]],"mmmm")</f>
        <v>July</v>
      </c>
      <c r="E1160" t="s">
        <v>38</v>
      </c>
      <c r="F1160" t="str">
        <f>TEXT(WEEKNUM(tblData[[#This Row],[Rental Date]]),"00")</f>
        <v>27</v>
      </c>
      <c r="G1160" s="1">
        <f>EOMONTH(tblData[[#This Row],[Rental Date]],0)</f>
        <v>46234</v>
      </c>
      <c r="H1160" t="s">
        <v>749</v>
      </c>
      <c r="I1160" t="s">
        <v>53</v>
      </c>
      <c r="J1160" t="s">
        <v>86</v>
      </c>
      <c r="K1160" t="s">
        <v>25</v>
      </c>
      <c r="L1160">
        <v>1</v>
      </c>
      <c r="M1160" s="2">
        <v>73.66</v>
      </c>
      <c r="N1160" t="s">
        <v>61</v>
      </c>
      <c r="O1160" s="3">
        <v>8</v>
      </c>
      <c r="P1160" s="3">
        <v>12.25</v>
      </c>
      <c r="Q1160" s="2">
        <v>69.41</v>
      </c>
      <c r="R1160" t="s">
        <v>62</v>
      </c>
      <c r="S1160" t="s">
        <v>54</v>
      </c>
      <c r="T1160" t="s">
        <v>90</v>
      </c>
      <c r="U1160" t="s">
        <v>36</v>
      </c>
    </row>
    <row r="1161" spans="1:21" x14ac:dyDescent="0.35">
      <c r="A1161" t="s">
        <v>1240</v>
      </c>
      <c r="B1161" s="1">
        <v>46206</v>
      </c>
      <c r="C1161" t="str">
        <f>TEXT(tblData[[#This Row],[Rental Date]],"mmm")</f>
        <v>Jul</v>
      </c>
      <c r="D1161" t="str">
        <f>TEXT(tblData[[#This Row],[Rental Date]],"mmmm")</f>
        <v>July</v>
      </c>
      <c r="E1161" t="s">
        <v>38</v>
      </c>
      <c r="F1161" t="str">
        <f>TEXT(WEEKNUM(tblData[[#This Row],[Rental Date]]),"00")</f>
        <v>27</v>
      </c>
      <c r="G1161" s="1">
        <f>EOMONTH(tblData[[#This Row],[Rental Date]],0)</f>
        <v>46234</v>
      </c>
      <c r="H1161" t="s">
        <v>749</v>
      </c>
      <c r="I1161" t="s">
        <v>39</v>
      </c>
      <c r="J1161" t="s">
        <v>49</v>
      </c>
      <c r="K1161" t="s">
        <v>25</v>
      </c>
      <c r="L1161">
        <v>1</v>
      </c>
      <c r="M1161" s="2">
        <v>45.72</v>
      </c>
      <c r="N1161" t="s">
        <v>26</v>
      </c>
      <c r="O1161" s="3">
        <v>0</v>
      </c>
      <c r="P1161" s="3">
        <v>0</v>
      </c>
      <c r="Q1161" s="2">
        <v>45.72</v>
      </c>
      <c r="R1161" t="s">
        <v>66</v>
      </c>
      <c r="S1161" t="s">
        <v>46</v>
      </c>
      <c r="T1161" t="s">
        <v>51</v>
      </c>
      <c r="U1161" t="s">
        <v>58</v>
      </c>
    </row>
    <row r="1162" spans="1:21" x14ac:dyDescent="0.35">
      <c r="A1162" t="s">
        <v>1241</v>
      </c>
      <c r="B1162" s="1">
        <v>46206</v>
      </c>
      <c r="C1162" t="str">
        <f>TEXT(tblData[[#This Row],[Rental Date]],"mmm")</f>
        <v>Jul</v>
      </c>
      <c r="D1162" t="str">
        <f>TEXT(tblData[[#This Row],[Rental Date]],"mmmm")</f>
        <v>July</v>
      </c>
      <c r="E1162" t="s">
        <v>38</v>
      </c>
      <c r="F1162" t="str">
        <f>TEXT(WEEKNUM(tblData[[#This Row],[Rental Date]]),"00")</f>
        <v>27</v>
      </c>
      <c r="G1162" s="1">
        <f>EOMONTH(tblData[[#This Row],[Rental Date]],0)</f>
        <v>46234</v>
      </c>
      <c r="H1162" t="s">
        <v>749</v>
      </c>
      <c r="I1162" t="s">
        <v>23</v>
      </c>
      <c r="J1162" t="s">
        <v>78</v>
      </c>
      <c r="K1162" t="s">
        <v>60</v>
      </c>
      <c r="L1162">
        <v>1</v>
      </c>
      <c r="M1162" s="2">
        <v>33.020000000000003</v>
      </c>
      <c r="N1162" t="s">
        <v>26</v>
      </c>
      <c r="O1162" s="3">
        <v>0</v>
      </c>
      <c r="P1162" s="3">
        <v>0</v>
      </c>
      <c r="Q1162" s="2">
        <v>33.020000000000003</v>
      </c>
      <c r="R1162" t="s">
        <v>42</v>
      </c>
      <c r="S1162" t="s">
        <v>54</v>
      </c>
      <c r="T1162" t="s">
        <v>29</v>
      </c>
      <c r="U1162" t="s">
        <v>30</v>
      </c>
    </row>
    <row r="1163" spans="1:21" x14ac:dyDescent="0.35">
      <c r="A1163" t="s">
        <v>1242</v>
      </c>
      <c r="B1163" s="1">
        <v>46206</v>
      </c>
      <c r="C1163" t="str">
        <f>TEXT(tblData[[#This Row],[Rental Date]],"mmm")</f>
        <v>Jul</v>
      </c>
      <c r="D1163" t="str">
        <f>TEXT(tblData[[#This Row],[Rental Date]],"mmmm")</f>
        <v>July</v>
      </c>
      <c r="E1163" t="s">
        <v>38</v>
      </c>
      <c r="F1163" t="str">
        <f>TEXT(WEEKNUM(tblData[[#This Row],[Rental Date]]),"00")</f>
        <v>27</v>
      </c>
      <c r="G1163" s="1">
        <f>EOMONTH(tblData[[#This Row],[Rental Date]],0)</f>
        <v>46234</v>
      </c>
      <c r="H1163" t="s">
        <v>749</v>
      </c>
      <c r="I1163" t="s">
        <v>48</v>
      </c>
      <c r="J1163" t="s">
        <v>78</v>
      </c>
      <c r="K1163" t="s">
        <v>40</v>
      </c>
      <c r="L1163">
        <v>1</v>
      </c>
      <c r="M1163" s="2">
        <v>78.739999999999995</v>
      </c>
      <c r="N1163" t="s">
        <v>41</v>
      </c>
      <c r="O1163" s="3">
        <v>5</v>
      </c>
      <c r="P1163" s="3">
        <v>0</v>
      </c>
      <c r="Q1163" s="2">
        <v>83.74</v>
      </c>
      <c r="R1163" t="s">
        <v>27</v>
      </c>
      <c r="S1163" t="s">
        <v>46</v>
      </c>
      <c r="T1163" t="s">
        <v>63</v>
      </c>
      <c r="U1163" t="s">
        <v>58</v>
      </c>
    </row>
    <row r="1164" spans="1:21" x14ac:dyDescent="0.35">
      <c r="A1164" t="s">
        <v>1243</v>
      </c>
      <c r="B1164" s="1">
        <v>46206</v>
      </c>
      <c r="C1164" t="str">
        <f>TEXT(tblData[[#This Row],[Rental Date]],"mmm")</f>
        <v>Jul</v>
      </c>
      <c r="D1164" t="str">
        <f>TEXT(tblData[[#This Row],[Rental Date]],"mmmm")</f>
        <v>July</v>
      </c>
      <c r="E1164" t="s">
        <v>38</v>
      </c>
      <c r="F1164" t="str">
        <f>TEXT(WEEKNUM(tblData[[#This Row],[Rental Date]]),"00")</f>
        <v>27</v>
      </c>
      <c r="G1164" s="1">
        <f>EOMONTH(tblData[[#This Row],[Rental Date]],0)</f>
        <v>46234</v>
      </c>
      <c r="H1164" t="s">
        <v>749</v>
      </c>
      <c r="I1164" t="s">
        <v>39</v>
      </c>
      <c r="J1164" t="s">
        <v>127</v>
      </c>
      <c r="K1164" t="s">
        <v>40</v>
      </c>
      <c r="L1164">
        <v>1</v>
      </c>
      <c r="M1164" s="2">
        <v>30.48</v>
      </c>
      <c r="N1164" t="s">
        <v>75</v>
      </c>
      <c r="O1164" s="3">
        <v>12</v>
      </c>
      <c r="P1164" s="3">
        <v>0</v>
      </c>
      <c r="Q1164" s="2">
        <v>42.48</v>
      </c>
      <c r="R1164" t="s">
        <v>45</v>
      </c>
      <c r="S1164" t="s">
        <v>54</v>
      </c>
      <c r="T1164" t="s">
        <v>29</v>
      </c>
      <c r="U1164" t="s">
        <v>30</v>
      </c>
    </row>
    <row r="1165" spans="1:21" x14ac:dyDescent="0.35">
      <c r="A1165" t="s">
        <v>1244</v>
      </c>
      <c r="B1165" s="1">
        <v>46206</v>
      </c>
      <c r="C1165" t="str">
        <f>TEXT(tblData[[#This Row],[Rental Date]],"mmm")</f>
        <v>Jul</v>
      </c>
      <c r="D1165" t="str">
        <f>TEXT(tblData[[#This Row],[Rental Date]],"mmmm")</f>
        <v>July</v>
      </c>
      <c r="E1165" t="s">
        <v>38</v>
      </c>
      <c r="F1165" t="str">
        <f>TEXT(WEEKNUM(tblData[[#This Row],[Rental Date]]),"00")</f>
        <v>27</v>
      </c>
      <c r="G1165" s="1">
        <f>EOMONTH(tblData[[#This Row],[Rental Date]],0)</f>
        <v>46234</v>
      </c>
      <c r="H1165" t="s">
        <v>749</v>
      </c>
      <c r="I1165" t="s">
        <v>48</v>
      </c>
      <c r="J1165" t="s">
        <v>49</v>
      </c>
      <c r="K1165" t="s">
        <v>92</v>
      </c>
      <c r="L1165">
        <v>1</v>
      </c>
      <c r="M1165" s="2">
        <v>96.52</v>
      </c>
      <c r="N1165" t="s">
        <v>26</v>
      </c>
      <c r="O1165" s="3">
        <v>0</v>
      </c>
      <c r="P1165" s="3">
        <v>0</v>
      </c>
      <c r="Q1165" s="2">
        <v>96.52</v>
      </c>
      <c r="R1165" t="s">
        <v>57</v>
      </c>
      <c r="S1165" t="s">
        <v>35</v>
      </c>
      <c r="T1165" t="s">
        <v>29</v>
      </c>
      <c r="U1165" t="s">
        <v>30</v>
      </c>
    </row>
    <row r="1166" spans="1:21" x14ac:dyDescent="0.35">
      <c r="A1166" t="s">
        <v>1245</v>
      </c>
      <c r="B1166" s="1">
        <v>46206</v>
      </c>
      <c r="C1166" t="str">
        <f>TEXT(tblData[[#This Row],[Rental Date]],"mmm")</f>
        <v>Jul</v>
      </c>
      <c r="D1166" t="str">
        <f>TEXT(tblData[[#This Row],[Rental Date]],"mmmm")</f>
        <v>July</v>
      </c>
      <c r="E1166" t="s">
        <v>38</v>
      </c>
      <c r="F1166" t="str">
        <f>TEXT(WEEKNUM(tblData[[#This Row],[Rental Date]]),"00")</f>
        <v>27</v>
      </c>
      <c r="G1166" s="1">
        <f>EOMONTH(tblData[[#This Row],[Rental Date]],0)</f>
        <v>46234</v>
      </c>
      <c r="H1166" t="s">
        <v>749</v>
      </c>
      <c r="I1166" t="s">
        <v>39</v>
      </c>
      <c r="J1166" t="s">
        <v>33</v>
      </c>
      <c r="K1166" t="s">
        <v>92</v>
      </c>
      <c r="L1166">
        <v>1</v>
      </c>
      <c r="M1166" s="2">
        <v>106.68</v>
      </c>
      <c r="N1166" t="s">
        <v>26</v>
      </c>
      <c r="O1166" s="3">
        <v>0</v>
      </c>
      <c r="P1166" s="3">
        <v>0</v>
      </c>
      <c r="Q1166" s="2">
        <v>106.68</v>
      </c>
      <c r="R1166" t="s">
        <v>94</v>
      </c>
      <c r="S1166" t="s">
        <v>28</v>
      </c>
      <c r="T1166" t="s">
        <v>29</v>
      </c>
      <c r="U1166" t="s">
        <v>30</v>
      </c>
    </row>
    <row r="1167" spans="1:21" x14ac:dyDescent="0.35">
      <c r="A1167" t="s">
        <v>1246</v>
      </c>
      <c r="B1167" s="1">
        <v>46206</v>
      </c>
      <c r="C1167" t="str">
        <f>TEXT(tblData[[#This Row],[Rental Date]],"mmm")</f>
        <v>Jul</v>
      </c>
      <c r="D1167" t="str">
        <f>TEXT(tblData[[#This Row],[Rental Date]],"mmmm")</f>
        <v>July</v>
      </c>
      <c r="E1167" t="s">
        <v>38</v>
      </c>
      <c r="F1167" t="str">
        <f>TEXT(WEEKNUM(tblData[[#This Row],[Rental Date]]),"00")</f>
        <v>27</v>
      </c>
      <c r="G1167" s="1">
        <f>EOMONTH(tblData[[#This Row],[Rental Date]],0)</f>
        <v>46234</v>
      </c>
      <c r="H1167" t="s">
        <v>749</v>
      </c>
      <c r="I1167" t="s">
        <v>39</v>
      </c>
      <c r="J1167" t="s">
        <v>49</v>
      </c>
      <c r="K1167" t="s">
        <v>25</v>
      </c>
      <c r="L1167">
        <v>1</v>
      </c>
      <c r="M1167" s="2">
        <v>45.72</v>
      </c>
      <c r="N1167" t="s">
        <v>26</v>
      </c>
      <c r="O1167" s="3">
        <v>0</v>
      </c>
      <c r="P1167" s="3">
        <v>0</v>
      </c>
      <c r="Q1167" s="2">
        <v>45.72</v>
      </c>
      <c r="R1167" t="s">
        <v>62</v>
      </c>
      <c r="S1167" t="s">
        <v>28</v>
      </c>
      <c r="T1167" t="s">
        <v>29</v>
      </c>
      <c r="U1167" t="s">
        <v>30</v>
      </c>
    </row>
    <row r="1168" spans="1:21" x14ac:dyDescent="0.35">
      <c r="A1168" t="s">
        <v>1247</v>
      </c>
      <c r="B1168" s="1">
        <v>46206</v>
      </c>
      <c r="C1168" t="str">
        <f>TEXT(tblData[[#This Row],[Rental Date]],"mmm")</f>
        <v>Jul</v>
      </c>
      <c r="D1168" t="str">
        <f>TEXT(tblData[[#This Row],[Rental Date]],"mmmm")</f>
        <v>July</v>
      </c>
      <c r="E1168" t="s">
        <v>38</v>
      </c>
      <c r="F1168" t="str">
        <f>TEXT(WEEKNUM(tblData[[#This Row],[Rental Date]]),"00")</f>
        <v>27</v>
      </c>
      <c r="G1168" s="1">
        <f>EOMONTH(tblData[[#This Row],[Rental Date]],0)</f>
        <v>46234</v>
      </c>
      <c r="H1168" t="s">
        <v>749</v>
      </c>
      <c r="I1168" t="s">
        <v>23</v>
      </c>
      <c r="J1168" t="s">
        <v>78</v>
      </c>
      <c r="K1168" t="s">
        <v>40</v>
      </c>
      <c r="L1168">
        <v>1</v>
      </c>
      <c r="M1168" s="2">
        <v>78.739999999999995</v>
      </c>
      <c r="N1168" t="s">
        <v>61</v>
      </c>
      <c r="O1168" s="3">
        <v>8</v>
      </c>
      <c r="P1168" s="3">
        <v>0</v>
      </c>
      <c r="Q1168" s="2">
        <v>86.74</v>
      </c>
      <c r="R1168" t="s">
        <v>34</v>
      </c>
      <c r="S1168" t="s">
        <v>28</v>
      </c>
      <c r="T1168" t="s">
        <v>90</v>
      </c>
      <c r="U1168" t="s">
        <v>30</v>
      </c>
    </row>
    <row r="1169" spans="1:21" x14ac:dyDescent="0.35">
      <c r="A1169" t="s">
        <v>1248</v>
      </c>
      <c r="B1169" s="1">
        <v>46206</v>
      </c>
      <c r="C1169" t="str">
        <f>TEXT(tblData[[#This Row],[Rental Date]],"mmm")</f>
        <v>Jul</v>
      </c>
      <c r="D1169" t="str">
        <f>TEXT(tblData[[#This Row],[Rental Date]],"mmmm")</f>
        <v>July</v>
      </c>
      <c r="E1169" t="s">
        <v>38</v>
      </c>
      <c r="F1169" t="str">
        <f>TEXT(WEEKNUM(tblData[[#This Row],[Rental Date]]),"00")</f>
        <v>27</v>
      </c>
      <c r="G1169" s="1">
        <f>EOMONTH(tblData[[#This Row],[Rental Date]],0)</f>
        <v>46234</v>
      </c>
      <c r="H1169" t="s">
        <v>749</v>
      </c>
      <c r="I1169" t="s">
        <v>53</v>
      </c>
      <c r="J1169" t="s">
        <v>127</v>
      </c>
      <c r="K1169" t="s">
        <v>25</v>
      </c>
      <c r="L1169">
        <v>1</v>
      </c>
      <c r="M1169" s="2">
        <v>20.32</v>
      </c>
      <c r="N1169" t="s">
        <v>61</v>
      </c>
      <c r="O1169" s="3">
        <v>8</v>
      </c>
      <c r="P1169" s="3">
        <v>2.83</v>
      </c>
      <c r="Q1169" s="2">
        <v>25.49</v>
      </c>
      <c r="R1169" t="s">
        <v>42</v>
      </c>
      <c r="S1169" t="s">
        <v>50</v>
      </c>
      <c r="T1169" t="s">
        <v>29</v>
      </c>
      <c r="U1169" t="s">
        <v>30</v>
      </c>
    </row>
    <row r="1170" spans="1:21" x14ac:dyDescent="0.35">
      <c r="A1170" t="s">
        <v>1249</v>
      </c>
      <c r="B1170" s="1">
        <v>46206</v>
      </c>
      <c r="C1170" t="str">
        <f>TEXT(tblData[[#This Row],[Rental Date]],"mmm")</f>
        <v>Jul</v>
      </c>
      <c r="D1170" t="str">
        <f>TEXT(tblData[[#This Row],[Rental Date]],"mmmm")</f>
        <v>July</v>
      </c>
      <c r="E1170" t="s">
        <v>38</v>
      </c>
      <c r="F1170" t="str">
        <f>TEXT(WEEKNUM(tblData[[#This Row],[Rental Date]]),"00")</f>
        <v>27</v>
      </c>
      <c r="G1170" s="1">
        <f>EOMONTH(tblData[[#This Row],[Rental Date]],0)</f>
        <v>46234</v>
      </c>
      <c r="H1170" t="s">
        <v>749</v>
      </c>
      <c r="I1170" t="s">
        <v>48</v>
      </c>
      <c r="J1170" t="s">
        <v>138</v>
      </c>
      <c r="K1170" t="s">
        <v>25</v>
      </c>
      <c r="L1170">
        <v>1</v>
      </c>
      <c r="M1170" s="2">
        <v>60.96</v>
      </c>
      <c r="N1170" t="s">
        <v>26</v>
      </c>
      <c r="O1170" s="3">
        <v>0</v>
      </c>
      <c r="P1170" s="3">
        <v>0</v>
      </c>
      <c r="Q1170" s="2">
        <v>60.96</v>
      </c>
      <c r="R1170" t="s">
        <v>34</v>
      </c>
      <c r="S1170" t="s">
        <v>54</v>
      </c>
      <c r="T1170" t="s">
        <v>29</v>
      </c>
      <c r="U1170" t="s">
        <v>30</v>
      </c>
    </row>
    <row r="1171" spans="1:21" x14ac:dyDescent="0.35">
      <c r="A1171" t="s">
        <v>1250</v>
      </c>
      <c r="B1171" s="1">
        <v>46206</v>
      </c>
      <c r="C1171" t="str">
        <f>TEXT(tblData[[#This Row],[Rental Date]],"mmm")</f>
        <v>Jul</v>
      </c>
      <c r="D1171" t="str">
        <f>TEXT(tblData[[#This Row],[Rental Date]],"mmmm")</f>
        <v>July</v>
      </c>
      <c r="E1171" t="s">
        <v>38</v>
      </c>
      <c r="F1171" t="str">
        <f>TEXT(WEEKNUM(tblData[[#This Row],[Rental Date]]),"00")</f>
        <v>27</v>
      </c>
      <c r="G1171" s="1">
        <f>EOMONTH(tblData[[#This Row],[Rental Date]],0)</f>
        <v>46234</v>
      </c>
      <c r="H1171" t="s">
        <v>749</v>
      </c>
      <c r="I1171" t="s">
        <v>48</v>
      </c>
      <c r="J1171" t="s">
        <v>65</v>
      </c>
      <c r="K1171" t="s">
        <v>40</v>
      </c>
      <c r="L1171">
        <v>1</v>
      </c>
      <c r="M1171" s="2">
        <v>35.56</v>
      </c>
      <c r="N1171" t="s">
        <v>26</v>
      </c>
      <c r="O1171" s="3">
        <v>0</v>
      </c>
      <c r="P1171" s="3">
        <v>1.78</v>
      </c>
      <c r="Q1171" s="2">
        <v>33.78</v>
      </c>
      <c r="R1171" t="s">
        <v>57</v>
      </c>
      <c r="S1171" t="s">
        <v>35</v>
      </c>
      <c r="T1171" t="s">
        <v>90</v>
      </c>
      <c r="U1171" t="s">
        <v>30</v>
      </c>
    </row>
    <row r="1172" spans="1:21" x14ac:dyDescent="0.35">
      <c r="A1172" t="s">
        <v>1251</v>
      </c>
      <c r="B1172" s="1">
        <v>46206</v>
      </c>
      <c r="C1172" t="str">
        <f>TEXT(tblData[[#This Row],[Rental Date]],"mmm")</f>
        <v>Jul</v>
      </c>
      <c r="D1172" t="str">
        <f>TEXT(tblData[[#This Row],[Rental Date]],"mmmm")</f>
        <v>July</v>
      </c>
      <c r="E1172" t="s">
        <v>38</v>
      </c>
      <c r="F1172" t="str">
        <f>TEXT(WEEKNUM(tblData[[#This Row],[Rental Date]]),"00")</f>
        <v>27</v>
      </c>
      <c r="G1172" s="1">
        <f>EOMONTH(tblData[[#This Row],[Rental Date]],0)</f>
        <v>46234</v>
      </c>
      <c r="H1172" t="s">
        <v>749</v>
      </c>
      <c r="I1172" t="s">
        <v>23</v>
      </c>
      <c r="J1172" t="s">
        <v>78</v>
      </c>
      <c r="K1172" t="s">
        <v>25</v>
      </c>
      <c r="L1172">
        <v>1</v>
      </c>
      <c r="M1172" s="2">
        <v>53.34</v>
      </c>
      <c r="N1172" t="s">
        <v>26</v>
      </c>
      <c r="O1172" s="3">
        <v>0</v>
      </c>
      <c r="P1172" s="3">
        <v>0</v>
      </c>
      <c r="Q1172" s="2">
        <v>53.34</v>
      </c>
      <c r="R1172" t="s">
        <v>76</v>
      </c>
      <c r="S1172" t="s">
        <v>35</v>
      </c>
      <c r="T1172" t="s">
        <v>29</v>
      </c>
      <c r="U1172" t="s">
        <v>30</v>
      </c>
    </row>
    <row r="1173" spans="1:21" x14ac:dyDescent="0.35">
      <c r="A1173" t="s">
        <v>1252</v>
      </c>
      <c r="B1173" s="1">
        <v>46206</v>
      </c>
      <c r="C1173" t="str">
        <f>TEXT(tblData[[#This Row],[Rental Date]],"mmm")</f>
        <v>Jul</v>
      </c>
      <c r="D1173" t="str">
        <f>TEXT(tblData[[#This Row],[Rental Date]],"mmmm")</f>
        <v>July</v>
      </c>
      <c r="E1173" t="s">
        <v>38</v>
      </c>
      <c r="F1173" t="str">
        <f>TEXT(WEEKNUM(tblData[[#This Row],[Rental Date]]),"00")</f>
        <v>27</v>
      </c>
      <c r="G1173" s="1">
        <f>EOMONTH(tblData[[#This Row],[Rental Date]],0)</f>
        <v>46234</v>
      </c>
      <c r="H1173" t="s">
        <v>749</v>
      </c>
      <c r="I1173" t="s">
        <v>39</v>
      </c>
      <c r="J1173" t="s">
        <v>78</v>
      </c>
      <c r="K1173" t="s">
        <v>60</v>
      </c>
      <c r="L1173">
        <v>1</v>
      </c>
      <c r="M1173" s="2">
        <v>33.020000000000003</v>
      </c>
      <c r="N1173" t="s">
        <v>87</v>
      </c>
      <c r="O1173" s="3">
        <v>10</v>
      </c>
      <c r="P1173" s="3">
        <v>2.15</v>
      </c>
      <c r="Q1173" s="2">
        <v>40.869999999999997</v>
      </c>
      <c r="R1173" t="s">
        <v>34</v>
      </c>
      <c r="S1173" t="s">
        <v>54</v>
      </c>
      <c r="T1173" t="s">
        <v>29</v>
      </c>
      <c r="U1173" t="s">
        <v>30</v>
      </c>
    </row>
    <row r="1174" spans="1:21" x14ac:dyDescent="0.35">
      <c r="A1174" t="s">
        <v>1253</v>
      </c>
      <c r="B1174" s="1">
        <v>46206</v>
      </c>
      <c r="C1174" t="str">
        <f>TEXT(tblData[[#This Row],[Rental Date]],"mmm")</f>
        <v>Jul</v>
      </c>
      <c r="D1174" t="str">
        <f>TEXT(tblData[[#This Row],[Rental Date]],"mmmm")</f>
        <v>July</v>
      </c>
      <c r="E1174" t="s">
        <v>38</v>
      </c>
      <c r="F1174" t="str">
        <f>TEXT(WEEKNUM(tblData[[#This Row],[Rental Date]]),"00")</f>
        <v>27</v>
      </c>
      <c r="G1174" s="1">
        <f>EOMONTH(tblData[[#This Row],[Rental Date]],0)</f>
        <v>46234</v>
      </c>
      <c r="H1174" t="s">
        <v>749</v>
      </c>
      <c r="I1174" t="s">
        <v>39</v>
      </c>
      <c r="J1174" t="s">
        <v>138</v>
      </c>
      <c r="K1174" t="s">
        <v>60</v>
      </c>
      <c r="L1174">
        <v>1</v>
      </c>
      <c r="M1174" s="2">
        <v>38.1</v>
      </c>
      <c r="N1174" t="s">
        <v>26</v>
      </c>
      <c r="O1174" s="3">
        <v>0</v>
      </c>
      <c r="P1174" s="3">
        <v>0</v>
      </c>
      <c r="Q1174" s="2">
        <v>38.1</v>
      </c>
      <c r="R1174" t="s">
        <v>71</v>
      </c>
      <c r="S1174" t="s">
        <v>46</v>
      </c>
      <c r="T1174" t="s">
        <v>63</v>
      </c>
      <c r="U1174" t="s">
        <v>30</v>
      </c>
    </row>
    <row r="1175" spans="1:21" x14ac:dyDescent="0.35">
      <c r="A1175" t="s">
        <v>1254</v>
      </c>
      <c r="B1175" s="1">
        <v>46206</v>
      </c>
      <c r="C1175" t="str">
        <f>TEXT(tblData[[#This Row],[Rental Date]],"mmm")</f>
        <v>Jul</v>
      </c>
      <c r="D1175" t="str">
        <f>TEXT(tblData[[#This Row],[Rental Date]],"mmmm")</f>
        <v>July</v>
      </c>
      <c r="E1175" t="s">
        <v>38</v>
      </c>
      <c r="F1175" t="str">
        <f>TEXT(WEEKNUM(tblData[[#This Row],[Rental Date]]),"00")</f>
        <v>27</v>
      </c>
      <c r="G1175" s="1">
        <f>EOMONTH(tblData[[#This Row],[Rental Date]],0)</f>
        <v>46234</v>
      </c>
      <c r="H1175" t="s">
        <v>749</v>
      </c>
      <c r="I1175" t="s">
        <v>23</v>
      </c>
      <c r="J1175" t="s">
        <v>33</v>
      </c>
      <c r="K1175" t="s">
        <v>25</v>
      </c>
      <c r="L1175">
        <v>1</v>
      </c>
      <c r="M1175" s="2">
        <v>48.26</v>
      </c>
      <c r="N1175" t="s">
        <v>87</v>
      </c>
      <c r="O1175" s="3">
        <v>10</v>
      </c>
      <c r="P1175" s="3">
        <v>0</v>
      </c>
      <c r="Q1175" s="2">
        <v>58.26</v>
      </c>
      <c r="R1175" t="s">
        <v>42</v>
      </c>
      <c r="S1175" t="s">
        <v>35</v>
      </c>
      <c r="T1175" t="s">
        <v>29</v>
      </c>
      <c r="U1175" t="s">
        <v>30</v>
      </c>
    </row>
    <row r="1176" spans="1:21" x14ac:dyDescent="0.35">
      <c r="A1176" t="s">
        <v>1255</v>
      </c>
      <c r="B1176" s="1">
        <v>46206</v>
      </c>
      <c r="C1176" t="str">
        <f>TEXT(tblData[[#This Row],[Rental Date]],"mmm")</f>
        <v>Jul</v>
      </c>
      <c r="D1176" t="str">
        <f>TEXT(tblData[[#This Row],[Rental Date]],"mmmm")</f>
        <v>July</v>
      </c>
      <c r="E1176" t="s">
        <v>38</v>
      </c>
      <c r="F1176" t="str">
        <f>TEXT(WEEKNUM(tblData[[#This Row],[Rental Date]]),"00")</f>
        <v>27</v>
      </c>
      <c r="G1176" s="1">
        <f>EOMONTH(tblData[[#This Row],[Rental Date]],0)</f>
        <v>46234</v>
      </c>
      <c r="H1176" t="s">
        <v>749</v>
      </c>
      <c r="I1176" t="s">
        <v>39</v>
      </c>
      <c r="J1176" t="s">
        <v>65</v>
      </c>
      <c r="K1176" t="s">
        <v>92</v>
      </c>
      <c r="L1176">
        <v>1</v>
      </c>
      <c r="M1176" s="2">
        <v>50.8</v>
      </c>
      <c r="N1176" t="s">
        <v>26</v>
      </c>
      <c r="O1176" s="3">
        <v>0</v>
      </c>
      <c r="P1176" s="3">
        <v>0</v>
      </c>
      <c r="Q1176" s="2">
        <v>50.8</v>
      </c>
      <c r="R1176" t="s">
        <v>76</v>
      </c>
      <c r="S1176" t="s">
        <v>35</v>
      </c>
      <c r="T1176" t="s">
        <v>51</v>
      </c>
      <c r="U1176" t="s">
        <v>58</v>
      </c>
    </row>
    <row r="1177" spans="1:21" x14ac:dyDescent="0.35">
      <c r="A1177" t="s">
        <v>1256</v>
      </c>
      <c r="B1177" s="1">
        <v>46206</v>
      </c>
      <c r="C1177" t="str">
        <f>TEXT(tblData[[#This Row],[Rental Date]],"mmm")</f>
        <v>Jul</v>
      </c>
      <c r="D1177" t="str">
        <f>TEXT(tblData[[#This Row],[Rental Date]],"mmmm")</f>
        <v>July</v>
      </c>
      <c r="E1177" t="s">
        <v>38</v>
      </c>
      <c r="F1177" t="str">
        <f>TEXT(WEEKNUM(tblData[[#This Row],[Rental Date]]),"00")</f>
        <v>27</v>
      </c>
      <c r="G1177" s="1">
        <f>EOMONTH(tblData[[#This Row],[Rental Date]],0)</f>
        <v>46234</v>
      </c>
      <c r="H1177" t="s">
        <v>749</v>
      </c>
      <c r="I1177" t="s">
        <v>39</v>
      </c>
      <c r="J1177" t="s">
        <v>78</v>
      </c>
      <c r="K1177" t="s">
        <v>25</v>
      </c>
      <c r="L1177">
        <v>1</v>
      </c>
      <c r="M1177" s="2">
        <v>53.34</v>
      </c>
      <c r="N1177" t="s">
        <v>26</v>
      </c>
      <c r="O1177" s="3">
        <v>0</v>
      </c>
      <c r="P1177" s="3">
        <v>0</v>
      </c>
      <c r="Q1177" s="2">
        <v>53.34</v>
      </c>
      <c r="R1177" t="s">
        <v>76</v>
      </c>
      <c r="S1177" t="s">
        <v>35</v>
      </c>
      <c r="T1177" t="s">
        <v>29</v>
      </c>
      <c r="U1177" t="s">
        <v>30</v>
      </c>
    </row>
    <row r="1178" spans="1:21" x14ac:dyDescent="0.35">
      <c r="A1178" t="s">
        <v>1257</v>
      </c>
      <c r="B1178" s="1">
        <v>46207</v>
      </c>
      <c r="C1178" t="str">
        <f>TEXT(tblData[[#This Row],[Rental Date]],"mmm")</f>
        <v>Jul</v>
      </c>
      <c r="D1178" t="str">
        <f>TEXT(tblData[[#This Row],[Rental Date]],"mmmm")</f>
        <v>July</v>
      </c>
      <c r="E1178" t="s">
        <v>56</v>
      </c>
      <c r="F1178" t="str">
        <f>TEXT(WEEKNUM(tblData[[#This Row],[Rental Date]]),"00")</f>
        <v>27</v>
      </c>
      <c r="G1178" s="1">
        <f>EOMONTH(tblData[[#This Row],[Rental Date]],0)</f>
        <v>46234</v>
      </c>
      <c r="H1178" t="s">
        <v>749</v>
      </c>
      <c r="I1178" t="s">
        <v>39</v>
      </c>
      <c r="J1178" t="s">
        <v>127</v>
      </c>
      <c r="K1178" t="s">
        <v>25</v>
      </c>
      <c r="L1178">
        <v>1</v>
      </c>
      <c r="M1178" s="2">
        <v>21.6</v>
      </c>
      <c r="N1178" t="s">
        <v>75</v>
      </c>
      <c r="O1178" s="3">
        <v>12</v>
      </c>
      <c r="P1178" s="3">
        <v>0</v>
      </c>
      <c r="Q1178" s="2">
        <v>33.6</v>
      </c>
      <c r="R1178" t="s">
        <v>27</v>
      </c>
      <c r="S1178" t="s">
        <v>35</v>
      </c>
      <c r="T1178" t="s">
        <v>29</v>
      </c>
      <c r="U1178" t="s">
        <v>30</v>
      </c>
    </row>
    <row r="1179" spans="1:21" x14ac:dyDescent="0.35">
      <c r="A1179" t="s">
        <v>1258</v>
      </c>
      <c r="B1179" s="1">
        <v>46207</v>
      </c>
      <c r="C1179" t="str">
        <f>TEXT(tblData[[#This Row],[Rental Date]],"mmm")</f>
        <v>Jul</v>
      </c>
      <c r="D1179" t="str">
        <f>TEXT(tblData[[#This Row],[Rental Date]],"mmmm")</f>
        <v>July</v>
      </c>
      <c r="E1179" t="s">
        <v>56</v>
      </c>
      <c r="F1179" t="str">
        <f>TEXT(WEEKNUM(tblData[[#This Row],[Rental Date]]),"00")</f>
        <v>27</v>
      </c>
      <c r="G1179" s="1">
        <f>EOMONTH(tblData[[#This Row],[Rental Date]],0)</f>
        <v>46234</v>
      </c>
      <c r="H1179" t="s">
        <v>749</v>
      </c>
      <c r="I1179" t="s">
        <v>23</v>
      </c>
      <c r="J1179" t="s">
        <v>33</v>
      </c>
      <c r="K1179" t="s">
        <v>60</v>
      </c>
      <c r="L1179">
        <v>1</v>
      </c>
      <c r="M1179" s="2">
        <v>32.4</v>
      </c>
      <c r="N1179" t="s">
        <v>89</v>
      </c>
      <c r="O1179" s="3">
        <v>6</v>
      </c>
      <c r="P1179" s="3">
        <v>0</v>
      </c>
      <c r="Q1179" s="2">
        <v>38.4</v>
      </c>
      <c r="R1179" t="s">
        <v>42</v>
      </c>
      <c r="S1179" t="s">
        <v>46</v>
      </c>
      <c r="T1179" t="s">
        <v>51</v>
      </c>
      <c r="U1179" t="s">
        <v>30</v>
      </c>
    </row>
    <row r="1180" spans="1:21" x14ac:dyDescent="0.35">
      <c r="A1180" t="s">
        <v>1259</v>
      </c>
      <c r="B1180" s="1">
        <v>46207</v>
      </c>
      <c r="C1180" t="str">
        <f>TEXT(tblData[[#This Row],[Rental Date]],"mmm")</f>
        <v>Jul</v>
      </c>
      <c r="D1180" t="str">
        <f>TEXT(tblData[[#This Row],[Rental Date]],"mmmm")</f>
        <v>July</v>
      </c>
      <c r="E1180" t="s">
        <v>56</v>
      </c>
      <c r="F1180" t="str">
        <f>TEXT(WEEKNUM(tblData[[#This Row],[Rental Date]]),"00")</f>
        <v>27</v>
      </c>
      <c r="G1180" s="1">
        <f>EOMONTH(tblData[[#This Row],[Rental Date]],0)</f>
        <v>46234</v>
      </c>
      <c r="H1180" t="s">
        <v>749</v>
      </c>
      <c r="I1180" t="s">
        <v>48</v>
      </c>
      <c r="J1180" t="s">
        <v>33</v>
      </c>
      <c r="K1180" t="s">
        <v>60</v>
      </c>
      <c r="L1180">
        <v>1</v>
      </c>
      <c r="M1180" s="2">
        <v>32.4</v>
      </c>
      <c r="N1180" t="s">
        <v>61</v>
      </c>
      <c r="O1180" s="3">
        <v>8</v>
      </c>
      <c r="P1180" s="3">
        <v>0</v>
      </c>
      <c r="Q1180" s="2">
        <v>40.4</v>
      </c>
      <c r="R1180" t="s">
        <v>94</v>
      </c>
      <c r="S1180" t="s">
        <v>50</v>
      </c>
      <c r="T1180" t="s">
        <v>63</v>
      </c>
      <c r="U1180" t="s">
        <v>30</v>
      </c>
    </row>
    <row r="1181" spans="1:21" x14ac:dyDescent="0.35">
      <c r="A1181" t="s">
        <v>1260</v>
      </c>
      <c r="B1181" s="1">
        <v>46207</v>
      </c>
      <c r="C1181" t="str">
        <f>TEXT(tblData[[#This Row],[Rental Date]],"mmm")</f>
        <v>Jul</v>
      </c>
      <c r="D1181" t="str">
        <f>TEXT(tblData[[#This Row],[Rental Date]],"mmmm")</f>
        <v>July</v>
      </c>
      <c r="E1181" t="s">
        <v>56</v>
      </c>
      <c r="F1181" t="str">
        <f>TEXT(WEEKNUM(tblData[[#This Row],[Rental Date]]),"00")</f>
        <v>27</v>
      </c>
      <c r="G1181" s="1">
        <f>EOMONTH(tblData[[#This Row],[Rental Date]],0)</f>
        <v>46234</v>
      </c>
      <c r="H1181" t="s">
        <v>749</v>
      </c>
      <c r="I1181" t="s">
        <v>48</v>
      </c>
      <c r="J1181" t="s">
        <v>111</v>
      </c>
      <c r="K1181" t="s">
        <v>25</v>
      </c>
      <c r="L1181">
        <v>1</v>
      </c>
      <c r="M1181" s="2">
        <v>29.7</v>
      </c>
      <c r="N1181" t="s">
        <v>87</v>
      </c>
      <c r="O1181" s="3">
        <v>10</v>
      </c>
      <c r="P1181" s="3">
        <v>0</v>
      </c>
      <c r="Q1181" s="2">
        <v>39.700000000000003</v>
      </c>
      <c r="R1181" t="s">
        <v>66</v>
      </c>
      <c r="S1181" t="s">
        <v>54</v>
      </c>
      <c r="T1181" t="s">
        <v>63</v>
      </c>
      <c r="U1181" t="s">
        <v>30</v>
      </c>
    </row>
    <row r="1182" spans="1:21" x14ac:dyDescent="0.35">
      <c r="A1182" t="s">
        <v>1261</v>
      </c>
      <c r="B1182" s="1">
        <v>46207</v>
      </c>
      <c r="C1182" t="str">
        <f>TEXT(tblData[[#This Row],[Rental Date]],"mmm")</f>
        <v>Jul</v>
      </c>
      <c r="D1182" t="str">
        <f>TEXT(tblData[[#This Row],[Rental Date]],"mmmm")</f>
        <v>July</v>
      </c>
      <c r="E1182" t="s">
        <v>56</v>
      </c>
      <c r="F1182" t="str">
        <f>TEXT(WEEKNUM(tblData[[#This Row],[Rental Date]]),"00")</f>
        <v>27</v>
      </c>
      <c r="G1182" s="1">
        <f>EOMONTH(tblData[[#This Row],[Rental Date]],0)</f>
        <v>46234</v>
      </c>
      <c r="H1182" t="s">
        <v>749</v>
      </c>
      <c r="I1182" t="s">
        <v>48</v>
      </c>
      <c r="J1182" t="s">
        <v>78</v>
      </c>
      <c r="K1182" t="s">
        <v>25</v>
      </c>
      <c r="L1182">
        <v>1</v>
      </c>
      <c r="M1182" s="2">
        <v>56.7</v>
      </c>
      <c r="N1182" t="s">
        <v>26</v>
      </c>
      <c r="O1182" s="3">
        <v>0</v>
      </c>
      <c r="P1182" s="3">
        <v>0</v>
      </c>
      <c r="Q1182" s="2">
        <v>56.7</v>
      </c>
      <c r="R1182" t="s">
        <v>34</v>
      </c>
      <c r="S1182" t="s">
        <v>35</v>
      </c>
      <c r="T1182" t="s">
        <v>29</v>
      </c>
      <c r="U1182" t="s">
        <v>30</v>
      </c>
    </row>
    <row r="1183" spans="1:21" x14ac:dyDescent="0.35">
      <c r="A1183" t="s">
        <v>1262</v>
      </c>
      <c r="B1183" s="1">
        <v>46207</v>
      </c>
      <c r="C1183" t="str">
        <f>TEXT(tblData[[#This Row],[Rental Date]],"mmm")</f>
        <v>Jul</v>
      </c>
      <c r="D1183" t="str">
        <f>TEXT(tblData[[#This Row],[Rental Date]],"mmmm")</f>
        <v>July</v>
      </c>
      <c r="E1183" t="s">
        <v>56</v>
      </c>
      <c r="F1183" t="str">
        <f>TEXT(WEEKNUM(tblData[[#This Row],[Rental Date]]),"00")</f>
        <v>27</v>
      </c>
      <c r="G1183" s="1">
        <f>EOMONTH(tblData[[#This Row],[Rental Date]],0)</f>
        <v>46234</v>
      </c>
      <c r="H1183" t="s">
        <v>749</v>
      </c>
      <c r="I1183" t="s">
        <v>48</v>
      </c>
      <c r="J1183" t="s">
        <v>78</v>
      </c>
      <c r="K1183" t="s">
        <v>40</v>
      </c>
      <c r="L1183">
        <v>1</v>
      </c>
      <c r="M1183" s="2">
        <v>83.7</v>
      </c>
      <c r="N1183" t="s">
        <v>89</v>
      </c>
      <c r="O1183" s="3">
        <v>6</v>
      </c>
      <c r="P1183" s="3">
        <v>0</v>
      </c>
      <c r="Q1183" s="2">
        <v>89.7</v>
      </c>
      <c r="R1183" t="s">
        <v>34</v>
      </c>
      <c r="S1183" t="s">
        <v>46</v>
      </c>
      <c r="T1183" t="s">
        <v>51</v>
      </c>
      <c r="U1183" t="s">
        <v>30</v>
      </c>
    </row>
    <row r="1184" spans="1:21" x14ac:dyDescent="0.35">
      <c r="A1184" t="s">
        <v>1263</v>
      </c>
      <c r="B1184" s="1">
        <v>46207</v>
      </c>
      <c r="C1184" t="str">
        <f>TEXT(tblData[[#This Row],[Rental Date]],"mmm")</f>
        <v>Jul</v>
      </c>
      <c r="D1184" t="str">
        <f>TEXT(tblData[[#This Row],[Rental Date]],"mmmm")</f>
        <v>July</v>
      </c>
      <c r="E1184" t="s">
        <v>56</v>
      </c>
      <c r="F1184" t="str">
        <f>TEXT(WEEKNUM(tblData[[#This Row],[Rental Date]]),"00")</f>
        <v>27</v>
      </c>
      <c r="G1184" s="1">
        <f>EOMONTH(tblData[[#This Row],[Rental Date]],0)</f>
        <v>46234</v>
      </c>
      <c r="H1184" t="s">
        <v>749</v>
      </c>
      <c r="I1184" t="s">
        <v>32</v>
      </c>
      <c r="J1184" t="s">
        <v>49</v>
      </c>
      <c r="K1184" t="s">
        <v>92</v>
      </c>
      <c r="L1184">
        <v>1</v>
      </c>
      <c r="M1184" s="2">
        <v>102.6</v>
      </c>
      <c r="N1184" t="s">
        <v>26</v>
      </c>
      <c r="O1184" s="3">
        <v>0</v>
      </c>
      <c r="P1184" s="3">
        <v>5.13</v>
      </c>
      <c r="Q1184" s="2">
        <v>97.47</v>
      </c>
      <c r="R1184" t="s">
        <v>62</v>
      </c>
      <c r="S1184" t="s">
        <v>28</v>
      </c>
      <c r="T1184" t="s">
        <v>63</v>
      </c>
      <c r="U1184" t="s">
        <v>30</v>
      </c>
    </row>
    <row r="1185" spans="1:21" x14ac:dyDescent="0.35">
      <c r="A1185" t="s">
        <v>1264</v>
      </c>
      <c r="B1185" s="1">
        <v>46207</v>
      </c>
      <c r="C1185" t="str">
        <f>TEXT(tblData[[#This Row],[Rental Date]],"mmm")</f>
        <v>Jul</v>
      </c>
      <c r="D1185" t="str">
        <f>TEXT(tblData[[#This Row],[Rental Date]],"mmmm")</f>
        <v>July</v>
      </c>
      <c r="E1185" t="s">
        <v>56</v>
      </c>
      <c r="F1185" t="str">
        <f>TEXT(WEEKNUM(tblData[[#This Row],[Rental Date]]),"00")</f>
        <v>27</v>
      </c>
      <c r="G1185" s="1">
        <f>EOMONTH(tblData[[#This Row],[Rental Date]],0)</f>
        <v>46234</v>
      </c>
      <c r="H1185" t="s">
        <v>749</v>
      </c>
      <c r="I1185" t="s">
        <v>39</v>
      </c>
      <c r="J1185" t="s">
        <v>111</v>
      </c>
      <c r="K1185" t="s">
        <v>92</v>
      </c>
      <c r="L1185">
        <v>1</v>
      </c>
      <c r="M1185" s="2">
        <v>64.8</v>
      </c>
      <c r="N1185" t="s">
        <v>89</v>
      </c>
      <c r="O1185" s="3">
        <v>6</v>
      </c>
      <c r="P1185" s="3">
        <v>0</v>
      </c>
      <c r="Q1185" s="2">
        <v>70.8</v>
      </c>
      <c r="R1185" t="s">
        <v>71</v>
      </c>
      <c r="S1185" t="s">
        <v>46</v>
      </c>
      <c r="T1185" t="s">
        <v>51</v>
      </c>
      <c r="U1185" t="s">
        <v>79</v>
      </c>
    </row>
    <row r="1186" spans="1:21" x14ac:dyDescent="0.35">
      <c r="A1186" t="s">
        <v>1265</v>
      </c>
      <c r="B1186" s="1">
        <v>46207</v>
      </c>
      <c r="C1186" t="str">
        <f>TEXT(tblData[[#This Row],[Rental Date]],"mmm")</f>
        <v>Jul</v>
      </c>
      <c r="D1186" t="str">
        <f>TEXT(tblData[[#This Row],[Rental Date]],"mmmm")</f>
        <v>July</v>
      </c>
      <c r="E1186" t="s">
        <v>56</v>
      </c>
      <c r="F1186" t="str">
        <f>TEXT(WEEKNUM(tblData[[#This Row],[Rental Date]]),"00")</f>
        <v>27</v>
      </c>
      <c r="G1186" s="1">
        <f>EOMONTH(tblData[[#This Row],[Rental Date]],0)</f>
        <v>46234</v>
      </c>
      <c r="H1186" t="s">
        <v>749</v>
      </c>
      <c r="I1186" t="s">
        <v>32</v>
      </c>
      <c r="J1186" t="s">
        <v>78</v>
      </c>
      <c r="K1186" t="s">
        <v>25</v>
      </c>
      <c r="L1186">
        <v>1</v>
      </c>
      <c r="M1186" s="2">
        <v>56.7</v>
      </c>
      <c r="N1186" t="s">
        <v>41</v>
      </c>
      <c r="O1186" s="3">
        <v>5</v>
      </c>
      <c r="P1186" s="3">
        <v>0</v>
      </c>
      <c r="Q1186" s="2">
        <v>61.7</v>
      </c>
      <c r="R1186" t="s">
        <v>34</v>
      </c>
      <c r="S1186" t="s">
        <v>28</v>
      </c>
      <c r="T1186" t="s">
        <v>51</v>
      </c>
      <c r="U1186" t="s">
        <v>30</v>
      </c>
    </row>
    <row r="1187" spans="1:21" x14ac:dyDescent="0.35">
      <c r="A1187" t="s">
        <v>1266</v>
      </c>
      <c r="B1187" s="1">
        <v>46207</v>
      </c>
      <c r="C1187" t="str">
        <f>TEXT(tblData[[#This Row],[Rental Date]],"mmm")</f>
        <v>Jul</v>
      </c>
      <c r="D1187" t="str">
        <f>TEXT(tblData[[#This Row],[Rental Date]],"mmmm")</f>
        <v>July</v>
      </c>
      <c r="E1187" t="s">
        <v>56</v>
      </c>
      <c r="F1187" t="str">
        <f>TEXT(WEEKNUM(tblData[[#This Row],[Rental Date]]),"00")</f>
        <v>27</v>
      </c>
      <c r="G1187" s="1">
        <f>EOMONTH(tblData[[#This Row],[Rental Date]],0)</f>
        <v>46234</v>
      </c>
      <c r="H1187" t="s">
        <v>749</v>
      </c>
      <c r="I1187" t="s">
        <v>39</v>
      </c>
      <c r="J1187" t="s">
        <v>49</v>
      </c>
      <c r="K1187" t="s">
        <v>25</v>
      </c>
      <c r="L1187">
        <v>1</v>
      </c>
      <c r="M1187" s="2">
        <v>48.6</v>
      </c>
      <c r="N1187" t="s">
        <v>41</v>
      </c>
      <c r="O1187" s="3">
        <v>5</v>
      </c>
      <c r="P1187" s="3">
        <v>0</v>
      </c>
      <c r="Q1187" s="2">
        <v>53.6</v>
      </c>
      <c r="R1187" t="s">
        <v>71</v>
      </c>
      <c r="S1187" t="s">
        <v>35</v>
      </c>
      <c r="T1187" t="s">
        <v>29</v>
      </c>
      <c r="U1187" t="s">
        <v>30</v>
      </c>
    </row>
    <row r="1188" spans="1:21" x14ac:dyDescent="0.35">
      <c r="A1188" t="s">
        <v>1267</v>
      </c>
      <c r="B1188" s="1">
        <v>46207</v>
      </c>
      <c r="C1188" t="str">
        <f>TEXT(tblData[[#This Row],[Rental Date]],"mmm")</f>
        <v>Jul</v>
      </c>
      <c r="D1188" t="str">
        <f>TEXT(tblData[[#This Row],[Rental Date]],"mmmm")</f>
        <v>July</v>
      </c>
      <c r="E1188" t="s">
        <v>56</v>
      </c>
      <c r="F1188" t="str">
        <f>TEXT(WEEKNUM(tblData[[#This Row],[Rental Date]]),"00")</f>
        <v>27</v>
      </c>
      <c r="G1188" s="1">
        <f>EOMONTH(tblData[[#This Row],[Rental Date]],0)</f>
        <v>46234</v>
      </c>
      <c r="H1188" t="s">
        <v>749</v>
      </c>
      <c r="I1188" t="s">
        <v>32</v>
      </c>
      <c r="J1188" t="s">
        <v>78</v>
      </c>
      <c r="K1188" t="s">
        <v>40</v>
      </c>
      <c r="L1188">
        <v>1</v>
      </c>
      <c r="M1188" s="2">
        <v>83.7</v>
      </c>
      <c r="N1188" t="s">
        <v>26</v>
      </c>
      <c r="O1188" s="3">
        <v>0</v>
      </c>
      <c r="P1188" s="3">
        <v>8.3699999999999992</v>
      </c>
      <c r="Q1188" s="2">
        <v>75.33</v>
      </c>
      <c r="R1188" t="s">
        <v>34</v>
      </c>
      <c r="S1188" t="s">
        <v>28</v>
      </c>
      <c r="T1188" t="s">
        <v>90</v>
      </c>
      <c r="U1188" t="s">
        <v>30</v>
      </c>
    </row>
    <row r="1189" spans="1:21" x14ac:dyDescent="0.35">
      <c r="A1189" t="s">
        <v>1268</v>
      </c>
      <c r="B1189" s="1">
        <v>46207</v>
      </c>
      <c r="C1189" t="str">
        <f>TEXT(tblData[[#This Row],[Rental Date]],"mmm")</f>
        <v>Jul</v>
      </c>
      <c r="D1189" t="str">
        <f>TEXT(tblData[[#This Row],[Rental Date]],"mmmm")</f>
        <v>July</v>
      </c>
      <c r="E1189" t="s">
        <v>56</v>
      </c>
      <c r="F1189" t="str">
        <f>TEXT(WEEKNUM(tblData[[#This Row],[Rental Date]]),"00")</f>
        <v>27</v>
      </c>
      <c r="G1189" s="1">
        <f>EOMONTH(tblData[[#This Row],[Rental Date]],0)</f>
        <v>46234</v>
      </c>
      <c r="H1189" t="s">
        <v>749</v>
      </c>
      <c r="I1189" t="s">
        <v>32</v>
      </c>
      <c r="J1189" t="s">
        <v>78</v>
      </c>
      <c r="K1189" t="s">
        <v>40</v>
      </c>
      <c r="L1189">
        <v>1</v>
      </c>
      <c r="M1189" s="2">
        <v>83.7</v>
      </c>
      <c r="N1189" t="s">
        <v>89</v>
      </c>
      <c r="O1189" s="3">
        <v>6</v>
      </c>
      <c r="P1189" s="3">
        <v>8.9700000000000006</v>
      </c>
      <c r="Q1189" s="2">
        <v>80.73</v>
      </c>
      <c r="R1189" t="s">
        <v>66</v>
      </c>
      <c r="S1189" t="s">
        <v>50</v>
      </c>
      <c r="T1189" t="s">
        <v>51</v>
      </c>
      <c r="U1189" t="s">
        <v>58</v>
      </c>
    </row>
    <row r="1190" spans="1:21" x14ac:dyDescent="0.35">
      <c r="A1190" t="s">
        <v>1269</v>
      </c>
      <c r="B1190" s="1">
        <v>46207</v>
      </c>
      <c r="C1190" t="str">
        <f>TEXT(tblData[[#This Row],[Rental Date]],"mmm")</f>
        <v>Jul</v>
      </c>
      <c r="D1190" t="str">
        <f>TEXT(tblData[[#This Row],[Rental Date]],"mmmm")</f>
        <v>July</v>
      </c>
      <c r="E1190" t="s">
        <v>56</v>
      </c>
      <c r="F1190" t="str">
        <f>TEXT(WEEKNUM(tblData[[#This Row],[Rental Date]]),"00")</f>
        <v>27</v>
      </c>
      <c r="G1190" s="1">
        <f>EOMONTH(tblData[[#This Row],[Rental Date]],0)</f>
        <v>46234</v>
      </c>
      <c r="H1190" t="s">
        <v>749</v>
      </c>
      <c r="I1190" t="s">
        <v>23</v>
      </c>
      <c r="J1190" t="s">
        <v>33</v>
      </c>
      <c r="K1190" t="s">
        <v>25</v>
      </c>
      <c r="L1190">
        <v>1</v>
      </c>
      <c r="M1190" s="2">
        <v>51.3</v>
      </c>
      <c r="N1190" t="s">
        <v>70</v>
      </c>
      <c r="O1190" s="3">
        <v>7</v>
      </c>
      <c r="P1190" s="3">
        <v>0</v>
      </c>
      <c r="Q1190" s="2">
        <v>58.3</v>
      </c>
      <c r="R1190" t="s">
        <v>34</v>
      </c>
      <c r="S1190" t="s">
        <v>35</v>
      </c>
      <c r="T1190" t="s">
        <v>29</v>
      </c>
      <c r="U1190" t="s">
        <v>30</v>
      </c>
    </row>
    <row r="1191" spans="1:21" x14ac:dyDescent="0.35">
      <c r="A1191" t="s">
        <v>1270</v>
      </c>
      <c r="B1191" s="1">
        <v>46207</v>
      </c>
      <c r="C1191" t="str">
        <f>TEXT(tblData[[#This Row],[Rental Date]],"mmm")</f>
        <v>Jul</v>
      </c>
      <c r="D1191" t="str">
        <f>TEXT(tblData[[#This Row],[Rental Date]],"mmmm")</f>
        <v>July</v>
      </c>
      <c r="E1191" t="s">
        <v>56</v>
      </c>
      <c r="F1191" t="str">
        <f>TEXT(WEEKNUM(tblData[[#This Row],[Rental Date]]),"00")</f>
        <v>27</v>
      </c>
      <c r="G1191" s="1">
        <f>EOMONTH(tblData[[#This Row],[Rental Date]],0)</f>
        <v>46234</v>
      </c>
      <c r="H1191" t="s">
        <v>749</v>
      </c>
      <c r="I1191" t="s">
        <v>39</v>
      </c>
      <c r="J1191" t="s">
        <v>44</v>
      </c>
      <c r="K1191" t="s">
        <v>60</v>
      </c>
      <c r="L1191">
        <v>1</v>
      </c>
      <c r="M1191" s="2">
        <v>45.9</v>
      </c>
      <c r="N1191" t="s">
        <v>26</v>
      </c>
      <c r="O1191" s="3">
        <v>0</v>
      </c>
      <c r="P1191" s="3">
        <v>0</v>
      </c>
      <c r="Q1191" s="2">
        <v>45.9</v>
      </c>
      <c r="R1191" t="s">
        <v>66</v>
      </c>
      <c r="S1191" t="s">
        <v>50</v>
      </c>
      <c r="T1191" t="s">
        <v>29</v>
      </c>
      <c r="U1191" t="s">
        <v>79</v>
      </c>
    </row>
    <row r="1192" spans="1:21" x14ac:dyDescent="0.35">
      <c r="A1192" t="s">
        <v>1271</v>
      </c>
      <c r="B1192" s="1">
        <v>46207</v>
      </c>
      <c r="C1192" t="str">
        <f>TEXT(tblData[[#This Row],[Rental Date]],"mmm")</f>
        <v>Jul</v>
      </c>
      <c r="D1192" t="str">
        <f>TEXT(tblData[[#This Row],[Rental Date]],"mmmm")</f>
        <v>July</v>
      </c>
      <c r="E1192" t="s">
        <v>56</v>
      </c>
      <c r="F1192" t="str">
        <f>TEXT(WEEKNUM(tblData[[#This Row],[Rental Date]]),"00")</f>
        <v>27</v>
      </c>
      <c r="G1192" s="1">
        <f>EOMONTH(tblData[[#This Row],[Rental Date]],0)</f>
        <v>46234</v>
      </c>
      <c r="H1192" t="s">
        <v>749</v>
      </c>
      <c r="I1192" t="s">
        <v>23</v>
      </c>
      <c r="J1192" t="s">
        <v>44</v>
      </c>
      <c r="K1192" t="s">
        <v>25</v>
      </c>
      <c r="L1192">
        <v>1</v>
      </c>
      <c r="M1192" s="2">
        <v>70.2</v>
      </c>
      <c r="N1192" t="s">
        <v>26</v>
      </c>
      <c r="O1192" s="3">
        <v>0</v>
      </c>
      <c r="P1192" s="3">
        <v>0</v>
      </c>
      <c r="Q1192" s="2">
        <v>70.2</v>
      </c>
      <c r="R1192" t="s">
        <v>76</v>
      </c>
      <c r="S1192" t="s">
        <v>46</v>
      </c>
      <c r="T1192" t="s">
        <v>63</v>
      </c>
      <c r="U1192" t="s">
        <v>58</v>
      </c>
    </row>
    <row r="1193" spans="1:21" x14ac:dyDescent="0.35">
      <c r="A1193" t="s">
        <v>1272</v>
      </c>
      <c r="B1193" s="1">
        <v>46207</v>
      </c>
      <c r="C1193" t="str">
        <f>TEXT(tblData[[#This Row],[Rental Date]],"mmm")</f>
        <v>Jul</v>
      </c>
      <c r="D1193" t="str">
        <f>TEXT(tblData[[#This Row],[Rental Date]],"mmmm")</f>
        <v>July</v>
      </c>
      <c r="E1193" t="s">
        <v>56</v>
      </c>
      <c r="F1193" t="str">
        <f>TEXT(WEEKNUM(tblData[[#This Row],[Rental Date]]),"00")</f>
        <v>27</v>
      </c>
      <c r="G1193" s="1">
        <f>EOMONTH(tblData[[#This Row],[Rental Date]],0)</f>
        <v>46234</v>
      </c>
      <c r="H1193" t="s">
        <v>749</v>
      </c>
      <c r="I1193" t="s">
        <v>48</v>
      </c>
      <c r="J1193" t="s">
        <v>33</v>
      </c>
      <c r="K1193" t="s">
        <v>40</v>
      </c>
      <c r="L1193">
        <v>1</v>
      </c>
      <c r="M1193" s="2">
        <v>78.3</v>
      </c>
      <c r="N1193" t="s">
        <v>41</v>
      </c>
      <c r="O1193" s="3">
        <v>5</v>
      </c>
      <c r="P1193" s="3">
        <v>0</v>
      </c>
      <c r="Q1193" s="2">
        <v>83.3</v>
      </c>
      <c r="R1193" t="s">
        <v>34</v>
      </c>
      <c r="S1193" t="s">
        <v>28</v>
      </c>
      <c r="T1193" t="s">
        <v>29</v>
      </c>
      <c r="U1193" t="s">
        <v>30</v>
      </c>
    </row>
    <row r="1194" spans="1:21" x14ac:dyDescent="0.35">
      <c r="A1194" t="s">
        <v>1273</v>
      </c>
      <c r="B1194" s="1">
        <v>46207</v>
      </c>
      <c r="C1194" t="str">
        <f>TEXT(tblData[[#This Row],[Rental Date]],"mmm")</f>
        <v>Jul</v>
      </c>
      <c r="D1194" t="str">
        <f>TEXT(tblData[[#This Row],[Rental Date]],"mmmm")</f>
        <v>July</v>
      </c>
      <c r="E1194" t="s">
        <v>56</v>
      </c>
      <c r="F1194" t="str">
        <f>TEXT(WEEKNUM(tblData[[#This Row],[Rental Date]]),"00")</f>
        <v>27</v>
      </c>
      <c r="G1194" s="1">
        <f>EOMONTH(tblData[[#This Row],[Rental Date]],0)</f>
        <v>46234</v>
      </c>
      <c r="H1194" t="s">
        <v>749</v>
      </c>
      <c r="I1194" t="s">
        <v>23</v>
      </c>
      <c r="J1194" t="s">
        <v>78</v>
      </c>
      <c r="K1194" t="s">
        <v>60</v>
      </c>
      <c r="L1194">
        <v>1</v>
      </c>
      <c r="M1194" s="2">
        <v>35.1</v>
      </c>
      <c r="N1194" t="s">
        <v>26</v>
      </c>
      <c r="O1194" s="3">
        <v>0</v>
      </c>
      <c r="P1194" s="3">
        <v>0</v>
      </c>
      <c r="Q1194" s="2">
        <v>35.1</v>
      </c>
      <c r="R1194" t="s">
        <v>34</v>
      </c>
      <c r="S1194" t="s">
        <v>28</v>
      </c>
      <c r="T1194" t="s">
        <v>29</v>
      </c>
      <c r="U1194" t="s">
        <v>30</v>
      </c>
    </row>
    <row r="1195" spans="1:21" x14ac:dyDescent="0.35">
      <c r="A1195" t="s">
        <v>1274</v>
      </c>
      <c r="B1195" s="1">
        <v>46207</v>
      </c>
      <c r="C1195" t="str">
        <f>TEXT(tblData[[#This Row],[Rental Date]],"mmm")</f>
        <v>Jul</v>
      </c>
      <c r="D1195" t="str">
        <f>TEXT(tblData[[#This Row],[Rental Date]],"mmmm")</f>
        <v>July</v>
      </c>
      <c r="E1195" t="s">
        <v>56</v>
      </c>
      <c r="F1195" t="str">
        <f>TEXT(WEEKNUM(tblData[[#This Row],[Rental Date]]),"00")</f>
        <v>27</v>
      </c>
      <c r="G1195" s="1">
        <f>EOMONTH(tblData[[#This Row],[Rental Date]],0)</f>
        <v>46234</v>
      </c>
      <c r="H1195" t="s">
        <v>749</v>
      </c>
      <c r="I1195" t="s">
        <v>39</v>
      </c>
      <c r="J1195" t="s">
        <v>78</v>
      </c>
      <c r="K1195" t="s">
        <v>60</v>
      </c>
      <c r="L1195">
        <v>1</v>
      </c>
      <c r="M1195" s="2">
        <v>35.1</v>
      </c>
      <c r="N1195" t="s">
        <v>26</v>
      </c>
      <c r="O1195" s="3">
        <v>0</v>
      </c>
      <c r="P1195" s="3">
        <v>0</v>
      </c>
      <c r="Q1195" s="2">
        <v>35.1</v>
      </c>
      <c r="R1195" t="s">
        <v>42</v>
      </c>
      <c r="S1195" t="s">
        <v>46</v>
      </c>
      <c r="T1195" t="s">
        <v>29</v>
      </c>
      <c r="U1195" t="s">
        <v>30</v>
      </c>
    </row>
    <row r="1196" spans="1:21" x14ac:dyDescent="0.35">
      <c r="A1196" t="s">
        <v>1275</v>
      </c>
      <c r="B1196" s="1">
        <v>46207</v>
      </c>
      <c r="C1196" t="str">
        <f>TEXT(tblData[[#This Row],[Rental Date]],"mmm")</f>
        <v>Jul</v>
      </c>
      <c r="D1196" t="str">
        <f>TEXT(tblData[[#This Row],[Rental Date]],"mmmm")</f>
        <v>July</v>
      </c>
      <c r="E1196" t="s">
        <v>56</v>
      </c>
      <c r="F1196" t="str">
        <f>TEXT(WEEKNUM(tblData[[#This Row],[Rental Date]]),"00")</f>
        <v>27</v>
      </c>
      <c r="G1196" s="1">
        <f>EOMONTH(tblData[[#This Row],[Rental Date]],0)</f>
        <v>46234</v>
      </c>
      <c r="H1196" t="s">
        <v>749</v>
      </c>
      <c r="I1196" t="s">
        <v>39</v>
      </c>
      <c r="J1196" t="s">
        <v>33</v>
      </c>
      <c r="K1196" t="s">
        <v>25</v>
      </c>
      <c r="L1196">
        <v>1</v>
      </c>
      <c r="M1196" s="2">
        <v>51.3</v>
      </c>
      <c r="N1196" t="s">
        <v>26</v>
      </c>
      <c r="O1196" s="3">
        <v>0</v>
      </c>
      <c r="P1196" s="3">
        <v>0</v>
      </c>
      <c r="Q1196" s="2">
        <v>51.3</v>
      </c>
      <c r="R1196" t="s">
        <v>71</v>
      </c>
      <c r="S1196" t="s">
        <v>28</v>
      </c>
      <c r="T1196" t="s">
        <v>90</v>
      </c>
      <c r="U1196" t="s">
        <v>30</v>
      </c>
    </row>
    <row r="1197" spans="1:21" x14ac:dyDescent="0.35">
      <c r="A1197" t="s">
        <v>1276</v>
      </c>
      <c r="B1197" s="1">
        <v>46207</v>
      </c>
      <c r="C1197" t="str">
        <f>TEXT(tblData[[#This Row],[Rental Date]],"mmm")</f>
        <v>Jul</v>
      </c>
      <c r="D1197" t="str">
        <f>TEXT(tblData[[#This Row],[Rental Date]],"mmmm")</f>
        <v>July</v>
      </c>
      <c r="E1197" t="s">
        <v>56</v>
      </c>
      <c r="F1197" t="str">
        <f>TEXT(WEEKNUM(tblData[[#This Row],[Rental Date]]),"00")</f>
        <v>27</v>
      </c>
      <c r="G1197" s="1">
        <f>EOMONTH(tblData[[#This Row],[Rental Date]],0)</f>
        <v>46234</v>
      </c>
      <c r="H1197" t="s">
        <v>749</v>
      </c>
      <c r="I1197" t="s">
        <v>48</v>
      </c>
      <c r="J1197" t="s">
        <v>127</v>
      </c>
      <c r="K1197" t="s">
        <v>25</v>
      </c>
      <c r="L1197">
        <v>1</v>
      </c>
      <c r="M1197" s="2">
        <v>21.6</v>
      </c>
      <c r="N1197" t="s">
        <v>89</v>
      </c>
      <c r="O1197" s="3">
        <v>6</v>
      </c>
      <c r="P1197" s="3">
        <v>0</v>
      </c>
      <c r="Q1197" s="2">
        <v>27.6</v>
      </c>
      <c r="R1197" t="s">
        <v>62</v>
      </c>
      <c r="S1197" t="s">
        <v>54</v>
      </c>
      <c r="T1197" t="s">
        <v>51</v>
      </c>
      <c r="U1197" t="s">
        <v>30</v>
      </c>
    </row>
    <row r="1198" spans="1:21" x14ac:dyDescent="0.35">
      <c r="A1198" t="s">
        <v>1277</v>
      </c>
      <c r="B1198" s="1">
        <v>46207</v>
      </c>
      <c r="C1198" t="str">
        <f>TEXT(tblData[[#This Row],[Rental Date]],"mmm")</f>
        <v>Jul</v>
      </c>
      <c r="D1198" t="str">
        <f>TEXT(tblData[[#This Row],[Rental Date]],"mmmm")</f>
        <v>July</v>
      </c>
      <c r="E1198" t="s">
        <v>56</v>
      </c>
      <c r="F1198" t="str">
        <f>TEXT(WEEKNUM(tblData[[#This Row],[Rental Date]]),"00")</f>
        <v>27</v>
      </c>
      <c r="G1198" s="1">
        <f>EOMONTH(tblData[[#This Row],[Rental Date]],0)</f>
        <v>46234</v>
      </c>
      <c r="H1198" t="s">
        <v>749</v>
      </c>
      <c r="I1198" t="s">
        <v>48</v>
      </c>
      <c r="J1198" t="s">
        <v>33</v>
      </c>
      <c r="K1198" t="s">
        <v>25</v>
      </c>
      <c r="L1198">
        <v>1</v>
      </c>
      <c r="M1198" s="2">
        <v>51.3</v>
      </c>
      <c r="N1198" t="s">
        <v>26</v>
      </c>
      <c r="O1198" s="3">
        <v>0</v>
      </c>
      <c r="P1198" s="3">
        <v>0</v>
      </c>
      <c r="Q1198" s="2">
        <v>51.3</v>
      </c>
      <c r="R1198" t="s">
        <v>71</v>
      </c>
      <c r="S1198" t="s">
        <v>35</v>
      </c>
      <c r="T1198" t="s">
        <v>29</v>
      </c>
      <c r="U1198" t="s">
        <v>30</v>
      </c>
    </row>
    <row r="1199" spans="1:21" x14ac:dyDescent="0.35">
      <c r="A1199" t="s">
        <v>1278</v>
      </c>
      <c r="B1199" s="1">
        <v>46207</v>
      </c>
      <c r="C1199" t="str">
        <f>TEXT(tblData[[#This Row],[Rental Date]],"mmm")</f>
        <v>Jul</v>
      </c>
      <c r="D1199" t="str">
        <f>TEXT(tblData[[#This Row],[Rental Date]],"mmmm")</f>
        <v>July</v>
      </c>
      <c r="E1199" t="s">
        <v>56</v>
      </c>
      <c r="F1199" t="str">
        <f>TEXT(WEEKNUM(tblData[[#This Row],[Rental Date]]),"00")</f>
        <v>27</v>
      </c>
      <c r="G1199" s="1">
        <f>EOMONTH(tblData[[#This Row],[Rental Date]],0)</f>
        <v>46234</v>
      </c>
      <c r="H1199" t="s">
        <v>749</v>
      </c>
      <c r="I1199" t="s">
        <v>48</v>
      </c>
      <c r="J1199" t="s">
        <v>33</v>
      </c>
      <c r="K1199" t="s">
        <v>25</v>
      </c>
      <c r="L1199">
        <v>1</v>
      </c>
      <c r="M1199" s="2">
        <v>51.3</v>
      </c>
      <c r="N1199" t="s">
        <v>26</v>
      </c>
      <c r="O1199" s="3">
        <v>0</v>
      </c>
      <c r="P1199" s="3">
        <v>0</v>
      </c>
      <c r="Q1199" s="2">
        <v>51.3</v>
      </c>
      <c r="R1199" t="s">
        <v>94</v>
      </c>
      <c r="S1199" t="s">
        <v>35</v>
      </c>
      <c r="T1199" t="s">
        <v>90</v>
      </c>
      <c r="U1199" t="s">
        <v>30</v>
      </c>
    </row>
    <row r="1200" spans="1:21" x14ac:dyDescent="0.35">
      <c r="A1200" t="s">
        <v>1279</v>
      </c>
      <c r="B1200" s="1">
        <v>46207</v>
      </c>
      <c r="C1200" t="str">
        <f>TEXT(tblData[[#This Row],[Rental Date]],"mmm")</f>
        <v>Jul</v>
      </c>
      <c r="D1200" t="str">
        <f>TEXT(tblData[[#This Row],[Rental Date]],"mmmm")</f>
        <v>July</v>
      </c>
      <c r="E1200" t="s">
        <v>56</v>
      </c>
      <c r="F1200" t="str">
        <f>TEXT(WEEKNUM(tblData[[#This Row],[Rental Date]]),"00")</f>
        <v>27</v>
      </c>
      <c r="G1200" s="1">
        <f>EOMONTH(tblData[[#This Row],[Rental Date]],0)</f>
        <v>46234</v>
      </c>
      <c r="H1200" t="s">
        <v>749</v>
      </c>
      <c r="I1200" t="s">
        <v>39</v>
      </c>
      <c r="J1200" t="s">
        <v>33</v>
      </c>
      <c r="K1200" t="s">
        <v>25</v>
      </c>
      <c r="L1200">
        <v>1</v>
      </c>
      <c r="M1200" s="2">
        <v>51.3</v>
      </c>
      <c r="N1200" t="s">
        <v>26</v>
      </c>
      <c r="O1200" s="3">
        <v>0</v>
      </c>
      <c r="P1200" s="3">
        <v>0</v>
      </c>
      <c r="Q1200" s="2">
        <v>51.3</v>
      </c>
      <c r="R1200" t="s">
        <v>45</v>
      </c>
      <c r="S1200" t="s">
        <v>50</v>
      </c>
      <c r="T1200" t="s">
        <v>51</v>
      </c>
      <c r="U1200" t="s">
        <v>30</v>
      </c>
    </row>
    <row r="1201" spans="1:21" x14ac:dyDescent="0.35">
      <c r="A1201" t="s">
        <v>1280</v>
      </c>
      <c r="B1201" s="1">
        <v>46207</v>
      </c>
      <c r="C1201" t="str">
        <f>TEXT(tblData[[#This Row],[Rental Date]],"mmm")</f>
        <v>Jul</v>
      </c>
      <c r="D1201" t="str">
        <f>TEXT(tblData[[#This Row],[Rental Date]],"mmmm")</f>
        <v>July</v>
      </c>
      <c r="E1201" t="s">
        <v>56</v>
      </c>
      <c r="F1201" t="str">
        <f>TEXT(WEEKNUM(tblData[[#This Row],[Rental Date]]),"00")</f>
        <v>27</v>
      </c>
      <c r="G1201" s="1">
        <f>EOMONTH(tblData[[#This Row],[Rental Date]],0)</f>
        <v>46234</v>
      </c>
      <c r="H1201" t="s">
        <v>749</v>
      </c>
      <c r="I1201" t="s">
        <v>48</v>
      </c>
      <c r="J1201" t="s">
        <v>24</v>
      </c>
      <c r="K1201" t="s">
        <v>25</v>
      </c>
      <c r="L1201">
        <v>1</v>
      </c>
      <c r="M1201" s="2">
        <v>67.5</v>
      </c>
      <c r="N1201" t="s">
        <v>26</v>
      </c>
      <c r="O1201" s="3">
        <v>0</v>
      </c>
      <c r="P1201" s="3">
        <v>0</v>
      </c>
      <c r="Q1201" s="2">
        <v>67.5</v>
      </c>
      <c r="R1201" t="s">
        <v>71</v>
      </c>
      <c r="S1201" t="s">
        <v>46</v>
      </c>
      <c r="T1201" t="s">
        <v>63</v>
      </c>
      <c r="U1201" t="s">
        <v>58</v>
      </c>
    </row>
    <row r="1202" spans="1:21" x14ac:dyDescent="0.35">
      <c r="A1202" t="s">
        <v>1281</v>
      </c>
      <c r="B1202" s="1">
        <v>46207</v>
      </c>
      <c r="C1202" t="str">
        <f>TEXT(tblData[[#This Row],[Rental Date]],"mmm")</f>
        <v>Jul</v>
      </c>
      <c r="D1202" t="str">
        <f>TEXT(tblData[[#This Row],[Rental Date]],"mmmm")</f>
        <v>July</v>
      </c>
      <c r="E1202" t="s">
        <v>56</v>
      </c>
      <c r="F1202" t="str">
        <f>TEXT(WEEKNUM(tblData[[#This Row],[Rental Date]]),"00")</f>
        <v>27</v>
      </c>
      <c r="G1202" s="1">
        <f>EOMONTH(tblData[[#This Row],[Rental Date]],0)</f>
        <v>46234</v>
      </c>
      <c r="H1202" t="s">
        <v>749</v>
      </c>
      <c r="I1202" t="s">
        <v>53</v>
      </c>
      <c r="J1202" t="s">
        <v>44</v>
      </c>
      <c r="K1202" t="s">
        <v>25</v>
      </c>
      <c r="L1202">
        <v>1</v>
      </c>
      <c r="M1202" s="2">
        <v>70.2</v>
      </c>
      <c r="N1202" t="s">
        <v>26</v>
      </c>
      <c r="O1202" s="3">
        <v>0</v>
      </c>
      <c r="P1202" s="3">
        <v>10.53</v>
      </c>
      <c r="Q1202" s="2">
        <v>59.67</v>
      </c>
      <c r="R1202" t="s">
        <v>71</v>
      </c>
      <c r="S1202" t="s">
        <v>35</v>
      </c>
      <c r="T1202" t="s">
        <v>29</v>
      </c>
      <c r="U1202" t="s">
        <v>58</v>
      </c>
    </row>
    <row r="1203" spans="1:21" x14ac:dyDescent="0.35">
      <c r="A1203" t="s">
        <v>1282</v>
      </c>
      <c r="B1203" s="1">
        <v>46207</v>
      </c>
      <c r="C1203" t="str">
        <f>TEXT(tblData[[#This Row],[Rental Date]],"mmm")</f>
        <v>Jul</v>
      </c>
      <c r="D1203" t="str">
        <f>TEXT(tblData[[#This Row],[Rental Date]],"mmmm")</f>
        <v>July</v>
      </c>
      <c r="E1203" t="s">
        <v>56</v>
      </c>
      <c r="F1203" t="str">
        <f>TEXT(WEEKNUM(tblData[[#This Row],[Rental Date]]),"00")</f>
        <v>27</v>
      </c>
      <c r="G1203" s="1">
        <f>EOMONTH(tblData[[#This Row],[Rental Date]],0)</f>
        <v>46234</v>
      </c>
      <c r="H1203" t="s">
        <v>749</v>
      </c>
      <c r="I1203" t="s">
        <v>48</v>
      </c>
      <c r="J1203" t="s">
        <v>44</v>
      </c>
      <c r="K1203" t="s">
        <v>25</v>
      </c>
      <c r="L1203">
        <v>1</v>
      </c>
      <c r="M1203" s="2">
        <v>70.2</v>
      </c>
      <c r="N1203" t="s">
        <v>26</v>
      </c>
      <c r="O1203" s="3">
        <v>0</v>
      </c>
      <c r="P1203" s="3">
        <v>0</v>
      </c>
      <c r="Q1203" s="2">
        <v>70.2</v>
      </c>
      <c r="R1203" t="s">
        <v>62</v>
      </c>
      <c r="S1203" t="s">
        <v>46</v>
      </c>
      <c r="T1203" t="s">
        <v>51</v>
      </c>
      <c r="U1203" t="s">
        <v>30</v>
      </c>
    </row>
    <row r="1204" spans="1:21" x14ac:dyDescent="0.35">
      <c r="A1204" t="s">
        <v>1283</v>
      </c>
      <c r="B1204" s="1">
        <v>46207</v>
      </c>
      <c r="C1204" t="str">
        <f>TEXT(tblData[[#This Row],[Rental Date]],"mmm")</f>
        <v>Jul</v>
      </c>
      <c r="D1204" t="str">
        <f>TEXT(tblData[[#This Row],[Rental Date]],"mmmm")</f>
        <v>July</v>
      </c>
      <c r="E1204" t="s">
        <v>56</v>
      </c>
      <c r="F1204" t="str">
        <f>TEXT(WEEKNUM(tblData[[#This Row],[Rental Date]]),"00")</f>
        <v>27</v>
      </c>
      <c r="G1204" s="1">
        <f>EOMONTH(tblData[[#This Row],[Rental Date]],0)</f>
        <v>46234</v>
      </c>
      <c r="H1204" t="s">
        <v>749</v>
      </c>
      <c r="I1204" t="s">
        <v>39</v>
      </c>
      <c r="J1204" t="s">
        <v>86</v>
      </c>
      <c r="K1204" t="s">
        <v>40</v>
      </c>
      <c r="L1204">
        <v>1</v>
      </c>
      <c r="M1204" s="2">
        <v>116.1</v>
      </c>
      <c r="N1204" t="s">
        <v>26</v>
      </c>
      <c r="O1204" s="3">
        <v>0</v>
      </c>
      <c r="P1204" s="3">
        <v>0</v>
      </c>
      <c r="Q1204" s="2">
        <v>116.1</v>
      </c>
      <c r="R1204" t="s">
        <v>94</v>
      </c>
      <c r="S1204" t="s">
        <v>54</v>
      </c>
      <c r="T1204" t="s">
        <v>29</v>
      </c>
      <c r="U1204" t="s">
        <v>30</v>
      </c>
    </row>
    <row r="1205" spans="1:21" x14ac:dyDescent="0.35">
      <c r="A1205" t="s">
        <v>1284</v>
      </c>
      <c r="B1205" s="1">
        <v>46207</v>
      </c>
      <c r="C1205" t="str">
        <f>TEXT(tblData[[#This Row],[Rental Date]],"mmm")</f>
        <v>Jul</v>
      </c>
      <c r="D1205" t="str">
        <f>TEXT(tblData[[#This Row],[Rental Date]],"mmmm")</f>
        <v>July</v>
      </c>
      <c r="E1205" t="s">
        <v>56</v>
      </c>
      <c r="F1205" t="str">
        <f>TEXT(WEEKNUM(tblData[[#This Row],[Rental Date]]),"00")</f>
        <v>27</v>
      </c>
      <c r="G1205" s="1">
        <f>EOMONTH(tblData[[#This Row],[Rental Date]],0)</f>
        <v>46234</v>
      </c>
      <c r="H1205" t="s">
        <v>749</v>
      </c>
      <c r="I1205" t="s">
        <v>39</v>
      </c>
      <c r="J1205" t="s">
        <v>78</v>
      </c>
      <c r="K1205" t="s">
        <v>25</v>
      </c>
      <c r="L1205">
        <v>1</v>
      </c>
      <c r="M1205" s="2">
        <v>56.7</v>
      </c>
      <c r="N1205" t="s">
        <v>89</v>
      </c>
      <c r="O1205" s="3">
        <v>6</v>
      </c>
      <c r="P1205" s="3">
        <v>0</v>
      </c>
      <c r="Q1205" s="2">
        <v>62.7</v>
      </c>
      <c r="R1205" t="s">
        <v>27</v>
      </c>
      <c r="S1205" t="s">
        <v>54</v>
      </c>
      <c r="T1205" t="s">
        <v>29</v>
      </c>
      <c r="U1205" t="s">
        <v>58</v>
      </c>
    </row>
    <row r="1206" spans="1:21" x14ac:dyDescent="0.35">
      <c r="A1206" t="s">
        <v>1285</v>
      </c>
      <c r="B1206" s="1">
        <v>46207</v>
      </c>
      <c r="C1206" t="str">
        <f>TEXT(tblData[[#This Row],[Rental Date]],"mmm")</f>
        <v>Jul</v>
      </c>
      <c r="D1206" t="str">
        <f>TEXT(tblData[[#This Row],[Rental Date]],"mmmm")</f>
        <v>July</v>
      </c>
      <c r="E1206" t="s">
        <v>56</v>
      </c>
      <c r="F1206" t="str">
        <f>TEXT(WEEKNUM(tblData[[#This Row],[Rental Date]]),"00")</f>
        <v>27</v>
      </c>
      <c r="G1206" s="1">
        <f>EOMONTH(tblData[[#This Row],[Rental Date]],0)</f>
        <v>46234</v>
      </c>
      <c r="H1206" t="s">
        <v>749</v>
      </c>
      <c r="I1206" t="s">
        <v>39</v>
      </c>
      <c r="J1206" t="s">
        <v>78</v>
      </c>
      <c r="K1206" t="s">
        <v>60</v>
      </c>
      <c r="L1206">
        <v>1</v>
      </c>
      <c r="M1206" s="2">
        <v>35.1</v>
      </c>
      <c r="N1206" t="s">
        <v>26</v>
      </c>
      <c r="O1206" s="3">
        <v>0</v>
      </c>
      <c r="P1206" s="3">
        <v>0</v>
      </c>
      <c r="Q1206" s="2">
        <v>35.1</v>
      </c>
      <c r="R1206" t="s">
        <v>57</v>
      </c>
      <c r="S1206" t="s">
        <v>46</v>
      </c>
      <c r="T1206" t="s">
        <v>51</v>
      </c>
      <c r="U1206" t="s">
        <v>30</v>
      </c>
    </row>
    <row r="1207" spans="1:21" x14ac:dyDescent="0.35">
      <c r="A1207" t="s">
        <v>1286</v>
      </c>
      <c r="B1207" s="1">
        <v>46207</v>
      </c>
      <c r="C1207" t="str">
        <f>TEXT(tblData[[#This Row],[Rental Date]],"mmm")</f>
        <v>Jul</v>
      </c>
      <c r="D1207" t="str">
        <f>TEXT(tblData[[#This Row],[Rental Date]],"mmmm")</f>
        <v>July</v>
      </c>
      <c r="E1207" t="s">
        <v>56</v>
      </c>
      <c r="F1207" t="str">
        <f>TEXT(WEEKNUM(tblData[[#This Row],[Rental Date]]),"00")</f>
        <v>27</v>
      </c>
      <c r="G1207" s="1">
        <f>EOMONTH(tblData[[#This Row],[Rental Date]],0)</f>
        <v>46234</v>
      </c>
      <c r="H1207" t="s">
        <v>749</v>
      </c>
      <c r="I1207" t="s">
        <v>23</v>
      </c>
      <c r="J1207" t="s">
        <v>111</v>
      </c>
      <c r="K1207" t="s">
        <v>25</v>
      </c>
      <c r="L1207">
        <v>1</v>
      </c>
      <c r="M1207" s="2">
        <v>29.7</v>
      </c>
      <c r="N1207" t="s">
        <v>26</v>
      </c>
      <c r="O1207" s="3">
        <v>0</v>
      </c>
      <c r="P1207" s="3">
        <v>0</v>
      </c>
      <c r="Q1207" s="2">
        <v>29.7</v>
      </c>
      <c r="R1207" t="s">
        <v>94</v>
      </c>
      <c r="S1207" t="s">
        <v>46</v>
      </c>
      <c r="T1207" t="s">
        <v>63</v>
      </c>
      <c r="U1207" t="s">
        <v>58</v>
      </c>
    </row>
    <row r="1208" spans="1:21" x14ac:dyDescent="0.35">
      <c r="A1208" t="s">
        <v>1287</v>
      </c>
      <c r="B1208" s="1">
        <v>46207</v>
      </c>
      <c r="C1208" t="str">
        <f>TEXT(tblData[[#This Row],[Rental Date]],"mmm")</f>
        <v>Jul</v>
      </c>
      <c r="D1208" t="str">
        <f>TEXT(tblData[[#This Row],[Rental Date]],"mmmm")</f>
        <v>July</v>
      </c>
      <c r="E1208" t="s">
        <v>56</v>
      </c>
      <c r="F1208" t="str">
        <f>TEXT(WEEKNUM(tblData[[#This Row],[Rental Date]]),"00")</f>
        <v>27</v>
      </c>
      <c r="G1208" s="1">
        <f>EOMONTH(tblData[[#This Row],[Rental Date]],0)</f>
        <v>46234</v>
      </c>
      <c r="H1208" t="s">
        <v>749</v>
      </c>
      <c r="I1208" t="s">
        <v>53</v>
      </c>
      <c r="J1208" t="s">
        <v>78</v>
      </c>
      <c r="K1208" t="s">
        <v>40</v>
      </c>
      <c r="L1208">
        <v>1</v>
      </c>
      <c r="M1208" s="2">
        <v>83.7</v>
      </c>
      <c r="N1208" t="s">
        <v>41</v>
      </c>
      <c r="O1208" s="3">
        <v>5</v>
      </c>
      <c r="P1208" s="3">
        <v>8.8699999999999992</v>
      </c>
      <c r="Q1208" s="2">
        <v>79.83</v>
      </c>
      <c r="R1208" t="s">
        <v>76</v>
      </c>
      <c r="S1208" t="s">
        <v>35</v>
      </c>
      <c r="T1208" t="s">
        <v>29</v>
      </c>
      <c r="U1208" t="s">
        <v>58</v>
      </c>
    </row>
    <row r="1209" spans="1:21" x14ac:dyDescent="0.35">
      <c r="A1209" t="s">
        <v>1288</v>
      </c>
      <c r="B1209" s="1">
        <v>46207</v>
      </c>
      <c r="C1209" t="str">
        <f>TEXT(tblData[[#This Row],[Rental Date]],"mmm")</f>
        <v>Jul</v>
      </c>
      <c r="D1209" t="str">
        <f>TEXT(tblData[[#This Row],[Rental Date]],"mmmm")</f>
        <v>July</v>
      </c>
      <c r="E1209" t="s">
        <v>56</v>
      </c>
      <c r="F1209" t="str">
        <f>TEXT(WEEKNUM(tblData[[#This Row],[Rental Date]]),"00")</f>
        <v>27</v>
      </c>
      <c r="G1209" s="1">
        <f>EOMONTH(tblData[[#This Row],[Rental Date]],0)</f>
        <v>46234</v>
      </c>
      <c r="H1209" t="s">
        <v>749</v>
      </c>
      <c r="I1209" t="s">
        <v>39</v>
      </c>
      <c r="J1209" t="s">
        <v>78</v>
      </c>
      <c r="K1209" t="s">
        <v>25</v>
      </c>
      <c r="L1209">
        <v>1</v>
      </c>
      <c r="M1209" s="2">
        <v>56.7</v>
      </c>
      <c r="N1209" t="s">
        <v>89</v>
      </c>
      <c r="O1209" s="3">
        <v>6</v>
      </c>
      <c r="P1209" s="3">
        <v>0</v>
      </c>
      <c r="Q1209" s="2">
        <v>62.7</v>
      </c>
      <c r="R1209" t="s">
        <v>66</v>
      </c>
      <c r="S1209" t="s">
        <v>35</v>
      </c>
      <c r="T1209" t="s">
        <v>29</v>
      </c>
      <c r="U1209" t="s">
        <v>30</v>
      </c>
    </row>
    <row r="1210" spans="1:21" x14ac:dyDescent="0.35">
      <c r="A1210" t="s">
        <v>1289</v>
      </c>
      <c r="B1210" s="1">
        <v>46207</v>
      </c>
      <c r="C1210" t="str">
        <f>TEXT(tblData[[#This Row],[Rental Date]],"mmm")</f>
        <v>Jul</v>
      </c>
      <c r="D1210" t="str">
        <f>TEXT(tblData[[#This Row],[Rental Date]],"mmmm")</f>
        <v>July</v>
      </c>
      <c r="E1210" t="s">
        <v>56</v>
      </c>
      <c r="F1210" t="str">
        <f>TEXT(WEEKNUM(tblData[[#This Row],[Rental Date]]),"00")</f>
        <v>27</v>
      </c>
      <c r="G1210" s="1">
        <f>EOMONTH(tblData[[#This Row],[Rental Date]],0)</f>
        <v>46234</v>
      </c>
      <c r="H1210" t="s">
        <v>749</v>
      </c>
      <c r="I1210" t="s">
        <v>48</v>
      </c>
      <c r="J1210" t="s">
        <v>44</v>
      </c>
      <c r="K1210" t="s">
        <v>92</v>
      </c>
      <c r="L1210">
        <v>1</v>
      </c>
      <c r="M1210" s="2">
        <v>151.19999999999999</v>
      </c>
      <c r="N1210" t="s">
        <v>26</v>
      </c>
      <c r="O1210" s="3">
        <v>0</v>
      </c>
      <c r="P1210" s="3">
        <v>0</v>
      </c>
      <c r="Q1210" s="2">
        <v>151.19999999999999</v>
      </c>
      <c r="R1210" t="s">
        <v>34</v>
      </c>
      <c r="S1210" t="s">
        <v>50</v>
      </c>
      <c r="T1210" t="s">
        <v>51</v>
      </c>
      <c r="U1210" t="s">
        <v>58</v>
      </c>
    </row>
    <row r="1211" spans="1:21" x14ac:dyDescent="0.35">
      <c r="A1211" t="s">
        <v>1290</v>
      </c>
      <c r="B1211" s="1">
        <v>46207</v>
      </c>
      <c r="C1211" t="str">
        <f>TEXT(tblData[[#This Row],[Rental Date]],"mmm")</f>
        <v>Jul</v>
      </c>
      <c r="D1211" t="str">
        <f>TEXT(tblData[[#This Row],[Rental Date]],"mmmm")</f>
        <v>July</v>
      </c>
      <c r="E1211" t="s">
        <v>56</v>
      </c>
      <c r="F1211" t="str">
        <f>TEXT(WEEKNUM(tblData[[#This Row],[Rental Date]]),"00")</f>
        <v>27</v>
      </c>
      <c r="G1211" s="1">
        <f>EOMONTH(tblData[[#This Row],[Rental Date]],0)</f>
        <v>46234</v>
      </c>
      <c r="H1211" t="s">
        <v>749</v>
      </c>
      <c r="I1211" t="s">
        <v>39</v>
      </c>
      <c r="J1211" t="s">
        <v>86</v>
      </c>
      <c r="K1211" t="s">
        <v>92</v>
      </c>
      <c r="L1211">
        <v>1</v>
      </c>
      <c r="M1211" s="2">
        <v>167.4</v>
      </c>
      <c r="N1211" t="s">
        <v>61</v>
      </c>
      <c r="O1211" s="3">
        <v>8</v>
      </c>
      <c r="P1211" s="3">
        <v>0</v>
      </c>
      <c r="Q1211" s="2">
        <v>175.4</v>
      </c>
      <c r="R1211" t="s">
        <v>66</v>
      </c>
      <c r="S1211" t="s">
        <v>35</v>
      </c>
      <c r="T1211" t="s">
        <v>51</v>
      </c>
      <c r="U1211" t="s">
        <v>30</v>
      </c>
    </row>
    <row r="1212" spans="1:21" x14ac:dyDescent="0.35">
      <c r="A1212" t="s">
        <v>1291</v>
      </c>
      <c r="B1212" s="1">
        <v>46207</v>
      </c>
      <c r="C1212" t="str">
        <f>TEXT(tblData[[#This Row],[Rental Date]],"mmm")</f>
        <v>Jul</v>
      </c>
      <c r="D1212" t="str">
        <f>TEXT(tblData[[#This Row],[Rental Date]],"mmmm")</f>
        <v>July</v>
      </c>
      <c r="E1212" t="s">
        <v>56</v>
      </c>
      <c r="F1212" t="str">
        <f>TEXT(WEEKNUM(tblData[[#This Row],[Rental Date]]),"00")</f>
        <v>27</v>
      </c>
      <c r="G1212" s="1">
        <f>EOMONTH(tblData[[#This Row],[Rental Date]],0)</f>
        <v>46234</v>
      </c>
      <c r="H1212" t="s">
        <v>749</v>
      </c>
      <c r="I1212" t="s">
        <v>48</v>
      </c>
      <c r="J1212" t="s">
        <v>44</v>
      </c>
      <c r="K1212" t="s">
        <v>25</v>
      </c>
      <c r="L1212">
        <v>1</v>
      </c>
      <c r="M1212" s="2">
        <v>70.2</v>
      </c>
      <c r="N1212" t="s">
        <v>26</v>
      </c>
      <c r="O1212" s="3">
        <v>0</v>
      </c>
      <c r="P1212" s="3">
        <v>0</v>
      </c>
      <c r="Q1212" s="2">
        <v>70.2</v>
      </c>
      <c r="R1212" t="s">
        <v>42</v>
      </c>
      <c r="S1212" t="s">
        <v>46</v>
      </c>
      <c r="T1212" t="s">
        <v>29</v>
      </c>
      <c r="U1212" t="s">
        <v>30</v>
      </c>
    </row>
    <row r="1213" spans="1:21" x14ac:dyDescent="0.35">
      <c r="A1213" t="s">
        <v>1292</v>
      </c>
      <c r="B1213" s="1">
        <v>46207</v>
      </c>
      <c r="C1213" t="str">
        <f>TEXT(tblData[[#This Row],[Rental Date]],"mmm")</f>
        <v>Jul</v>
      </c>
      <c r="D1213" t="str">
        <f>TEXT(tblData[[#This Row],[Rental Date]],"mmmm")</f>
        <v>July</v>
      </c>
      <c r="E1213" t="s">
        <v>56</v>
      </c>
      <c r="F1213" t="str">
        <f>TEXT(WEEKNUM(tblData[[#This Row],[Rental Date]]),"00")</f>
        <v>27</v>
      </c>
      <c r="G1213" s="1">
        <f>EOMONTH(tblData[[#This Row],[Rental Date]],0)</f>
        <v>46234</v>
      </c>
      <c r="H1213" t="s">
        <v>749</v>
      </c>
      <c r="I1213" t="s">
        <v>48</v>
      </c>
      <c r="J1213" t="s">
        <v>78</v>
      </c>
      <c r="K1213" t="s">
        <v>60</v>
      </c>
      <c r="L1213">
        <v>1</v>
      </c>
      <c r="M1213" s="2">
        <v>35.1</v>
      </c>
      <c r="N1213" t="s">
        <v>26</v>
      </c>
      <c r="O1213" s="3">
        <v>0</v>
      </c>
      <c r="P1213" s="3">
        <v>0</v>
      </c>
      <c r="Q1213" s="2">
        <v>35.1</v>
      </c>
      <c r="R1213" t="s">
        <v>71</v>
      </c>
      <c r="S1213" t="s">
        <v>46</v>
      </c>
      <c r="T1213" t="s">
        <v>29</v>
      </c>
      <c r="U1213" t="s">
        <v>30</v>
      </c>
    </row>
    <row r="1214" spans="1:21" x14ac:dyDescent="0.35">
      <c r="A1214" t="s">
        <v>1293</v>
      </c>
      <c r="B1214" s="1">
        <v>46207</v>
      </c>
      <c r="C1214" t="str">
        <f>TEXT(tblData[[#This Row],[Rental Date]],"mmm")</f>
        <v>Jul</v>
      </c>
      <c r="D1214" t="str">
        <f>TEXT(tblData[[#This Row],[Rental Date]],"mmmm")</f>
        <v>July</v>
      </c>
      <c r="E1214" t="s">
        <v>56</v>
      </c>
      <c r="F1214" t="str">
        <f>TEXT(WEEKNUM(tblData[[#This Row],[Rental Date]]),"00")</f>
        <v>27</v>
      </c>
      <c r="G1214" s="1">
        <f>EOMONTH(tblData[[#This Row],[Rental Date]],0)</f>
        <v>46234</v>
      </c>
      <c r="H1214" t="s">
        <v>749</v>
      </c>
      <c r="I1214" t="s">
        <v>48</v>
      </c>
      <c r="J1214" t="s">
        <v>78</v>
      </c>
      <c r="K1214" t="s">
        <v>60</v>
      </c>
      <c r="L1214">
        <v>1</v>
      </c>
      <c r="M1214" s="2">
        <v>35.1</v>
      </c>
      <c r="N1214" t="s">
        <v>70</v>
      </c>
      <c r="O1214" s="3">
        <v>7</v>
      </c>
      <c r="P1214" s="3">
        <v>0</v>
      </c>
      <c r="Q1214" s="2">
        <v>42.1</v>
      </c>
      <c r="R1214" t="s">
        <v>62</v>
      </c>
      <c r="S1214" t="s">
        <v>35</v>
      </c>
      <c r="T1214" t="s">
        <v>29</v>
      </c>
      <c r="U1214" t="s">
        <v>58</v>
      </c>
    </row>
    <row r="1215" spans="1:21" x14ac:dyDescent="0.35">
      <c r="A1215" t="s">
        <v>1294</v>
      </c>
      <c r="B1215" s="1">
        <v>46207</v>
      </c>
      <c r="C1215" t="str">
        <f>TEXT(tblData[[#This Row],[Rental Date]],"mmm")</f>
        <v>Jul</v>
      </c>
      <c r="D1215" t="str">
        <f>TEXT(tblData[[#This Row],[Rental Date]],"mmmm")</f>
        <v>July</v>
      </c>
      <c r="E1215" t="s">
        <v>56</v>
      </c>
      <c r="F1215" t="str">
        <f>TEXT(WEEKNUM(tblData[[#This Row],[Rental Date]]),"00")</f>
        <v>27</v>
      </c>
      <c r="G1215" s="1">
        <f>EOMONTH(tblData[[#This Row],[Rental Date]],0)</f>
        <v>46234</v>
      </c>
      <c r="H1215" t="s">
        <v>749</v>
      </c>
      <c r="I1215" t="s">
        <v>39</v>
      </c>
      <c r="J1215" t="s">
        <v>78</v>
      </c>
      <c r="K1215" t="s">
        <v>40</v>
      </c>
      <c r="L1215">
        <v>1</v>
      </c>
      <c r="M1215" s="2">
        <v>83.7</v>
      </c>
      <c r="N1215" t="s">
        <v>26</v>
      </c>
      <c r="O1215" s="3">
        <v>0</v>
      </c>
      <c r="P1215" s="3">
        <v>0</v>
      </c>
      <c r="Q1215" s="2">
        <v>83.7</v>
      </c>
      <c r="R1215" t="s">
        <v>42</v>
      </c>
      <c r="S1215" t="s">
        <v>46</v>
      </c>
      <c r="T1215" t="s">
        <v>29</v>
      </c>
      <c r="U1215" t="s">
        <v>30</v>
      </c>
    </row>
    <row r="1216" spans="1:21" x14ac:dyDescent="0.35">
      <c r="A1216" t="s">
        <v>1295</v>
      </c>
      <c r="B1216" s="1">
        <v>46207</v>
      </c>
      <c r="C1216" t="str">
        <f>TEXT(tblData[[#This Row],[Rental Date]],"mmm")</f>
        <v>Jul</v>
      </c>
      <c r="D1216" t="str">
        <f>TEXT(tblData[[#This Row],[Rental Date]],"mmmm")</f>
        <v>July</v>
      </c>
      <c r="E1216" t="s">
        <v>56</v>
      </c>
      <c r="F1216" t="str">
        <f>TEXT(WEEKNUM(tblData[[#This Row],[Rental Date]]),"00")</f>
        <v>27</v>
      </c>
      <c r="G1216" s="1">
        <f>EOMONTH(tblData[[#This Row],[Rental Date]],0)</f>
        <v>46234</v>
      </c>
      <c r="H1216" t="s">
        <v>749</v>
      </c>
      <c r="I1216" t="s">
        <v>39</v>
      </c>
      <c r="J1216" t="s">
        <v>86</v>
      </c>
      <c r="K1216" t="s">
        <v>40</v>
      </c>
      <c r="L1216">
        <v>1</v>
      </c>
      <c r="M1216" s="2">
        <v>116.1</v>
      </c>
      <c r="N1216" t="s">
        <v>26</v>
      </c>
      <c r="O1216" s="3">
        <v>0</v>
      </c>
      <c r="P1216" s="3">
        <v>0</v>
      </c>
      <c r="Q1216" s="2">
        <v>116.1</v>
      </c>
      <c r="R1216" t="s">
        <v>62</v>
      </c>
      <c r="S1216" t="s">
        <v>46</v>
      </c>
      <c r="T1216" t="s">
        <v>29</v>
      </c>
      <c r="U1216" t="s">
        <v>30</v>
      </c>
    </row>
    <row r="1217" spans="1:21" x14ac:dyDescent="0.35">
      <c r="A1217" t="s">
        <v>1296</v>
      </c>
      <c r="B1217" s="1">
        <v>46207</v>
      </c>
      <c r="C1217" t="str">
        <f>TEXT(tblData[[#This Row],[Rental Date]],"mmm")</f>
        <v>Jul</v>
      </c>
      <c r="D1217" t="str">
        <f>TEXT(tblData[[#This Row],[Rental Date]],"mmmm")</f>
        <v>July</v>
      </c>
      <c r="E1217" t="s">
        <v>56</v>
      </c>
      <c r="F1217" t="str">
        <f>TEXT(WEEKNUM(tblData[[#This Row],[Rental Date]]),"00")</f>
        <v>27</v>
      </c>
      <c r="G1217" s="1">
        <f>EOMONTH(tblData[[#This Row],[Rental Date]],0)</f>
        <v>46234</v>
      </c>
      <c r="H1217" t="s">
        <v>749</v>
      </c>
      <c r="I1217" t="s">
        <v>39</v>
      </c>
      <c r="J1217" t="s">
        <v>86</v>
      </c>
      <c r="K1217" t="s">
        <v>60</v>
      </c>
      <c r="L1217">
        <v>1</v>
      </c>
      <c r="M1217" s="2">
        <v>48.6</v>
      </c>
      <c r="N1217" t="s">
        <v>26</v>
      </c>
      <c r="O1217" s="3">
        <v>0</v>
      </c>
      <c r="P1217" s="3">
        <v>0</v>
      </c>
      <c r="Q1217" s="2">
        <v>48.6</v>
      </c>
      <c r="R1217" t="s">
        <v>42</v>
      </c>
      <c r="S1217" t="s">
        <v>54</v>
      </c>
      <c r="T1217" t="s">
        <v>29</v>
      </c>
      <c r="U1217" t="s">
        <v>30</v>
      </c>
    </row>
    <row r="1218" spans="1:21" x14ac:dyDescent="0.35">
      <c r="A1218" t="s">
        <v>1297</v>
      </c>
      <c r="B1218" s="1">
        <v>46207</v>
      </c>
      <c r="C1218" t="str">
        <f>TEXT(tblData[[#This Row],[Rental Date]],"mmm")</f>
        <v>Jul</v>
      </c>
      <c r="D1218" t="str">
        <f>TEXT(tblData[[#This Row],[Rental Date]],"mmmm")</f>
        <v>July</v>
      </c>
      <c r="E1218" t="s">
        <v>56</v>
      </c>
      <c r="F1218" t="str">
        <f>TEXT(WEEKNUM(tblData[[#This Row],[Rental Date]]),"00")</f>
        <v>27</v>
      </c>
      <c r="G1218" s="1">
        <f>EOMONTH(tblData[[#This Row],[Rental Date]],0)</f>
        <v>46234</v>
      </c>
      <c r="H1218" t="s">
        <v>749</v>
      </c>
      <c r="I1218" t="s">
        <v>23</v>
      </c>
      <c r="J1218" t="s">
        <v>44</v>
      </c>
      <c r="K1218" t="s">
        <v>25</v>
      </c>
      <c r="L1218">
        <v>1</v>
      </c>
      <c r="M1218" s="2">
        <v>70.2</v>
      </c>
      <c r="N1218" t="s">
        <v>26</v>
      </c>
      <c r="O1218" s="3">
        <v>0</v>
      </c>
      <c r="P1218" s="3">
        <v>0</v>
      </c>
      <c r="Q1218" s="2">
        <v>70.2</v>
      </c>
      <c r="R1218" t="s">
        <v>62</v>
      </c>
      <c r="S1218" t="s">
        <v>54</v>
      </c>
      <c r="T1218" t="s">
        <v>51</v>
      </c>
      <c r="U1218" t="s">
        <v>30</v>
      </c>
    </row>
    <row r="1219" spans="1:21" x14ac:dyDescent="0.35">
      <c r="A1219" t="s">
        <v>1298</v>
      </c>
      <c r="B1219" s="1">
        <v>46207</v>
      </c>
      <c r="C1219" t="str">
        <f>TEXT(tblData[[#This Row],[Rental Date]],"mmm")</f>
        <v>Jul</v>
      </c>
      <c r="D1219" t="str">
        <f>TEXT(tblData[[#This Row],[Rental Date]],"mmmm")</f>
        <v>July</v>
      </c>
      <c r="E1219" t="s">
        <v>56</v>
      </c>
      <c r="F1219" t="str">
        <f>TEXT(WEEKNUM(tblData[[#This Row],[Rental Date]]),"00")</f>
        <v>27</v>
      </c>
      <c r="G1219" s="1">
        <f>EOMONTH(tblData[[#This Row],[Rental Date]],0)</f>
        <v>46234</v>
      </c>
      <c r="H1219" t="s">
        <v>749</v>
      </c>
      <c r="I1219" t="s">
        <v>23</v>
      </c>
      <c r="J1219" t="s">
        <v>65</v>
      </c>
      <c r="K1219" t="s">
        <v>25</v>
      </c>
      <c r="L1219">
        <v>1</v>
      </c>
      <c r="M1219" s="2">
        <v>24.3</v>
      </c>
      <c r="N1219" t="s">
        <v>87</v>
      </c>
      <c r="O1219" s="3">
        <v>10</v>
      </c>
      <c r="P1219" s="3">
        <v>0</v>
      </c>
      <c r="Q1219" s="2">
        <v>34.299999999999997</v>
      </c>
      <c r="R1219" t="s">
        <v>76</v>
      </c>
      <c r="S1219" t="s">
        <v>50</v>
      </c>
      <c r="T1219" t="s">
        <v>29</v>
      </c>
      <c r="U1219" t="s">
        <v>30</v>
      </c>
    </row>
    <row r="1220" spans="1:21" x14ac:dyDescent="0.35">
      <c r="A1220" t="s">
        <v>1299</v>
      </c>
      <c r="B1220" s="1">
        <v>46207</v>
      </c>
      <c r="C1220" t="str">
        <f>TEXT(tblData[[#This Row],[Rental Date]],"mmm")</f>
        <v>Jul</v>
      </c>
      <c r="D1220" t="str">
        <f>TEXT(tblData[[#This Row],[Rental Date]],"mmmm")</f>
        <v>July</v>
      </c>
      <c r="E1220" t="s">
        <v>56</v>
      </c>
      <c r="F1220" t="str">
        <f>TEXT(WEEKNUM(tblData[[#This Row],[Rental Date]]),"00")</f>
        <v>27</v>
      </c>
      <c r="G1220" s="1">
        <f>EOMONTH(tblData[[#This Row],[Rental Date]],0)</f>
        <v>46234</v>
      </c>
      <c r="H1220" t="s">
        <v>749</v>
      </c>
      <c r="I1220" t="s">
        <v>23</v>
      </c>
      <c r="J1220" t="s">
        <v>111</v>
      </c>
      <c r="K1220" t="s">
        <v>40</v>
      </c>
      <c r="L1220">
        <v>1</v>
      </c>
      <c r="M1220" s="2">
        <v>45.9</v>
      </c>
      <c r="N1220" t="s">
        <v>89</v>
      </c>
      <c r="O1220" s="3">
        <v>6</v>
      </c>
      <c r="P1220" s="3">
        <v>0</v>
      </c>
      <c r="Q1220" s="2">
        <v>51.9</v>
      </c>
      <c r="R1220" t="s">
        <v>42</v>
      </c>
      <c r="S1220" t="s">
        <v>54</v>
      </c>
      <c r="T1220" t="s">
        <v>29</v>
      </c>
      <c r="U1220" t="s">
        <v>30</v>
      </c>
    </row>
    <row r="1221" spans="1:21" x14ac:dyDescent="0.35">
      <c r="A1221" t="s">
        <v>1300</v>
      </c>
      <c r="B1221" s="1">
        <v>46207</v>
      </c>
      <c r="C1221" t="str">
        <f>TEXT(tblData[[#This Row],[Rental Date]],"mmm")</f>
        <v>Jul</v>
      </c>
      <c r="D1221" t="str">
        <f>TEXT(tblData[[#This Row],[Rental Date]],"mmmm")</f>
        <v>July</v>
      </c>
      <c r="E1221" t="s">
        <v>56</v>
      </c>
      <c r="F1221" t="str">
        <f>TEXT(WEEKNUM(tblData[[#This Row],[Rental Date]]),"00")</f>
        <v>27</v>
      </c>
      <c r="G1221" s="1">
        <f>EOMONTH(tblData[[#This Row],[Rental Date]],0)</f>
        <v>46234</v>
      </c>
      <c r="H1221" t="s">
        <v>749</v>
      </c>
      <c r="I1221" t="s">
        <v>32</v>
      </c>
      <c r="J1221" t="s">
        <v>33</v>
      </c>
      <c r="K1221" t="s">
        <v>92</v>
      </c>
      <c r="L1221">
        <v>1</v>
      </c>
      <c r="M1221" s="2">
        <v>113.4</v>
      </c>
      <c r="N1221" t="s">
        <v>26</v>
      </c>
      <c r="O1221" s="3">
        <v>0</v>
      </c>
      <c r="P1221" s="3">
        <v>5.67</v>
      </c>
      <c r="Q1221" s="2">
        <v>107.73</v>
      </c>
      <c r="R1221" t="s">
        <v>94</v>
      </c>
      <c r="S1221" t="s">
        <v>28</v>
      </c>
      <c r="T1221" t="s">
        <v>29</v>
      </c>
      <c r="U1221" t="s">
        <v>30</v>
      </c>
    </row>
    <row r="1222" spans="1:21" x14ac:dyDescent="0.35">
      <c r="A1222" t="s">
        <v>1301</v>
      </c>
      <c r="B1222" s="1">
        <v>46207</v>
      </c>
      <c r="C1222" t="str">
        <f>TEXT(tblData[[#This Row],[Rental Date]],"mmm")</f>
        <v>Jul</v>
      </c>
      <c r="D1222" t="str">
        <f>TEXT(tblData[[#This Row],[Rental Date]],"mmmm")</f>
        <v>July</v>
      </c>
      <c r="E1222" t="s">
        <v>56</v>
      </c>
      <c r="F1222" t="str">
        <f>TEXT(WEEKNUM(tblData[[#This Row],[Rental Date]]),"00")</f>
        <v>27</v>
      </c>
      <c r="G1222" s="1">
        <f>EOMONTH(tblData[[#This Row],[Rental Date]],0)</f>
        <v>46234</v>
      </c>
      <c r="H1222" t="s">
        <v>749</v>
      </c>
      <c r="I1222" t="s">
        <v>39</v>
      </c>
      <c r="J1222" t="s">
        <v>44</v>
      </c>
      <c r="K1222" t="s">
        <v>60</v>
      </c>
      <c r="L1222">
        <v>1</v>
      </c>
      <c r="M1222" s="2">
        <v>45.9</v>
      </c>
      <c r="N1222" t="s">
        <v>41</v>
      </c>
      <c r="O1222" s="3">
        <v>5</v>
      </c>
      <c r="P1222" s="3">
        <v>0</v>
      </c>
      <c r="Q1222" s="2">
        <v>50.9</v>
      </c>
      <c r="R1222" t="s">
        <v>27</v>
      </c>
      <c r="S1222" t="s">
        <v>46</v>
      </c>
      <c r="T1222" t="s">
        <v>51</v>
      </c>
      <c r="U1222" t="s">
        <v>30</v>
      </c>
    </row>
    <row r="1223" spans="1:21" x14ac:dyDescent="0.35">
      <c r="A1223" t="s">
        <v>1302</v>
      </c>
      <c r="B1223" s="1">
        <v>46207</v>
      </c>
      <c r="C1223" t="str">
        <f>TEXT(tblData[[#This Row],[Rental Date]],"mmm")</f>
        <v>Jul</v>
      </c>
      <c r="D1223" t="str">
        <f>TEXT(tblData[[#This Row],[Rental Date]],"mmmm")</f>
        <v>July</v>
      </c>
      <c r="E1223" t="s">
        <v>56</v>
      </c>
      <c r="F1223" t="str">
        <f>TEXT(WEEKNUM(tblData[[#This Row],[Rental Date]]),"00")</f>
        <v>27</v>
      </c>
      <c r="G1223" s="1">
        <f>EOMONTH(tblData[[#This Row],[Rental Date]],0)</f>
        <v>46234</v>
      </c>
      <c r="H1223" t="s">
        <v>749</v>
      </c>
      <c r="I1223" t="s">
        <v>48</v>
      </c>
      <c r="J1223" t="s">
        <v>44</v>
      </c>
      <c r="K1223" t="s">
        <v>60</v>
      </c>
      <c r="L1223">
        <v>1</v>
      </c>
      <c r="M1223" s="2">
        <v>45.9</v>
      </c>
      <c r="N1223" t="s">
        <v>26</v>
      </c>
      <c r="O1223" s="3">
        <v>0</v>
      </c>
      <c r="P1223" s="3">
        <v>0</v>
      </c>
      <c r="Q1223" s="2">
        <v>45.9</v>
      </c>
      <c r="R1223" t="s">
        <v>42</v>
      </c>
      <c r="S1223" t="s">
        <v>54</v>
      </c>
      <c r="T1223" t="s">
        <v>29</v>
      </c>
      <c r="U1223" t="s">
        <v>30</v>
      </c>
    </row>
    <row r="1224" spans="1:21" x14ac:dyDescent="0.35">
      <c r="A1224" t="s">
        <v>1303</v>
      </c>
      <c r="B1224" s="1">
        <v>46207</v>
      </c>
      <c r="C1224" t="str">
        <f>TEXT(tblData[[#This Row],[Rental Date]],"mmm")</f>
        <v>Jul</v>
      </c>
      <c r="D1224" t="str">
        <f>TEXT(tblData[[#This Row],[Rental Date]],"mmmm")</f>
        <v>July</v>
      </c>
      <c r="E1224" t="s">
        <v>56</v>
      </c>
      <c r="F1224" t="str">
        <f>TEXT(WEEKNUM(tblData[[#This Row],[Rental Date]]),"00")</f>
        <v>27</v>
      </c>
      <c r="G1224" s="1">
        <f>EOMONTH(tblData[[#This Row],[Rental Date]],0)</f>
        <v>46234</v>
      </c>
      <c r="H1224" t="s">
        <v>749</v>
      </c>
      <c r="I1224" t="s">
        <v>48</v>
      </c>
      <c r="J1224" t="s">
        <v>33</v>
      </c>
      <c r="K1224" t="s">
        <v>92</v>
      </c>
      <c r="L1224">
        <v>1</v>
      </c>
      <c r="M1224" s="2">
        <v>113.4</v>
      </c>
      <c r="N1224" t="s">
        <v>26</v>
      </c>
      <c r="O1224" s="3">
        <v>0</v>
      </c>
      <c r="P1224" s="3">
        <v>0</v>
      </c>
      <c r="Q1224" s="2">
        <v>113.4</v>
      </c>
      <c r="R1224" t="s">
        <v>62</v>
      </c>
      <c r="S1224" t="s">
        <v>28</v>
      </c>
      <c r="T1224" t="s">
        <v>29</v>
      </c>
      <c r="U1224" t="s">
        <v>30</v>
      </c>
    </row>
    <row r="1225" spans="1:21" x14ac:dyDescent="0.35">
      <c r="A1225" t="s">
        <v>1304</v>
      </c>
      <c r="B1225" s="1">
        <v>46207</v>
      </c>
      <c r="C1225" t="str">
        <f>TEXT(tblData[[#This Row],[Rental Date]],"mmm")</f>
        <v>Jul</v>
      </c>
      <c r="D1225" t="str">
        <f>TEXT(tblData[[#This Row],[Rental Date]],"mmmm")</f>
        <v>July</v>
      </c>
      <c r="E1225" t="s">
        <v>56</v>
      </c>
      <c r="F1225" t="str">
        <f>TEXT(WEEKNUM(tblData[[#This Row],[Rental Date]]),"00")</f>
        <v>27</v>
      </c>
      <c r="G1225" s="1">
        <f>EOMONTH(tblData[[#This Row],[Rental Date]],0)</f>
        <v>46234</v>
      </c>
      <c r="H1225" t="s">
        <v>749</v>
      </c>
      <c r="I1225" t="s">
        <v>39</v>
      </c>
      <c r="J1225" t="s">
        <v>78</v>
      </c>
      <c r="K1225" t="s">
        <v>25</v>
      </c>
      <c r="L1225">
        <v>1</v>
      </c>
      <c r="M1225" s="2">
        <v>56.7</v>
      </c>
      <c r="N1225" t="s">
        <v>89</v>
      </c>
      <c r="O1225" s="3">
        <v>6</v>
      </c>
      <c r="P1225" s="3">
        <v>0</v>
      </c>
      <c r="Q1225" s="2">
        <v>62.7</v>
      </c>
      <c r="R1225" t="s">
        <v>42</v>
      </c>
      <c r="S1225" t="s">
        <v>54</v>
      </c>
      <c r="T1225" t="s">
        <v>29</v>
      </c>
      <c r="U1225" t="s">
        <v>36</v>
      </c>
    </row>
    <row r="1226" spans="1:21" x14ac:dyDescent="0.35">
      <c r="A1226" t="s">
        <v>1305</v>
      </c>
      <c r="B1226" s="1">
        <v>46207</v>
      </c>
      <c r="C1226" t="str">
        <f>TEXT(tblData[[#This Row],[Rental Date]],"mmm")</f>
        <v>Jul</v>
      </c>
      <c r="D1226" t="str">
        <f>TEXT(tblData[[#This Row],[Rental Date]],"mmmm")</f>
        <v>July</v>
      </c>
      <c r="E1226" t="s">
        <v>56</v>
      </c>
      <c r="F1226" t="str">
        <f>TEXT(WEEKNUM(tblData[[#This Row],[Rental Date]]),"00")</f>
        <v>27</v>
      </c>
      <c r="G1226" s="1">
        <f>EOMONTH(tblData[[#This Row],[Rental Date]],0)</f>
        <v>46234</v>
      </c>
      <c r="H1226" t="s">
        <v>749</v>
      </c>
      <c r="I1226" t="s">
        <v>39</v>
      </c>
      <c r="J1226" t="s">
        <v>86</v>
      </c>
      <c r="K1226" t="s">
        <v>60</v>
      </c>
      <c r="L1226">
        <v>1</v>
      </c>
      <c r="M1226" s="2">
        <v>48.6</v>
      </c>
      <c r="N1226" t="s">
        <v>26</v>
      </c>
      <c r="O1226" s="3">
        <v>0</v>
      </c>
      <c r="P1226" s="3">
        <v>0</v>
      </c>
      <c r="Q1226" s="2">
        <v>48.6</v>
      </c>
      <c r="R1226" t="s">
        <v>62</v>
      </c>
      <c r="S1226" t="s">
        <v>35</v>
      </c>
      <c r="T1226" t="s">
        <v>29</v>
      </c>
      <c r="U1226" t="s">
        <v>30</v>
      </c>
    </row>
    <row r="1227" spans="1:21" x14ac:dyDescent="0.35">
      <c r="A1227" t="s">
        <v>1306</v>
      </c>
      <c r="B1227" s="1">
        <v>46207</v>
      </c>
      <c r="C1227" t="str">
        <f>TEXT(tblData[[#This Row],[Rental Date]],"mmm")</f>
        <v>Jul</v>
      </c>
      <c r="D1227" t="str">
        <f>TEXT(tblData[[#This Row],[Rental Date]],"mmmm")</f>
        <v>July</v>
      </c>
      <c r="E1227" t="s">
        <v>56</v>
      </c>
      <c r="F1227" t="str">
        <f>TEXT(WEEKNUM(tblData[[#This Row],[Rental Date]]),"00")</f>
        <v>27</v>
      </c>
      <c r="G1227" s="1">
        <f>EOMONTH(tblData[[#This Row],[Rental Date]],0)</f>
        <v>46234</v>
      </c>
      <c r="H1227" t="s">
        <v>749</v>
      </c>
      <c r="I1227" t="s">
        <v>48</v>
      </c>
      <c r="J1227" t="s">
        <v>44</v>
      </c>
      <c r="K1227" t="s">
        <v>60</v>
      </c>
      <c r="L1227">
        <v>1</v>
      </c>
      <c r="M1227" s="2">
        <v>45.9</v>
      </c>
      <c r="N1227" t="s">
        <v>89</v>
      </c>
      <c r="O1227" s="3">
        <v>6</v>
      </c>
      <c r="P1227" s="3">
        <v>2.6</v>
      </c>
      <c r="Q1227" s="2">
        <v>49.3</v>
      </c>
      <c r="R1227" t="s">
        <v>94</v>
      </c>
      <c r="S1227" t="s">
        <v>50</v>
      </c>
      <c r="T1227" t="s">
        <v>51</v>
      </c>
      <c r="U1227" t="s">
        <v>30</v>
      </c>
    </row>
    <row r="1228" spans="1:21" x14ac:dyDescent="0.35">
      <c r="A1228" t="s">
        <v>1307</v>
      </c>
      <c r="B1228" s="1">
        <v>46207</v>
      </c>
      <c r="C1228" t="str">
        <f>TEXT(tblData[[#This Row],[Rental Date]],"mmm")</f>
        <v>Jul</v>
      </c>
      <c r="D1228" t="str">
        <f>TEXT(tblData[[#This Row],[Rental Date]],"mmmm")</f>
        <v>July</v>
      </c>
      <c r="E1228" t="s">
        <v>56</v>
      </c>
      <c r="F1228" t="str">
        <f>TEXT(WEEKNUM(tblData[[#This Row],[Rental Date]]),"00")</f>
        <v>27</v>
      </c>
      <c r="G1228" s="1">
        <f>EOMONTH(tblData[[#This Row],[Rental Date]],0)</f>
        <v>46234</v>
      </c>
      <c r="H1228" t="s">
        <v>749</v>
      </c>
      <c r="I1228" t="s">
        <v>39</v>
      </c>
      <c r="J1228" t="s">
        <v>44</v>
      </c>
      <c r="K1228" t="s">
        <v>60</v>
      </c>
      <c r="L1228">
        <v>1</v>
      </c>
      <c r="M1228" s="2">
        <v>45.9</v>
      </c>
      <c r="N1228" t="s">
        <v>26</v>
      </c>
      <c r="O1228" s="3">
        <v>0</v>
      </c>
      <c r="P1228" s="3">
        <v>0</v>
      </c>
      <c r="Q1228" s="2">
        <v>45.9</v>
      </c>
      <c r="R1228" t="s">
        <v>42</v>
      </c>
      <c r="S1228" t="s">
        <v>50</v>
      </c>
      <c r="T1228" t="s">
        <v>29</v>
      </c>
      <c r="U1228" t="s">
        <v>58</v>
      </c>
    </row>
    <row r="1229" spans="1:21" x14ac:dyDescent="0.35">
      <c r="A1229" t="s">
        <v>1308</v>
      </c>
      <c r="B1229" s="1">
        <v>46207</v>
      </c>
      <c r="C1229" t="str">
        <f>TEXT(tblData[[#This Row],[Rental Date]],"mmm")</f>
        <v>Jul</v>
      </c>
      <c r="D1229" t="str">
        <f>TEXT(tblData[[#This Row],[Rental Date]],"mmmm")</f>
        <v>July</v>
      </c>
      <c r="E1229" t="s">
        <v>56</v>
      </c>
      <c r="F1229" t="str">
        <f>TEXT(WEEKNUM(tblData[[#This Row],[Rental Date]]),"00")</f>
        <v>27</v>
      </c>
      <c r="G1229" s="1">
        <f>EOMONTH(tblData[[#This Row],[Rental Date]],0)</f>
        <v>46234</v>
      </c>
      <c r="H1229" t="s">
        <v>749</v>
      </c>
      <c r="I1229" t="s">
        <v>48</v>
      </c>
      <c r="J1229" t="s">
        <v>65</v>
      </c>
      <c r="K1229" t="s">
        <v>25</v>
      </c>
      <c r="L1229">
        <v>1</v>
      </c>
      <c r="M1229" s="2">
        <v>24.3</v>
      </c>
      <c r="N1229" t="s">
        <v>70</v>
      </c>
      <c r="O1229" s="3">
        <v>7</v>
      </c>
      <c r="P1229" s="3">
        <v>0</v>
      </c>
      <c r="Q1229" s="2">
        <v>31.3</v>
      </c>
      <c r="R1229" t="s">
        <v>94</v>
      </c>
      <c r="S1229" t="s">
        <v>54</v>
      </c>
      <c r="T1229" t="s">
        <v>63</v>
      </c>
      <c r="U1229" t="s">
        <v>30</v>
      </c>
    </row>
    <row r="1230" spans="1:21" x14ac:dyDescent="0.35">
      <c r="A1230" t="s">
        <v>1309</v>
      </c>
      <c r="B1230" s="1">
        <v>46207</v>
      </c>
      <c r="C1230" t="str">
        <f>TEXT(tblData[[#This Row],[Rental Date]],"mmm")</f>
        <v>Jul</v>
      </c>
      <c r="D1230" t="str">
        <f>TEXT(tblData[[#This Row],[Rental Date]],"mmmm")</f>
        <v>July</v>
      </c>
      <c r="E1230" t="s">
        <v>56</v>
      </c>
      <c r="F1230" t="str">
        <f>TEXT(WEEKNUM(tblData[[#This Row],[Rental Date]]),"00")</f>
        <v>27</v>
      </c>
      <c r="G1230" s="1">
        <f>EOMONTH(tblData[[#This Row],[Rental Date]],0)</f>
        <v>46234</v>
      </c>
      <c r="H1230" t="s">
        <v>749</v>
      </c>
      <c r="I1230" t="s">
        <v>48</v>
      </c>
      <c r="J1230" t="s">
        <v>33</v>
      </c>
      <c r="K1230" t="s">
        <v>40</v>
      </c>
      <c r="L1230">
        <v>1</v>
      </c>
      <c r="M1230" s="2">
        <v>78.3</v>
      </c>
      <c r="N1230" t="s">
        <v>89</v>
      </c>
      <c r="O1230" s="3">
        <v>6</v>
      </c>
      <c r="P1230" s="3">
        <v>0</v>
      </c>
      <c r="Q1230" s="2">
        <v>84.3</v>
      </c>
      <c r="R1230" t="s">
        <v>45</v>
      </c>
      <c r="S1230" t="s">
        <v>35</v>
      </c>
      <c r="T1230" t="s">
        <v>29</v>
      </c>
      <c r="U1230" t="s">
        <v>79</v>
      </c>
    </row>
    <row r="1231" spans="1:21" x14ac:dyDescent="0.35">
      <c r="A1231" t="s">
        <v>1310</v>
      </c>
      <c r="B1231" s="1">
        <v>46207</v>
      </c>
      <c r="C1231" t="str">
        <f>TEXT(tblData[[#This Row],[Rental Date]],"mmm")</f>
        <v>Jul</v>
      </c>
      <c r="D1231" t="str">
        <f>TEXT(tblData[[#This Row],[Rental Date]],"mmmm")</f>
        <v>July</v>
      </c>
      <c r="E1231" t="s">
        <v>56</v>
      </c>
      <c r="F1231" t="str">
        <f>TEXT(WEEKNUM(tblData[[#This Row],[Rental Date]]),"00")</f>
        <v>27</v>
      </c>
      <c r="G1231" s="1">
        <f>EOMONTH(tblData[[#This Row],[Rental Date]],0)</f>
        <v>46234</v>
      </c>
      <c r="H1231" t="s">
        <v>749</v>
      </c>
      <c r="I1231" t="s">
        <v>39</v>
      </c>
      <c r="J1231" t="s">
        <v>44</v>
      </c>
      <c r="K1231" t="s">
        <v>25</v>
      </c>
      <c r="L1231">
        <v>1</v>
      </c>
      <c r="M1231" s="2">
        <v>70.2</v>
      </c>
      <c r="N1231" t="s">
        <v>87</v>
      </c>
      <c r="O1231" s="3">
        <v>10</v>
      </c>
      <c r="P1231" s="3">
        <v>0</v>
      </c>
      <c r="Q1231" s="2">
        <v>80.2</v>
      </c>
      <c r="R1231" t="s">
        <v>34</v>
      </c>
      <c r="S1231" t="s">
        <v>28</v>
      </c>
      <c r="T1231" t="s">
        <v>83</v>
      </c>
      <c r="U1231" t="s">
        <v>30</v>
      </c>
    </row>
    <row r="1232" spans="1:21" x14ac:dyDescent="0.35">
      <c r="A1232" t="s">
        <v>1311</v>
      </c>
      <c r="B1232" s="1">
        <v>46207</v>
      </c>
      <c r="C1232" t="str">
        <f>TEXT(tblData[[#This Row],[Rental Date]],"mmm")</f>
        <v>Jul</v>
      </c>
      <c r="D1232" t="str">
        <f>TEXT(tblData[[#This Row],[Rental Date]],"mmmm")</f>
        <v>July</v>
      </c>
      <c r="E1232" t="s">
        <v>56</v>
      </c>
      <c r="F1232" t="str">
        <f>TEXT(WEEKNUM(tblData[[#This Row],[Rental Date]]),"00")</f>
        <v>27</v>
      </c>
      <c r="G1232" s="1">
        <f>EOMONTH(tblData[[#This Row],[Rental Date]],0)</f>
        <v>46234</v>
      </c>
      <c r="H1232" t="s">
        <v>749</v>
      </c>
      <c r="I1232" t="s">
        <v>48</v>
      </c>
      <c r="J1232" t="s">
        <v>127</v>
      </c>
      <c r="K1232" t="s">
        <v>60</v>
      </c>
      <c r="L1232">
        <v>1</v>
      </c>
      <c r="M1232" s="2">
        <v>13.5</v>
      </c>
      <c r="N1232" t="s">
        <v>41</v>
      </c>
      <c r="O1232" s="3">
        <v>5</v>
      </c>
      <c r="P1232" s="3">
        <v>0</v>
      </c>
      <c r="Q1232" s="2">
        <v>18.5</v>
      </c>
      <c r="R1232" t="s">
        <v>57</v>
      </c>
      <c r="S1232" t="s">
        <v>46</v>
      </c>
      <c r="T1232" t="s">
        <v>90</v>
      </c>
      <c r="U1232" t="s">
        <v>30</v>
      </c>
    </row>
    <row r="1233" spans="1:21" x14ac:dyDescent="0.35">
      <c r="A1233" t="s">
        <v>1312</v>
      </c>
      <c r="B1233" s="1">
        <v>46207</v>
      </c>
      <c r="C1233" t="str">
        <f>TEXT(tblData[[#This Row],[Rental Date]],"mmm")</f>
        <v>Jul</v>
      </c>
      <c r="D1233" t="str">
        <f>TEXT(tblData[[#This Row],[Rental Date]],"mmmm")</f>
        <v>July</v>
      </c>
      <c r="E1233" t="s">
        <v>56</v>
      </c>
      <c r="F1233" t="str">
        <f>TEXT(WEEKNUM(tblData[[#This Row],[Rental Date]]),"00")</f>
        <v>27</v>
      </c>
      <c r="G1233" s="1">
        <f>EOMONTH(tblData[[#This Row],[Rental Date]],0)</f>
        <v>46234</v>
      </c>
      <c r="H1233" t="s">
        <v>749</v>
      </c>
      <c r="I1233" t="s">
        <v>32</v>
      </c>
      <c r="J1233" t="s">
        <v>33</v>
      </c>
      <c r="K1233" t="s">
        <v>25</v>
      </c>
      <c r="L1233">
        <v>1</v>
      </c>
      <c r="M1233" s="2">
        <v>51.3</v>
      </c>
      <c r="N1233" t="s">
        <v>89</v>
      </c>
      <c r="O1233" s="3">
        <v>6</v>
      </c>
      <c r="P1233" s="3">
        <v>2.87</v>
      </c>
      <c r="Q1233" s="2">
        <v>54.43</v>
      </c>
      <c r="R1233" t="s">
        <v>27</v>
      </c>
      <c r="S1233" t="s">
        <v>28</v>
      </c>
      <c r="T1233" t="s">
        <v>51</v>
      </c>
      <c r="U1233" t="s">
        <v>30</v>
      </c>
    </row>
    <row r="1234" spans="1:21" x14ac:dyDescent="0.35">
      <c r="A1234" t="s">
        <v>1313</v>
      </c>
      <c r="B1234" s="1">
        <v>46207</v>
      </c>
      <c r="C1234" t="str">
        <f>TEXT(tblData[[#This Row],[Rental Date]],"mmm")</f>
        <v>Jul</v>
      </c>
      <c r="D1234" t="str">
        <f>TEXT(tblData[[#This Row],[Rental Date]],"mmmm")</f>
        <v>July</v>
      </c>
      <c r="E1234" t="s">
        <v>56</v>
      </c>
      <c r="F1234" t="str">
        <f>TEXT(WEEKNUM(tblData[[#This Row],[Rental Date]]),"00")</f>
        <v>27</v>
      </c>
      <c r="G1234" s="1">
        <f>EOMONTH(tblData[[#This Row],[Rental Date]],0)</f>
        <v>46234</v>
      </c>
      <c r="H1234" t="s">
        <v>749</v>
      </c>
      <c r="I1234" t="s">
        <v>39</v>
      </c>
      <c r="J1234" t="s">
        <v>24</v>
      </c>
      <c r="K1234" t="s">
        <v>40</v>
      </c>
      <c r="L1234">
        <v>1</v>
      </c>
      <c r="M1234" s="2">
        <v>102.6</v>
      </c>
      <c r="N1234" t="s">
        <v>26</v>
      </c>
      <c r="O1234" s="3">
        <v>0</v>
      </c>
      <c r="P1234" s="3">
        <v>0</v>
      </c>
      <c r="Q1234" s="2">
        <v>102.6</v>
      </c>
      <c r="R1234" t="s">
        <v>76</v>
      </c>
      <c r="S1234" t="s">
        <v>50</v>
      </c>
      <c r="T1234" t="s">
        <v>51</v>
      </c>
      <c r="U1234" t="s">
        <v>30</v>
      </c>
    </row>
    <row r="1235" spans="1:21" x14ac:dyDescent="0.35">
      <c r="A1235" t="s">
        <v>1314</v>
      </c>
      <c r="B1235" s="1">
        <v>46207</v>
      </c>
      <c r="C1235" t="str">
        <f>TEXT(tblData[[#This Row],[Rental Date]],"mmm")</f>
        <v>Jul</v>
      </c>
      <c r="D1235" t="str">
        <f>TEXT(tblData[[#This Row],[Rental Date]],"mmmm")</f>
        <v>July</v>
      </c>
      <c r="E1235" t="s">
        <v>56</v>
      </c>
      <c r="F1235" t="str">
        <f>TEXT(WEEKNUM(tblData[[#This Row],[Rental Date]]),"00")</f>
        <v>27</v>
      </c>
      <c r="G1235" s="1">
        <f>EOMONTH(tblData[[#This Row],[Rental Date]],0)</f>
        <v>46234</v>
      </c>
      <c r="H1235" t="s">
        <v>749</v>
      </c>
      <c r="I1235" t="s">
        <v>48</v>
      </c>
      <c r="J1235" t="s">
        <v>49</v>
      </c>
      <c r="K1235" t="s">
        <v>92</v>
      </c>
      <c r="L1235">
        <v>1</v>
      </c>
      <c r="M1235" s="2">
        <v>102.6</v>
      </c>
      <c r="N1235" t="s">
        <v>26</v>
      </c>
      <c r="O1235" s="3">
        <v>0</v>
      </c>
      <c r="P1235" s="3">
        <v>0</v>
      </c>
      <c r="Q1235" s="2">
        <v>102.6</v>
      </c>
      <c r="R1235" t="s">
        <v>45</v>
      </c>
      <c r="S1235" t="s">
        <v>50</v>
      </c>
      <c r="T1235" t="s">
        <v>29</v>
      </c>
      <c r="U1235" t="s">
        <v>79</v>
      </c>
    </row>
    <row r="1236" spans="1:21" x14ac:dyDescent="0.35">
      <c r="A1236" t="s">
        <v>1315</v>
      </c>
      <c r="B1236" s="1">
        <v>46207</v>
      </c>
      <c r="C1236" t="str">
        <f>TEXT(tblData[[#This Row],[Rental Date]],"mmm")</f>
        <v>Jul</v>
      </c>
      <c r="D1236" t="str">
        <f>TEXT(tblData[[#This Row],[Rental Date]],"mmmm")</f>
        <v>July</v>
      </c>
      <c r="E1236" t="s">
        <v>56</v>
      </c>
      <c r="F1236" t="str">
        <f>TEXT(WEEKNUM(tblData[[#This Row],[Rental Date]]),"00")</f>
        <v>27</v>
      </c>
      <c r="G1236" s="1">
        <f>EOMONTH(tblData[[#This Row],[Rental Date]],0)</f>
        <v>46234</v>
      </c>
      <c r="H1236" t="s">
        <v>749</v>
      </c>
      <c r="I1236" t="s">
        <v>39</v>
      </c>
      <c r="J1236" t="s">
        <v>127</v>
      </c>
      <c r="K1236" t="s">
        <v>60</v>
      </c>
      <c r="L1236">
        <v>1</v>
      </c>
      <c r="M1236" s="2">
        <v>13.5</v>
      </c>
      <c r="N1236" t="s">
        <v>61</v>
      </c>
      <c r="O1236" s="3">
        <v>8</v>
      </c>
      <c r="P1236" s="3">
        <v>0</v>
      </c>
      <c r="Q1236" s="2">
        <v>21.5</v>
      </c>
      <c r="R1236" t="s">
        <v>27</v>
      </c>
      <c r="S1236" t="s">
        <v>50</v>
      </c>
      <c r="T1236" t="s">
        <v>29</v>
      </c>
      <c r="U1236" t="s">
        <v>58</v>
      </c>
    </row>
    <row r="1237" spans="1:21" x14ac:dyDescent="0.35">
      <c r="A1237" t="s">
        <v>1316</v>
      </c>
      <c r="B1237" s="1">
        <v>46207</v>
      </c>
      <c r="C1237" t="str">
        <f>TEXT(tblData[[#This Row],[Rental Date]],"mmm")</f>
        <v>Jul</v>
      </c>
      <c r="D1237" t="str">
        <f>TEXT(tblData[[#This Row],[Rental Date]],"mmmm")</f>
        <v>July</v>
      </c>
      <c r="E1237" t="s">
        <v>56</v>
      </c>
      <c r="F1237" t="str">
        <f>TEXT(WEEKNUM(tblData[[#This Row],[Rental Date]]),"00")</f>
        <v>27</v>
      </c>
      <c r="G1237" s="1">
        <f>EOMONTH(tblData[[#This Row],[Rental Date]],0)</f>
        <v>46234</v>
      </c>
      <c r="H1237" t="s">
        <v>749</v>
      </c>
      <c r="I1237" t="s">
        <v>32</v>
      </c>
      <c r="J1237" t="s">
        <v>86</v>
      </c>
      <c r="K1237" t="s">
        <v>60</v>
      </c>
      <c r="L1237">
        <v>1</v>
      </c>
      <c r="M1237" s="2">
        <v>48.6</v>
      </c>
      <c r="N1237" t="s">
        <v>75</v>
      </c>
      <c r="O1237" s="3">
        <v>12</v>
      </c>
      <c r="P1237" s="3">
        <v>6.06</v>
      </c>
      <c r="Q1237" s="2">
        <v>54.54</v>
      </c>
      <c r="R1237" t="s">
        <v>34</v>
      </c>
      <c r="S1237" t="s">
        <v>28</v>
      </c>
      <c r="T1237" t="s">
        <v>29</v>
      </c>
      <c r="U1237" t="s">
        <v>30</v>
      </c>
    </row>
    <row r="1238" spans="1:21" x14ac:dyDescent="0.35">
      <c r="A1238" t="s">
        <v>1317</v>
      </c>
      <c r="B1238" s="1">
        <v>46207</v>
      </c>
      <c r="C1238" t="str">
        <f>TEXT(tblData[[#This Row],[Rental Date]],"mmm")</f>
        <v>Jul</v>
      </c>
      <c r="D1238" t="str">
        <f>TEXT(tblData[[#This Row],[Rental Date]],"mmmm")</f>
        <v>July</v>
      </c>
      <c r="E1238" t="s">
        <v>56</v>
      </c>
      <c r="F1238" t="str">
        <f>TEXT(WEEKNUM(tblData[[#This Row],[Rental Date]]),"00")</f>
        <v>27</v>
      </c>
      <c r="G1238" s="1">
        <f>EOMONTH(tblData[[#This Row],[Rental Date]],0)</f>
        <v>46234</v>
      </c>
      <c r="H1238" t="s">
        <v>749</v>
      </c>
      <c r="I1238" t="s">
        <v>48</v>
      </c>
      <c r="J1238" t="s">
        <v>49</v>
      </c>
      <c r="K1238" t="s">
        <v>60</v>
      </c>
      <c r="L1238">
        <v>1</v>
      </c>
      <c r="M1238" s="2">
        <v>29.7</v>
      </c>
      <c r="N1238" t="s">
        <v>41</v>
      </c>
      <c r="O1238" s="3">
        <v>5</v>
      </c>
      <c r="P1238" s="3">
        <v>0</v>
      </c>
      <c r="Q1238" s="2">
        <v>34.700000000000003</v>
      </c>
      <c r="R1238" t="s">
        <v>76</v>
      </c>
      <c r="S1238" t="s">
        <v>28</v>
      </c>
      <c r="T1238" t="s">
        <v>90</v>
      </c>
      <c r="U1238" t="s">
        <v>30</v>
      </c>
    </row>
    <row r="1239" spans="1:21" x14ac:dyDescent="0.35">
      <c r="A1239" t="s">
        <v>1318</v>
      </c>
      <c r="B1239" s="1">
        <v>46207</v>
      </c>
      <c r="C1239" t="str">
        <f>TEXT(tblData[[#This Row],[Rental Date]],"mmm")</f>
        <v>Jul</v>
      </c>
      <c r="D1239" t="str">
        <f>TEXT(tblData[[#This Row],[Rental Date]],"mmmm")</f>
        <v>July</v>
      </c>
      <c r="E1239" t="s">
        <v>56</v>
      </c>
      <c r="F1239" t="str">
        <f>TEXT(WEEKNUM(tblData[[#This Row],[Rental Date]]),"00")</f>
        <v>27</v>
      </c>
      <c r="G1239" s="1">
        <f>EOMONTH(tblData[[#This Row],[Rental Date]],0)</f>
        <v>46234</v>
      </c>
      <c r="H1239" t="s">
        <v>749</v>
      </c>
      <c r="I1239" t="s">
        <v>39</v>
      </c>
      <c r="J1239" t="s">
        <v>78</v>
      </c>
      <c r="K1239" t="s">
        <v>25</v>
      </c>
      <c r="L1239">
        <v>1</v>
      </c>
      <c r="M1239" s="2">
        <v>56.7</v>
      </c>
      <c r="N1239" t="s">
        <v>70</v>
      </c>
      <c r="O1239" s="3">
        <v>7</v>
      </c>
      <c r="P1239" s="3">
        <v>0</v>
      </c>
      <c r="Q1239" s="2">
        <v>63.7</v>
      </c>
      <c r="R1239" t="s">
        <v>94</v>
      </c>
      <c r="S1239" t="s">
        <v>28</v>
      </c>
      <c r="T1239" t="s">
        <v>29</v>
      </c>
      <c r="U1239" t="s">
        <v>58</v>
      </c>
    </row>
    <row r="1240" spans="1:21" x14ac:dyDescent="0.35">
      <c r="A1240" t="s">
        <v>1319</v>
      </c>
      <c r="B1240" s="1">
        <v>46207</v>
      </c>
      <c r="C1240" t="str">
        <f>TEXT(tblData[[#This Row],[Rental Date]],"mmm")</f>
        <v>Jul</v>
      </c>
      <c r="D1240" t="str">
        <f>TEXT(tblData[[#This Row],[Rental Date]],"mmmm")</f>
        <v>July</v>
      </c>
      <c r="E1240" t="s">
        <v>56</v>
      </c>
      <c r="F1240" t="str">
        <f>TEXT(WEEKNUM(tblData[[#This Row],[Rental Date]]),"00")</f>
        <v>27</v>
      </c>
      <c r="G1240" s="1">
        <f>EOMONTH(tblData[[#This Row],[Rental Date]],0)</f>
        <v>46234</v>
      </c>
      <c r="H1240" t="s">
        <v>749</v>
      </c>
      <c r="I1240" t="s">
        <v>39</v>
      </c>
      <c r="J1240" t="s">
        <v>78</v>
      </c>
      <c r="K1240" t="s">
        <v>92</v>
      </c>
      <c r="L1240">
        <v>1</v>
      </c>
      <c r="M1240" s="2">
        <v>118.8</v>
      </c>
      <c r="N1240" t="s">
        <v>26</v>
      </c>
      <c r="O1240" s="3">
        <v>0</v>
      </c>
      <c r="P1240" s="3">
        <v>0</v>
      </c>
      <c r="Q1240" s="2">
        <v>118.8</v>
      </c>
      <c r="R1240" t="s">
        <v>45</v>
      </c>
      <c r="S1240" t="s">
        <v>50</v>
      </c>
      <c r="T1240" t="s">
        <v>63</v>
      </c>
      <c r="U1240" t="s">
        <v>30</v>
      </c>
    </row>
    <row r="1241" spans="1:21" x14ac:dyDescent="0.35">
      <c r="A1241" t="s">
        <v>1320</v>
      </c>
      <c r="B1241" s="1">
        <v>46207</v>
      </c>
      <c r="C1241" t="str">
        <f>TEXT(tblData[[#This Row],[Rental Date]],"mmm")</f>
        <v>Jul</v>
      </c>
      <c r="D1241" t="str">
        <f>TEXT(tblData[[#This Row],[Rental Date]],"mmmm")</f>
        <v>July</v>
      </c>
      <c r="E1241" t="s">
        <v>56</v>
      </c>
      <c r="F1241" t="str">
        <f>TEXT(WEEKNUM(tblData[[#This Row],[Rental Date]]),"00")</f>
        <v>27</v>
      </c>
      <c r="G1241" s="1">
        <f>EOMONTH(tblData[[#This Row],[Rental Date]],0)</f>
        <v>46234</v>
      </c>
      <c r="H1241" t="s">
        <v>749</v>
      </c>
      <c r="I1241" t="s">
        <v>32</v>
      </c>
      <c r="J1241" t="s">
        <v>49</v>
      </c>
      <c r="K1241" t="s">
        <v>25</v>
      </c>
      <c r="L1241">
        <v>1</v>
      </c>
      <c r="M1241" s="2">
        <v>48.6</v>
      </c>
      <c r="N1241" t="s">
        <v>26</v>
      </c>
      <c r="O1241" s="3">
        <v>0</v>
      </c>
      <c r="P1241" s="3">
        <v>0</v>
      </c>
      <c r="Q1241" s="2">
        <v>48.6</v>
      </c>
      <c r="R1241" t="s">
        <v>71</v>
      </c>
      <c r="S1241" t="s">
        <v>35</v>
      </c>
      <c r="T1241" t="s">
        <v>29</v>
      </c>
      <c r="U1241" t="s">
        <v>30</v>
      </c>
    </row>
    <row r="1242" spans="1:21" x14ac:dyDescent="0.35">
      <c r="A1242" t="s">
        <v>1321</v>
      </c>
      <c r="B1242" s="1">
        <v>46207</v>
      </c>
      <c r="C1242" t="str">
        <f>TEXT(tblData[[#This Row],[Rental Date]],"mmm")</f>
        <v>Jul</v>
      </c>
      <c r="D1242" t="str">
        <f>TEXT(tblData[[#This Row],[Rental Date]],"mmmm")</f>
        <v>July</v>
      </c>
      <c r="E1242" t="s">
        <v>56</v>
      </c>
      <c r="F1242" t="str">
        <f>TEXT(WEEKNUM(tblData[[#This Row],[Rental Date]]),"00")</f>
        <v>27</v>
      </c>
      <c r="G1242" s="1">
        <f>EOMONTH(tblData[[#This Row],[Rental Date]],0)</f>
        <v>46234</v>
      </c>
      <c r="H1242" t="s">
        <v>749</v>
      </c>
      <c r="I1242" t="s">
        <v>23</v>
      </c>
      <c r="J1242" t="s">
        <v>24</v>
      </c>
      <c r="K1242" t="s">
        <v>92</v>
      </c>
      <c r="L1242">
        <v>1</v>
      </c>
      <c r="M1242" s="2">
        <v>148.5</v>
      </c>
      <c r="N1242" t="s">
        <v>41</v>
      </c>
      <c r="O1242" s="3">
        <v>5</v>
      </c>
      <c r="P1242" s="3">
        <v>0</v>
      </c>
      <c r="Q1242" s="2">
        <v>153.5</v>
      </c>
      <c r="R1242" t="s">
        <v>62</v>
      </c>
      <c r="S1242" t="s">
        <v>54</v>
      </c>
      <c r="T1242" t="s">
        <v>29</v>
      </c>
      <c r="U1242" t="s">
        <v>30</v>
      </c>
    </row>
    <row r="1243" spans="1:21" x14ac:dyDescent="0.35">
      <c r="A1243" t="s">
        <v>1322</v>
      </c>
      <c r="B1243" s="1">
        <v>46207</v>
      </c>
      <c r="C1243" t="str">
        <f>TEXT(tblData[[#This Row],[Rental Date]],"mmm")</f>
        <v>Jul</v>
      </c>
      <c r="D1243" t="str">
        <f>TEXT(tblData[[#This Row],[Rental Date]],"mmmm")</f>
        <v>July</v>
      </c>
      <c r="E1243" t="s">
        <v>56</v>
      </c>
      <c r="F1243" t="str">
        <f>TEXT(WEEKNUM(tblData[[#This Row],[Rental Date]]),"00")</f>
        <v>27</v>
      </c>
      <c r="G1243" s="1">
        <f>EOMONTH(tblData[[#This Row],[Rental Date]],0)</f>
        <v>46234</v>
      </c>
      <c r="H1243" t="s">
        <v>749</v>
      </c>
      <c r="I1243" t="s">
        <v>23</v>
      </c>
      <c r="J1243" t="s">
        <v>127</v>
      </c>
      <c r="K1243" t="s">
        <v>25</v>
      </c>
      <c r="L1243">
        <v>1</v>
      </c>
      <c r="M1243" s="2">
        <v>21.6</v>
      </c>
      <c r="N1243" t="s">
        <v>87</v>
      </c>
      <c r="O1243" s="3">
        <v>10</v>
      </c>
      <c r="P1243" s="3">
        <v>0</v>
      </c>
      <c r="Q1243" s="2">
        <v>31.6</v>
      </c>
      <c r="R1243" t="s">
        <v>34</v>
      </c>
      <c r="S1243" t="s">
        <v>35</v>
      </c>
      <c r="T1243" t="s">
        <v>29</v>
      </c>
      <c r="U1243" t="s">
        <v>30</v>
      </c>
    </row>
    <row r="1244" spans="1:21" x14ac:dyDescent="0.35">
      <c r="A1244" t="s">
        <v>1323</v>
      </c>
      <c r="B1244" s="1">
        <v>46207</v>
      </c>
      <c r="C1244" t="str">
        <f>TEXT(tblData[[#This Row],[Rental Date]],"mmm")</f>
        <v>Jul</v>
      </c>
      <c r="D1244" t="str">
        <f>TEXT(tblData[[#This Row],[Rental Date]],"mmmm")</f>
        <v>July</v>
      </c>
      <c r="E1244" t="s">
        <v>56</v>
      </c>
      <c r="F1244" t="str">
        <f>TEXT(WEEKNUM(tblData[[#This Row],[Rental Date]]),"00")</f>
        <v>27</v>
      </c>
      <c r="G1244" s="1">
        <f>EOMONTH(tblData[[#This Row],[Rental Date]],0)</f>
        <v>46234</v>
      </c>
      <c r="H1244" t="s">
        <v>749</v>
      </c>
      <c r="I1244" t="s">
        <v>48</v>
      </c>
      <c r="J1244" t="s">
        <v>33</v>
      </c>
      <c r="K1244" t="s">
        <v>92</v>
      </c>
      <c r="L1244">
        <v>1</v>
      </c>
      <c r="M1244" s="2">
        <v>113.4</v>
      </c>
      <c r="N1244" t="s">
        <v>26</v>
      </c>
      <c r="O1244" s="3">
        <v>0</v>
      </c>
      <c r="P1244" s="3">
        <v>5.67</v>
      </c>
      <c r="Q1244" s="2">
        <v>107.73</v>
      </c>
      <c r="R1244" t="s">
        <v>66</v>
      </c>
      <c r="S1244" t="s">
        <v>46</v>
      </c>
      <c r="T1244" t="s">
        <v>90</v>
      </c>
      <c r="U1244" t="s">
        <v>58</v>
      </c>
    </row>
    <row r="1245" spans="1:21" x14ac:dyDescent="0.35">
      <c r="A1245" t="s">
        <v>1324</v>
      </c>
      <c r="B1245" s="1">
        <v>46207</v>
      </c>
      <c r="C1245" t="str">
        <f>TEXT(tblData[[#This Row],[Rental Date]],"mmm")</f>
        <v>Jul</v>
      </c>
      <c r="D1245" t="str">
        <f>TEXT(tblData[[#This Row],[Rental Date]],"mmmm")</f>
        <v>July</v>
      </c>
      <c r="E1245" t="s">
        <v>56</v>
      </c>
      <c r="F1245" t="str">
        <f>TEXT(WEEKNUM(tblData[[#This Row],[Rental Date]]),"00")</f>
        <v>27</v>
      </c>
      <c r="G1245" s="1">
        <f>EOMONTH(tblData[[#This Row],[Rental Date]],0)</f>
        <v>46234</v>
      </c>
      <c r="H1245" t="s">
        <v>749</v>
      </c>
      <c r="I1245" t="s">
        <v>48</v>
      </c>
      <c r="J1245" t="s">
        <v>78</v>
      </c>
      <c r="K1245" t="s">
        <v>60</v>
      </c>
      <c r="L1245">
        <v>1</v>
      </c>
      <c r="M1245" s="2">
        <v>35.1</v>
      </c>
      <c r="N1245" t="s">
        <v>87</v>
      </c>
      <c r="O1245" s="3">
        <v>10</v>
      </c>
      <c r="P1245" s="3">
        <v>0</v>
      </c>
      <c r="Q1245" s="2">
        <v>45.1</v>
      </c>
      <c r="R1245" t="s">
        <v>34</v>
      </c>
      <c r="S1245" t="s">
        <v>46</v>
      </c>
      <c r="T1245" t="s">
        <v>29</v>
      </c>
      <c r="U1245" t="s">
        <v>30</v>
      </c>
    </row>
    <row r="1246" spans="1:21" x14ac:dyDescent="0.35">
      <c r="A1246" t="s">
        <v>1325</v>
      </c>
      <c r="B1246" s="1">
        <v>46208</v>
      </c>
      <c r="C1246" t="str">
        <f>TEXT(tblData[[#This Row],[Rental Date]],"mmm")</f>
        <v>Jul</v>
      </c>
      <c r="D1246" t="str">
        <f>TEXT(tblData[[#This Row],[Rental Date]],"mmmm")</f>
        <v>July</v>
      </c>
      <c r="E1246" t="s">
        <v>68</v>
      </c>
      <c r="F1246" t="str">
        <f>TEXT(WEEKNUM(tblData[[#This Row],[Rental Date]]),"00")</f>
        <v>28</v>
      </c>
      <c r="G1246" s="1">
        <f>EOMONTH(tblData[[#This Row],[Rental Date]],0)</f>
        <v>46234</v>
      </c>
      <c r="H1246" t="s">
        <v>749</v>
      </c>
      <c r="I1246" t="s">
        <v>23</v>
      </c>
      <c r="J1246" t="s">
        <v>44</v>
      </c>
      <c r="K1246" t="s">
        <v>25</v>
      </c>
      <c r="L1246">
        <v>1</v>
      </c>
      <c r="M1246" s="2">
        <v>70.2</v>
      </c>
      <c r="N1246" t="s">
        <v>26</v>
      </c>
      <c r="O1246" s="3">
        <v>0</v>
      </c>
      <c r="P1246" s="3">
        <v>0</v>
      </c>
      <c r="Q1246" s="2">
        <v>70.2</v>
      </c>
      <c r="R1246" t="s">
        <v>76</v>
      </c>
      <c r="S1246" t="s">
        <v>35</v>
      </c>
      <c r="T1246" t="s">
        <v>29</v>
      </c>
      <c r="U1246" t="s">
        <v>30</v>
      </c>
    </row>
    <row r="1247" spans="1:21" x14ac:dyDescent="0.35">
      <c r="A1247" t="s">
        <v>1326</v>
      </c>
      <c r="B1247" s="1">
        <v>46208</v>
      </c>
      <c r="C1247" t="str">
        <f>TEXT(tblData[[#This Row],[Rental Date]],"mmm")</f>
        <v>Jul</v>
      </c>
      <c r="D1247" t="str">
        <f>TEXT(tblData[[#This Row],[Rental Date]],"mmmm")</f>
        <v>July</v>
      </c>
      <c r="E1247" t="s">
        <v>68</v>
      </c>
      <c r="F1247" t="str">
        <f>TEXT(WEEKNUM(tblData[[#This Row],[Rental Date]]),"00")</f>
        <v>28</v>
      </c>
      <c r="G1247" s="1">
        <f>EOMONTH(tblData[[#This Row],[Rental Date]],0)</f>
        <v>46234</v>
      </c>
      <c r="H1247" t="s">
        <v>749</v>
      </c>
      <c r="I1247" t="s">
        <v>39</v>
      </c>
      <c r="J1247" t="s">
        <v>33</v>
      </c>
      <c r="K1247" t="s">
        <v>25</v>
      </c>
      <c r="L1247">
        <v>1</v>
      </c>
      <c r="M1247" s="2">
        <v>51.3</v>
      </c>
      <c r="N1247" t="s">
        <v>70</v>
      </c>
      <c r="O1247" s="3">
        <v>7</v>
      </c>
      <c r="P1247" s="3">
        <v>0</v>
      </c>
      <c r="Q1247" s="2">
        <v>58.3</v>
      </c>
      <c r="R1247" t="s">
        <v>76</v>
      </c>
      <c r="S1247" t="s">
        <v>54</v>
      </c>
      <c r="T1247" t="s">
        <v>29</v>
      </c>
      <c r="U1247" t="s">
        <v>79</v>
      </c>
    </row>
    <row r="1248" spans="1:21" x14ac:dyDescent="0.35">
      <c r="A1248" t="s">
        <v>1327</v>
      </c>
      <c r="B1248" s="1">
        <v>46208</v>
      </c>
      <c r="C1248" t="str">
        <f>TEXT(tblData[[#This Row],[Rental Date]],"mmm")</f>
        <v>Jul</v>
      </c>
      <c r="D1248" t="str">
        <f>TEXT(tblData[[#This Row],[Rental Date]],"mmmm")</f>
        <v>July</v>
      </c>
      <c r="E1248" t="s">
        <v>68</v>
      </c>
      <c r="F1248" t="str">
        <f>TEXT(WEEKNUM(tblData[[#This Row],[Rental Date]]),"00")</f>
        <v>28</v>
      </c>
      <c r="G1248" s="1">
        <f>EOMONTH(tblData[[#This Row],[Rental Date]],0)</f>
        <v>46234</v>
      </c>
      <c r="H1248" t="s">
        <v>749</v>
      </c>
      <c r="I1248" t="s">
        <v>23</v>
      </c>
      <c r="J1248" t="s">
        <v>65</v>
      </c>
      <c r="K1248" t="s">
        <v>40</v>
      </c>
      <c r="L1248">
        <v>1</v>
      </c>
      <c r="M1248" s="2">
        <v>37.799999999999997</v>
      </c>
      <c r="N1248" t="s">
        <v>26</v>
      </c>
      <c r="O1248" s="3">
        <v>0</v>
      </c>
      <c r="P1248" s="3">
        <v>0</v>
      </c>
      <c r="Q1248" s="2">
        <v>37.799999999999997</v>
      </c>
      <c r="R1248" t="s">
        <v>76</v>
      </c>
      <c r="S1248" t="s">
        <v>35</v>
      </c>
      <c r="T1248" t="s">
        <v>29</v>
      </c>
      <c r="U1248" t="s">
        <v>30</v>
      </c>
    </row>
    <row r="1249" spans="1:21" x14ac:dyDescent="0.35">
      <c r="A1249" t="s">
        <v>1328</v>
      </c>
      <c r="B1249" s="1">
        <v>46208</v>
      </c>
      <c r="C1249" t="str">
        <f>TEXT(tblData[[#This Row],[Rental Date]],"mmm")</f>
        <v>Jul</v>
      </c>
      <c r="D1249" t="str">
        <f>TEXT(tblData[[#This Row],[Rental Date]],"mmmm")</f>
        <v>July</v>
      </c>
      <c r="E1249" t="s">
        <v>68</v>
      </c>
      <c r="F1249" t="str">
        <f>TEXT(WEEKNUM(tblData[[#This Row],[Rental Date]]),"00")</f>
        <v>28</v>
      </c>
      <c r="G1249" s="1">
        <f>EOMONTH(tblData[[#This Row],[Rental Date]],0)</f>
        <v>46234</v>
      </c>
      <c r="H1249" t="s">
        <v>749</v>
      </c>
      <c r="I1249" t="s">
        <v>39</v>
      </c>
      <c r="J1249" t="s">
        <v>33</v>
      </c>
      <c r="K1249" t="s">
        <v>60</v>
      </c>
      <c r="L1249">
        <v>1</v>
      </c>
      <c r="M1249" s="2">
        <v>32.4</v>
      </c>
      <c r="N1249" t="s">
        <v>26</v>
      </c>
      <c r="O1249" s="3">
        <v>0</v>
      </c>
      <c r="P1249" s="3">
        <v>0</v>
      </c>
      <c r="Q1249" s="2">
        <v>32.4</v>
      </c>
      <c r="R1249" t="s">
        <v>71</v>
      </c>
      <c r="S1249" t="s">
        <v>28</v>
      </c>
      <c r="T1249" t="s">
        <v>51</v>
      </c>
      <c r="U1249" t="s">
        <v>30</v>
      </c>
    </row>
    <row r="1250" spans="1:21" x14ac:dyDescent="0.35">
      <c r="A1250" t="s">
        <v>1329</v>
      </c>
      <c r="B1250" s="1">
        <v>46208</v>
      </c>
      <c r="C1250" t="str">
        <f>TEXT(tblData[[#This Row],[Rental Date]],"mmm")</f>
        <v>Jul</v>
      </c>
      <c r="D1250" t="str">
        <f>TEXT(tblData[[#This Row],[Rental Date]],"mmmm")</f>
        <v>July</v>
      </c>
      <c r="E1250" t="s">
        <v>68</v>
      </c>
      <c r="F1250" t="str">
        <f>TEXT(WEEKNUM(tblData[[#This Row],[Rental Date]]),"00")</f>
        <v>28</v>
      </c>
      <c r="G1250" s="1">
        <f>EOMONTH(tblData[[#This Row],[Rental Date]],0)</f>
        <v>46234</v>
      </c>
      <c r="H1250" t="s">
        <v>749</v>
      </c>
      <c r="I1250" t="s">
        <v>23</v>
      </c>
      <c r="J1250" t="s">
        <v>78</v>
      </c>
      <c r="K1250" t="s">
        <v>60</v>
      </c>
      <c r="L1250">
        <v>1</v>
      </c>
      <c r="M1250" s="2">
        <v>35.1</v>
      </c>
      <c r="N1250" t="s">
        <v>70</v>
      </c>
      <c r="O1250" s="3">
        <v>7</v>
      </c>
      <c r="P1250" s="3">
        <v>0</v>
      </c>
      <c r="Q1250" s="2">
        <v>42.1</v>
      </c>
      <c r="R1250" t="s">
        <v>34</v>
      </c>
      <c r="S1250" t="s">
        <v>46</v>
      </c>
      <c r="T1250" t="s">
        <v>90</v>
      </c>
      <c r="U1250" t="s">
        <v>30</v>
      </c>
    </row>
    <row r="1251" spans="1:21" x14ac:dyDescent="0.35">
      <c r="A1251" t="s">
        <v>1330</v>
      </c>
      <c r="B1251" s="1">
        <v>46208</v>
      </c>
      <c r="C1251" t="str">
        <f>TEXT(tblData[[#This Row],[Rental Date]],"mmm")</f>
        <v>Jul</v>
      </c>
      <c r="D1251" t="str">
        <f>TEXT(tblData[[#This Row],[Rental Date]],"mmmm")</f>
        <v>July</v>
      </c>
      <c r="E1251" t="s">
        <v>68</v>
      </c>
      <c r="F1251" t="str">
        <f>TEXT(WEEKNUM(tblData[[#This Row],[Rental Date]]),"00")</f>
        <v>28</v>
      </c>
      <c r="G1251" s="1">
        <f>EOMONTH(tblData[[#This Row],[Rental Date]],0)</f>
        <v>46234</v>
      </c>
      <c r="H1251" t="s">
        <v>749</v>
      </c>
      <c r="I1251" t="s">
        <v>39</v>
      </c>
      <c r="J1251" t="s">
        <v>78</v>
      </c>
      <c r="K1251" t="s">
        <v>25</v>
      </c>
      <c r="L1251">
        <v>1</v>
      </c>
      <c r="M1251" s="2">
        <v>56.7</v>
      </c>
      <c r="N1251" t="s">
        <v>26</v>
      </c>
      <c r="O1251" s="3">
        <v>0</v>
      </c>
      <c r="P1251" s="3">
        <v>0</v>
      </c>
      <c r="Q1251" s="2">
        <v>56.7</v>
      </c>
      <c r="R1251" t="s">
        <v>71</v>
      </c>
      <c r="S1251" t="s">
        <v>54</v>
      </c>
      <c r="T1251" t="s">
        <v>29</v>
      </c>
      <c r="U1251" t="s">
        <v>30</v>
      </c>
    </row>
    <row r="1252" spans="1:21" x14ac:dyDescent="0.35">
      <c r="A1252" t="s">
        <v>1331</v>
      </c>
      <c r="B1252" s="1">
        <v>46208</v>
      </c>
      <c r="C1252" t="str">
        <f>TEXT(tblData[[#This Row],[Rental Date]],"mmm")</f>
        <v>Jul</v>
      </c>
      <c r="D1252" t="str">
        <f>TEXT(tblData[[#This Row],[Rental Date]],"mmmm")</f>
        <v>July</v>
      </c>
      <c r="E1252" t="s">
        <v>68</v>
      </c>
      <c r="F1252" t="str">
        <f>TEXT(WEEKNUM(tblData[[#This Row],[Rental Date]]),"00")</f>
        <v>28</v>
      </c>
      <c r="G1252" s="1">
        <f>EOMONTH(tblData[[#This Row],[Rental Date]],0)</f>
        <v>46234</v>
      </c>
      <c r="H1252" t="s">
        <v>749</v>
      </c>
      <c r="I1252" t="s">
        <v>23</v>
      </c>
      <c r="J1252" t="s">
        <v>111</v>
      </c>
      <c r="K1252" t="s">
        <v>25</v>
      </c>
      <c r="L1252">
        <v>1</v>
      </c>
      <c r="M1252" s="2">
        <v>29.7</v>
      </c>
      <c r="N1252" t="s">
        <v>26</v>
      </c>
      <c r="O1252" s="3">
        <v>0</v>
      </c>
      <c r="P1252" s="3">
        <v>0</v>
      </c>
      <c r="Q1252" s="2">
        <v>29.7</v>
      </c>
      <c r="R1252" t="s">
        <v>45</v>
      </c>
      <c r="S1252" t="s">
        <v>54</v>
      </c>
      <c r="T1252" t="s">
        <v>51</v>
      </c>
      <c r="U1252" t="s">
        <v>79</v>
      </c>
    </row>
    <row r="1253" spans="1:21" x14ac:dyDescent="0.35">
      <c r="A1253" t="s">
        <v>1332</v>
      </c>
      <c r="B1253" s="1">
        <v>46208</v>
      </c>
      <c r="C1253" t="str">
        <f>TEXT(tblData[[#This Row],[Rental Date]],"mmm")</f>
        <v>Jul</v>
      </c>
      <c r="D1253" t="str">
        <f>TEXT(tblData[[#This Row],[Rental Date]],"mmmm")</f>
        <v>July</v>
      </c>
      <c r="E1253" t="s">
        <v>68</v>
      </c>
      <c r="F1253" t="str">
        <f>TEXT(WEEKNUM(tblData[[#This Row],[Rental Date]]),"00")</f>
        <v>28</v>
      </c>
      <c r="G1253" s="1">
        <f>EOMONTH(tblData[[#This Row],[Rental Date]],0)</f>
        <v>46234</v>
      </c>
      <c r="H1253" t="s">
        <v>749</v>
      </c>
      <c r="I1253" t="s">
        <v>48</v>
      </c>
      <c r="J1253" t="s">
        <v>65</v>
      </c>
      <c r="K1253" t="s">
        <v>40</v>
      </c>
      <c r="L1253">
        <v>1</v>
      </c>
      <c r="M1253" s="2">
        <v>37.799999999999997</v>
      </c>
      <c r="N1253" t="s">
        <v>87</v>
      </c>
      <c r="O1253" s="3">
        <v>10</v>
      </c>
      <c r="P1253" s="3">
        <v>0</v>
      </c>
      <c r="Q1253" s="2">
        <v>47.8</v>
      </c>
      <c r="R1253" t="s">
        <v>45</v>
      </c>
      <c r="S1253" t="s">
        <v>35</v>
      </c>
      <c r="T1253" t="s">
        <v>51</v>
      </c>
      <c r="U1253" t="s">
        <v>36</v>
      </c>
    </row>
    <row r="1254" spans="1:21" x14ac:dyDescent="0.35">
      <c r="A1254" t="s">
        <v>1333</v>
      </c>
      <c r="B1254" s="1">
        <v>46208</v>
      </c>
      <c r="C1254" t="str">
        <f>TEXT(tblData[[#This Row],[Rental Date]],"mmm")</f>
        <v>Jul</v>
      </c>
      <c r="D1254" t="str">
        <f>TEXT(tblData[[#This Row],[Rental Date]],"mmmm")</f>
        <v>July</v>
      </c>
      <c r="E1254" t="s">
        <v>68</v>
      </c>
      <c r="F1254" t="str">
        <f>TEXT(WEEKNUM(tblData[[#This Row],[Rental Date]]),"00")</f>
        <v>28</v>
      </c>
      <c r="G1254" s="1">
        <f>EOMONTH(tblData[[#This Row],[Rental Date]],0)</f>
        <v>46234</v>
      </c>
      <c r="H1254" t="s">
        <v>749</v>
      </c>
      <c r="I1254" t="s">
        <v>48</v>
      </c>
      <c r="J1254" t="s">
        <v>33</v>
      </c>
      <c r="K1254" t="s">
        <v>40</v>
      </c>
      <c r="L1254">
        <v>1</v>
      </c>
      <c r="M1254" s="2">
        <v>78.3</v>
      </c>
      <c r="N1254" t="s">
        <v>89</v>
      </c>
      <c r="O1254" s="3">
        <v>6</v>
      </c>
      <c r="P1254" s="3">
        <v>0</v>
      </c>
      <c r="Q1254" s="2">
        <v>84.3</v>
      </c>
      <c r="R1254" t="s">
        <v>66</v>
      </c>
      <c r="S1254" t="s">
        <v>46</v>
      </c>
      <c r="T1254" t="s">
        <v>29</v>
      </c>
      <c r="U1254" t="s">
        <v>58</v>
      </c>
    </row>
    <row r="1255" spans="1:21" x14ac:dyDescent="0.35">
      <c r="A1255" t="s">
        <v>1334</v>
      </c>
      <c r="B1255" s="1">
        <v>46208</v>
      </c>
      <c r="C1255" t="str">
        <f>TEXT(tblData[[#This Row],[Rental Date]],"mmm")</f>
        <v>Jul</v>
      </c>
      <c r="D1255" t="str">
        <f>TEXT(tblData[[#This Row],[Rental Date]],"mmmm")</f>
        <v>July</v>
      </c>
      <c r="E1255" t="s">
        <v>68</v>
      </c>
      <c r="F1255" t="str">
        <f>TEXT(WEEKNUM(tblData[[#This Row],[Rental Date]]),"00")</f>
        <v>28</v>
      </c>
      <c r="G1255" s="1">
        <f>EOMONTH(tblData[[#This Row],[Rental Date]],0)</f>
        <v>46234</v>
      </c>
      <c r="H1255" t="s">
        <v>749</v>
      </c>
      <c r="I1255" t="s">
        <v>23</v>
      </c>
      <c r="J1255" t="s">
        <v>49</v>
      </c>
      <c r="K1255" t="s">
        <v>40</v>
      </c>
      <c r="L1255">
        <v>1</v>
      </c>
      <c r="M1255" s="2">
        <v>72.900000000000006</v>
      </c>
      <c r="N1255" t="s">
        <v>26</v>
      </c>
      <c r="O1255" s="3">
        <v>0</v>
      </c>
      <c r="P1255" s="3">
        <v>3.65</v>
      </c>
      <c r="Q1255" s="2">
        <v>69.25</v>
      </c>
      <c r="R1255" t="s">
        <v>42</v>
      </c>
      <c r="S1255" t="s">
        <v>50</v>
      </c>
      <c r="T1255" t="s">
        <v>29</v>
      </c>
      <c r="U1255" t="s">
        <v>30</v>
      </c>
    </row>
    <row r="1256" spans="1:21" x14ac:dyDescent="0.35">
      <c r="A1256" t="s">
        <v>1335</v>
      </c>
      <c r="B1256" s="1">
        <v>46208</v>
      </c>
      <c r="C1256" t="str">
        <f>TEXT(tblData[[#This Row],[Rental Date]],"mmm")</f>
        <v>Jul</v>
      </c>
      <c r="D1256" t="str">
        <f>TEXT(tblData[[#This Row],[Rental Date]],"mmmm")</f>
        <v>July</v>
      </c>
      <c r="E1256" t="s">
        <v>68</v>
      </c>
      <c r="F1256" t="str">
        <f>TEXT(WEEKNUM(tblData[[#This Row],[Rental Date]]),"00")</f>
        <v>28</v>
      </c>
      <c r="G1256" s="1">
        <f>EOMONTH(tblData[[#This Row],[Rental Date]],0)</f>
        <v>46234</v>
      </c>
      <c r="H1256" t="s">
        <v>749</v>
      </c>
      <c r="I1256" t="s">
        <v>23</v>
      </c>
      <c r="J1256" t="s">
        <v>111</v>
      </c>
      <c r="K1256" t="s">
        <v>40</v>
      </c>
      <c r="L1256">
        <v>1</v>
      </c>
      <c r="M1256" s="2">
        <v>45.9</v>
      </c>
      <c r="N1256" t="s">
        <v>26</v>
      </c>
      <c r="O1256" s="3">
        <v>0</v>
      </c>
      <c r="P1256" s="3">
        <v>0</v>
      </c>
      <c r="Q1256" s="2">
        <v>45.9</v>
      </c>
      <c r="R1256" t="s">
        <v>42</v>
      </c>
      <c r="S1256" t="s">
        <v>50</v>
      </c>
      <c r="T1256" t="s">
        <v>51</v>
      </c>
      <c r="U1256" t="s">
        <v>30</v>
      </c>
    </row>
    <row r="1257" spans="1:21" x14ac:dyDescent="0.35">
      <c r="A1257" t="s">
        <v>1336</v>
      </c>
      <c r="B1257" s="1">
        <v>46208</v>
      </c>
      <c r="C1257" t="str">
        <f>TEXT(tblData[[#This Row],[Rental Date]],"mmm")</f>
        <v>Jul</v>
      </c>
      <c r="D1257" t="str">
        <f>TEXT(tblData[[#This Row],[Rental Date]],"mmmm")</f>
        <v>July</v>
      </c>
      <c r="E1257" t="s">
        <v>68</v>
      </c>
      <c r="F1257" t="str">
        <f>TEXT(WEEKNUM(tblData[[#This Row],[Rental Date]]),"00")</f>
        <v>28</v>
      </c>
      <c r="G1257" s="1">
        <f>EOMONTH(tblData[[#This Row],[Rental Date]],0)</f>
        <v>46234</v>
      </c>
      <c r="H1257" t="s">
        <v>749</v>
      </c>
      <c r="I1257" t="s">
        <v>23</v>
      </c>
      <c r="J1257" t="s">
        <v>78</v>
      </c>
      <c r="K1257" t="s">
        <v>92</v>
      </c>
      <c r="L1257">
        <v>1</v>
      </c>
      <c r="M1257" s="2">
        <v>118.8</v>
      </c>
      <c r="N1257" t="s">
        <v>26</v>
      </c>
      <c r="O1257" s="3">
        <v>0</v>
      </c>
      <c r="P1257" s="3">
        <v>0</v>
      </c>
      <c r="Q1257" s="2">
        <v>118.8</v>
      </c>
      <c r="R1257" t="s">
        <v>34</v>
      </c>
      <c r="S1257" t="s">
        <v>50</v>
      </c>
      <c r="T1257" t="s">
        <v>83</v>
      </c>
      <c r="U1257" t="s">
        <v>30</v>
      </c>
    </row>
    <row r="1258" spans="1:21" x14ac:dyDescent="0.35">
      <c r="A1258" t="s">
        <v>1337</v>
      </c>
      <c r="B1258" s="1">
        <v>46208</v>
      </c>
      <c r="C1258" t="str">
        <f>TEXT(tblData[[#This Row],[Rental Date]],"mmm")</f>
        <v>Jul</v>
      </c>
      <c r="D1258" t="str">
        <f>TEXT(tblData[[#This Row],[Rental Date]],"mmmm")</f>
        <v>July</v>
      </c>
      <c r="E1258" t="s">
        <v>68</v>
      </c>
      <c r="F1258" t="str">
        <f>TEXT(WEEKNUM(tblData[[#This Row],[Rental Date]]),"00")</f>
        <v>28</v>
      </c>
      <c r="G1258" s="1">
        <f>EOMONTH(tblData[[#This Row],[Rental Date]],0)</f>
        <v>46234</v>
      </c>
      <c r="H1258" t="s">
        <v>749</v>
      </c>
      <c r="I1258" t="s">
        <v>39</v>
      </c>
      <c r="J1258" t="s">
        <v>44</v>
      </c>
      <c r="K1258" t="s">
        <v>60</v>
      </c>
      <c r="L1258">
        <v>1</v>
      </c>
      <c r="M1258" s="2">
        <v>45.9</v>
      </c>
      <c r="N1258" t="s">
        <v>70</v>
      </c>
      <c r="O1258" s="3">
        <v>7</v>
      </c>
      <c r="P1258" s="3">
        <v>0</v>
      </c>
      <c r="Q1258" s="2">
        <v>52.9</v>
      </c>
      <c r="R1258" t="s">
        <v>27</v>
      </c>
      <c r="S1258" t="s">
        <v>54</v>
      </c>
      <c r="T1258" t="s">
        <v>90</v>
      </c>
      <c r="U1258" t="s">
        <v>79</v>
      </c>
    </row>
    <row r="1259" spans="1:21" x14ac:dyDescent="0.35">
      <c r="A1259" t="s">
        <v>1338</v>
      </c>
      <c r="B1259" s="1">
        <v>46208</v>
      </c>
      <c r="C1259" t="str">
        <f>TEXT(tblData[[#This Row],[Rental Date]],"mmm")</f>
        <v>Jul</v>
      </c>
      <c r="D1259" t="str">
        <f>TEXT(tblData[[#This Row],[Rental Date]],"mmmm")</f>
        <v>July</v>
      </c>
      <c r="E1259" t="s">
        <v>68</v>
      </c>
      <c r="F1259" t="str">
        <f>TEXT(WEEKNUM(tblData[[#This Row],[Rental Date]]),"00")</f>
        <v>28</v>
      </c>
      <c r="G1259" s="1">
        <f>EOMONTH(tblData[[#This Row],[Rental Date]],0)</f>
        <v>46234</v>
      </c>
      <c r="H1259" t="s">
        <v>749</v>
      </c>
      <c r="I1259" t="s">
        <v>48</v>
      </c>
      <c r="J1259" t="s">
        <v>49</v>
      </c>
      <c r="K1259" t="s">
        <v>60</v>
      </c>
      <c r="L1259">
        <v>1</v>
      </c>
      <c r="M1259" s="2">
        <v>29.7</v>
      </c>
      <c r="N1259" t="s">
        <v>89</v>
      </c>
      <c r="O1259" s="3">
        <v>6</v>
      </c>
      <c r="P1259" s="3">
        <v>0</v>
      </c>
      <c r="Q1259" s="2">
        <v>35.700000000000003</v>
      </c>
      <c r="R1259" t="s">
        <v>45</v>
      </c>
      <c r="S1259" t="s">
        <v>35</v>
      </c>
      <c r="T1259" t="s">
        <v>63</v>
      </c>
      <c r="U1259" t="s">
        <v>30</v>
      </c>
    </row>
    <row r="1260" spans="1:21" x14ac:dyDescent="0.35">
      <c r="A1260" t="s">
        <v>1339</v>
      </c>
      <c r="B1260" s="1">
        <v>46208</v>
      </c>
      <c r="C1260" t="str">
        <f>TEXT(tblData[[#This Row],[Rental Date]],"mmm")</f>
        <v>Jul</v>
      </c>
      <c r="D1260" t="str">
        <f>TEXT(tblData[[#This Row],[Rental Date]],"mmmm")</f>
        <v>July</v>
      </c>
      <c r="E1260" t="s">
        <v>68</v>
      </c>
      <c r="F1260" t="str">
        <f>TEXT(WEEKNUM(tblData[[#This Row],[Rental Date]]),"00")</f>
        <v>28</v>
      </c>
      <c r="G1260" s="1">
        <f>EOMONTH(tblData[[#This Row],[Rental Date]],0)</f>
        <v>46234</v>
      </c>
      <c r="H1260" t="s">
        <v>749</v>
      </c>
      <c r="I1260" t="s">
        <v>48</v>
      </c>
      <c r="J1260" t="s">
        <v>49</v>
      </c>
      <c r="K1260" t="s">
        <v>25</v>
      </c>
      <c r="L1260">
        <v>1</v>
      </c>
      <c r="M1260" s="2">
        <v>48.6</v>
      </c>
      <c r="N1260" t="s">
        <v>26</v>
      </c>
      <c r="O1260" s="3">
        <v>0</v>
      </c>
      <c r="P1260" s="3">
        <v>0</v>
      </c>
      <c r="Q1260" s="2">
        <v>48.6</v>
      </c>
      <c r="R1260" t="s">
        <v>27</v>
      </c>
      <c r="S1260" t="s">
        <v>46</v>
      </c>
      <c r="T1260" t="s">
        <v>29</v>
      </c>
      <c r="U1260" t="s">
        <v>30</v>
      </c>
    </row>
    <row r="1261" spans="1:21" x14ac:dyDescent="0.35">
      <c r="A1261" t="s">
        <v>1340</v>
      </c>
      <c r="B1261" s="1">
        <v>46208</v>
      </c>
      <c r="C1261" t="str">
        <f>TEXT(tblData[[#This Row],[Rental Date]],"mmm")</f>
        <v>Jul</v>
      </c>
      <c r="D1261" t="str">
        <f>TEXT(tblData[[#This Row],[Rental Date]],"mmmm")</f>
        <v>July</v>
      </c>
      <c r="E1261" t="s">
        <v>68</v>
      </c>
      <c r="F1261" t="str">
        <f>TEXT(WEEKNUM(tblData[[#This Row],[Rental Date]]),"00")</f>
        <v>28</v>
      </c>
      <c r="G1261" s="1">
        <f>EOMONTH(tblData[[#This Row],[Rental Date]],0)</f>
        <v>46234</v>
      </c>
      <c r="H1261" t="s">
        <v>749</v>
      </c>
      <c r="I1261" t="s">
        <v>48</v>
      </c>
      <c r="J1261" t="s">
        <v>127</v>
      </c>
      <c r="K1261" t="s">
        <v>40</v>
      </c>
      <c r="L1261">
        <v>1</v>
      </c>
      <c r="M1261" s="2">
        <v>32.4</v>
      </c>
      <c r="N1261" t="s">
        <v>61</v>
      </c>
      <c r="O1261" s="3">
        <v>8</v>
      </c>
      <c r="P1261" s="3">
        <v>0</v>
      </c>
      <c r="Q1261" s="2">
        <v>40.4</v>
      </c>
      <c r="R1261" t="s">
        <v>94</v>
      </c>
      <c r="S1261" t="s">
        <v>50</v>
      </c>
      <c r="T1261" t="s">
        <v>90</v>
      </c>
      <c r="U1261" t="s">
        <v>30</v>
      </c>
    </row>
    <row r="1262" spans="1:21" x14ac:dyDescent="0.35">
      <c r="A1262" t="s">
        <v>1341</v>
      </c>
      <c r="B1262" s="1">
        <v>46208</v>
      </c>
      <c r="C1262" t="str">
        <f>TEXT(tblData[[#This Row],[Rental Date]],"mmm")</f>
        <v>Jul</v>
      </c>
      <c r="D1262" t="str">
        <f>TEXT(tblData[[#This Row],[Rental Date]],"mmmm")</f>
        <v>July</v>
      </c>
      <c r="E1262" t="s">
        <v>68</v>
      </c>
      <c r="F1262" t="str">
        <f>TEXT(WEEKNUM(tblData[[#This Row],[Rental Date]]),"00")</f>
        <v>28</v>
      </c>
      <c r="G1262" s="1">
        <f>EOMONTH(tblData[[#This Row],[Rental Date]],0)</f>
        <v>46234</v>
      </c>
      <c r="H1262" t="s">
        <v>749</v>
      </c>
      <c r="I1262" t="s">
        <v>23</v>
      </c>
      <c r="J1262" t="s">
        <v>65</v>
      </c>
      <c r="K1262" t="s">
        <v>40</v>
      </c>
      <c r="L1262">
        <v>1</v>
      </c>
      <c r="M1262" s="2">
        <v>37.799999999999997</v>
      </c>
      <c r="N1262" t="s">
        <v>41</v>
      </c>
      <c r="O1262" s="3">
        <v>5</v>
      </c>
      <c r="P1262" s="3">
        <v>0</v>
      </c>
      <c r="Q1262" s="2">
        <v>42.8</v>
      </c>
      <c r="R1262" t="s">
        <v>34</v>
      </c>
      <c r="S1262" t="s">
        <v>50</v>
      </c>
      <c r="T1262" t="s">
        <v>51</v>
      </c>
      <c r="U1262" t="s">
        <v>30</v>
      </c>
    </row>
    <row r="1263" spans="1:21" x14ac:dyDescent="0.35">
      <c r="A1263" t="s">
        <v>1342</v>
      </c>
      <c r="B1263" s="1">
        <v>46208</v>
      </c>
      <c r="C1263" t="str">
        <f>TEXT(tblData[[#This Row],[Rental Date]],"mmm")</f>
        <v>Jul</v>
      </c>
      <c r="D1263" t="str">
        <f>TEXT(tblData[[#This Row],[Rental Date]],"mmmm")</f>
        <v>July</v>
      </c>
      <c r="E1263" t="s">
        <v>68</v>
      </c>
      <c r="F1263" t="str">
        <f>TEXT(WEEKNUM(tblData[[#This Row],[Rental Date]]),"00")</f>
        <v>28</v>
      </c>
      <c r="G1263" s="1">
        <f>EOMONTH(tblData[[#This Row],[Rental Date]],0)</f>
        <v>46234</v>
      </c>
      <c r="H1263" t="s">
        <v>749</v>
      </c>
      <c r="I1263" t="s">
        <v>53</v>
      </c>
      <c r="J1263" t="s">
        <v>33</v>
      </c>
      <c r="K1263" t="s">
        <v>60</v>
      </c>
      <c r="L1263">
        <v>1</v>
      </c>
      <c r="M1263" s="2">
        <v>32.4</v>
      </c>
      <c r="N1263" t="s">
        <v>89</v>
      </c>
      <c r="O1263" s="3">
        <v>6</v>
      </c>
      <c r="P1263" s="3">
        <v>5.76</v>
      </c>
      <c r="Q1263" s="2">
        <v>32.64</v>
      </c>
      <c r="R1263" t="s">
        <v>57</v>
      </c>
      <c r="S1263" t="s">
        <v>46</v>
      </c>
      <c r="T1263" t="s">
        <v>29</v>
      </c>
      <c r="U1263" t="s">
        <v>30</v>
      </c>
    </row>
    <row r="1264" spans="1:21" x14ac:dyDescent="0.35">
      <c r="A1264" t="s">
        <v>1343</v>
      </c>
      <c r="B1264" s="1">
        <v>46208</v>
      </c>
      <c r="C1264" t="str">
        <f>TEXT(tblData[[#This Row],[Rental Date]],"mmm")</f>
        <v>Jul</v>
      </c>
      <c r="D1264" t="str">
        <f>TEXT(tblData[[#This Row],[Rental Date]],"mmmm")</f>
        <v>July</v>
      </c>
      <c r="E1264" t="s">
        <v>68</v>
      </c>
      <c r="F1264" t="str">
        <f>TEXT(WEEKNUM(tblData[[#This Row],[Rental Date]]),"00")</f>
        <v>28</v>
      </c>
      <c r="G1264" s="1">
        <f>EOMONTH(tblData[[#This Row],[Rental Date]],0)</f>
        <v>46234</v>
      </c>
      <c r="H1264" t="s">
        <v>749</v>
      </c>
      <c r="I1264" t="s">
        <v>39</v>
      </c>
      <c r="J1264" t="s">
        <v>44</v>
      </c>
      <c r="K1264" t="s">
        <v>60</v>
      </c>
      <c r="L1264">
        <v>1</v>
      </c>
      <c r="M1264" s="2">
        <v>45.9</v>
      </c>
      <c r="N1264" t="s">
        <v>26</v>
      </c>
      <c r="O1264" s="3">
        <v>0</v>
      </c>
      <c r="P1264" s="3">
        <v>0</v>
      </c>
      <c r="Q1264" s="2">
        <v>45.9</v>
      </c>
      <c r="R1264" t="s">
        <v>76</v>
      </c>
      <c r="S1264" t="s">
        <v>46</v>
      </c>
      <c r="T1264" t="s">
        <v>51</v>
      </c>
      <c r="U1264" t="s">
        <v>30</v>
      </c>
    </row>
    <row r="1265" spans="1:21" x14ac:dyDescent="0.35">
      <c r="A1265" t="s">
        <v>1344</v>
      </c>
      <c r="B1265" s="1">
        <v>46208</v>
      </c>
      <c r="C1265" t="str">
        <f>TEXT(tblData[[#This Row],[Rental Date]],"mmm")</f>
        <v>Jul</v>
      </c>
      <c r="D1265" t="str">
        <f>TEXT(tblData[[#This Row],[Rental Date]],"mmmm")</f>
        <v>July</v>
      </c>
      <c r="E1265" t="s">
        <v>68</v>
      </c>
      <c r="F1265" t="str">
        <f>TEXT(WEEKNUM(tblData[[#This Row],[Rental Date]]),"00")</f>
        <v>28</v>
      </c>
      <c r="G1265" s="1">
        <f>EOMONTH(tblData[[#This Row],[Rental Date]],0)</f>
        <v>46234</v>
      </c>
      <c r="H1265" t="s">
        <v>749</v>
      </c>
      <c r="I1265" t="s">
        <v>48</v>
      </c>
      <c r="J1265" t="s">
        <v>78</v>
      </c>
      <c r="K1265" t="s">
        <v>92</v>
      </c>
      <c r="L1265">
        <v>1</v>
      </c>
      <c r="M1265" s="2">
        <v>118.8</v>
      </c>
      <c r="N1265" t="s">
        <v>26</v>
      </c>
      <c r="O1265" s="3">
        <v>0</v>
      </c>
      <c r="P1265" s="3">
        <v>0</v>
      </c>
      <c r="Q1265" s="2">
        <v>118.8</v>
      </c>
      <c r="R1265" t="s">
        <v>66</v>
      </c>
      <c r="S1265" t="s">
        <v>28</v>
      </c>
      <c r="T1265" t="s">
        <v>83</v>
      </c>
      <c r="U1265" t="s">
        <v>30</v>
      </c>
    </row>
    <row r="1266" spans="1:21" x14ac:dyDescent="0.35">
      <c r="A1266" t="s">
        <v>1345</v>
      </c>
      <c r="B1266" s="1">
        <v>46208</v>
      </c>
      <c r="C1266" t="str">
        <f>TEXT(tblData[[#This Row],[Rental Date]],"mmm")</f>
        <v>Jul</v>
      </c>
      <c r="D1266" t="str">
        <f>TEXT(tblData[[#This Row],[Rental Date]],"mmmm")</f>
        <v>July</v>
      </c>
      <c r="E1266" t="s">
        <v>68</v>
      </c>
      <c r="F1266" t="str">
        <f>TEXT(WEEKNUM(tblData[[#This Row],[Rental Date]]),"00")</f>
        <v>28</v>
      </c>
      <c r="G1266" s="1">
        <f>EOMONTH(tblData[[#This Row],[Rental Date]],0)</f>
        <v>46234</v>
      </c>
      <c r="H1266" t="s">
        <v>749</v>
      </c>
      <c r="I1266" t="s">
        <v>48</v>
      </c>
      <c r="J1266" t="s">
        <v>49</v>
      </c>
      <c r="K1266" t="s">
        <v>60</v>
      </c>
      <c r="L1266">
        <v>1</v>
      </c>
      <c r="M1266" s="2">
        <v>29.7</v>
      </c>
      <c r="N1266" t="s">
        <v>26</v>
      </c>
      <c r="O1266" s="3">
        <v>0</v>
      </c>
      <c r="P1266" s="3">
        <v>0</v>
      </c>
      <c r="Q1266" s="2">
        <v>29.7</v>
      </c>
      <c r="R1266" t="s">
        <v>66</v>
      </c>
      <c r="S1266" t="s">
        <v>35</v>
      </c>
      <c r="T1266" t="s">
        <v>63</v>
      </c>
      <c r="U1266" t="s">
        <v>58</v>
      </c>
    </row>
    <row r="1267" spans="1:21" x14ac:dyDescent="0.35">
      <c r="A1267" t="s">
        <v>1346</v>
      </c>
      <c r="B1267" s="1">
        <v>46208</v>
      </c>
      <c r="C1267" t="str">
        <f>TEXT(tblData[[#This Row],[Rental Date]],"mmm")</f>
        <v>Jul</v>
      </c>
      <c r="D1267" t="str">
        <f>TEXT(tblData[[#This Row],[Rental Date]],"mmmm")</f>
        <v>July</v>
      </c>
      <c r="E1267" t="s">
        <v>68</v>
      </c>
      <c r="F1267" t="str">
        <f>TEXT(WEEKNUM(tblData[[#This Row],[Rental Date]]),"00")</f>
        <v>28</v>
      </c>
      <c r="G1267" s="1">
        <f>EOMONTH(tblData[[#This Row],[Rental Date]],0)</f>
        <v>46234</v>
      </c>
      <c r="H1267" t="s">
        <v>749</v>
      </c>
      <c r="I1267" t="s">
        <v>48</v>
      </c>
      <c r="J1267" t="s">
        <v>127</v>
      </c>
      <c r="K1267" t="s">
        <v>92</v>
      </c>
      <c r="L1267">
        <v>1</v>
      </c>
      <c r="M1267" s="2">
        <v>45.9</v>
      </c>
      <c r="N1267" t="s">
        <v>26</v>
      </c>
      <c r="O1267" s="3">
        <v>0</v>
      </c>
      <c r="P1267" s="3">
        <v>0</v>
      </c>
      <c r="Q1267" s="2">
        <v>45.9</v>
      </c>
      <c r="R1267" t="s">
        <v>71</v>
      </c>
      <c r="S1267" t="s">
        <v>50</v>
      </c>
      <c r="T1267" t="s">
        <v>51</v>
      </c>
      <c r="U1267" t="s">
        <v>30</v>
      </c>
    </row>
    <row r="1268" spans="1:21" x14ac:dyDescent="0.35">
      <c r="A1268" t="s">
        <v>1347</v>
      </c>
      <c r="B1268" s="1">
        <v>46208</v>
      </c>
      <c r="C1268" t="str">
        <f>TEXT(tblData[[#This Row],[Rental Date]],"mmm")</f>
        <v>Jul</v>
      </c>
      <c r="D1268" t="str">
        <f>TEXT(tblData[[#This Row],[Rental Date]],"mmmm")</f>
        <v>July</v>
      </c>
      <c r="E1268" t="s">
        <v>68</v>
      </c>
      <c r="F1268" t="str">
        <f>TEXT(WEEKNUM(tblData[[#This Row],[Rental Date]]),"00")</f>
        <v>28</v>
      </c>
      <c r="G1268" s="1">
        <f>EOMONTH(tblData[[#This Row],[Rental Date]],0)</f>
        <v>46234</v>
      </c>
      <c r="H1268" t="s">
        <v>749</v>
      </c>
      <c r="I1268" t="s">
        <v>48</v>
      </c>
      <c r="J1268" t="s">
        <v>111</v>
      </c>
      <c r="K1268" t="s">
        <v>60</v>
      </c>
      <c r="L1268">
        <v>1</v>
      </c>
      <c r="M1268" s="2">
        <v>18.899999999999999</v>
      </c>
      <c r="N1268" t="s">
        <v>61</v>
      </c>
      <c r="O1268" s="3">
        <v>8</v>
      </c>
      <c r="P1268" s="3">
        <v>0</v>
      </c>
      <c r="Q1268" s="2">
        <v>26.9</v>
      </c>
      <c r="R1268" t="s">
        <v>94</v>
      </c>
      <c r="S1268" t="s">
        <v>46</v>
      </c>
      <c r="T1268" t="s">
        <v>51</v>
      </c>
      <c r="U1268" t="s">
        <v>30</v>
      </c>
    </row>
    <row r="1269" spans="1:21" x14ac:dyDescent="0.35">
      <c r="A1269" t="s">
        <v>1348</v>
      </c>
      <c r="B1269" s="1">
        <v>46208</v>
      </c>
      <c r="C1269" t="str">
        <f>TEXT(tblData[[#This Row],[Rental Date]],"mmm")</f>
        <v>Jul</v>
      </c>
      <c r="D1269" t="str">
        <f>TEXT(tblData[[#This Row],[Rental Date]],"mmmm")</f>
        <v>July</v>
      </c>
      <c r="E1269" t="s">
        <v>68</v>
      </c>
      <c r="F1269" t="str">
        <f>TEXT(WEEKNUM(tblData[[#This Row],[Rental Date]]),"00")</f>
        <v>28</v>
      </c>
      <c r="G1269" s="1">
        <f>EOMONTH(tblData[[#This Row],[Rental Date]],0)</f>
        <v>46234</v>
      </c>
      <c r="H1269" t="s">
        <v>749</v>
      </c>
      <c r="I1269" t="s">
        <v>23</v>
      </c>
      <c r="J1269" t="s">
        <v>33</v>
      </c>
      <c r="K1269" t="s">
        <v>92</v>
      </c>
      <c r="L1269">
        <v>1</v>
      </c>
      <c r="M1269" s="2">
        <v>113.4</v>
      </c>
      <c r="N1269" t="s">
        <v>61</v>
      </c>
      <c r="O1269" s="3">
        <v>8</v>
      </c>
      <c r="P1269" s="3">
        <v>0</v>
      </c>
      <c r="Q1269" s="2">
        <v>121.4</v>
      </c>
      <c r="R1269" t="s">
        <v>62</v>
      </c>
      <c r="S1269" t="s">
        <v>46</v>
      </c>
      <c r="T1269" t="s">
        <v>29</v>
      </c>
      <c r="U1269" t="s">
        <v>30</v>
      </c>
    </row>
    <row r="1270" spans="1:21" x14ac:dyDescent="0.35">
      <c r="A1270" t="s">
        <v>1349</v>
      </c>
      <c r="B1270" s="1">
        <v>46208</v>
      </c>
      <c r="C1270" t="str">
        <f>TEXT(tblData[[#This Row],[Rental Date]],"mmm")</f>
        <v>Jul</v>
      </c>
      <c r="D1270" t="str">
        <f>TEXT(tblData[[#This Row],[Rental Date]],"mmmm")</f>
        <v>July</v>
      </c>
      <c r="E1270" t="s">
        <v>68</v>
      </c>
      <c r="F1270" t="str">
        <f>TEXT(WEEKNUM(tblData[[#This Row],[Rental Date]]),"00")</f>
        <v>28</v>
      </c>
      <c r="G1270" s="1">
        <f>EOMONTH(tblData[[#This Row],[Rental Date]],0)</f>
        <v>46234</v>
      </c>
      <c r="H1270" t="s">
        <v>749</v>
      </c>
      <c r="I1270" t="s">
        <v>53</v>
      </c>
      <c r="J1270" t="s">
        <v>111</v>
      </c>
      <c r="K1270" t="s">
        <v>60</v>
      </c>
      <c r="L1270">
        <v>1</v>
      </c>
      <c r="M1270" s="2">
        <v>18.899999999999999</v>
      </c>
      <c r="N1270" t="s">
        <v>61</v>
      </c>
      <c r="O1270" s="3">
        <v>8</v>
      </c>
      <c r="P1270" s="3">
        <v>4.03</v>
      </c>
      <c r="Q1270" s="2">
        <v>22.87</v>
      </c>
      <c r="R1270" t="s">
        <v>62</v>
      </c>
      <c r="S1270" t="s">
        <v>54</v>
      </c>
      <c r="T1270" t="s">
        <v>63</v>
      </c>
      <c r="U1270" t="s">
        <v>30</v>
      </c>
    </row>
    <row r="1271" spans="1:21" x14ac:dyDescent="0.35">
      <c r="A1271" t="s">
        <v>1350</v>
      </c>
      <c r="B1271" s="1">
        <v>46208</v>
      </c>
      <c r="C1271" t="str">
        <f>TEXT(tblData[[#This Row],[Rental Date]],"mmm")</f>
        <v>Jul</v>
      </c>
      <c r="D1271" t="str">
        <f>TEXT(tblData[[#This Row],[Rental Date]],"mmmm")</f>
        <v>July</v>
      </c>
      <c r="E1271" t="s">
        <v>68</v>
      </c>
      <c r="F1271" t="str">
        <f>TEXT(WEEKNUM(tblData[[#This Row],[Rental Date]]),"00")</f>
        <v>28</v>
      </c>
      <c r="G1271" s="1">
        <f>EOMONTH(tblData[[#This Row],[Rental Date]],0)</f>
        <v>46234</v>
      </c>
      <c r="H1271" t="s">
        <v>749</v>
      </c>
      <c r="I1271" t="s">
        <v>39</v>
      </c>
      <c r="J1271" t="s">
        <v>138</v>
      </c>
      <c r="K1271" t="s">
        <v>40</v>
      </c>
      <c r="L1271">
        <v>1</v>
      </c>
      <c r="M1271" s="2">
        <v>97.2</v>
      </c>
      <c r="N1271" t="s">
        <v>26</v>
      </c>
      <c r="O1271" s="3">
        <v>0</v>
      </c>
      <c r="P1271" s="3">
        <v>0</v>
      </c>
      <c r="Q1271" s="2">
        <v>97.2</v>
      </c>
      <c r="R1271" t="s">
        <v>42</v>
      </c>
      <c r="S1271" t="s">
        <v>50</v>
      </c>
      <c r="T1271" t="s">
        <v>63</v>
      </c>
      <c r="U1271" t="s">
        <v>30</v>
      </c>
    </row>
    <row r="1272" spans="1:21" x14ac:dyDescent="0.35">
      <c r="A1272" t="s">
        <v>1351</v>
      </c>
      <c r="B1272" s="1">
        <v>46208</v>
      </c>
      <c r="C1272" t="str">
        <f>TEXT(tblData[[#This Row],[Rental Date]],"mmm")</f>
        <v>Jul</v>
      </c>
      <c r="D1272" t="str">
        <f>TEXT(tblData[[#This Row],[Rental Date]],"mmmm")</f>
        <v>July</v>
      </c>
      <c r="E1272" t="s">
        <v>68</v>
      </c>
      <c r="F1272" t="str">
        <f>TEXT(WEEKNUM(tblData[[#This Row],[Rental Date]]),"00")</f>
        <v>28</v>
      </c>
      <c r="G1272" s="1">
        <f>EOMONTH(tblData[[#This Row],[Rental Date]],0)</f>
        <v>46234</v>
      </c>
      <c r="H1272" t="s">
        <v>749</v>
      </c>
      <c r="I1272" t="s">
        <v>23</v>
      </c>
      <c r="J1272" t="s">
        <v>127</v>
      </c>
      <c r="K1272" t="s">
        <v>60</v>
      </c>
      <c r="L1272">
        <v>1</v>
      </c>
      <c r="M1272" s="2">
        <v>13.5</v>
      </c>
      <c r="N1272" t="s">
        <v>75</v>
      </c>
      <c r="O1272" s="3">
        <v>12</v>
      </c>
      <c r="P1272" s="3">
        <v>0</v>
      </c>
      <c r="Q1272" s="2">
        <v>25.5</v>
      </c>
      <c r="R1272" t="s">
        <v>71</v>
      </c>
      <c r="S1272" t="s">
        <v>54</v>
      </c>
      <c r="T1272" t="s">
        <v>29</v>
      </c>
      <c r="U1272" t="s">
        <v>30</v>
      </c>
    </row>
    <row r="1273" spans="1:21" x14ac:dyDescent="0.35">
      <c r="A1273" t="s">
        <v>1352</v>
      </c>
      <c r="B1273" s="1">
        <v>46208</v>
      </c>
      <c r="C1273" t="str">
        <f>TEXT(tblData[[#This Row],[Rental Date]],"mmm")</f>
        <v>Jul</v>
      </c>
      <c r="D1273" t="str">
        <f>TEXT(tblData[[#This Row],[Rental Date]],"mmmm")</f>
        <v>July</v>
      </c>
      <c r="E1273" t="s">
        <v>68</v>
      </c>
      <c r="F1273" t="str">
        <f>TEXT(WEEKNUM(tblData[[#This Row],[Rental Date]]),"00")</f>
        <v>28</v>
      </c>
      <c r="G1273" s="1">
        <f>EOMONTH(tblData[[#This Row],[Rental Date]],0)</f>
        <v>46234</v>
      </c>
      <c r="H1273" t="s">
        <v>749</v>
      </c>
      <c r="I1273" t="s">
        <v>48</v>
      </c>
      <c r="J1273" t="s">
        <v>24</v>
      </c>
      <c r="K1273" t="s">
        <v>60</v>
      </c>
      <c r="L1273">
        <v>1</v>
      </c>
      <c r="M1273" s="2">
        <v>43.2</v>
      </c>
      <c r="N1273" t="s">
        <v>89</v>
      </c>
      <c r="O1273" s="3">
        <v>6</v>
      </c>
      <c r="P1273" s="3">
        <v>2.46</v>
      </c>
      <c r="Q1273" s="2">
        <v>46.74</v>
      </c>
      <c r="R1273" t="s">
        <v>76</v>
      </c>
      <c r="S1273" t="s">
        <v>28</v>
      </c>
      <c r="T1273" t="s">
        <v>51</v>
      </c>
      <c r="U1273" t="s">
        <v>30</v>
      </c>
    </row>
    <row r="1274" spans="1:21" x14ac:dyDescent="0.35">
      <c r="A1274" t="s">
        <v>1353</v>
      </c>
      <c r="B1274" s="1">
        <v>46208</v>
      </c>
      <c r="C1274" t="str">
        <f>TEXT(tblData[[#This Row],[Rental Date]],"mmm")</f>
        <v>Jul</v>
      </c>
      <c r="D1274" t="str">
        <f>TEXT(tblData[[#This Row],[Rental Date]],"mmmm")</f>
        <v>July</v>
      </c>
      <c r="E1274" t="s">
        <v>68</v>
      </c>
      <c r="F1274" t="str">
        <f>TEXT(WEEKNUM(tblData[[#This Row],[Rental Date]]),"00")</f>
        <v>28</v>
      </c>
      <c r="G1274" s="1">
        <f>EOMONTH(tblData[[#This Row],[Rental Date]],0)</f>
        <v>46234</v>
      </c>
      <c r="H1274" t="s">
        <v>749</v>
      </c>
      <c r="I1274" t="s">
        <v>32</v>
      </c>
      <c r="J1274" t="s">
        <v>138</v>
      </c>
      <c r="K1274" t="s">
        <v>92</v>
      </c>
      <c r="L1274">
        <v>1</v>
      </c>
      <c r="M1274" s="2">
        <v>140.4</v>
      </c>
      <c r="N1274" t="s">
        <v>26</v>
      </c>
      <c r="O1274" s="3">
        <v>0</v>
      </c>
      <c r="P1274" s="3">
        <v>0</v>
      </c>
      <c r="Q1274" s="2">
        <v>140.4</v>
      </c>
      <c r="R1274" t="s">
        <v>34</v>
      </c>
      <c r="S1274" t="s">
        <v>50</v>
      </c>
      <c r="T1274" t="s">
        <v>63</v>
      </c>
      <c r="U1274" t="s">
        <v>30</v>
      </c>
    </row>
    <row r="1275" spans="1:21" x14ac:dyDescent="0.35">
      <c r="A1275" t="s">
        <v>1354</v>
      </c>
      <c r="B1275" s="1">
        <v>46208</v>
      </c>
      <c r="C1275" t="str">
        <f>TEXT(tblData[[#This Row],[Rental Date]],"mmm")</f>
        <v>Jul</v>
      </c>
      <c r="D1275" t="str">
        <f>TEXT(tblData[[#This Row],[Rental Date]],"mmmm")</f>
        <v>July</v>
      </c>
      <c r="E1275" t="s">
        <v>68</v>
      </c>
      <c r="F1275" t="str">
        <f>TEXT(WEEKNUM(tblData[[#This Row],[Rental Date]]),"00")</f>
        <v>28</v>
      </c>
      <c r="G1275" s="1">
        <f>EOMONTH(tblData[[#This Row],[Rental Date]],0)</f>
        <v>46234</v>
      </c>
      <c r="H1275" t="s">
        <v>749</v>
      </c>
      <c r="I1275" t="s">
        <v>39</v>
      </c>
      <c r="J1275" t="s">
        <v>78</v>
      </c>
      <c r="K1275" t="s">
        <v>25</v>
      </c>
      <c r="L1275">
        <v>1</v>
      </c>
      <c r="M1275" s="2">
        <v>56.7</v>
      </c>
      <c r="N1275" t="s">
        <v>61</v>
      </c>
      <c r="O1275" s="3">
        <v>8</v>
      </c>
      <c r="P1275" s="3">
        <v>0</v>
      </c>
      <c r="Q1275" s="2">
        <v>64.7</v>
      </c>
      <c r="R1275" t="s">
        <v>71</v>
      </c>
      <c r="S1275" t="s">
        <v>28</v>
      </c>
      <c r="T1275" t="s">
        <v>29</v>
      </c>
      <c r="U1275" t="s">
        <v>30</v>
      </c>
    </row>
    <row r="1276" spans="1:21" x14ac:dyDescent="0.35">
      <c r="A1276" t="s">
        <v>1355</v>
      </c>
      <c r="B1276" s="1">
        <v>46208</v>
      </c>
      <c r="C1276" t="str">
        <f>TEXT(tblData[[#This Row],[Rental Date]],"mmm")</f>
        <v>Jul</v>
      </c>
      <c r="D1276" t="str">
        <f>TEXT(tblData[[#This Row],[Rental Date]],"mmmm")</f>
        <v>July</v>
      </c>
      <c r="E1276" t="s">
        <v>68</v>
      </c>
      <c r="F1276" t="str">
        <f>TEXT(WEEKNUM(tblData[[#This Row],[Rental Date]]),"00")</f>
        <v>28</v>
      </c>
      <c r="G1276" s="1">
        <f>EOMONTH(tblData[[#This Row],[Rental Date]],0)</f>
        <v>46234</v>
      </c>
      <c r="H1276" t="s">
        <v>749</v>
      </c>
      <c r="I1276" t="s">
        <v>48</v>
      </c>
      <c r="J1276" t="s">
        <v>78</v>
      </c>
      <c r="K1276" t="s">
        <v>60</v>
      </c>
      <c r="L1276">
        <v>1</v>
      </c>
      <c r="M1276" s="2">
        <v>35.1</v>
      </c>
      <c r="N1276" t="s">
        <v>75</v>
      </c>
      <c r="O1276" s="3">
        <v>12</v>
      </c>
      <c r="P1276" s="3">
        <v>0</v>
      </c>
      <c r="Q1276" s="2">
        <v>47.1</v>
      </c>
      <c r="R1276" t="s">
        <v>66</v>
      </c>
      <c r="S1276" t="s">
        <v>28</v>
      </c>
      <c r="T1276" t="s">
        <v>63</v>
      </c>
      <c r="U1276" t="s">
        <v>36</v>
      </c>
    </row>
    <row r="1277" spans="1:21" x14ac:dyDescent="0.35">
      <c r="A1277" t="s">
        <v>1356</v>
      </c>
      <c r="B1277" s="1">
        <v>46208</v>
      </c>
      <c r="C1277" t="str">
        <f>TEXT(tblData[[#This Row],[Rental Date]],"mmm")</f>
        <v>Jul</v>
      </c>
      <c r="D1277" t="str">
        <f>TEXT(tblData[[#This Row],[Rental Date]],"mmmm")</f>
        <v>July</v>
      </c>
      <c r="E1277" t="s">
        <v>68</v>
      </c>
      <c r="F1277" t="str">
        <f>TEXT(WEEKNUM(tblData[[#This Row],[Rental Date]]),"00")</f>
        <v>28</v>
      </c>
      <c r="G1277" s="1">
        <f>EOMONTH(tblData[[#This Row],[Rental Date]],0)</f>
        <v>46234</v>
      </c>
      <c r="H1277" t="s">
        <v>749</v>
      </c>
      <c r="I1277" t="s">
        <v>53</v>
      </c>
      <c r="J1277" t="s">
        <v>44</v>
      </c>
      <c r="K1277" t="s">
        <v>40</v>
      </c>
      <c r="L1277">
        <v>1</v>
      </c>
      <c r="M1277" s="2">
        <v>105.3</v>
      </c>
      <c r="N1277" t="s">
        <v>70</v>
      </c>
      <c r="O1277" s="3">
        <v>7</v>
      </c>
      <c r="P1277" s="3">
        <v>16.84</v>
      </c>
      <c r="Q1277" s="2">
        <v>95.46</v>
      </c>
      <c r="R1277" t="s">
        <v>62</v>
      </c>
      <c r="S1277" t="s">
        <v>28</v>
      </c>
      <c r="T1277" t="s">
        <v>63</v>
      </c>
      <c r="U1277" t="s">
        <v>30</v>
      </c>
    </row>
    <row r="1278" spans="1:21" x14ac:dyDescent="0.35">
      <c r="A1278" t="s">
        <v>1357</v>
      </c>
      <c r="B1278" s="1">
        <v>46208</v>
      </c>
      <c r="C1278" t="str">
        <f>TEXT(tblData[[#This Row],[Rental Date]],"mmm")</f>
        <v>Jul</v>
      </c>
      <c r="D1278" t="str">
        <f>TEXT(tblData[[#This Row],[Rental Date]],"mmmm")</f>
        <v>July</v>
      </c>
      <c r="E1278" t="s">
        <v>68</v>
      </c>
      <c r="F1278" t="str">
        <f>TEXT(WEEKNUM(tblData[[#This Row],[Rental Date]]),"00")</f>
        <v>28</v>
      </c>
      <c r="G1278" s="1">
        <f>EOMONTH(tblData[[#This Row],[Rental Date]],0)</f>
        <v>46234</v>
      </c>
      <c r="H1278" t="s">
        <v>749</v>
      </c>
      <c r="I1278" t="s">
        <v>48</v>
      </c>
      <c r="J1278" t="s">
        <v>33</v>
      </c>
      <c r="K1278" t="s">
        <v>60</v>
      </c>
      <c r="L1278">
        <v>1</v>
      </c>
      <c r="M1278" s="2">
        <v>32.4</v>
      </c>
      <c r="N1278" t="s">
        <v>26</v>
      </c>
      <c r="O1278" s="3">
        <v>0</v>
      </c>
      <c r="P1278" s="3">
        <v>0</v>
      </c>
      <c r="Q1278" s="2">
        <v>32.4</v>
      </c>
      <c r="R1278" t="s">
        <v>42</v>
      </c>
      <c r="S1278" t="s">
        <v>50</v>
      </c>
      <c r="T1278" t="s">
        <v>90</v>
      </c>
      <c r="U1278" t="s">
        <v>30</v>
      </c>
    </row>
    <row r="1279" spans="1:21" x14ac:dyDescent="0.35">
      <c r="A1279" t="s">
        <v>1358</v>
      </c>
      <c r="B1279" s="1">
        <v>46208</v>
      </c>
      <c r="C1279" t="str">
        <f>TEXT(tblData[[#This Row],[Rental Date]],"mmm")</f>
        <v>Jul</v>
      </c>
      <c r="D1279" t="str">
        <f>TEXT(tblData[[#This Row],[Rental Date]],"mmmm")</f>
        <v>July</v>
      </c>
      <c r="E1279" t="s">
        <v>68</v>
      </c>
      <c r="F1279" t="str">
        <f>TEXT(WEEKNUM(tblData[[#This Row],[Rental Date]]),"00")</f>
        <v>28</v>
      </c>
      <c r="G1279" s="1">
        <f>EOMONTH(tblData[[#This Row],[Rental Date]],0)</f>
        <v>46234</v>
      </c>
      <c r="H1279" t="s">
        <v>749</v>
      </c>
      <c r="I1279" t="s">
        <v>39</v>
      </c>
      <c r="J1279" t="s">
        <v>33</v>
      </c>
      <c r="K1279" t="s">
        <v>60</v>
      </c>
      <c r="L1279">
        <v>1</v>
      </c>
      <c r="M1279" s="2">
        <v>32.4</v>
      </c>
      <c r="N1279" t="s">
        <v>87</v>
      </c>
      <c r="O1279" s="3">
        <v>10</v>
      </c>
      <c r="P1279" s="3">
        <v>0</v>
      </c>
      <c r="Q1279" s="2">
        <v>42.4</v>
      </c>
      <c r="R1279" t="s">
        <v>57</v>
      </c>
      <c r="S1279" t="s">
        <v>35</v>
      </c>
      <c r="T1279" t="s">
        <v>29</v>
      </c>
      <c r="U1279" t="s">
        <v>30</v>
      </c>
    </row>
    <row r="1280" spans="1:21" x14ac:dyDescent="0.35">
      <c r="A1280" t="s">
        <v>1359</v>
      </c>
      <c r="B1280" s="1">
        <v>46208</v>
      </c>
      <c r="C1280" t="str">
        <f>TEXT(tblData[[#This Row],[Rental Date]],"mmm")</f>
        <v>Jul</v>
      </c>
      <c r="D1280" t="str">
        <f>TEXT(tblData[[#This Row],[Rental Date]],"mmmm")</f>
        <v>July</v>
      </c>
      <c r="E1280" t="s">
        <v>68</v>
      </c>
      <c r="F1280" t="str">
        <f>TEXT(WEEKNUM(tblData[[#This Row],[Rental Date]]),"00")</f>
        <v>28</v>
      </c>
      <c r="G1280" s="1">
        <f>EOMONTH(tblData[[#This Row],[Rental Date]],0)</f>
        <v>46234</v>
      </c>
      <c r="H1280" t="s">
        <v>749</v>
      </c>
      <c r="I1280" t="s">
        <v>39</v>
      </c>
      <c r="J1280" t="s">
        <v>138</v>
      </c>
      <c r="K1280" t="s">
        <v>25</v>
      </c>
      <c r="L1280">
        <v>1</v>
      </c>
      <c r="M1280" s="2">
        <v>64.8</v>
      </c>
      <c r="N1280" t="s">
        <v>87</v>
      </c>
      <c r="O1280" s="3">
        <v>10</v>
      </c>
      <c r="P1280" s="3">
        <v>0</v>
      </c>
      <c r="Q1280" s="2">
        <v>74.8</v>
      </c>
      <c r="R1280" t="s">
        <v>34</v>
      </c>
      <c r="S1280" t="s">
        <v>50</v>
      </c>
      <c r="T1280" t="s">
        <v>90</v>
      </c>
      <c r="U1280" t="s">
        <v>30</v>
      </c>
    </row>
    <row r="1281" spans="1:21" x14ac:dyDescent="0.35">
      <c r="A1281" t="s">
        <v>1360</v>
      </c>
      <c r="B1281" s="1">
        <v>46208</v>
      </c>
      <c r="C1281" t="str">
        <f>TEXT(tblData[[#This Row],[Rental Date]],"mmm")</f>
        <v>Jul</v>
      </c>
      <c r="D1281" t="str">
        <f>TEXT(tblData[[#This Row],[Rental Date]],"mmmm")</f>
        <v>July</v>
      </c>
      <c r="E1281" t="s">
        <v>68</v>
      </c>
      <c r="F1281" t="str">
        <f>TEXT(WEEKNUM(tblData[[#This Row],[Rental Date]]),"00")</f>
        <v>28</v>
      </c>
      <c r="G1281" s="1">
        <f>EOMONTH(tblData[[#This Row],[Rental Date]],0)</f>
        <v>46234</v>
      </c>
      <c r="H1281" t="s">
        <v>749</v>
      </c>
      <c r="I1281" t="s">
        <v>48</v>
      </c>
      <c r="J1281" t="s">
        <v>24</v>
      </c>
      <c r="K1281" t="s">
        <v>25</v>
      </c>
      <c r="L1281">
        <v>1</v>
      </c>
      <c r="M1281" s="2">
        <v>67.5</v>
      </c>
      <c r="N1281" t="s">
        <v>26</v>
      </c>
      <c r="O1281" s="3">
        <v>0</v>
      </c>
      <c r="P1281" s="3">
        <v>0</v>
      </c>
      <c r="Q1281" s="2">
        <v>67.5</v>
      </c>
      <c r="R1281" t="s">
        <v>45</v>
      </c>
      <c r="S1281" t="s">
        <v>54</v>
      </c>
      <c r="T1281" t="s">
        <v>29</v>
      </c>
      <c r="U1281" t="s">
        <v>30</v>
      </c>
    </row>
    <row r="1282" spans="1:21" x14ac:dyDescent="0.35">
      <c r="A1282" t="s">
        <v>1361</v>
      </c>
      <c r="B1282" s="1">
        <v>46208</v>
      </c>
      <c r="C1282" t="str">
        <f>TEXT(tblData[[#This Row],[Rental Date]],"mmm")</f>
        <v>Jul</v>
      </c>
      <c r="D1282" t="str">
        <f>TEXT(tblData[[#This Row],[Rental Date]],"mmmm")</f>
        <v>July</v>
      </c>
      <c r="E1282" t="s">
        <v>68</v>
      </c>
      <c r="F1282" t="str">
        <f>TEXT(WEEKNUM(tblData[[#This Row],[Rental Date]]),"00")</f>
        <v>28</v>
      </c>
      <c r="G1282" s="1">
        <f>EOMONTH(tblData[[#This Row],[Rental Date]],0)</f>
        <v>46234</v>
      </c>
      <c r="H1282" t="s">
        <v>749</v>
      </c>
      <c r="I1282" t="s">
        <v>48</v>
      </c>
      <c r="J1282" t="s">
        <v>65</v>
      </c>
      <c r="K1282" t="s">
        <v>60</v>
      </c>
      <c r="L1282">
        <v>1</v>
      </c>
      <c r="M1282" s="2">
        <v>16.2</v>
      </c>
      <c r="N1282" t="s">
        <v>70</v>
      </c>
      <c r="O1282" s="3">
        <v>7</v>
      </c>
      <c r="P1282" s="3">
        <v>1.1599999999999999</v>
      </c>
      <c r="Q1282" s="2">
        <v>22.04</v>
      </c>
      <c r="R1282" t="s">
        <v>27</v>
      </c>
      <c r="S1282" t="s">
        <v>35</v>
      </c>
      <c r="T1282" t="s">
        <v>51</v>
      </c>
      <c r="U1282" t="s">
        <v>30</v>
      </c>
    </row>
    <row r="1283" spans="1:21" x14ac:dyDescent="0.35">
      <c r="A1283" t="s">
        <v>1362</v>
      </c>
      <c r="B1283" s="1">
        <v>46208</v>
      </c>
      <c r="C1283" t="str">
        <f>TEXT(tblData[[#This Row],[Rental Date]],"mmm")</f>
        <v>Jul</v>
      </c>
      <c r="D1283" t="str">
        <f>TEXT(tblData[[#This Row],[Rental Date]],"mmmm")</f>
        <v>July</v>
      </c>
      <c r="E1283" t="s">
        <v>68</v>
      </c>
      <c r="F1283" t="str">
        <f>TEXT(WEEKNUM(tblData[[#This Row],[Rental Date]]),"00")</f>
        <v>28</v>
      </c>
      <c r="G1283" s="1">
        <f>EOMONTH(tblData[[#This Row],[Rental Date]],0)</f>
        <v>46234</v>
      </c>
      <c r="H1283" t="s">
        <v>749</v>
      </c>
      <c r="I1283" t="s">
        <v>39</v>
      </c>
      <c r="J1283" t="s">
        <v>78</v>
      </c>
      <c r="K1283" t="s">
        <v>60</v>
      </c>
      <c r="L1283">
        <v>1</v>
      </c>
      <c r="M1283" s="2">
        <v>35.1</v>
      </c>
      <c r="N1283" t="s">
        <v>89</v>
      </c>
      <c r="O1283" s="3">
        <v>6</v>
      </c>
      <c r="P1283" s="3">
        <v>0</v>
      </c>
      <c r="Q1283" s="2">
        <v>41.1</v>
      </c>
      <c r="R1283" t="s">
        <v>62</v>
      </c>
      <c r="S1283" t="s">
        <v>46</v>
      </c>
      <c r="T1283" t="s">
        <v>29</v>
      </c>
      <c r="U1283" t="s">
        <v>79</v>
      </c>
    </row>
    <row r="1284" spans="1:21" x14ac:dyDescent="0.35">
      <c r="A1284" t="s">
        <v>1363</v>
      </c>
      <c r="B1284" s="1">
        <v>46208</v>
      </c>
      <c r="C1284" t="str">
        <f>TEXT(tblData[[#This Row],[Rental Date]],"mmm")</f>
        <v>Jul</v>
      </c>
      <c r="D1284" t="str">
        <f>TEXT(tblData[[#This Row],[Rental Date]],"mmmm")</f>
        <v>July</v>
      </c>
      <c r="E1284" t="s">
        <v>68</v>
      </c>
      <c r="F1284" t="str">
        <f>TEXT(WEEKNUM(tblData[[#This Row],[Rental Date]]),"00")</f>
        <v>28</v>
      </c>
      <c r="G1284" s="1">
        <f>EOMONTH(tblData[[#This Row],[Rental Date]],0)</f>
        <v>46234</v>
      </c>
      <c r="H1284" t="s">
        <v>749</v>
      </c>
      <c r="I1284" t="s">
        <v>32</v>
      </c>
      <c r="J1284" t="s">
        <v>111</v>
      </c>
      <c r="K1284" t="s">
        <v>60</v>
      </c>
      <c r="L1284">
        <v>1</v>
      </c>
      <c r="M1284" s="2">
        <v>18.899999999999999</v>
      </c>
      <c r="N1284" t="s">
        <v>26</v>
      </c>
      <c r="O1284" s="3">
        <v>0</v>
      </c>
      <c r="P1284" s="3">
        <v>1.89</v>
      </c>
      <c r="Q1284" s="2">
        <v>17.010000000000002</v>
      </c>
      <c r="R1284" t="s">
        <v>76</v>
      </c>
      <c r="S1284" t="s">
        <v>46</v>
      </c>
      <c r="T1284" t="s">
        <v>63</v>
      </c>
      <c r="U1284" t="s">
        <v>58</v>
      </c>
    </row>
    <row r="1285" spans="1:21" x14ac:dyDescent="0.35">
      <c r="A1285" t="s">
        <v>1364</v>
      </c>
      <c r="B1285" s="1">
        <v>46208</v>
      </c>
      <c r="C1285" t="str">
        <f>TEXT(tblData[[#This Row],[Rental Date]],"mmm")</f>
        <v>Jul</v>
      </c>
      <c r="D1285" t="str">
        <f>TEXT(tblData[[#This Row],[Rental Date]],"mmmm")</f>
        <v>July</v>
      </c>
      <c r="E1285" t="s">
        <v>68</v>
      </c>
      <c r="F1285" t="str">
        <f>TEXT(WEEKNUM(tblData[[#This Row],[Rental Date]]),"00")</f>
        <v>28</v>
      </c>
      <c r="G1285" s="1">
        <f>EOMONTH(tblData[[#This Row],[Rental Date]],0)</f>
        <v>46234</v>
      </c>
      <c r="H1285" t="s">
        <v>749</v>
      </c>
      <c r="I1285" t="s">
        <v>39</v>
      </c>
      <c r="J1285" t="s">
        <v>111</v>
      </c>
      <c r="K1285" t="s">
        <v>60</v>
      </c>
      <c r="L1285">
        <v>1</v>
      </c>
      <c r="M1285" s="2">
        <v>18.899999999999999</v>
      </c>
      <c r="N1285" t="s">
        <v>41</v>
      </c>
      <c r="O1285" s="3">
        <v>5</v>
      </c>
      <c r="P1285" s="3">
        <v>0</v>
      </c>
      <c r="Q1285" s="2">
        <v>23.9</v>
      </c>
      <c r="R1285" t="s">
        <v>34</v>
      </c>
      <c r="S1285" t="s">
        <v>46</v>
      </c>
      <c r="T1285" t="s">
        <v>51</v>
      </c>
      <c r="U1285" t="s">
        <v>30</v>
      </c>
    </row>
    <row r="1286" spans="1:21" x14ac:dyDescent="0.35">
      <c r="A1286" t="s">
        <v>1365</v>
      </c>
      <c r="B1286" s="1">
        <v>46208</v>
      </c>
      <c r="C1286" t="str">
        <f>TEXT(tblData[[#This Row],[Rental Date]],"mmm")</f>
        <v>Jul</v>
      </c>
      <c r="D1286" t="str">
        <f>TEXT(tblData[[#This Row],[Rental Date]],"mmmm")</f>
        <v>July</v>
      </c>
      <c r="E1286" t="s">
        <v>68</v>
      </c>
      <c r="F1286" t="str">
        <f>TEXT(WEEKNUM(tblData[[#This Row],[Rental Date]]),"00")</f>
        <v>28</v>
      </c>
      <c r="G1286" s="1">
        <f>EOMONTH(tblData[[#This Row],[Rental Date]],0)</f>
        <v>46234</v>
      </c>
      <c r="H1286" t="s">
        <v>749</v>
      </c>
      <c r="I1286" t="s">
        <v>39</v>
      </c>
      <c r="J1286" t="s">
        <v>78</v>
      </c>
      <c r="K1286" t="s">
        <v>25</v>
      </c>
      <c r="L1286">
        <v>1</v>
      </c>
      <c r="M1286" s="2">
        <v>56.7</v>
      </c>
      <c r="N1286" t="s">
        <v>87</v>
      </c>
      <c r="O1286" s="3">
        <v>10</v>
      </c>
      <c r="P1286" s="3">
        <v>0</v>
      </c>
      <c r="Q1286" s="2">
        <v>66.7</v>
      </c>
      <c r="R1286" t="s">
        <v>57</v>
      </c>
      <c r="S1286" t="s">
        <v>50</v>
      </c>
      <c r="T1286" t="s">
        <v>29</v>
      </c>
      <c r="U1286" t="s">
        <v>30</v>
      </c>
    </row>
    <row r="1287" spans="1:21" x14ac:dyDescent="0.35">
      <c r="A1287" t="s">
        <v>1366</v>
      </c>
      <c r="B1287" s="1">
        <v>46208</v>
      </c>
      <c r="C1287" t="str">
        <f>TEXT(tblData[[#This Row],[Rental Date]],"mmm")</f>
        <v>Jul</v>
      </c>
      <c r="D1287" t="str">
        <f>TEXT(tblData[[#This Row],[Rental Date]],"mmmm")</f>
        <v>July</v>
      </c>
      <c r="E1287" t="s">
        <v>68</v>
      </c>
      <c r="F1287" t="str">
        <f>TEXT(WEEKNUM(tblData[[#This Row],[Rental Date]]),"00")</f>
        <v>28</v>
      </c>
      <c r="G1287" s="1">
        <f>EOMONTH(tblData[[#This Row],[Rental Date]],0)</f>
        <v>46234</v>
      </c>
      <c r="H1287" t="s">
        <v>749</v>
      </c>
      <c r="I1287" t="s">
        <v>32</v>
      </c>
      <c r="J1287" t="s">
        <v>44</v>
      </c>
      <c r="K1287" t="s">
        <v>25</v>
      </c>
      <c r="L1287">
        <v>1</v>
      </c>
      <c r="M1287" s="2">
        <v>70.2</v>
      </c>
      <c r="N1287" t="s">
        <v>41</v>
      </c>
      <c r="O1287" s="3">
        <v>5</v>
      </c>
      <c r="P1287" s="3">
        <v>3.76</v>
      </c>
      <c r="Q1287" s="2">
        <v>71.44</v>
      </c>
      <c r="R1287" t="s">
        <v>76</v>
      </c>
      <c r="S1287" t="s">
        <v>54</v>
      </c>
      <c r="T1287" t="s">
        <v>29</v>
      </c>
      <c r="U1287" t="s">
        <v>30</v>
      </c>
    </row>
    <row r="1288" spans="1:21" x14ac:dyDescent="0.35">
      <c r="A1288" t="s">
        <v>1367</v>
      </c>
      <c r="B1288" s="1">
        <v>46208</v>
      </c>
      <c r="C1288" t="str">
        <f>TEXT(tblData[[#This Row],[Rental Date]],"mmm")</f>
        <v>Jul</v>
      </c>
      <c r="D1288" t="str">
        <f>TEXT(tblData[[#This Row],[Rental Date]],"mmmm")</f>
        <v>July</v>
      </c>
      <c r="E1288" t="s">
        <v>68</v>
      </c>
      <c r="F1288" t="str">
        <f>TEXT(WEEKNUM(tblData[[#This Row],[Rental Date]]),"00")</f>
        <v>28</v>
      </c>
      <c r="G1288" s="1">
        <f>EOMONTH(tblData[[#This Row],[Rental Date]],0)</f>
        <v>46234</v>
      </c>
      <c r="H1288" t="s">
        <v>749</v>
      </c>
      <c r="I1288" t="s">
        <v>23</v>
      </c>
      <c r="J1288" t="s">
        <v>49</v>
      </c>
      <c r="K1288" t="s">
        <v>40</v>
      </c>
      <c r="L1288">
        <v>1</v>
      </c>
      <c r="M1288" s="2">
        <v>72.900000000000006</v>
      </c>
      <c r="N1288" t="s">
        <v>89</v>
      </c>
      <c r="O1288" s="3">
        <v>6</v>
      </c>
      <c r="P1288" s="3">
        <v>0</v>
      </c>
      <c r="Q1288" s="2">
        <v>78.900000000000006</v>
      </c>
      <c r="R1288" t="s">
        <v>34</v>
      </c>
      <c r="S1288" t="s">
        <v>46</v>
      </c>
      <c r="T1288" t="s">
        <v>29</v>
      </c>
      <c r="U1288" t="s">
        <v>30</v>
      </c>
    </row>
    <row r="1289" spans="1:21" x14ac:dyDescent="0.35">
      <c r="A1289" t="s">
        <v>1368</v>
      </c>
      <c r="B1289" s="1">
        <v>46208</v>
      </c>
      <c r="C1289" t="str">
        <f>TEXT(tblData[[#This Row],[Rental Date]],"mmm")</f>
        <v>Jul</v>
      </c>
      <c r="D1289" t="str">
        <f>TEXT(tblData[[#This Row],[Rental Date]],"mmmm")</f>
        <v>July</v>
      </c>
      <c r="E1289" t="s">
        <v>68</v>
      </c>
      <c r="F1289" t="str">
        <f>TEXT(WEEKNUM(tblData[[#This Row],[Rental Date]]),"00")</f>
        <v>28</v>
      </c>
      <c r="G1289" s="1">
        <f>EOMONTH(tblData[[#This Row],[Rental Date]],0)</f>
        <v>46234</v>
      </c>
      <c r="H1289" t="s">
        <v>749</v>
      </c>
      <c r="I1289" t="s">
        <v>23</v>
      </c>
      <c r="J1289" t="s">
        <v>127</v>
      </c>
      <c r="K1289" t="s">
        <v>40</v>
      </c>
      <c r="L1289">
        <v>1</v>
      </c>
      <c r="M1289" s="2">
        <v>32.4</v>
      </c>
      <c r="N1289" t="s">
        <v>41</v>
      </c>
      <c r="O1289" s="3">
        <v>5</v>
      </c>
      <c r="P1289" s="3">
        <v>0</v>
      </c>
      <c r="Q1289" s="2">
        <v>37.4</v>
      </c>
      <c r="R1289" t="s">
        <v>57</v>
      </c>
      <c r="S1289" t="s">
        <v>35</v>
      </c>
      <c r="T1289" t="s">
        <v>51</v>
      </c>
      <c r="U1289" t="s">
        <v>30</v>
      </c>
    </row>
    <row r="1290" spans="1:21" x14ac:dyDescent="0.35">
      <c r="A1290" t="s">
        <v>1369</v>
      </c>
      <c r="B1290" s="1">
        <v>46208</v>
      </c>
      <c r="C1290" t="str">
        <f>TEXT(tblData[[#This Row],[Rental Date]],"mmm")</f>
        <v>Jul</v>
      </c>
      <c r="D1290" t="str">
        <f>TEXT(tblData[[#This Row],[Rental Date]],"mmmm")</f>
        <v>July</v>
      </c>
      <c r="E1290" t="s">
        <v>68</v>
      </c>
      <c r="F1290" t="str">
        <f>TEXT(WEEKNUM(tblData[[#This Row],[Rental Date]]),"00")</f>
        <v>28</v>
      </c>
      <c r="G1290" s="1">
        <f>EOMONTH(tblData[[#This Row],[Rental Date]],0)</f>
        <v>46234</v>
      </c>
      <c r="H1290" t="s">
        <v>749</v>
      </c>
      <c r="I1290" t="s">
        <v>48</v>
      </c>
      <c r="J1290" t="s">
        <v>111</v>
      </c>
      <c r="K1290" t="s">
        <v>40</v>
      </c>
      <c r="L1290">
        <v>1</v>
      </c>
      <c r="M1290" s="2">
        <v>45.9</v>
      </c>
      <c r="N1290" t="s">
        <v>26</v>
      </c>
      <c r="O1290" s="3">
        <v>0</v>
      </c>
      <c r="P1290" s="3">
        <v>0</v>
      </c>
      <c r="Q1290" s="2">
        <v>45.9</v>
      </c>
      <c r="R1290" t="s">
        <v>57</v>
      </c>
      <c r="S1290" t="s">
        <v>35</v>
      </c>
      <c r="T1290" t="s">
        <v>90</v>
      </c>
      <c r="U1290" t="s">
        <v>30</v>
      </c>
    </row>
    <row r="1291" spans="1:21" x14ac:dyDescent="0.35">
      <c r="A1291" t="s">
        <v>1370</v>
      </c>
      <c r="B1291" s="1">
        <v>46208</v>
      </c>
      <c r="C1291" t="str">
        <f>TEXT(tblData[[#This Row],[Rental Date]],"mmm")</f>
        <v>Jul</v>
      </c>
      <c r="D1291" t="str">
        <f>TEXT(tblData[[#This Row],[Rental Date]],"mmmm")</f>
        <v>July</v>
      </c>
      <c r="E1291" t="s">
        <v>68</v>
      </c>
      <c r="F1291" t="str">
        <f>TEXT(WEEKNUM(tblData[[#This Row],[Rental Date]]),"00")</f>
        <v>28</v>
      </c>
      <c r="G1291" s="1">
        <f>EOMONTH(tblData[[#This Row],[Rental Date]],0)</f>
        <v>46234</v>
      </c>
      <c r="H1291" t="s">
        <v>749</v>
      </c>
      <c r="I1291" t="s">
        <v>23</v>
      </c>
      <c r="J1291" t="s">
        <v>78</v>
      </c>
      <c r="K1291" t="s">
        <v>25</v>
      </c>
      <c r="L1291">
        <v>1</v>
      </c>
      <c r="M1291" s="2">
        <v>56.7</v>
      </c>
      <c r="N1291" t="s">
        <v>26</v>
      </c>
      <c r="O1291" s="3">
        <v>0</v>
      </c>
      <c r="P1291" s="3">
        <v>0</v>
      </c>
      <c r="Q1291" s="2">
        <v>56.7</v>
      </c>
      <c r="R1291" t="s">
        <v>76</v>
      </c>
      <c r="S1291" t="s">
        <v>46</v>
      </c>
      <c r="T1291" t="s">
        <v>29</v>
      </c>
      <c r="U1291" t="s">
        <v>30</v>
      </c>
    </row>
    <row r="1292" spans="1:21" x14ac:dyDescent="0.35">
      <c r="A1292" t="s">
        <v>1371</v>
      </c>
      <c r="B1292" s="1">
        <v>46209</v>
      </c>
      <c r="C1292" t="str">
        <f>TEXT(tblData[[#This Row],[Rental Date]],"mmm")</f>
        <v>Jul</v>
      </c>
      <c r="D1292" t="str">
        <f>TEXT(tblData[[#This Row],[Rental Date]],"mmmm")</f>
        <v>July</v>
      </c>
      <c r="E1292" t="s">
        <v>74</v>
      </c>
      <c r="F1292" t="str">
        <f>TEXT(WEEKNUM(tblData[[#This Row],[Rental Date]]),"00")</f>
        <v>28</v>
      </c>
      <c r="G1292" s="1">
        <f>EOMONTH(tblData[[#This Row],[Rental Date]],0)</f>
        <v>46234</v>
      </c>
      <c r="H1292" t="s">
        <v>749</v>
      </c>
      <c r="I1292" t="s">
        <v>48</v>
      </c>
      <c r="J1292" t="s">
        <v>111</v>
      </c>
      <c r="K1292" t="s">
        <v>92</v>
      </c>
      <c r="L1292">
        <v>1</v>
      </c>
      <c r="M1292" s="2">
        <v>53.76</v>
      </c>
      <c r="N1292" t="s">
        <v>89</v>
      </c>
      <c r="O1292" s="3">
        <v>6</v>
      </c>
      <c r="P1292" s="3">
        <v>0</v>
      </c>
      <c r="Q1292" s="2">
        <v>59.76</v>
      </c>
      <c r="R1292" t="s">
        <v>62</v>
      </c>
      <c r="S1292" t="s">
        <v>35</v>
      </c>
      <c r="T1292" t="s">
        <v>29</v>
      </c>
      <c r="U1292" t="s">
        <v>30</v>
      </c>
    </row>
    <row r="1293" spans="1:21" x14ac:dyDescent="0.35">
      <c r="A1293" t="s">
        <v>1372</v>
      </c>
      <c r="B1293" s="1">
        <v>46209</v>
      </c>
      <c r="C1293" t="str">
        <f>TEXT(tblData[[#This Row],[Rental Date]],"mmm")</f>
        <v>Jul</v>
      </c>
      <c r="D1293" t="str">
        <f>TEXT(tblData[[#This Row],[Rental Date]],"mmmm")</f>
        <v>July</v>
      </c>
      <c r="E1293" t="s">
        <v>74</v>
      </c>
      <c r="F1293" t="str">
        <f>TEXT(WEEKNUM(tblData[[#This Row],[Rental Date]]),"00")</f>
        <v>28</v>
      </c>
      <c r="G1293" s="1">
        <f>EOMONTH(tblData[[#This Row],[Rental Date]],0)</f>
        <v>46234</v>
      </c>
      <c r="H1293" t="s">
        <v>749</v>
      </c>
      <c r="I1293" t="s">
        <v>23</v>
      </c>
      <c r="J1293" t="s">
        <v>65</v>
      </c>
      <c r="K1293" t="s">
        <v>40</v>
      </c>
      <c r="L1293">
        <v>1</v>
      </c>
      <c r="M1293" s="2">
        <v>31.36</v>
      </c>
      <c r="N1293" t="s">
        <v>89</v>
      </c>
      <c r="O1293" s="3">
        <v>6</v>
      </c>
      <c r="P1293" s="3">
        <v>0</v>
      </c>
      <c r="Q1293" s="2">
        <v>37.36</v>
      </c>
      <c r="R1293" t="s">
        <v>62</v>
      </c>
      <c r="S1293" t="s">
        <v>28</v>
      </c>
      <c r="T1293" t="s">
        <v>29</v>
      </c>
      <c r="U1293" t="s">
        <v>30</v>
      </c>
    </row>
    <row r="1294" spans="1:21" x14ac:dyDescent="0.35">
      <c r="A1294" t="s">
        <v>1373</v>
      </c>
      <c r="B1294" s="1">
        <v>46209</v>
      </c>
      <c r="C1294" t="str">
        <f>TEXT(tblData[[#This Row],[Rental Date]],"mmm")</f>
        <v>Jul</v>
      </c>
      <c r="D1294" t="str">
        <f>TEXT(tblData[[#This Row],[Rental Date]],"mmmm")</f>
        <v>July</v>
      </c>
      <c r="E1294" t="s">
        <v>74</v>
      </c>
      <c r="F1294" t="str">
        <f>TEXT(WEEKNUM(tblData[[#This Row],[Rental Date]]),"00")</f>
        <v>28</v>
      </c>
      <c r="G1294" s="1">
        <f>EOMONTH(tblData[[#This Row],[Rental Date]],0)</f>
        <v>46234</v>
      </c>
      <c r="H1294" t="s">
        <v>749</v>
      </c>
      <c r="I1294" t="s">
        <v>23</v>
      </c>
      <c r="J1294" t="s">
        <v>78</v>
      </c>
      <c r="K1294" t="s">
        <v>60</v>
      </c>
      <c r="L1294">
        <v>1</v>
      </c>
      <c r="M1294" s="2">
        <v>29.12</v>
      </c>
      <c r="N1294" t="s">
        <v>89</v>
      </c>
      <c r="O1294" s="3">
        <v>6</v>
      </c>
      <c r="P1294" s="3">
        <v>0</v>
      </c>
      <c r="Q1294" s="2">
        <v>35.119999999999997</v>
      </c>
      <c r="R1294" t="s">
        <v>94</v>
      </c>
      <c r="S1294" t="s">
        <v>46</v>
      </c>
      <c r="T1294" t="s">
        <v>29</v>
      </c>
      <c r="U1294" t="s">
        <v>30</v>
      </c>
    </row>
    <row r="1295" spans="1:21" x14ac:dyDescent="0.35">
      <c r="A1295" t="s">
        <v>1374</v>
      </c>
      <c r="B1295" s="1">
        <v>46209</v>
      </c>
      <c r="C1295" t="str">
        <f>TEXT(tblData[[#This Row],[Rental Date]],"mmm")</f>
        <v>Jul</v>
      </c>
      <c r="D1295" t="str">
        <f>TEXT(tblData[[#This Row],[Rental Date]],"mmmm")</f>
        <v>July</v>
      </c>
      <c r="E1295" t="s">
        <v>74</v>
      </c>
      <c r="F1295" t="str">
        <f>TEXT(WEEKNUM(tblData[[#This Row],[Rental Date]]),"00")</f>
        <v>28</v>
      </c>
      <c r="G1295" s="1">
        <f>EOMONTH(tblData[[#This Row],[Rental Date]],0)</f>
        <v>46234</v>
      </c>
      <c r="H1295" t="s">
        <v>749</v>
      </c>
      <c r="I1295" t="s">
        <v>39</v>
      </c>
      <c r="J1295" t="s">
        <v>44</v>
      </c>
      <c r="K1295" t="s">
        <v>25</v>
      </c>
      <c r="L1295">
        <v>1</v>
      </c>
      <c r="M1295" s="2">
        <v>58.24</v>
      </c>
      <c r="N1295" t="s">
        <v>26</v>
      </c>
      <c r="O1295" s="3">
        <v>0</v>
      </c>
      <c r="P1295" s="3">
        <v>0</v>
      </c>
      <c r="Q1295" s="2">
        <v>58.24</v>
      </c>
      <c r="R1295" t="s">
        <v>66</v>
      </c>
      <c r="S1295" t="s">
        <v>35</v>
      </c>
      <c r="T1295" t="s">
        <v>63</v>
      </c>
      <c r="U1295" t="s">
        <v>30</v>
      </c>
    </row>
    <row r="1296" spans="1:21" x14ac:dyDescent="0.35">
      <c r="A1296" t="s">
        <v>1375</v>
      </c>
      <c r="B1296" s="1">
        <v>46209</v>
      </c>
      <c r="C1296" t="str">
        <f>TEXT(tblData[[#This Row],[Rental Date]],"mmm")</f>
        <v>Jul</v>
      </c>
      <c r="D1296" t="str">
        <f>TEXT(tblData[[#This Row],[Rental Date]],"mmmm")</f>
        <v>July</v>
      </c>
      <c r="E1296" t="s">
        <v>74</v>
      </c>
      <c r="F1296" t="str">
        <f>TEXT(WEEKNUM(tblData[[#This Row],[Rental Date]]),"00")</f>
        <v>28</v>
      </c>
      <c r="G1296" s="1">
        <f>EOMONTH(tblData[[#This Row],[Rental Date]],0)</f>
        <v>46234</v>
      </c>
      <c r="H1296" t="s">
        <v>749</v>
      </c>
      <c r="I1296" t="s">
        <v>39</v>
      </c>
      <c r="J1296" t="s">
        <v>78</v>
      </c>
      <c r="K1296" t="s">
        <v>92</v>
      </c>
      <c r="L1296">
        <v>1</v>
      </c>
      <c r="M1296" s="2">
        <v>98.56</v>
      </c>
      <c r="N1296" t="s">
        <v>41</v>
      </c>
      <c r="O1296" s="3">
        <v>5</v>
      </c>
      <c r="P1296" s="3">
        <v>0</v>
      </c>
      <c r="Q1296" s="2">
        <v>103.56</v>
      </c>
      <c r="R1296" t="s">
        <v>45</v>
      </c>
      <c r="S1296" t="s">
        <v>28</v>
      </c>
      <c r="T1296" t="s">
        <v>51</v>
      </c>
      <c r="U1296" t="s">
        <v>30</v>
      </c>
    </row>
    <row r="1297" spans="1:21" x14ac:dyDescent="0.35">
      <c r="A1297" t="s">
        <v>1376</v>
      </c>
      <c r="B1297" s="1">
        <v>46209</v>
      </c>
      <c r="C1297" t="str">
        <f>TEXT(tblData[[#This Row],[Rental Date]],"mmm")</f>
        <v>Jul</v>
      </c>
      <c r="D1297" t="str">
        <f>TEXT(tblData[[#This Row],[Rental Date]],"mmmm")</f>
        <v>July</v>
      </c>
      <c r="E1297" t="s">
        <v>74</v>
      </c>
      <c r="F1297" t="str">
        <f>TEXT(WEEKNUM(tblData[[#This Row],[Rental Date]]),"00")</f>
        <v>28</v>
      </c>
      <c r="G1297" s="1">
        <f>EOMONTH(tblData[[#This Row],[Rental Date]],0)</f>
        <v>46234</v>
      </c>
      <c r="H1297" t="s">
        <v>749</v>
      </c>
      <c r="I1297" t="s">
        <v>23</v>
      </c>
      <c r="J1297" t="s">
        <v>44</v>
      </c>
      <c r="K1297" t="s">
        <v>25</v>
      </c>
      <c r="L1297">
        <v>1</v>
      </c>
      <c r="M1297" s="2">
        <v>58.24</v>
      </c>
      <c r="N1297" t="s">
        <v>61</v>
      </c>
      <c r="O1297" s="3">
        <v>8</v>
      </c>
      <c r="P1297" s="3">
        <v>3.31</v>
      </c>
      <c r="Q1297" s="2">
        <v>62.93</v>
      </c>
      <c r="R1297" t="s">
        <v>34</v>
      </c>
      <c r="S1297" t="s">
        <v>35</v>
      </c>
      <c r="T1297" t="s">
        <v>29</v>
      </c>
      <c r="U1297" t="s">
        <v>30</v>
      </c>
    </row>
    <row r="1298" spans="1:21" x14ac:dyDescent="0.35">
      <c r="A1298" t="s">
        <v>1377</v>
      </c>
      <c r="B1298" s="1">
        <v>46209</v>
      </c>
      <c r="C1298" t="str">
        <f>TEXT(tblData[[#This Row],[Rental Date]],"mmm")</f>
        <v>Jul</v>
      </c>
      <c r="D1298" t="str">
        <f>TEXT(tblData[[#This Row],[Rental Date]],"mmmm")</f>
        <v>July</v>
      </c>
      <c r="E1298" t="s">
        <v>74</v>
      </c>
      <c r="F1298" t="str">
        <f>TEXT(WEEKNUM(tblData[[#This Row],[Rental Date]]),"00")</f>
        <v>28</v>
      </c>
      <c r="G1298" s="1">
        <f>EOMONTH(tblData[[#This Row],[Rental Date]],0)</f>
        <v>46234</v>
      </c>
      <c r="H1298" t="s">
        <v>749</v>
      </c>
      <c r="I1298" t="s">
        <v>39</v>
      </c>
      <c r="J1298" t="s">
        <v>138</v>
      </c>
      <c r="K1298" t="s">
        <v>40</v>
      </c>
      <c r="L1298">
        <v>1</v>
      </c>
      <c r="M1298" s="2">
        <v>80.64</v>
      </c>
      <c r="N1298" t="s">
        <v>89</v>
      </c>
      <c r="O1298" s="3">
        <v>6</v>
      </c>
      <c r="P1298" s="3">
        <v>0</v>
      </c>
      <c r="Q1298" s="2">
        <v>86.64</v>
      </c>
      <c r="R1298" t="s">
        <v>71</v>
      </c>
      <c r="S1298" t="s">
        <v>50</v>
      </c>
      <c r="T1298" t="s">
        <v>90</v>
      </c>
      <c r="U1298" t="s">
        <v>30</v>
      </c>
    </row>
    <row r="1299" spans="1:21" x14ac:dyDescent="0.35">
      <c r="A1299" t="s">
        <v>1378</v>
      </c>
      <c r="B1299" s="1">
        <v>46209</v>
      </c>
      <c r="C1299" t="str">
        <f>TEXT(tblData[[#This Row],[Rental Date]],"mmm")</f>
        <v>Jul</v>
      </c>
      <c r="D1299" t="str">
        <f>TEXT(tblData[[#This Row],[Rental Date]],"mmmm")</f>
        <v>July</v>
      </c>
      <c r="E1299" t="s">
        <v>74</v>
      </c>
      <c r="F1299" t="str">
        <f>TEXT(WEEKNUM(tblData[[#This Row],[Rental Date]]),"00")</f>
        <v>28</v>
      </c>
      <c r="G1299" s="1">
        <f>EOMONTH(tblData[[#This Row],[Rental Date]],0)</f>
        <v>46234</v>
      </c>
      <c r="H1299" t="s">
        <v>749</v>
      </c>
      <c r="I1299" t="s">
        <v>53</v>
      </c>
      <c r="J1299" t="s">
        <v>127</v>
      </c>
      <c r="K1299" t="s">
        <v>60</v>
      </c>
      <c r="L1299">
        <v>1</v>
      </c>
      <c r="M1299" s="2">
        <v>11.2</v>
      </c>
      <c r="N1299" t="s">
        <v>26</v>
      </c>
      <c r="O1299" s="3">
        <v>0</v>
      </c>
      <c r="P1299" s="3">
        <v>1.68</v>
      </c>
      <c r="Q1299" s="2">
        <v>9.52</v>
      </c>
      <c r="R1299" t="s">
        <v>34</v>
      </c>
      <c r="S1299" t="s">
        <v>35</v>
      </c>
      <c r="T1299" t="s">
        <v>51</v>
      </c>
      <c r="U1299" t="s">
        <v>30</v>
      </c>
    </row>
    <row r="1300" spans="1:21" x14ac:dyDescent="0.35">
      <c r="A1300" t="s">
        <v>1379</v>
      </c>
      <c r="B1300" s="1">
        <v>46209</v>
      </c>
      <c r="C1300" t="str">
        <f>TEXT(tblData[[#This Row],[Rental Date]],"mmm")</f>
        <v>Jul</v>
      </c>
      <c r="D1300" t="str">
        <f>TEXT(tblData[[#This Row],[Rental Date]],"mmmm")</f>
        <v>July</v>
      </c>
      <c r="E1300" t="s">
        <v>74</v>
      </c>
      <c r="F1300" t="str">
        <f>TEXT(WEEKNUM(tblData[[#This Row],[Rental Date]]),"00")</f>
        <v>28</v>
      </c>
      <c r="G1300" s="1">
        <f>EOMONTH(tblData[[#This Row],[Rental Date]],0)</f>
        <v>46234</v>
      </c>
      <c r="H1300" t="s">
        <v>749</v>
      </c>
      <c r="I1300" t="s">
        <v>39</v>
      </c>
      <c r="J1300" t="s">
        <v>65</v>
      </c>
      <c r="K1300" t="s">
        <v>40</v>
      </c>
      <c r="L1300">
        <v>1</v>
      </c>
      <c r="M1300" s="2">
        <v>31.36</v>
      </c>
      <c r="N1300" t="s">
        <v>41</v>
      </c>
      <c r="O1300" s="3">
        <v>5</v>
      </c>
      <c r="P1300" s="3">
        <v>0</v>
      </c>
      <c r="Q1300" s="2">
        <v>36.36</v>
      </c>
      <c r="R1300" t="s">
        <v>57</v>
      </c>
      <c r="S1300" t="s">
        <v>54</v>
      </c>
      <c r="T1300" t="s">
        <v>51</v>
      </c>
      <c r="U1300" t="s">
        <v>79</v>
      </c>
    </row>
    <row r="1301" spans="1:21" x14ac:dyDescent="0.35">
      <c r="A1301" t="s">
        <v>1380</v>
      </c>
      <c r="B1301" s="1">
        <v>46209</v>
      </c>
      <c r="C1301" t="str">
        <f>TEXT(tblData[[#This Row],[Rental Date]],"mmm")</f>
        <v>Jul</v>
      </c>
      <c r="D1301" t="str">
        <f>TEXT(tblData[[#This Row],[Rental Date]],"mmmm")</f>
        <v>July</v>
      </c>
      <c r="E1301" t="s">
        <v>74</v>
      </c>
      <c r="F1301" t="str">
        <f>TEXT(WEEKNUM(tblData[[#This Row],[Rental Date]]),"00")</f>
        <v>28</v>
      </c>
      <c r="G1301" s="1">
        <f>EOMONTH(tblData[[#This Row],[Rental Date]],0)</f>
        <v>46234</v>
      </c>
      <c r="H1301" t="s">
        <v>749</v>
      </c>
      <c r="I1301" t="s">
        <v>39</v>
      </c>
      <c r="J1301" t="s">
        <v>49</v>
      </c>
      <c r="K1301" t="s">
        <v>25</v>
      </c>
      <c r="L1301">
        <v>1</v>
      </c>
      <c r="M1301" s="2">
        <v>40.32</v>
      </c>
      <c r="N1301" t="s">
        <v>41</v>
      </c>
      <c r="O1301" s="3">
        <v>5</v>
      </c>
      <c r="P1301" s="3">
        <v>0</v>
      </c>
      <c r="Q1301" s="2">
        <v>45.32</v>
      </c>
      <c r="R1301" t="s">
        <v>45</v>
      </c>
      <c r="S1301" t="s">
        <v>28</v>
      </c>
      <c r="T1301" t="s">
        <v>29</v>
      </c>
      <c r="U1301" t="s">
        <v>30</v>
      </c>
    </row>
    <row r="1302" spans="1:21" x14ac:dyDescent="0.35">
      <c r="A1302" t="s">
        <v>1381</v>
      </c>
      <c r="B1302" s="1">
        <v>46209</v>
      </c>
      <c r="C1302" t="str">
        <f>TEXT(tblData[[#This Row],[Rental Date]],"mmm")</f>
        <v>Jul</v>
      </c>
      <c r="D1302" t="str">
        <f>TEXT(tblData[[#This Row],[Rental Date]],"mmmm")</f>
        <v>July</v>
      </c>
      <c r="E1302" t="s">
        <v>74</v>
      </c>
      <c r="F1302" t="str">
        <f>TEXT(WEEKNUM(tblData[[#This Row],[Rental Date]]),"00")</f>
        <v>28</v>
      </c>
      <c r="G1302" s="1">
        <f>EOMONTH(tblData[[#This Row],[Rental Date]],0)</f>
        <v>46234</v>
      </c>
      <c r="H1302" t="s">
        <v>749</v>
      </c>
      <c r="I1302" t="s">
        <v>39</v>
      </c>
      <c r="J1302" t="s">
        <v>78</v>
      </c>
      <c r="K1302" t="s">
        <v>25</v>
      </c>
      <c r="L1302">
        <v>1</v>
      </c>
      <c r="M1302" s="2">
        <v>47.04</v>
      </c>
      <c r="N1302" t="s">
        <v>89</v>
      </c>
      <c r="O1302" s="3">
        <v>6</v>
      </c>
      <c r="P1302" s="3">
        <v>0</v>
      </c>
      <c r="Q1302" s="2">
        <v>53.04</v>
      </c>
      <c r="R1302" t="s">
        <v>62</v>
      </c>
      <c r="S1302" t="s">
        <v>46</v>
      </c>
      <c r="T1302" t="s">
        <v>29</v>
      </c>
      <c r="U1302" t="s">
        <v>58</v>
      </c>
    </row>
    <row r="1303" spans="1:21" x14ac:dyDescent="0.35">
      <c r="A1303" t="s">
        <v>1382</v>
      </c>
      <c r="B1303" s="1">
        <v>46209</v>
      </c>
      <c r="C1303" t="str">
        <f>TEXT(tblData[[#This Row],[Rental Date]],"mmm")</f>
        <v>Jul</v>
      </c>
      <c r="D1303" t="str">
        <f>TEXT(tblData[[#This Row],[Rental Date]],"mmmm")</f>
        <v>July</v>
      </c>
      <c r="E1303" t="s">
        <v>74</v>
      </c>
      <c r="F1303" t="str">
        <f>TEXT(WEEKNUM(tblData[[#This Row],[Rental Date]]),"00")</f>
        <v>28</v>
      </c>
      <c r="G1303" s="1">
        <f>EOMONTH(tblData[[#This Row],[Rental Date]],0)</f>
        <v>46234</v>
      </c>
      <c r="H1303" t="s">
        <v>749</v>
      </c>
      <c r="I1303" t="s">
        <v>53</v>
      </c>
      <c r="J1303" t="s">
        <v>44</v>
      </c>
      <c r="K1303" t="s">
        <v>25</v>
      </c>
      <c r="L1303">
        <v>1</v>
      </c>
      <c r="M1303" s="2">
        <v>58.24</v>
      </c>
      <c r="N1303" t="s">
        <v>26</v>
      </c>
      <c r="O1303" s="3">
        <v>0</v>
      </c>
      <c r="P1303" s="3">
        <v>8.74</v>
      </c>
      <c r="Q1303" s="2">
        <v>49.5</v>
      </c>
      <c r="R1303" t="s">
        <v>76</v>
      </c>
      <c r="S1303" t="s">
        <v>46</v>
      </c>
      <c r="T1303" t="s">
        <v>63</v>
      </c>
      <c r="U1303" t="s">
        <v>30</v>
      </c>
    </row>
    <row r="1304" spans="1:21" x14ac:dyDescent="0.35">
      <c r="A1304" t="s">
        <v>1383</v>
      </c>
      <c r="B1304" s="1">
        <v>46209</v>
      </c>
      <c r="C1304" t="str">
        <f>TEXT(tblData[[#This Row],[Rental Date]],"mmm")</f>
        <v>Jul</v>
      </c>
      <c r="D1304" t="str">
        <f>TEXT(tblData[[#This Row],[Rental Date]],"mmmm")</f>
        <v>July</v>
      </c>
      <c r="E1304" t="s">
        <v>74</v>
      </c>
      <c r="F1304" t="str">
        <f>TEXT(WEEKNUM(tblData[[#This Row],[Rental Date]]),"00")</f>
        <v>28</v>
      </c>
      <c r="G1304" s="1">
        <f>EOMONTH(tblData[[#This Row],[Rental Date]],0)</f>
        <v>46234</v>
      </c>
      <c r="H1304" t="s">
        <v>749</v>
      </c>
      <c r="I1304" t="s">
        <v>32</v>
      </c>
      <c r="J1304" t="s">
        <v>33</v>
      </c>
      <c r="K1304" t="s">
        <v>60</v>
      </c>
      <c r="L1304">
        <v>1</v>
      </c>
      <c r="M1304" s="2">
        <v>26.88</v>
      </c>
      <c r="N1304" t="s">
        <v>26</v>
      </c>
      <c r="O1304" s="3">
        <v>0</v>
      </c>
      <c r="P1304" s="3">
        <v>1.34</v>
      </c>
      <c r="Q1304" s="2">
        <v>25.54</v>
      </c>
      <c r="R1304" t="s">
        <v>76</v>
      </c>
      <c r="S1304" t="s">
        <v>54</v>
      </c>
      <c r="T1304" t="s">
        <v>90</v>
      </c>
      <c r="U1304" t="s">
        <v>30</v>
      </c>
    </row>
    <row r="1305" spans="1:21" x14ac:dyDescent="0.35">
      <c r="A1305" t="s">
        <v>1384</v>
      </c>
      <c r="B1305" s="1">
        <v>46209</v>
      </c>
      <c r="C1305" t="str">
        <f>TEXT(tblData[[#This Row],[Rental Date]],"mmm")</f>
        <v>Jul</v>
      </c>
      <c r="D1305" t="str">
        <f>TEXT(tblData[[#This Row],[Rental Date]],"mmmm")</f>
        <v>July</v>
      </c>
      <c r="E1305" t="s">
        <v>74</v>
      </c>
      <c r="F1305" t="str">
        <f>TEXT(WEEKNUM(tblData[[#This Row],[Rental Date]]),"00")</f>
        <v>28</v>
      </c>
      <c r="G1305" s="1">
        <f>EOMONTH(tblData[[#This Row],[Rental Date]],0)</f>
        <v>46234</v>
      </c>
      <c r="H1305" t="s">
        <v>749</v>
      </c>
      <c r="I1305" t="s">
        <v>48</v>
      </c>
      <c r="J1305" t="s">
        <v>24</v>
      </c>
      <c r="K1305" t="s">
        <v>25</v>
      </c>
      <c r="L1305">
        <v>1</v>
      </c>
      <c r="M1305" s="2">
        <v>56</v>
      </c>
      <c r="N1305" t="s">
        <v>26</v>
      </c>
      <c r="O1305" s="3">
        <v>0</v>
      </c>
      <c r="P1305" s="3">
        <v>0</v>
      </c>
      <c r="Q1305" s="2">
        <v>56</v>
      </c>
      <c r="R1305" t="s">
        <v>71</v>
      </c>
      <c r="S1305" t="s">
        <v>46</v>
      </c>
      <c r="T1305" t="s">
        <v>29</v>
      </c>
      <c r="U1305" t="s">
        <v>30</v>
      </c>
    </row>
    <row r="1306" spans="1:21" x14ac:dyDescent="0.35">
      <c r="A1306" t="s">
        <v>1385</v>
      </c>
      <c r="B1306" s="1">
        <v>46209</v>
      </c>
      <c r="C1306" t="str">
        <f>TEXT(tblData[[#This Row],[Rental Date]],"mmm")</f>
        <v>Jul</v>
      </c>
      <c r="D1306" t="str">
        <f>TEXT(tblData[[#This Row],[Rental Date]],"mmmm")</f>
        <v>July</v>
      </c>
      <c r="E1306" t="s">
        <v>74</v>
      </c>
      <c r="F1306" t="str">
        <f>TEXT(WEEKNUM(tblData[[#This Row],[Rental Date]]),"00")</f>
        <v>28</v>
      </c>
      <c r="G1306" s="1">
        <f>EOMONTH(tblData[[#This Row],[Rental Date]],0)</f>
        <v>46234</v>
      </c>
      <c r="H1306" t="s">
        <v>749</v>
      </c>
      <c r="I1306" t="s">
        <v>23</v>
      </c>
      <c r="J1306" t="s">
        <v>49</v>
      </c>
      <c r="K1306" t="s">
        <v>25</v>
      </c>
      <c r="L1306">
        <v>1</v>
      </c>
      <c r="M1306" s="2">
        <v>40.32</v>
      </c>
      <c r="N1306" t="s">
        <v>26</v>
      </c>
      <c r="O1306" s="3">
        <v>0</v>
      </c>
      <c r="P1306" s="3">
        <v>0</v>
      </c>
      <c r="Q1306" s="2">
        <v>40.32</v>
      </c>
      <c r="R1306" t="s">
        <v>27</v>
      </c>
      <c r="S1306" t="s">
        <v>46</v>
      </c>
      <c r="T1306" t="s">
        <v>63</v>
      </c>
      <c r="U1306" t="s">
        <v>58</v>
      </c>
    </row>
    <row r="1307" spans="1:21" x14ac:dyDescent="0.35">
      <c r="A1307" t="s">
        <v>1386</v>
      </c>
      <c r="B1307" s="1">
        <v>46210</v>
      </c>
      <c r="C1307" t="str">
        <f>TEXT(tblData[[#This Row],[Rental Date]],"mmm")</f>
        <v>Jul</v>
      </c>
      <c r="D1307" t="str">
        <f>TEXT(tblData[[#This Row],[Rental Date]],"mmmm")</f>
        <v>July</v>
      </c>
      <c r="E1307" t="s">
        <v>102</v>
      </c>
      <c r="F1307" t="str">
        <f>TEXT(WEEKNUM(tblData[[#This Row],[Rental Date]]),"00")</f>
        <v>28</v>
      </c>
      <c r="G1307" s="1">
        <f>EOMONTH(tblData[[#This Row],[Rental Date]],0)</f>
        <v>46234</v>
      </c>
      <c r="H1307" t="s">
        <v>749</v>
      </c>
      <c r="I1307" t="s">
        <v>48</v>
      </c>
      <c r="J1307" t="s">
        <v>33</v>
      </c>
      <c r="K1307" t="s">
        <v>25</v>
      </c>
      <c r="L1307">
        <v>1</v>
      </c>
      <c r="M1307" s="2">
        <v>42.56</v>
      </c>
      <c r="N1307" t="s">
        <v>89</v>
      </c>
      <c r="O1307" s="3">
        <v>6</v>
      </c>
      <c r="P1307" s="3">
        <v>2.4300000000000002</v>
      </c>
      <c r="Q1307" s="2">
        <v>46.13</v>
      </c>
      <c r="R1307" t="s">
        <v>76</v>
      </c>
      <c r="S1307" t="s">
        <v>28</v>
      </c>
      <c r="T1307" t="s">
        <v>63</v>
      </c>
      <c r="U1307" t="s">
        <v>30</v>
      </c>
    </row>
    <row r="1308" spans="1:21" x14ac:dyDescent="0.35">
      <c r="A1308" t="s">
        <v>1387</v>
      </c>
      <c r="B1308" s="1">
        <v>46210</v>
      </c>
      <c r="C1308" t="str">
        <f>TEXT(tblData[[#This Row],[Rental Date]],"mmm")</f>
        <v>Jul</v>
      </c>
      <c r="D1308" t="str">
        <f>TEXT(tblData[[#This Row],[Rental Date]],"mmmm")</f>
        <v>July</v>
      </c>
      <c r="E1308" t="s">
        <v>102</v>
      </c>
      <c r="F1308" t="str">
        <f>TEXT(WEEKNUM(tblData[[#This Row],[Rental Date]]),"00")</f>
        <v>28</v>
      </c>
      <c r="G1308" s="1">
        <f>EOMONTH(tblData[[#This Row],[Rental Date]],0)</f>
        <v>46234</v>
      </c>
      <c r="H1308" t="s">
        <v>749</v>
      </c>
      <c r="I1308" t="s">
        <v>53</v>
      </c>
      <c r="J1308" t="s">
        <v>33</v>
      </c>
      <c r="K1308" t="s">
        <v>40</v>
      </c>
      <c r="L1308">
        <v>1</v>
      </c>
      <c r="M1308" s="2">
        <v>64.959999999999994</v>
      </c>
      <c r="N1308" t="s">
        <v>89</v>
      </c>
      <c r="O1308" s="3">
        <v>6</v>
      </c>
      <c r="P1308" s="3">
        <v>10.64</v>
      </c>
      <c r="Q1308" s="2">
        <v>60.32</v>
      </c>
      <c r="R1308" t="s">
        <v>57</v>
      </c>
      <c r="S1308" t="s">
        <v>46</v>
      </c>
      <c r="T1308" t="s">
        <v>29</v>
      </c>
      <c r="U1308" t="s">
        <v>30</v>
      </c>
    </row>
    <row r="1309" spans="1:21" x14ac:dyDescent="0.35">
      <c r="A1309" t="s">
        <v>1388</v>
      </c>
      <c r="B1309" s="1">
        <v>46210</v>
      </c>
      <c r="C1309" t="str">
        <f>TEXT(tblData[[#This Row],[Rental Date]],"mmm")</f>
        <v>Jul</v>
      </c>
      <c r="D1309" t="str">
        <f>TEXT(tblData[[#This Row],[Rental Date]],"mmmm")</f>
        <v>July</v>
      </c>
      <c r="E1309" t="s">
        <v>102</v>
      </c>
      <c r="F1309" t="str">
        <f>TEXT(WEEKNUM(tblData[[#This Row],[Rental Date]]),"00")</f>
        <v>28</v>
      </c>
      <c r="G1309" s="1">
        <f>EOMONTH(tblData[[#This Row],[Rental Date]],0)</f>
        <v>46234</v>
      </c>
      <c r="H1309" t="s">
        <v>749</v>
      </c>
      <c r="I1309" t="s">
        <v>48</v>
      </c>
      <c r="J1309" t="s">
        <v>33</v>
      </c>
      <c r="K1309" t="s">
        <v>40</v>
      </c>
      <c r="L1309">
        <v>1</v>
      </c>
      <c r="M1309" s="2">
        <v>64.959999999999994</v>
      </c>
      <c r="N1309" t="s">
        <v>26</v>
      </c>
      <c r="O1309" s="3">
        <v>0</v>
      </c>
      <c r="P1309" s="3">
        <v>0</v>
      </c>
      <c r="Q1309" s="2">
        <v>64.959999999999994</v>
      </c>
      <c r="R1309" t="s">
        <v>42</v>
      </c>
      <c r="S1309" t="s">
        <v>50</v>
      </c>
      <c r="T1309" t="s">
        <v>29</v>
      </c>
      <c r="U1309" t="s">
        <v>30</v>
      </c>
    </row>
    <row r="1310" spans="1:21" x14ac:dyDescent="0.35">
      <c r="A1310" t="s">
        <v>1389</v>
      </c>
      <c r="B1310" s="1">
        <v>46210</v>
      </c>
      <c r="C1310" t="str">
        <f>TEXT(tblData[[#This Row],[Rental Date]],"mmm")</f>
        <v>Jul</v>
      </c>
      <c r="D1310" t="str">
        <f>TEXT(tblData[[#This Row],[Rental Date]],"mmmm")</f>
        <v>July</v>
      </c>
      <c r="E1310" t="s">
        <v>102</v>
      </c>
      <c r="F1310" t="str">
        <f>TEXT(WEEKNUM(tblData[[#This Row],[Rental Date]]),"00")</f>
        <v>28</v>
      </c>
      <c r="G1310" s="1">
        <f>EOMONTH(tblData[[#This Row],[Rental Date]],0)</f>
        <v>46234</v>
      </c>
      <c r="H1310" t="s">
        <v>749</v>
      </c>
      <c r="I1310" t="s">
        <v>39</v>
      </c>
      <c r="J1310" t="s">
        <v>24</v>
      </c>
      <c r="K1310" t="s">
        <v>60</v>
      </c>
      <c r="L1310">
        <v>1</v>
      </c>
      <c r="M1310" s="2">
        <v>35.840000000000003</v>
      </c>
      <c r="N1310" t="s">
        <v>87</v>
      </c>
      <c r="O1310" s="3">
        <v>10</v>
      </c>
      <c r="P1310" s="3">
        <v>0</v>
      </c>
      <c r="Q1310" s="2">
        <v>45.84</v>
      </c>
      <c r="R1310" t="s">
        <v>76</v>
      </c>
      <c r="S1310" t="s">
        <v>46</v>
      </c>
      <c r="T1310" t="s">
        <v>51</v>
      </c>
      <c r="U1310" t="s">
        <v>58</v>
      </c>
    </row>
    <row r="1311" spans="1:21" x14ac:dyDescent="0.35">
      <c r="A1311" t="s">
        <v>1390</v>
      </c>
      <c r="B1311" s="1">
        <v>46210</v>
      </c>
      <c r="C1311" t="str">
        <f>TEXT(tblData[[#This Row],[Rental Date]],"mmm")</f>
        <v>Jul</v>
      </c>
      <c r="D1311" t="str">
        <f>TEXT(tblData[[#This Row],[Rental Date]],"mmmm")</f>
        <v>July</v>
      </c>
      <c r="E1311" t="s">
        <v>102</v>
      </c>
      <c r="F1311" t="str">
        <f>TEXT(WEEKNUM(tblData[[#This Row],[Rental Date]]),"00")</f>
        <v>28</v>
      </c>
      <c r="G1311" s="1">
        <f>EOMONTH(tblData[[#This Row],[Rental Date]],0)</f>
        <v>46234</v>
      </c>
      <c r="H1311" t="s">
        <v>749</v>
      </c>
      <c r="I1311" t="s">
        <v>48</v>
      </c>
      <c r="J1311" t="s">
        <v>33</v>
      </c>
      <c r="K1311" t="s">
        <v>25</v>
      </c>
      <c r="L1311">
        <v>1</v>
      </c>
      <c r="M1311" s="2">
        <v>42.56</v>
      </c>
      <c r="N1311" t="s">
        <v>26</v>
      </c>
      <c r="O1311" s="3">
        <v>0</v>
      </c>
      <c r="P1311" s="3">
        <v>0</v>
      </c>
      <c r="Q1311" s="2">
        <v>42.56</v>
      </c>
      <c r="R1311" t="s">
        <v>27</v>
      </c>
      <c r="S1311" t="s">
        <v>54</v>
      </c>
      <c r="T1311" t="s">
        <v>29</v>
      </c>
      <c r="U1311" t="s">
        <v>58</v>
      </c>
    </row>
    <row r="1312" spans="1:21" x14ac:dyDescent="0.35">
      <c r="A1312" t="s">
        <v>1391</v>
      </c>
      <c r="B1312" s="1">
        <v>46210</v>
      </c>
      <c r="C1312" t="str">
        <f>TEXT(tblData[[#This Row],[Rental Date]],"mmm")</f>
        <v>Jul</v>
      </c>
      <c r="D1312" t="str">
        <f>TEXT(tblData[[#This Row],[Rental Date]],"mmmm")</f>
        <v>July</v>
      </c>
      <c r="E1312" t="s">
        <v>102</v>
      </c>
      <c r="F1312" t="str">
        <f>TEXT(WEEKNUM(tblData[[#This Row],[Rental Date]]),"00")</f>
        <v>28</v>
      </c>
      <c r="G1312" s="1">
        <f>EOMONTH(tblData[[#This Row],[Rental Date]],0)</f>
        <v>46234</v>
      </c>
      <c r="H1312" t="s">
        <v>749</v>
      </c>
      <c r="I1312" t="s">
        <v>48</v>
      </c>
      <c r="J1312" t="s">
        <v>44</v>
      </c>
      <c r="K1312" t="s">
        <v>60</v>
      </c>
      <c r="L1312">
        <v>1</v>
      </c>
      <c r="M1312" s="2">
        <v>38.08</v>
      </c>
      <c r="N1312" t="s">
        <v>26</v>
      </c>
      <c r="O1312" s="3">
        <v>0</v>
      </c>
      <c r="P1312" s="3">
        <v>0</v>
      </c>
      <c r="Q1312" s="2">
        <v>38.08</v>
      </c>
      <c r="R1312" t="s">
        <v>45</v>
      </c>
      <c r="S1312" t="s">
        <v>50</v>
      </c>
      <c r="T1312" t="s">
        <v>63</v>
      </c>
      <c r="U1312" t="s">
        <v>58</v>
      </c>
    </row>
    <row r="1313" spans="1:21" x14ac:dyDescent="0.35">
      <c r="A1313" t="s">
        <v>1392</v>
      </c>
      <c r="B1313" s="1">
        <v>46211</v>
      </c>
      <c r="C1313" t="str">
        <f>TEXT(tblData[[#This Row],[Rental Date]],"mmm")</f>
        <v>Jul</v>
      </c>
      <c r="D1313" t="str">
        <f>TEXT(tblData[[#This Row],[Rental Date]],"mmmm")</f>
        <v>July</v>
      </c>
      <c r="E1313" t="s">
        <v>109</v>
      </c>
      <c r="F1313" t="str">
        <f>TEXT(WEEKNUM(tblData[[#This Row],[Rental Date]]),"00")</f>
        <v>28</v>
      </c>
      <c r="G1313" s="1">
        <f>EOMONTH(tblData[[#This Row],[Rental Date]],0)</f>
        <v>46234</v>
      </c>
      <c r="H1313" t="s">
        <v>749</v>
      </c>
      <c r="I1313" t="s">
        <v>39</v>
      </c>
      <c r="J1313" t="s">
        <v>78</v>
      </c>
      <c r="K1313" t="s">
        <v>92</v>
      </c>
      <c r="L1313">
        <v>1</v>
      </c>
      <c r="M1313" s="2">
        <v>98.56</v>
      </c>
      <c r="N1313" t="s">
        <v>70</v>
      </c>
      <c r="O1313" s="3">
        <v>7</v>
      </c>
      <c r="P1313" s="3">
        <v>0</v>
      </c>
      <c r="Q1313" s="2">
        <v>105.56</v>
      </c>
      <c r="R1313" t="s">
        <v>45</v>
      </c>
      <c r="S1313" t="s">
        <v>54</v>
      </c>
      <c r="T1313" t="s">
        <v>29</v>
      </c>
      <c r="U1313" t="s">
        <v>36</v>
      </c>
    </row>
    <row r="1314" spans="1:21" x14ac:dyDescent="0.35">
      <c r="A1314" t="s">
        <v>1393</v>
      </c>
      <c r="B1314" s="1">
        <v>46211</v>
      </c>
      <c r="C1314" t="str">
        <f>TEXT(tblData[[#This Row],[Rental Date]],"mmm")</f>
        <v>Jul</v>
      </c>
      <c r="D1314" t="str">
        <f>TEXT(tblData[[#This Row],[Rental Date]],"mmmm")</f>
        <v>July</v>
      </c>
      <c r="E1314" t="s">
        <v>109</v>
      </c>
      <c r="F1314" t="str">
        <f>TEXT(WEEKNUM(tblData[[#This Row],[Rental Date]]),"00")</f>
        <v>28</v>
      </c>
      <c r="G1314" s="1">
        <f>EOMONTH(tblData[[#This Row],[Rental Date]],0)</f>
        <v>46234</v>
      </c>
      <c r="H1314" t="s">
        <v>749</v>
      </c>
      <c r="I1314" t="s">
        <v>53</v>
      </c>
      <c r="J1314" t="s">
        <v>78</v>
      </c>
      <c r="K1314" t="s">
        <v>25</v>
      </c>
      <c r="L1314">
        <v>1</v>
      </c>
      <c r="M1314" s="2">
        <v>47.04</v>
      </c>
      <c r="N1314" t="s">
        <v>26</v>
      </c>
      <c r="O1314" s="3">
        <v>0</v>
      </c>
      <c r="P1314" s="3">
        <v>7.06</v>
      </c>
      <c r="Q1314" s="2">
        <v>39.979999999999997</v>
      </c>
      <c r="R1314" t="s">
        <v>45</v>
      </c>
      <c r="S1314" t="s">
        <v>28</v>
      </c>
      <c r="T1314" t="s">
        <v>51</v>
      </c>
      <c r="U1314" t="s">
        <v>79</v>
      </c>
    </row>
    <row r="1315" spans="1:21" x14ac:dyDescent="0.35">
      <c r="A1315" t="s">
        <v>1394</v>
      </c>
      <c r="B1315" s="1">
        <v>46211</v>
      </c>
      <c r="C1315" t="str">
        <f>TEXT(tblData[[#This Row],[Rental Date]],"mmm")</f>
        <v>Jul</v>
      </c>
      <c r="D1315" t="str">
        <f>TEXT(tblData[[#This Row],[Rental Date]],"mmmm")</f>
        <v>July</v>
      </c>
      <c r="E1315" t="s">
        <v>109</v>
      </c>
      <c r="F1315" t="str">
        <f>TEXT(WEEKNUM(tblData[[#This Row],[Rental Date]]),"00")</f>
        <v>28</v>
      </c>
      <c r="G1315" s="1">
        <f>EOMONTH(tblData[[#This Row],[Rental Date]],0)</f>
        <v>46234</v>
      </c>
      <c r="H1315" t="s">
        <v>749</v>
      </c>
      <c r="I1315" t="s">
        <v>48</v>
      </c>
      <c r="J1315" t="s">
        <v>65</v>
      </c>
      <c r="K1315" t="s">
        <v>40</v>
      </c>
      <c r="L1315">
        <v>1</v>
      </c>
      <c r="M1315" s="2">
        <v>31.36</v>
      </c>
      <c r="N1315" t="s">
        <v>26</v>
      </c>
      <c r="O1315" s="3">
        <v>0</v>
      </c>
      <c r="P1315" s="3">
        <v>0</v>
      </c>
      <c r="Q1315" s="2">
        <v>31.36</v>
      </c>
      <c r="R1315" t="s">
        <v>42</v>
      </c>
      <c r="S1315" t="s">
        <v>35</v>
      </c>
      <c r="T1315" t="s">
        <v>90</v>
      </c>
      <c r="U1315" t="s">
        <v>30</v>
      </c>
    </row>
    <row r="1316" spans="1:21" x14ac:dyDescent="0.35">
      <c r="A1316" t="s">
        <v>1395</v>
      </c>
      <c r="B1316" s="1">
        <v>46211</v>
      </c>
      <c r="C1316" t="str">
        <f>TEXT(tblData[[#This Row],[Rental Date]],"mmm")</f>
        <v>Jul</v>
      </c>
      <c r="D1316" t="str">
        <f>TEXT(tblData[[#This Row],[Rental Date]],"mmmm")</f>
        <v>July</v>
      </c>
      <c r="E1316" t="s">
        <v>109</v>
      </c>
      <c r="F1316" t="str">
        <f>TEXT(WEEKNUM(tblData[[#This Row],[Rental Date]]),"00")</f>
        <v>28</v>
      </c>
      <c r="G1316" s="1">
        <f>EOMONTH(tblData[[#This Row],[Rental Date]],0)</f>
        <v>46234</v>
      </c>
      <c r="H1316" t="s">
        <v>749</v>
      </c>
      <c r="I1316" t="s">
        <v>48</v>
      </c>
      <c r="J1316" t="s">
        <v>111</v>
      </c>
      <c r="K1316" t="s">
        <v>92</v>
      </c>
      <c r="L1316">
        <v>1</v>
      </c>
      <c r="M1316" s="2">
        <v>53.76</v>
      </c>
      <c r="N1316" t="s">
        <v>41</v>
      </c>
      <c r="O1316" s="3">
        <v>5</v>
      </c>
      <c r="P1316" s="3">
        <v>0</v>
      </c>
      <c r="Q1316" s="2">
        <v>58.76</v>
      </c>
      <c r="R1316" t="s">
        <v>62</v>
      </c>
      <c r="S1316" t="s">
        <v>54</v>
      </c>
      <c r="T1316" t="s">
        <v>29</v>
      </c>
      <c r="U1316" t="s">
        <v>30</v>
      </c>
    </row>
    <row r="1317" spans="1:21" x14ac:dyDescent="0.35">
      <c r="A1317" t="s">
        <v>1396</v>
      </c>
      <c r="B1317" s="1">
        <v>46211</v>
      </c>
      <c r="C1317" t="str">
        <f>TEXT(tblData[[#This Row],[Rental Date]],"mmm")</f>
        <v>Jul</v>
      </c>
      <c r="D1317" t="str">
        <f>TEXT(tblData[[#This Row],[Rental Date]],"mmmm")</f>
        <v>July</v>
      </c>
      <c r="E1317" t="s">
        <v>109</v>
      </c>
      <c r="F1317" t="str">
        <f>TEXT(WEEKNUM(tblData[[#This Row],[Rental Date]]),"00")</f>
        <v>28</v>
      </c>
      <c r="G1317" s="1">
        <f>EOMONTH(tblData[[#This Row],[Rental Date]],0)</f>
        <v>46234</v>
      </c>
      <c r="H1317" t="s">
        <v>749</v>
      </c>
      <c r="I1317" t="s">
        <v>48</v>
      </c>
      <c r="J1317" t="s">
        <v>111</v>
      </c>
      <c r="K1317" t="s">
        <v>40</v>
      </c>
      <c r="L1317">
        <v>1</v>
      </c>
      <c r="M1317" s="2">
        <v>38.08</v>
      </c>
      <c r="N1317" t="s">
        <v>26</v>
      </c>
      <c r="O1317" s="3">
        <v>0</v>
      </c>
      <c r="P1317" s="3">
        <v>0</v>
      </c>
      <c r="Q1317" s="2">
        <v>38.08</v>
      </c>
      <c r="R1317" t="s">
        <v>71</v>
      </c>
      <c r="S1317" t="s">
        <v>46</v>
      </c>
      <c r="T1317" t="s">
        <v>90</v>
      </c>
      <c r="U1317" t="s">
        <v>30</v>
      </c>
    </row>
    <row r="1318" spans="1:21" x14ac:dyDescent="0.35">
      <c r="A1318" t="s">
        <v>1397</v>
      </c>
      <c r="B1318" s="1">
        <v>46211</v>
      </c>
      <c r="C1318" t="str">
        <f>TEXT(tblData[[#This Row],[Rental Date]],"mmm")</f>
        <v>Jul</v>
      </c>
      <c r="D1318" t="str">
        <f>TEXT(tblData[[#This Row],[Rental Date]],"mmmm")</f>
        <v>July</v>
      </c>
      <c r="E1318" t="s">
        <v>109</v>
      </c>
      <c r="F1318" t="str">
        <f>TEXT(WEEKNUM(tblData[[#This Row],[Rental Date]]),"00")</f>
        <v>28</v>
      </c>
      <c r="G1318" s="1">
        <f>EOMONTH(tblData[[#This Row],[Rental Date]],0)</f>
        <v>46234</v>
      </c>
      <c r="H1318" t="s">
        <v>749</v>
      </c>
      <c r="I1318" t="s">
        <v>48</v>
      </c>
      <c r="J1318" t="s">
        <v>49</v>
      </c>
      <c r="K1318" t="s">
        <v>40</v>
      </c>
      <c r="L1318">
        <v>1</v>
      </c>
      <c r="M1318" s="2">
        <v>60.48</v>
      </c>
      <c r="N1318" t="s">
        <v>89</v>
      </c>
      <c r="O1318" s="3">
        <v>6</v>
      </c>
      <c r="P1318" s="3">
        <v>0</v>
      </c>
      <c r="Q1318" s="2">
        <v>66.48</v>
      </c>
      <c r="R1318" t="s">
        <v>42</v>
      </c>
      <c r="S1318" t="s">
        <v>28</v>
      </c>
      <c r="T1318" t="s">
        <v>29</v>
      </c>
      <c r="U1318" t="s">
        <v>30</v>
      </c>
    </row>
    <row r="1319" spans="1:21" x14ac:dyDescent="0.35">
      <c r="A1319" t="s">
        <v>1398</v>
      </c>
      <c r="B1319" s="1">
        <v>46211</v>
      </c>
      <c r="C1319" t="str">
        <f>TEXT(tblData[[#This Row],[Rental Date]],"mmm")</f>
        <v>Jul</v>
      </c>
      <c r="D1319" t="str">
        <f>TEXT(tblData[[#This Row],[Rental Date]],"mmmm")</f>
        <v>July</v>
      </c>
      <c r="E1319" t="s">
        <v>109</v>
      </c>
      <c r="F1319" t="str">
        <f>TEXT(WEEKNUM(tblData[[#This Row],[Rental Date]]),"00")</f>
        <v>28</v>
      </c>
      <c r="G1319" s="1">
        <f>EOMONTH(tblData[[#This Row],[Rental Date]],0)</f>
        <v>46234</v>
      </c>
      <c r="H1319" t="s">
        <v>749</v>
      </c>
      <c r="I1319" t="s">
        <v>39</v>
      </c>
      <c r="J1319" t="s">
        <v>138</v>
      </c>
      <c r="K1319" t="s">
        <v>60</v>
      </c>
      <c r="L1319">
        <v>1</v>
      </c>
      <c r="M1319" s="2">
        <v>33.6</v>
      </c>
      <c r="N1319" t="s">
        <v>87</v>
      </c>
      <c r="O1319" s="3">
        <v>10</v>
      </c>
      <c r="P1319" s="3">
        <v>0</v>
      </c>
      <c r="Q1319" s="2">
        <v>43.6</v>
      </c>
      <c r="R1319" t="s">
        <v>71</v>
      </c>
      <c r="S1319" t="s">
        <v>35</v>
      </c>
      <c r="T1319" t="s">
        <v>51</v>
      </c>
      <c r="U1319" t="s">
        <v>30</v>
      </c>
    </row>
    <row r="1320" spans="1:21" x14ac:dyDescent="0.35">
      <c r="A1320" t="s">
        <v>1399</v>
      </c>
      <c r="B1320" s="1">
        <v>46211</v>
      </c>
      <c r="C1320" t="str">
        <f>TEXT(tblData[[#This Row],[Rental Date]],"mmm")</f>
        <v>Jul</v>
      </c>
      <c r="D1320" t="str">
        <f>TEXT(tblData[[#This Row],[Rental Date]],"mmmm")</f>
        <v>July</v>
      </c>
      <c r="E1320" t="s">
        <v>109</v>
      </c>
      <c r="F1320" t="str">
        <f>TEXT(WEEKNUM(tblData[[#This Row],[Rental Date]]),"00")</f>
        <v>28</v>
      </c>
      <c r="G1320" s="1">
        <f>EOMONTH(tblData[[#This Row],[Rental Date]],0)</f>
        <v>46234</v>
      </c>
      <c r="H1320" t="s">
        <v>749</v>
      </c>
      <c r="I1320" t="s">
        <v>39</v>
      </c>
      <c r="J1320" t="s">
        <v>33</v>
      </c>
      <c r="K1320" t="s">
        <v>40</v>
      </c>
      <c r="L1320">
        <v>1</v>
      </c>
      <c r="M1320" s="2">
        <v>64.959999999999994</v>
      </c>
      <c r="N1320" t="s">
        <v>41</v>
      </c>
      <c r="O1320" s="3">
        <v>5</v>
      </c>
      <c r="P1320" s="3">
        <v>0</v>
      </c>
      <c r="Q1320" s="2">
        <v>69.959999999999994</v>
      </c>
      <c r="R1320" t="s">
        <v>57</v>
      </c>
      <c r="S1320" t="s">
        <v>28</v>
      </c>
      <c r="T1320" t="s">
        <v>83</v>
      </c>
      <c r="U1320" t="s">
        <v>30</v>
      </c>
    </row>
    <row r="1321" spans="1:21" x14ac:dyDescent="0.35">
      <c r="A1321" t="s">
        <v>1400</v>
      </c>
      <c r="B1321" s="1">
        <v>46211</v>
      </c>
      <c r="C1321" t="str">
        <f>TEXT(tblData[[#This Row],[Rental Date]],"mmm")</f>
        <v>Jul</v>
      </c>
      <c r="D1321" t="str">
        <f>TEXT(tblData[[#This Row],[Rental Date]],"mmmm")</f>
        <v>July</v>
      </c>
      <c r="E1321" t="s">
        <v>109</v>
      </c>
      <c r="F1321" t="str">
        <f>TEXT(WEEKNUM(tblData[[#This Row],[Rental Date]]),"00")</f>
        <v>28</v>
      </c>
      <c r="G1321" s="1">
        <f>EOMONTH(tblData[[#This Row],[Rental Date]],0)</f>
        <v>46234</v>
      </c>
      <c r="H1321" t="s">
        <v>749</v>
      </c>
      <c r="I1321" t="s">
        <v>48</v>
      </c>
      <c r="J1321" t="s">
        <v>33</v>
      </c>
      <c r="K1321" t="s">
        <v>60</v>
      </c>
      <c r="L1321">
        <v>1</v>
      </c>
      <c r="M1321" s="2">
        <v>26.88</v>
      </c>
      <c r="N1321" t="s">
        <v>41</v>
      </c>
      <c r="O1321" s="3">
        <v>5</v>
      </c>
      <c r="P1321" s="3">
        <v>1.59</v>
      </c>
      <c r="Q1321" s="2">
        <v>30.29</v>
      </c>
      <c r="R1321" t="s">
        <v>71</v>
      </c>
      <c r="S1321" t="s">
        <v>35</v>
      </c>
      <c r="T1321" t="s">
        <v>29</v>
      </c>
      <c r="U1321" t="s">
        <v>30</v>
      </c>
    </row>
    <row r="1322" spans="1:21" x14ac:dyDescent="0.35">
      <c r="A1322" t="s">
        <v>1401</v>
      </c>
      <c r="B1322" s="1">
        <v>46211</v>
      </c>
      <c r="C1322" t="str">
        <f>TEXT(tblData[[#This Row],[Rental Date]],"mmm")</f>
        <v>Jul</v>
      </c>
      <c r="D1322" t="str">
        <f>TEXT(tblData[[#This Row],[Rental Date]],"mmmm")</f>
        <v>July</v>
      </c>
      <c r="E1322" t="s">
        <v>109</v>
      </c>
      <c r="F1322" t="str">
        <f>TEXT(WEEKNUM(tblData[[#This Row],[Rental Date]]),"00")</f>
        <v>28</v>
      </c>
      <c r="G1322" s="1">
        <f>EOMONTH(tblData[[#This Row],[Rental Date]],0)</f>
        <v>46234</v>
      </c>
      <c r="H1322" t="s">
        <v>749</v>
      </c>
      <c r="I1322" t="s">
        <v>48</v>
      </c>
      <c r="J1322" t="s">
        <v>65</v>
      </c>
      <c r="K1322" t="s">
        <v>25</v>
      </c>
      <c r="L1322">
        <v>1</v>
      </c>
      <c r="M1322" s="2">
        <v>20.16</v>
      </c>
      <c r="N1322" t="s">
        <v>41</v>
      </c>
      <c r="O1322" s="3">
        <v>5</v>
      </c>
      <c r="P1322" s="3">
        <v>0</v>
      </c>
      <c r="Q1322" s="2">
        <v>25.16</v>
      </c>
      <c r="R1322" t="s">
        <v>71</v>
      </c>
      <c r="S1322" t="s">
        <v>54</v>
      </c>
      <c r="T1322" t="s">
        <v>63</v>
      </c>
      <c r="U1322" t="s">
        <v>30</v>
      </c>
    </row>
    <row r="1323" spans="1:21" x14ac:dyDescent="0.35">
      <c r="A1323" t="s">
        <v>1402</v>
      </c>
      <c r="B1323" s="1">
        <v>46211</v>
      </c>
      <c r="C1323" t="str">
        <f>TEXT(tblData[[#This Row],[Rental Date]],"mmm")</f>
        <v>Jul</v>
      </c>
      <c r="D1323" t="str">
        <f>TEXT(tblData[[#This Row],[Rental Date]],"mmmm")</f>
        <v>July</v>
      </c>
      <c r="E1323" t="s">
        <v>109</v>
      </c>
      <c r="F1323" t="str">
        <f>TEXT(WEEKNUM(tblData[[#This Row],[Rental Date]]),"00")</f>
        <v>28</v>
      </c>
      <c r="G1323" s="1">
        <f>EOMONTH(tblData[[#This Row],[Rental Date]],0)</f>
        <v>46234</v>
      </c>
      <c r="H1323" t="s">
        <v>749</v>
      </c>
      <c r="I1323" t="s">
        <v>23</v>
      </c>
      <c r="J1323" t="s">
        <v>78</v>
      </c>
      <c r="K1323" t="s">
        <v>40</v>
      </c>
      <c r="L1323">
        <v>1</v>
      </c>
      <c r="M1323" s="2">
        <v>69.44</v>
      </c>
      <c r="N1323" t="s">
        <v>89</v>
      </c>
      <c r="O1323" s="3">
        <v>6</v>
      </c>
      <c r="P1323" s="3">
        <v>0</v>
      </c>
      <c r="Q1323" s="2">
        <v>75.44</v>
      </c>
      <c r="R1323" t="s">
        <v>66</v>
      </c>
      <c r="S1323" t="s">
        <v>28</v>
      </c>
      <c r="T1323" t="s">
        <v>29</v>
      </c>
      <c r="U1323" t="s">
        <v>30</v>
      </c>
    </row>
    <row r="1324" spans="1:21" x14ac:dyDescent="0.35">
      <c r="A1324" t="s">
        <v>1403</v>
      </c>
      <c r="B1324" s="1">
        <v>46211</v>
      </c>
      <c r="C1324" t="str">
        <f>TEXT(tblData[[#This Row],[Rental Date]],"mmm")</f>
        <v>Jul</v>
      </c>
      <c r="D1324" t="str">
        <f>TEXT(tblData[[#This Row],[Rental Date]],"mmmm")</f>
        <v>July</v>
      </c>
      <c r="E1324" t="s">
        <v>109</v>
      </c>
      <c r="F1324" t="str">
        <f>TEXT(WEEKNUM(tblData[[#This Row],[Rental Date]]),"00")</f>
        <v>28</v>
      </c>
      <c r="G1324" s="1">
        <f>EOMONTH(tblData[[#This Row],[Rental Date]],0)</f>
        <v>46234</v>
      </c>
      <c r="H1324" t="s">
        <v>749</v>
      </c>
      <c r="I1324" t="s">
        <v>23</v>
      </c>
      <c r="J1324" t="s">
        <v>24</v>
      </c>
      <c r="K1324" t="s">
        <v>25</v>
      </c>
      <c r="L1324">
        <v>1</v>
      </c>
      <c r="M1324" s="2">
        <v>56</v>
      </c>
      <c r="N1324" t="s">
        <v>26</v>
      </c>
      <c r="O1324" s="3">
        <v>0</v>
      </c>
      <c r="P1324" s="3">
        <v>0</v>
      </c>
      <c r="Q1324" s="2">
        <v>56</v>
      </c>
      <c r="R1324" t="s">
        <v>71</v>
      </c>
      <c r="S1324" t="s">
        <v>50</v>
      </c>
      <c r="T1324" t="s">
        <v>51</v>
      </c>
      <c r="U1324" t="s">
        <v>30</v>
      </c>
    </row>
    <row r="1325" spans="1:21" x14ac:dyDescent="0.35">
      <c r="A1325" t="s">
        <v>1404</v>
      </c>
      <c r="B1325" s="1">
        <v>46211</v>
      </c>
      <c r="C1325" t="str">
        <f>TEXT(tblData[[#This Row],[Rental Date]],"mmm")</f>
        <v>Jul</v>
      </c>
      <c r="D1325" t="str">
        <f>TEXT(tblData[[#This Row],[Rental Date]],"mmmm")</f>
        <v>July</v>
      </c>
      <c r="E1325" t="s">
        <v>109</v>
      </c>
      <c r="F1325" t="str">
        <f>TEXT(WEEKNUM(tblData[[#This Row],[Rental Date]]),"00")</f>
        <v>28</v>
      </c>
      <c r="G1325" s="1">
        <f>EOMONTH(tblData[[#This Row],[Rental Date]],0)</f>
        <v>46234</v>
      </c>
      <c r="H1325" t="s">
        <v>749</v>
      </c>
      <c r="I1325" t="s">
        <v>23</v>
      </c>
      <c r="J1325" t="s">
        <v>44</v>
      </c>
      <c r="K1325" t="s">
        <v>25</v>
      </c>
      <c r="L1325">
        <v>1</v>
      </c>
      <c r="M1325" s="2">
        <v>58.24</v>
      </c>
      <c r="N1325" t="s">
        <v>26</v>
      </c>
      <c r="O1325" s="3">
        <v>0</v>
      </c>
      <c r="P1325" s="3">
        <v>0</v>
      </c>
      <c r="Q1325" s="2">
        <v>58.24</v>
      </c>
      <c r="R1325" t="s">
        <v>45</v>
      </c>
      <c r="S1325" t="s">
        <v>50</v>
      </c>
      <c r="T1325" t="s">
        <v>63</v>
      </c>
      <c r="U1325" t="s">
        <v>30</v>
      </c>
    </row>
    <row r="1326" spans="1:21" x14ac:dyDescent="0.35">
      <c r="A1326" t="s">
        <v>1405</v>
      </c>
      <c r="B1326" s="1">
        <v>46211</v>
      </c>
      <c r="C1326" t="str">
        <f>TEXT(tblData[[#This Row],[Rental Date]],"mmm")</f>
        <v>Jul</v>
      </c>
      <c r="D1326" t="str">
        <f>TEXT(tblData[[#This Row],[Rental Date]],"mmmm")</f>
        <v>July</v>
      </c>
      <c r="E1326" t="s">
        <v>109</v>
      </c>
      <c r="F1326" t="str">
        <f>TEXT(WEEKNUM(tblData[[#This Row],[Rental Date]]),"00")</f>
        <v>28</v>
      </c>
      <c r="G1326" s="1">
        <f>EOMONTH(tblData[[#This Row],[Rental Date]],0)</f>
        <v>46234</v>
      </c>
      <c r="H1326" t="s">
        <v>749</v>
      </c>
      <c r="I1326" t="s">
        <v>39</v>
      </c>
      <c r="J1326" t="s">
        <v>78</v>
      </c>
      <c r="K1326" t="s">
        <v>25</v>
      </c>
      <c r="L1326">
        <v>1</v>
      </c>
      <c r="M1326" s="2">
        <v>47.04</v>
      </c>
      <c r="N1326" t="s">
        <v>26</v>
      </c>
      <c r="O1326" s="3">
        <v>0</v>
      </c>
      <c r="P1326" s="3">
        <v>2.35</v>
      </c>
      <c r="Q1326" s="2">
        <v>44.69</v>
      </c>
      <c r="R1326" t="s">
        <v>76</v>
      </c>
      <c r="S1326" t="s">
        <v>46</v>
      </c>
      <c r="T1326" t="s">
        <v>29</v>
      </c>
      <c r="U1326" t="s">
        <v>30</v>
      </c>
    </row>
    <row r="1327" spans="1:21" x14ac:dyDescent="0.35">
      <c r="A1327" t="s">
        <v>1406</v>
      </c>
      <c r="B1327" s="1">
        <v>46211</v>
      </c>
      <c r="C1327" t="str">
        <f>TEXT(tblData[[#This Row],[Rental Date]],"mmm")</f>
        <v>Jul</v>
      </c>
      <c r="D1327" t="str">
        <f>TEXT(tblData[[#This Row],[Rental Date]],"mmmm")</f>
        <v>July</v>
      </c>
      <c r="E1327" t="s">
        <v>109</v>
      </c>
      <c r="F1327" t="str">
        <f>TEXT(WEEKNUM(tblData[[#This Row],[Rental Date]]),"00")</f>
        <v>28</v>
      </c>
      <c r="G1327" s="1">
        <f>EOMONTH(tblData[[#This Row],[Rental Date]],0)</f>
        <v>46234</v>
      </c>
      <c r="H1327" t="s">
        <v>749</v>
      </c>
      <c r="I1327" t="s">
        <v>48</v>
      </c>
      <c r="J1327" t="s">
        <v>33</v>
      </c>
      <c r="K1327" t="s">
        <v>40</v>
      </c>
      <c r="L1327">
        <v>1</v>
      </c>
      <c r="M1327" s="2">
        <v>64.959999999999994</v>
      </c>
      <c r="N1327" t="s">
        <v>26</v>
      </c>
      <c r="O1327" s="3">
        <v>0</v>
      </c>
      <c r="P1327" s="3">
        <v>0</v>
      </c>
      <c r="Q1327" s="2">
        <v>64.959999999999994</v>
      </c>
      <c r="R1327" t="s">
        <v>57</v>
      </c>
      <c r="S1327" t="s">
        <v>54</v>
      </c>
      <c r="T1327" t="s">
        <v>29</v>
      </c>
      <c r="U1327" t="s">
        <v>30</v>
      </c>
    </row>
    <row r="1328" spans="1:21" x14ac:dyDescent="0.35">
      <c r="A1328" t="s">
        <v>1407</v>
      </c>
      <c r="B1328" s="1">
        <v>46211</v>
      </c>
      <c r="C1328" t="str">
        <f>TEXT(tblData[[#This Row],[Rental Date]],"mmm")</f>
        <v>Jul</v>
      </c>
      <c r="D1328" t="str">
        <f>TEXT(tblData[[#This Row],[Rental Date]],"mmmm")</f>
        <v>July</v>
      </c>
      <c r="E1328" t="s">
        <v>109</v>
      </c>
      <c r="F1328" t="str">
        <f>TEXT(WEEKNUM(tblData[[#This Row],[Rental Date]]),"00")</f>
        <v>28</v>
      </c>
      <c r="G1328" s="1">
        <f>EOMONTH(tblData[[#This Row],[Rental Date]],0)</f>
        <v>46234</v>
      </c>
      <c r="H1328" t="s">
        <v>749</v>
      </c>
      <c r="I1328" t="s">
        <v>39</v>
      </c>
      <c r="J1328" t="s">
        <v>44</v>
      </c>
      <c r="K1328" t="s">
        <v>60</v>
      </c>
      <c r="L1328">
        <v>1</v>
      </c>
      <c r="M1328" s="2">
        <v>38.08</v>
      </c>
      <c r="N1328" t="s">
        <v>26</v>
      </c>
      <c r="O1328" s="3">
        <v>0</v>
      </c>
      <c r="P1328" s="3">
        <v>0</v>
      </c>
      <c r="Q1328" s="2">
        <v>38.08</v>
      </c>
      <c r="R1328" t="s">
        <v>71</v>
      </c>
      <c r="S1328" t="s">
        <v>54</v>
      </c>
      <c r="T1328" t="s">
        <v>63</v>
      </c>
      <c r="U1328" t="s">
        <v>30</v>
      </c>
    </row>
    <row r="1329" spans="1:21" x14ac:dyDescent="0.35">
      <c r="A1329" t="s">
        <v>1408</v>
      </c>
      <c r="B1329" s="1">
        <v>46211</v>
      </c>
      <c r="C1329" t="str">
        <f>TEXT(tblData[[#This Row],[Rental Date]],"mmm")</f>
        <v>Jul</v>
      </c>
      <c r="D1329" t="str">
        <f>TEXT(tblData[[#This Row],[Rental Date]],"mmmm")</f>
        <v>July</v>
      </c>
      <c r="E1329" t="s">
        <v>109</v>
      </c>
      <c r="F1329" t="str">
        <f>TEXT(WEEKNUM(tblData[[#This Row],[Rental Date]]),"00")</f>
        <v>28</v>
      </c>
      <c r="G1329" s="1">
        <f>EOMONTH(tblData[[#This Row],[Rental Date]],0)</f>
        <v>46234</v>
      </c>
      <c r="H1329" t="s">
        <v>749</v>
      </c>
      <c r="I1329" t="s">
        <v>39</v>
      </c>
      <c r="J1329" t="s">
        <v>33</v>
      </c>
      <c r="K1329" t="s">
        <v>25</v>
      </c>
      <c r="L1329">
        <v>1</v>
      </c>
      <c r="M1329" s="2">
        <v>42.56</v>
      </c>
      <c r="N1329" t="s">
        <v>26</v>
      </c>
      <c r="O1329" s="3">
        <v>0</v>
      </c>
      <c r="P1329" s="3">
        <v>0</v>
      </c>
      <c r="Q1329" s="2">
        <v>42.56</v>
      </c>
      <c r="R1329" t="s">
        <v>34</v>
      </c>
      <c r="S1329" t="s">
        <v>54</v>
      </c>
      <c r="T1329" t="s">
        <v>51</v>
      </c>
      <c r="U1329" t="s">
        <v>58</v>
      </c>
    </row>
    <row r="1330" spans="1:21" x14ac:dyDescent="0.35">
      <c r="A1330" t="s">
        <v>1409</v>
      </c>
      <c r="B1330" s="1">
        <v>46212</v>
      </c>
      <c r="C1330" t="str">
        <f>TEXT(tblData[[#This Row],[Rental Date]],"mmm")</f>
        <v>Jul</v>
      </c>
      <c r="D1330" t="str">
        <f>TEXT(tblData[[#This Row],[Rental Date]],"mmmm")</f>
        <v>July</v>
      </c>
      <c r="E1330" t="s">
        <v>21</v>
      </c>
      <c r="F1330" t="str">
        <f>TEXT(WEEKNUM(tblData[[#This Row],[Rental Date]]),"00")</f>
        <v>28</v>
      </c>
      <c r="G1330" s="1">
        <f>EOMONTH(tblData[[#This Row],[Rental Date]],0)</f>
        <v>46234</v>
      </c>
      <c r="H1330" t="s">
        <v>749</v>
      </c>
      <c r="I1330" t="s">
        <v>39</v>
      </c>
      <c r="J1330" t="s">
        <v>33</v>
      </c>
      <c r="K1330" t="s">
        <v>25</v>
      </c>
      <c r="L1330">
        <v>1</v>
      </c>
      <c r="M1330" s="2">
        <v>42.56</v>
      </c>
      <c r="N1330" t="s">
        <v>75</v>
      </c>
      <c r="O1330" s="3">
        <v>12</v>
      </c>
      <c r="P1330" s="3">
        <v>0</v>
      </c>
      <c r="Q1330" s="2">
        <v>54.56</v>
      </c>
      <c r="R1330" t="s">
        <v>57</v>
      </c>
      <c r="S1330" t="s">
        <v>35</v>
      </c>
      <c r="T1330" t="s">
        <v>29</v>
      </c>
      <c r="U1330" t="s">
        <v>58</v>
      </c>
    </row>
    <row r="1331" spans="1:21" x14ac:dyDescent="0.35">
      <c r="A1331" t="s">
        <v>1410</v>
      </c>
      <c r="B1331" s="1">
        <v>46212</v>
      </c>
      <c r="C1331" t="str">
        <f>TEXT(tblData[[#This Row],[Rental Date]],"mmm")</f>
        <v>Jul</v>
      </c>
      <c r="D1331" t="str">
        <f>TEXT(tblData[[#This Row],[Rental Date]],"mmmm")</f>
        <v>July</v>
      </c>
      <c r="E1331" t="s">
        <v>21</v>
      </c>
      <c r="F1331" t="str">
        <f>TEXT(WEEKNUM(tblData[[#This Row],[Rental Date]]),"00")</f>
        <v>28</v>
      </c>
      <c r="G1331" s="1">
        <f>EOMONTH(tblData[[#This Row],[Rental Date]],0)</f>
        <v>46234</v>
      </c>
      <c r="H1331" t="s">
        <v>749</v>
      </c>
      <c r="I1331" t="s">
        <v>48</v>
      </c>
      <c r="J1331" t="s">
        <v>24</v>
      </c>
      <c r="K1331" t="s">
        <v>40</v>
      </c>
      <c r="L1331">
        <v>1</v>
      </c>
      <c r="M1331" s="2">
        <v>85.12</v>
      </c>
      <c r="N1331" t="s">
        <v>89</v>
      </c>
      <c r="O1331" s="3">
        <v>6</v>
      </c>
      <c r="P1331" s="3">
        <v>0</v>
      </c>
      <c r="Q1331" s="2">
        <v>91.12</v>
      </c>
      <c r="R1331" t="s">
        <v>66</v>
      </c>
      <c r="S1331" t="s">
        <v>35</v>
      </c>
      <c r="T1331" t="s">
        <v>29</v>
      </c>
      <c r="U1331" t="s">
        <v>30</v>
      </c>
    </row>
    <row r="1332" spans="1:21" x14ac:dyDescent="0.35">
      <c r="A1332" t="s">
        <v>1411</v>
      </c>
      <c r="B1332" s="1">
        <v>46212</v>
      </c>
      <c r="C1332" t="str">
        <f>TEXT(tblData[[#This Row],[Rental Date]],"mmm")</f>
        <v>Jul</v>
      </c>
      <c r="D1332" t="str">
        <f>TEXT(tblData[[#This Row],[Rental Date]],"mmmm")</f>
        <v>July</v>
      </c>
      <c r="E1332" t="s">
        <v>21</v>
      </c>
      <c r="F1332" t="str">
        <f>TEXT(WEEKNUM(tblData[[#This Row],[Rental Date]]),"00")</f>
        <v>28</v>
      </c>
      <c r="G1332" s="1">
        <f>EOMONTH(tblData[[#This Row],[Rental Date]],0)</f>
        <v>46234</v>
      </c>
      <c r="H1332" t="s">
        <v>749</v>
      </c>
      <c r="I1332" t="s">
        <v>39</v>
      </c>
      <c r="J1332" t="s">
        <v>127</v>
      </c>
      <c r="K1332" t="s">
        <v>25</v>
      </c>
      <c r="L1332">
        <v>1</v>
      </c>
      <c r="M1332" s="2">
        <v>17.920000000000002</v>
      </c>
      <c r="N1332" t="s">
        <v>26</v>
      </c>
      <c r="O1332" s="3">
        <v>0</v>
      </c>
      <c r="P1332" s="3">
        <v>0</v>
      </c>
      <c r="Q1332" s="2">
        <v>17.920000000000002</v>
      </c>
      <c r="R1332" t="s">
        <v>45</v>
      </c>
      <c r="S1332" t="s">
        <v>46</v>
      </c>
      <c r="T1332" t="s">
        <v>29</v>
      </c>
      <c r="U1332" t="s">
        <v>58</v>
      </c>
    </row>
    <row r="1333" spans="1:21" x14ac:dyDescent="0.35">
      <c r="A1333" t="s">
        <v>1412</v>
      </c>
      <c r="B1333" s="1">
        <v>46212</v>
      </c>
      <c r="C1333" t="str">
        <f>TEXT(tblData[[#This Row],[Rental Date]],"mmm")</f>
        <v>Jul</v>
      </c>
      <c r="D1333" t="str">
        <f>TEXT(tblData[[#This Row],[Rental Date]],"mmmm")</f>
        <v>July</v>
      </c>
      <c r="E1333" t="s">
        <v>21</v>
      </c>
      <c r="F1333" t="str">
        <f>TEXT(WEEKNUM(tblData[[#This Row],[Rental Date]]),"00")</f>
        <v>28</v>
      </c>
      <c r="G1333" s="1">
        <f>EOMONTH(tblData[[#This Row],[Rental Date]],0)</f>
        <v>46234</v>
      </c>
      <c r="H1333" t="s">
        <v>749</v>
      </c>
      <c r="I1333" t="s">
        <v>48</v>
      </c>
      <c r="J1333" t="s">
        <v>78</v>
      </c>
      <c r="K1333" t="s">
        <v>60</v>
      </c>
      <c r="L1333">
        <v>1</v>
      </c>
      <c r="M1333" s="2">
        <v>29.12</v>
      </c>
      <c r="N1333" t="s">
        <v>26</v>
      </c>
      <c r="O1333" s="3">
        <v>0</v>
      </c>
      <c r="P1333" s="3">
        <v>0</v>
      </c>
      <c r="Q1333" s="2">
        <v>29.12</v>
      </c>
      <c r="R1333" t="s">
        <v>76</v>
      </c>
      <c r="S1333" t="s">
        <v>50</v>
      </c>
      <c r="T1333" t="s">
        <v>51</v>
      </c>
      <c r="U1333" t="s">
        <v>30</v>
      </c>
    </row>
    <row r="1334" spans="1:21" x14ac:dyDescent="0.35">
      <c r="A1334" t="s">
        <v>1413</v>
      </c>
      <c r="B1334" s="1">
        <v>46212</v>
      </c>
      <c r="C1334" t="str">
        <f>TEXT(tblData[[#This Row],[Rental Date]],"mmm")</f>
        <v>Jul</v>
      </c>
      <c r="D1334" t="str">
        <f>TEXT(tblData[[#This Row],[Rental Date]],"mmmm")</f>
        <v>July</v>
      </c>
      <c r="E1334" t="s">
        <v>21</v>
      </c>
      <c r="F1334" t="str">
        <f>TEXT(WEEKNUM(tblData[[#This Row],[Rental Date]]),"00")</f>
        <v>28</v>
      </c>
      <c r="G1334" s="1">
        <f>EOMONTH(tblData[[#This Row],[Rental Date]],0)</f>
        <v>46234</v>
      </c>
      <c r="H1334" t="s">
        <v>749</v>
      </c>
      <c r="I1334" t="s">
        <v>39</v>
      </c>
      <c r="J1334" t="s">
        <v>78</v>
      </c>
      <c r="K1334" t="s">
        <v>25</v>
      </c>
      <c r="L1334">
        <v>1</v>
      </c>
      <c r="M1334" s="2">
        <v>47.04</v>
      </c>
      <c r="N1334" t="s">
        <v>26</v>
      </c>
      <c r="O1334" s="3">
        <v>0</v>
      </c>
      <c r="P1334" s="3">
        <v>0</v>
      </c>
      <c r="Q1334" s="2">
        <v>47.04</v>
      </c>
      <c r="R1334" t="s">
        <v>62</v>
      </c>
      <c r="S1334" t="s">
        <v>54</v>
      </c>
      <c r="T1334" t="s">
        <v>63</v>
      </c>
      <c r="U1334" t="s">
        <v>30</v>
      </c>
    </row>
    <row r="1335" spans="1:21" x14ac:dyDescent="0.35">
      <c r="A1335" t="s">
        <v>1414</v>
      </c>
      <c r="B1335" s="1">
        <v>46212</v>
      </c>
      <c r="C1335" t="str">
        <f>TEXT(tblData[[#This Row],[Rental Date]],"mmm")</f>
        <v>Jul</v>
      </c>
      <c r="D1335" t="str">
        <f>TEXT(tblData[[#This Row],[Rental Date]],"mmmm")</f>
        <v>July</v>
      </c>
      <c r="E1335" t="s">
        <v>21</v>
      </c>
      <c r="F1335" t="str">
        <f>TEXT(WEEKNUM(tblData[[#This Row],[Rental Date]]),"00")</f>
        <v>28</v>
      </c>
      <c r="G1335" s="1">
        <f>EOMONTH(tblData[[#This Row],[Rental Date]],0)</f>
        <v>46234</v>
      </c>
      <c r="H1335" t="s">
        <v>749</v>
      </c>
      <c r="I1335" t="s">
        <v>39</v>
      </c>
      <c r="J1335" t="s">
        <v>65</v>
      </c>
      <c r="K1335" t="s">
        <v>40</v>
      </c>
      <c r="L1335">
        <v>1</v>
      </c>
      <c r="M1335" s="2">
        <v>31.36</v>
      </c>
      <c r="N1335" t="s">
        <v>26</v>
      </c>
      <c r="O1335" s="3">
        <v>0</v>
      </c>
      <c r="P1335" s="3">
        <v>0</v>
      </c>
      <c r="Q1335" s="2">
        <v>31.36</v>
      </c>
      <c r="R1335" t="s">
        <v>45</v>
      </c>
      <c r="S1335" t="s">
        <v>54</v>
      </c>
      <c r="T1335" t="s">
        <v>90</v>
      </c>
      <c r="U1335" t="s">
        <v>58</v>
      </c>
    </row>
    <row r="1336" spans="1:21" x14ac:dyDescent="0.35">
      <c r="A1336" t="s">
        <v>1415</v>
      </c>
      <c r="B1336" s="1">
        <v>46212</v>
      </c>
      <c r="C1336" t="str">
        <f>TEXT(tblData[[#This Row],[Rental Date]],"mmm")</f>
        <v>Jul</v>
      </c>
      <c r="D1336" t="str">
        <f>TEXT(tblData[[#This Row],[Rental Date]],"mmmm")</f>
        <v>July</v>
      </c>
      <c r="E1336" t="s">
        <v>21</v>
      </c>
      <c r="F1336" t="str">
        <f>TEXT(WEEKNUM(tblData[[#This Row],[Rental Date]]),"00")</f>
        <v>28</v>
      </c>
      <c r="G1336" s="1">
        <f>EOMONTH(tblData[[#This Row],[Rental Date]],0)</f>
        <v>46234</v>
      </c>
      <c r="H1336" t="s">
        <v>749</v>
      </c>
      <c r="I1336" t="s">
        <v>39</v>
      </c>
      <c r="J1336" t="s">
        <v>44</v>
      </c>
      <c r="K1336" t="s">
        <v>92</v>
      </c>
      <c r="L1336">
        <v>1</v>
      </c>
      <c r="M1336" s="2">
        <v>125.44</v>
      </c>
      <c r="N1336" t="s">
        <v>26</v>
      </c>
      <c r="O1336" s="3">
        <v>0</v>
      </c>
      <c r="P1336" s="3">
        <v>0</v>
      </c>
      <c r="Q1336" s="2">
        <v>125.44</v>
      </c>
      <c r="R1336" t="s">
        <v>71</v>
      </c>
      <c r="S1336" t="s">
        <v>35</v>
      </c>
      <c r="T1336" t="s">
        <v>29</v>
      </c>
      <c r="U1336" t="s">
        <v>58</v>
      </c>
    </row>
    <row r="1337" spans="1:21" x14ac:dyDescent="0.35">
      <c r="A1337" t="s">
        <v>1416</v>
      </c>
      <c r="B1337" s="1">
        <v>46212</v>
      </c>
      <c r="C1337" t="str">
        <f>TEXT(tblData[[#This Row],[Rental Date]],"mmm")</f>
        <v>Jul</v>
      </c>
      <c r="D1337" t="str">
        <f>TEXT(tblData[[#This Row],[Rental Date]],"mmmm")</f>
        <v>July</v>
      </c>
      <c r="E1337" t="s">
        <v>21</v>
      </c>
      <c r="F1337" t="str">
        <f>TEXT(WEEKNUM(tblData[[#This Row],[Rental Date]]),"00")</f>
        <v>28</v>
      </c>
      <c r="G1337" s="1">
        <f>EOMONTH(tblData[[#This Row],[Rental Date]],0)</f>
        <v>46234</v>
      </c>
      <c r="H1337" t="s">
        <v>749</v>
      </c>
      <c r="I1337" t="s">
        <v>39</v>
      </c>
      <c r="J1337" t="s">
        <v>65</v>
      </c>
      <c r="K1337" t="s">
        <v>25</v>
      </c>
      <c r="L1337">
        <v>1</v>
      </c>
      <c r="M1337" s="2">
        <v>20.16</v>
      </c>
      <c r="N1337" t="s">
        <v>26</v>
      </c>
      <c r="O1337" s="3">
        <v>0</v>
      </c>
      <c r="P1337" s="3">
        <v>0</v>
      </c>
      <c r="Q1337" s="2">
        <v>20.16</v>
      </c>
      <c r="R1337" t="s">
        <v>27</v>
      </c>
      <c r="S1337" t="s">
        <v>35</v>
      </c>
      <c r="T1337" t="s">
        <v>51</v>
      </c>
      <c r="U1337" t="s">
        <v>30</v>
      </c>
    </row>
    <row r="1338" spans="1:21" x14ac:dyDescent="0.35">
      <c r="A1338" t="s">
        <v>1417</v>
      </c>
      <c r="B1338" s="1">
        <v>46212</v>
      </c>
      <c r="C1338" t="str">
        <f>TEXT(tblData[[#This Row],[Rental Date]],"mmm")</f>
        <v>Jul</v>
      </c>
      <c r="D1338" t="str">
        <f>TEXT(tblData[[#This Row],[Rental Date]],"mmmm")</f>
        <v>July</v>
      </c>
      <c r="E1338" t="s">
        <v>21</v>
      </c>
      <c r="F1338" t="str">
        <f>TEXT(WEEKNUM(tblData[[#This Row],[Rental Date]]),"00")</f>
        <v>28</v>
      </c>
      <c r="G1338" s="1">
        <f>EOMONTH(tblData[[#This Row],[Rental Date]],0)</f>
        <v>46234</v>
      </c>
      <c r="H1338" t="s">
        <v>749</v>
      </c>
      <c r="I1338" t="s">
        <v>32</v>
      </c>
      <c r="J1338" t="s">
        <v>44</v>
      </c>
      <c r="K1338" t="s">
        <v>40</v>
      </c>
      <c r="L1338">
        <v>1</v>
      </c>
      <c r="M1338" s="2">
        <v>87.36</v>
      </c>
      <c r="N1338" t="s">
        <v>89</v>
      </c>
      <c r="O1338" s="3">
        <v>6</v>
      </c>
      <c r="P1338" s="3">
        <v>9.34</v>
      </c>
      <c r="Q1338" s="2">
        <v>84.02</v>
      </c>
      <c r="R1338" t="s">
        <v>42</v>
      </c>
      <c r="S1338" t="s">
        <v>35</v>
      </c>
      <c r="T1338" t="s">
        <v>63</v>
      </c>
      <c r="U1338" t="s">
        <v>30</v>
      </c>
    </row>
    <row r="1339" spans="1:21" x14ac:dyDescent="0.35">
      <c r="A1339" t="s">
        <v>1418</v>
      </c>
      <c r="B1339" s="1">
        <v>46212</v>
      </c>
      <c r="C1339" t="str">
        <f>TEXT(tblData[[#This Row],[Rental Date]],"mmm")</f>
        <v>Jul</v>
      </c>
      <c r="D1339" t="str">
        <f>TEXT(tblData[[#This Row],[Rental Date]],"mmmm")</f>
        <v>July</v>
      </c>
      <c r="E1339" t="s">
        <v>21</v>
      </c>
      <c r="F1339" t="str">
        <f>TEXT(WEEKNUM(tblData[[#This Row],[Rental Date]]),"00")</f>
        <v>28</v>
      </c>
      <c r="G1339" s="1">
        <f>EOMONTH(tblData[[#This Row],[Rental Date]],0)</f>
        <v>46234</v>
      </c>
      <c r="H1339" t="s">
        <v>749</v>
      </c>
      <c r="I1339" t="s">
        <v>39</v>
      </c>
      <c r="J1339" t="s">
        <v>78</v>
      </c>
      <c r="K1339" t="s">
        <v>25</v>
      </c>
      <c r="L1339">
        <v>1</v>
      </c>
      <c r="M1339" s="2">
        <v>47.04</v>
      </c>
      <c r="N1339" t="s">
        <v>26</v>
      </c>
      <c r="O1339" s="3">
        <v>0</v>
      </c>
      <c r="P1339" s="3">
        <v>0</v>
      </c>
      <c r="Q1339" s="2">
        <v>47.04</v>
      </c>
      <c r="R1339" t="s">
        <v>45</v>
      </c>
      <c r="S1339" t="s">
        <v>46</v>
      </c>
      <c r="T1339" t="s">
        <v>51</v>
      </c>
      <c r="U1339" t="s">
        <v>58</v>
      </c>
    </row>
    <row r="1340" spans="1:21" x14ac:dyDescent="0.35">
      <c r="A1340" t="s">
        <v>1419</v>
      </c>
      <c r="B1340" s="1">
        <v>46212</v>
      </c>
      <c r="C1340" t="str">
        <f>TEXT(tblData[[#This Row],[Rental Date]],"mmm")</f>
        <v>Jul</v>
      </c>
      <c r="D1340" t="str">
        <f>TEXT(tblData[[#This Row],[Rental Date]],"mmmm")</f>
        <v>July</v>
      </c>
      <c r="E1340" t="s">
        <v>21</v>
      </c>
      <c r="F1340" t="str">
        <f>TEXT(WEEKNUM(tblData[[#This Row],[Rental Date]]),"00")</f>
        <v>28</v>
      </c>
      <c r="G1340" s="1">
        <f>EOMONTH(tblData[[#This Row],[Rental Date]],0)</f>
        <v>46234</v>
      </c>
      <c r="H1340" t="s">
        <v>749</v>
      </c>
      <c r="I1340" t="s">
        <v>48</v>
      </c>
      <c r="J1340" t="s">
        <v>33</v>
      </c>
      <c r="K1340" t="s">
        <v>40</v>
      </c>
      <c r="L1340">
        <v>1</v>
      </c>
      <c r="M1340" s="2">
        <v>64.959999999999994</v>
      </c>
      <c r="N1340" t="s">
        <v>41</v>
      </c>
      <c r="O1340" s="3">
        <v>5</v>
      </c>
      <c r="P1340" s="3">
        <v>3.5</v>
      </c>
      <c r="Q1340" s="2">
        <v>66.459999999999994</v>
      </c>
      <c r="R1340" t="s">
        <v>27</v>
      </c>
      <c r="S1340" t="s">
        <v>46</v>
      </c>
      <c r="T1340" t="s">
        <v>29</v>
      </c>
      <c r="U1340" t="s">
        <v>30</v>
      </c>
    </row>
    <row r="1341" spans="1:21" x14ac:dyDescent="0.35">
      <c r="A1341" t="s">
        <v>1420</v>
      </c>
      <c r="B1341" s="1">
        <v>46212</v>
      </c>
      <c r="C1341" t="str">
        <f>TEXT(tblData[[#This Row],[Rental Date]],"mmm")</f>
        <v>Jul</v>
      </c>
      <c r="D1341" t="str">
        <f>TEXT(tblData[[#This Row],[Rental Date]],"mmmm")</f>
        <v>July</v>
      </c>
      <c r="E1341" t="s">
        <v>21</v>
      </c>
      <c r="F1341" t="str">
        <f>TEXT(WEEKNUM(tblData[[#This Row],[Rental Date]]),"00")</f>
        <v>28</v>
      </c>
      <c r="G1341" s="1">
        <f>EOMONTH(tblData[[#This Row],[Rental Date]],0)</f>
        <v>46234</v>
      </c>
      <c r="H1341" t="s">
        <v>749</v>
      </c>
      <c r="I1341" t="s">
        <v>48</v>
      </c>
      <c r="J1341" t="s">
        <v>127</v>
      </c>
      <c r="K1341" t="s">
        <v>40</v>
      </c>
      <c r="L1341">
        <v>1</v>
      </c>
      <c r="M1341" s="2">
        <v>26.88</v>
      </c>
      <c r="N1341" t="s">
        <v>89</v>
      </c>
      <c r="O1341" s="3">
        <v>6</v>
      </c>
      <c r="P1341" s="3">
        <v>0</v>
      </c>
      <c r="Q1341" s="2">
        <v>32.880000000000003</v>
      </c>
      <c r="R1341" t="s">
        <v>27</v>
      </c>
      <c r="S1341" t="s">
        <v>35</v>
      </c>
      <c r="T1341" t="s">
        <v>29</v>
      </c>
      <c r="U1341" t="s">
        <v>30</v>
      </c>
    </row>
    <row r="1342" spans="1:21" x14ac:dyDescent="0.35">
      <c r="A1342" t="s">
        <v>1421</v>
      </c>
      <c r="B1342" s="1">
        <v>46212</v>
      </c>
      <c r="C1342" t="str">
        <f>TEXT(tblData[[#This Row],[Rental Date]],"mmm")</f>
        <v>Jul</v>
      </c>
      <c r="D1342" t="str">
        <f>TEXT(tblData[[#This Row],[Rental Date]],"mmmm")</f>
        <v>July</v>
      </c>
      <c r="E1342" t="s">
        <v>21</v>
      </c>
      <c r="F1342" t="str">
        <f>TEXT(WEEKNUM(tblData[[#This Row],[Rental Date]]),"00")</f>
        <v>28</v>
      </c>
      <c r="G1342" s="1">
        <f>EOMONTH(tblData[[#This Row],[Rental Date]],0)</f>
        <v>46234</v>
      </c>
      <c r="H1342" t="s">
        <v>749</v>
      </c>
      <c r="I1342" t="s">
        <v>48</v>
      </c>
      <c r="J1342" t="s">
        <v>33</v>
      </c>
      <c r="K1342" t="s">
        <v>60</v>
      </c>
      <c r="L1342">
        <v>1</v>
      </c>
      <c r="M1342" s="2">
        <v>26.88</v>
      </c>
      <c r="N1342" t="s">
        <v>89</v>
      </c>
      <c r="O1342" s="3">
        <v>6</v>
      </c>
      <c r="P1342" s="3">
        <v>0</v>
      </c>
      <c r="Q1342" s="2">
        <v>32.880000000000003</v>
      </c>
      <c r="R1342" t="s">
        <v>76</v>
      </c>
      <c r="S1342" t="s">
        <v>35</v>
      </c>
      <c r="T1342" t="s">
        <v>51</v>
      </c>
      <c r="U1342" t="s">
        <v>30</v>
      </c>
    </row>
    <row r="1343" spans="1:21" x14ac:dyDescent="0.35">
      <c r="A1343" t="s">
        <v>1422</v>
      </c>
      <c r="B1343" s="1">
        <v>46212</v>
      </c>
      <c r="C1343" t="str">
        <f>TEXT(tblData[[#This Row],[Rental Date]],"mmm")</f>
        <v>Jul</v>
      </c>
      <c r="D1343" t="str">
        <f>TEXT(tblData[[#This Row],[Rental Date]],"mmmm")</f>
        <v>July</v>
      </c>
      <c r="E1343" t="s">
        <v>21</v>
      </c>
      <c r="F1343" t="str">
        <f>TEXT(WEEKNUM(tblData[[#This Row],[Rental Date]]),"00")</f>
        <v>28</v>
      </c>
      <c r="G1343" s="1">
        <f>EOMONTH(tblData[[#This Row],[Rental Date]],0)</f>
        <v>46234</v>
      </c>
      <c r="H1343" t="s">
        <v>749</v>
      </c>
      <c r="I1343" t="s">
        <v>39</v>
      </c>
      <c r="J1343" t="s">
        <v>44</v>
      </c>
      <c r="K1343" t="s">
        <v>25</v>
      </c>
      <c r="L1343">
        <v>1</v>
      </c>
      <c r="M1343" s="2">
        <v>58.24</v>
      </c>
      <c r="N1343" t="s">
        <v>26</v>
      </c>
      <c r="O1343" s="3">
        <v>0</v>
      </c>
      <c r="P1343" s="3">
        <v>0</v>
      </c>
      <c r="Q1343" s="2">
        <v>58.24</v>
      </c>
      <c r="R1343" t="s">
        <v>94</v>
      </c>
      <c r="S1343" t="s">
        <v>28</v>
      </c>
      <c r="T1343" t="s">
        <v>83</v>
      </c>
      <c r="U1343" t="s">
        <v>30</v>
      </c>
    </row>
    <row r="1344" spans="1:21" x14ac:dyDescent="0.35">
      <c r="A1344" t="s">
        <v>1423</v>
      </c>
      <c r="B1344" s="1">
        <v>46212</v>
      </c>
      <c r="C1344" t="str">
        <f>TEXT(tblData[[#This Row],[Rental Date]],"mmm")</f>
        <v>Jul</v>
      </c>
      <c r="D1344" t="str">
        <f>TEXT(tblData[[#This Row],[Rental Date]],"mmmm")</f>
        <v>July</v>
      </c>
      <c r="E1344" t="s">
        <v>21</v>
      </c>
      <c r="F1344" t="str">
        <f>TEXT(WEEKNUM(tblData[[#This Row],[Rental Date]]),"00")</f>
        <v>28</v>
      </c>
      <c r="G1344" s="1">
        <f>EOMONTH(tblData[[#This Row],[Rental Date]],0)</f>
        <v>46234</v>
      </c>
      <c r="H1344" t="s">
        <v>749</v>
      </c>
      <c r="I1344" t="s">
        <v>48</v>
      </c>
      <c r="J1344" t="s">
        <v>78</v>
      </c>
      <c r="K1344" t="s">
        <v>60</v>
      </c>
      <c r="L1344">
        <v>1</v>
      </c>
      <c r="M1344" s="2">
        <v>29.12</v>
      </c>
      <c r="N1344" t="s">
        <v>26</v>
      </c>
      <c r="O1344" s="3">
        <v>0</v>
      </c>
      <c r="P1344" s="3">
        <v>0</v>
      </c>
      <c r="Q1344" s="2">
        <v>29.12</v>
      </c>
      <c r="R1344" t="s">
        <v>71</v>
      </c>
      <c r="S1344" t="s">
        <v>54</v>
      </c>
      <c r="T1344" t="s">
        <v>63</v>
      </c>
      <c r="U1344" t="s">
        <v>30</v>
      </c>
    </row>
    <row r="1345" spans="1:21" x14ac:dyDescent="0.35">
      <c r="A1345" t="s">
        <v>1424</v>
      </c>
      <c r="B1345" s="1">
        <v>46212</v>
      </c>
      <c r="C1345" t="str">
        <f>TEXT(tblData[[#This Row],[Rental Date]],"mmm")</f>
        <v>Jul</v>
      </c>
      <c r="D1345" t="str">
        <f>TEXT(tblData[[#This Row],[Rental Date]],"mmmm")</f>
        <v>July</v>
      </c>
      <c r="E1345" t="s">
        <v>21</v>
      </c>
      <c r="F1345" t="str">
        <f>TEXT(WEEKNUM(tblData[[#This Row],[Rental Date]]),"00")</f>
        <v>28</v>
      </c>
      <c r="G1345" s="1">
        <f>EOMONTH(tblData[[#This Row],[Rental Date]],0)</f>
        <v>46234</v>
      </c>
      <c r="H1345" t="s">
        <v>749</v>
      </c>
      <c r="I1345" t="s">
        <v>39</v>
      </c>
      <c r="J1345" t="s">
        <v>78</v>
      </c>
      <c r="K1345" t="s">
        <v>25</v>
      </c>
      <c r="L1345">
        <v>1</v>
      </c>
      <c r="M1345" s="2">
        <v>47.04</v>
      </c>
      <c r="N1345" t="s">
        <v>26</v>
      </c>
      <c r="O1345" s="3">
        <v>0</v>
      </c>
      <c r="P1345" s="3">
        <v>0</v>
      </c>
      <c r="Q1345" s="2">
        <v>47.04</v>
      </c>
      <c r="R1345" t="s">
        <v>27</v>
      </c>
      <c r="S1345" t="s">
        <v>35</v>
      </c>
      <c r="T1345" t="s">
        <v>29</v>
      </c>
      <c r="U1345" t="s">
        <v>30</v>
      </c>
    </row>
    <row r="1346" spans="1:21" x14ac:dyDescent="0.35">
      <c r="A1346" t="s">
        <v>1425</v>
      </c>
      <c r="B1346" s="1">
        <v>46212</v>
      </c>
      <c r="C1346" t="str">
        <f>TEXT(tblData[[#This Row],[Rental Date]],"mmm")</f>
        <v>Jul</v>
      </c>
      <c r="D1346" t="str">
        <f>TEXT(tblData[[#This Row],[Rental Date]],"mmmm")</f>
        <v>July</v>
      </c>
      <c r="E1346" t="s">
        <v>21</v>
      </c>
      <c r="F1346" t="str">
        <f>TEXT(WEEKNUM(tblData[[#This Row],[Rental Date]]),"00")</f>
        <v>28</v>
      </c>
      <c r="G1346" s="1">
        <f>EOMONTH(tblData[[#This Row],[Rental Date]],0)</f>
        <v>46234</v>
      </c>
      <c r="H1346" t="s">
        <v>749</v>
      </c>
      <c r="I1346" t="s">
        <v>48</v>
      </c>
      <c r="J1346" t="s">
        <v>138</v>
      </c>
      <c r="K1346" t="s">
        <v>92</v>
      </c>
      <c r="L1346">
        <v>1</v>
      </c>
      <c r="M1346" s="2">
        <v>116.48</v>
      </c>
      <c r="N1346" t="s">
        <v>26</v>
      </c>
      <c r="O1346" s="3">
        <v>0</v>
      </c>
      <c r="P1346" s="3">
        <v>0</v>
      </c>
      <c r="Q1346" s="2">
        <v>116.48</v>
      </c>
      <c r="R1346" t="s">
        <v>62</v>
      </c>
      <c r="S1346" t="s">
        <v>46</v>
      </c>
      <c r="T1346" t="s">
        <v>90</v>
      </c>
      <c r="U1346" t="s">
        <v>30</v>
      </c>
    </row>
    <row r="1347" spans="1:21" x14ac:dyDescent="0.35">
      <c r="A1347" t="s">
        <v>1426</v>
      </c>
      <c r="B1347" s="1">
        <v>46212</v>
      </c>
      <c r="C1347" t="str">
        <f>TEXT(tblData[[#This Row],[Rental Date]],"mmm")</f>
        <v>Jul</v>
      </c>
      <c r="D1347" t="str">
        <f>TEXT(tblData[[#This Row],[Rental Date]],"mmmm")</f>
        <v>July</v>
      </c>
      <c r="E1347" t="s">
        <v>21</v>
      </c>
      <c r="F1347" t="str">
        <f>TEXT(WEEKNUM(tblData[[#This Row],[Rental Date]]),"00")</f>
        <v>28</v>
      </c>
      <c r="G1347" s="1">
        <f>EOMONTH(tblData[[#This Row],[Rental Date]],0)</f>
        <v>46234</v>
      </c>
      <c r="H1347" t="s">
        <v>749</v>
      </c>
      <c r="I1347" t="s">
        <v>48</v>
      </c>
      <c r="J1347" t="s">
        <v>33</v>
      </c>
      <c r="K1347" t="s">
        <v>40</v>
      </c>
      <c r="L1347">
        <v>1</v>
      </c>
      <c r="M1347" s="2">
        <v>64.959999999999994</v>
      </c>
      <c r="N1347" t="s">
        <v>41</v>
      </c>
      <c r="O1347" s="3">
        <v>5</v>
      </c>
      <c r="P1347" s="3">
        <v>0</v>
      </c>
      <c r="Q1347" s="2">
        <v>69.959999999999994</v>
      </c>
      <c r="R1347" t="s">
        <v>76</v>
      </c>
      <c r="S1347" t="s">
        <v>50</v>
      </c>
      <c r="T1347" t="s">
        <v>29</v>
      </c>
      <c r="U1347" t="s">
        <v>30</v>
      </c>
    </row>
    <row r="1348" spans="1:21" x14ac:dyDescent="0.35">
      <c r="A1348" t="s">
        <v>1427</v>
      </c>
      <c r="B1348" s="1">
        <v>46212</v>
      </c>
      <c r="C1348" t="str">
        <f>TEXT(tblData[[#This Row],[Rental Date]],"mmm")</f>
        <v>Jul</v>
      </c>
      <c r="D1348" t="str">
        <f>TEXT(tblData[[#This Row],[Rental Date]],"mmmm")</f>
        <v>July</v>
      </c>
      <c r="E1348" t="s">
        <v>21</v>
      </c>
      <c r="F1348" t="str">
        <f>TEXT(WEEKNUM(tblData[[#This Row],[Rental Date]]),"00")</f>
        <v>28</v>
      </c>
      <c r="G1348" s="1">
        <f>EOMONTH(tblData[[#This Row],[Rental Date]],0)</f>
        <v>46234</v>
      </c>
      <c r="H1348" t="s">
        <v>749</v>
      </c>
      <c r="I1348" t="s">
        <v>39</v>
      </c>
      <c r="J1348" t="s">
        <v>78</v>
      </c>
      <c r="K1348" t="s">
        <v>60</v>
      </c>
      <c r="L1348">
        <v>1</v>
      </c>
      <c r="M1348" s="2">
        <v>29.12</v>
      </c>
      <c r="N1348" t="s">
        <v>26</v>
      </c>
      <c r="O1348" s="3">
        <v>0</v>
      </c>
      <c r="P1348" s="3">
        <v>0</v>
      </c>
      <c r="Q1348" s="2">
        <v>29.12</v>
      </c>
      <c r="R1348" t="s">
        <v>71</v>
      </c>
      <c r="S1348" t="s">
        <v>46</v>
      </c>
      <c r="T1348" t="s">
        <v>90</v>
      </c>
      <c r="U1348" t="s">
        <v>30</v>
      </c>
    </row>
    <row r="1349" spans="1:21" x14ac:dyDescent="0.35">
      <c r="A1349" t="s">
        <v>1428</v>
      </c>
      <c r="B1349" s="1">
        <v>46212</v>
      </c>
      <c r="C1349" t="str">
        <f>TEXT(tblData[[#This Row],[Rental Date]],"mmm")</f>
        <v>Jul</v>
      </c>
      <c r="D1349" t="str">
        <f>TEXT(tblData[[#This Row],[Rental Date]],"mmmm")</f>
        <v>July</v>
      </c>
      <c r="E1349" t="s">
        <v>21</v>
      </c>
      <c r="F1349" t="str">
        <f>TEXT(WEEKNUM(tblData[[#This Row],[Rental Date]]),"00")</f>
        <v>28</v>
      </c>
      <c r="G1349" s="1">
        <f>EOMONTH(tblData[[#This Row],[Rental Date]],0)</f>
        <v>46234</v>
      </c>
      <c r="H1349" t="s">
        <v>749</v>
      </c>
      <c r="I1349" t="s">
        <v>32</v>
      </c>
      <c r="J1349" t="s">
        <v>49</v>
      </c>
      <c r="K1349" t="s">
        <v>40</v>
      </c>
      <c r="L1349">
        <v>1</v>
      </c>
      <c r="M1349" s="2">
        <v>60.48</v>
      </c>
      <c r="N1349" t="s">
        <v>41</v>
      </c>
      <c r="O1349" s="3">
        <v>5</v>
      </c>
      <c r="P1349" s="3">
        <v>6.55</v>
      </c>
      <c r="Q1349" s="2">
        <v>58.93</v>
      </c>
      <c r="R1349" t="s">
        <v>45</v>
      </c>
      <c r="S1349" t="s">
        <v>50</v>
      </c>
      <c r="T1349" t="s">
        <v>29</v>
      </c>
      <c r="U1349" t="s">
        <v>30</v>
      </c>
    </row>
    <row r="1350" spans="1:21" x14ac:dyDescent="0.35">
      <c r="A1350" t="s">
        <v>1429</v>
      </c>
      <c r="B1350" s="1">
        <v>46212</v>
      </c>
      <c r="C1350" t="str">
        <f>TEXT(tblData[[#This Row],[Rental Date]],"mmm")</f>
        <v>Jul</v>
      </c>
      <c r="D1350" t="str">
        <f>TEXT(tblData[[#This Row],[Rental Date]],"mmmm")</f>
        <v>July</v>
      </c>
      <c r="E1350" t="s">
        <v>21</v>
      </c>
      <c r="F1350" t="str">
        <f>TEXT(WEEKNUM(tblData[[#This Row],[Rental Date]]),"00")</f>
        <v>28</v>
      </c>
      <c r="G1350" s="1">
        <f>EOMONTH(tblData[[#This Row],[Rental Date]],0)</f>
        <v>46234</v>
      </c>
      <c r="H1350" t="s">
        <v>749</v>
      </c>
      <c r="I1350" t="s">
        <v>48</v>
      </c>
      <c r="J1350" t="s">
        <v>78</v>
      </c>
      <c r="K1350" t="s">
        <v>25</v>
      </c>
      <c r="L1350">
        <v>1</v>
      </c>
      <c r="M1350" s="2">
        <v>47.04</v>
      </c>
      <c r="N1350" t="s">
        <v>26</v>
      </c>
      <c r="O1350" s="3">
        <v>0</v>
      </c>
      <c r="P1350" s="3">
        <v>0</v>
      </c>
      <c r="Q1350" s="2">
        <v>47.04</v>
      </c>
      <c r="R1350" t="s">
        <v>57</v>
      </c>
      <c r="S1350" t="s">
        <v>46</v>
      </c>
      <c r="T1350" t="s">
        <v>90</v>
      </c>
      <c r="U1350" t="s">
        <v>30</v>
      </c>
    </row>
    <row r="1351" spans="1:21" x14ac:dyDescent="0.35">
      <c r="A1351" t="s">
        <v>1430</v>
      </c>
      <c r="B1351" s="1">
        <v>46212</v>
      </c>
      <c r="C1351" t="str">
        <f>TEXT(tblData[[#This Row],[Rental Date]],"mmm")</f>
        <v>Jul</v>
      </c>
      <c r="D1351" t="str">
        <f>TEXT(tblData[[#This Row],[Rental Date]],"mmmm")</f>
        <v>July</v>
      </c>
      <c r="E1351" t="s">
        <v>21</v>
      </c>
      <c r="F1351" t="str">
        <f>TEXT(WEEKNUM(tblData[[#This Row],[Rental Date]]),"00")</f>
        <v>28</v>
      </c>
      <c r="G1351" s="1">
        <f>EOMONTH(tblData[[#This Row],[Rental Date]],0)</f>
        <v>46234</v>
      </c>
      <c r="H1351" t="s">
        <v>749</v>
      </c>
      <c r="I1351" t="s">
        <v>39</v>
      </c>
      <c r="J1351" t="s">
        <v>78</v>
      </c>
      <c r="K1351" t="s">
        <v>60</v>
      </c>
      <c r="L1351">
        <v>1</v>
      </c>
      <c r="M1351" s="2">
        <v>29.12</v>
      </c>
      <c r="N1351" t="s">
        <v>26</v>
      </c>
      <c r="O1351" s="3">
        <v>0</v>
      </c>
      <c r="P1351" s="3">
        <v>0</v>
      </c>
      <c r="Q1351" s="2">
        <v>29.12</v>
      </c>
      <c r="R1351" t="s">
        <v>62</v>
      </c>
      <c r="S1351" t="s">
        <v>35</v>
      </c>
      <c r="T1351" t="s">
        <v>51</v>
      </c>
      <c r="U1351" t="s">
        <v>58</v>
      </c>
    </row>
    <row r="1352" spans="1:21" x14ac:dyDescent="0.35">
      <c r="A1352" t="s">
        <v>1431</v>
      </c>
      <c r="B1352" s="1">
        <v>46213</v>
      </c>
      <c r="C1352" t="str">
        <f>TEXT(tblData[[#This Row],[Rental Date]],"mmm")</f>
        <v>Jul</v>
      </c>
      <c r="D1352" t="str">
        <f>TEXT(tblData[[#This Row],[Rental Date]],"mmmm")</f>
        <v>July</v>
      </c>
      <c r="E1352" t="s">
        <v>38</v>
      </c>
      <c r="F1352" t="str">
        <f>TEXT(WEEKNUM(tblData[[#This Row],[Rental Date]]),"00")</f>
        <v>28</v>
      </c>
      <c r="G1352" s="1">
        <f>EOMONTH(tblData[[#This Row],[Rental Date]],0)</f>
        <v>46234</v>
      </c>
      <c r="H1352" t="s">
        <v>749</v>
      </c>
      <c r="I1352" t="s">
        <v>39</v>
      </c>
      <c r="J1352" t="s">
        <v>44</v>
      </c>
      <c r="K1352" t="s">
        <v>25</v>
      </c>
      <c r="L1352">
        <v>1</v>
      </c>
      <c r="M1352" s="2">
        <v>58.24</v>
      </c>
      <c r="N1352" t="s">
        <v>61</v>
      </c>
      <c r="O1352" s="3">
        <v>8</v>
      </c>
      <c r="P1352" s="3">
        <v>0</v>
      </c>
      <c r="Q1352" s="2">
        <v>66.239999999999995</v>
      </c>
      <c r="R1352" t="s">
        <v>76</v>
      </c>
      <c r="S1352" t="s">
        <v>28</v>
      </c>
      <c r="T1352" t="s">
        <v>29</v>
      </c>
      <c r="U1352" t="s">
        <v>79</v>
      </c>
    </row>
    <row r="1353" spans="1:21" x14ac:dyDescent="0.35">
      <c r="A1353" t="s">
        <v>1432</v>
      </c>
      <c r="B1353" s="1">
        <v>46213</v>
      </c>
      <c r="C1353" t="str">
        <f>TEXT(tblData[[#This Row],[Rental Date]],"mmm")</f>
        <v>Jul</v>
      </c>
      <c r="D1353" t="str">
        <f>TEXT(tblData[[#This Row],[Rental Date]],"mmmm")</f>
        <v>July</v>
      </c>
      <c r="E1353" t="s">
        <v>38</v>
      </c>
      <c r="F1353" t="str">
        <f>TEXT(WEEKNUM(tblData[[#This Row],[Rental Date]]),"00")</f>
        <v>28</v>
      </c>
      <c r="G1353" s="1">
        <f>EOMONTH(tblData[[#This Row],[Rental Date]],0)</f>
        <v>46234</v>
      </c>
      <c r="H1353" t="s">
        <v>749</v>
      </c>
      <c r="I1353" t="s">
        <v>23</v>
      </c>
      <c r="J1353" t="s">
        <v>78</v>
      </c>
      <c r="K1353" t="s">
        <v>92</v>
      </c>
      <c r="L1353">
        <v>1</v>
      </c>
      <c r="M1353" s="2">
        <v>98.56</v>
      </c>
      <c r="N1353" t="s">
        <v>89</v>
      </c>
      <c r="O1353" s="3">
        <v>6</v>
      </c>
      <c r="P1353" s="3">
        <v>0</v>
      </c>
      <c r="Q1353" s="2">
        <v>104.56</v>
      </c>
      <c r="R1353" t="s">
        <v>71</v>
      </c>
      <c r="S1353" t="s">
        <v>54</v>
      </c>
      <c r="T1353" t="s">
        <v>63</v>
      </c>
      <c r="U1353" t="s">
        <v>30</v>
      </c>
    </row>
    <row r="1354" spans="1:21" x14ac:dyDescent="0.35">
      <c r="A1354" t="s">
        <v>1433</v>
      </c>
      <c r="B1354" s="1">
        <v>46213</v>
      </c>
      <c r="C1354" t="str">
        <f>TEXT(tblData[[#This Row],[Rental Date]],"mmm")</f>
        <v>Jul</v>
      </c>
      <c r="D1354" t="str">
        <f>TEXT(tblData[[#This Row],[Rental Date]],"mmmm")</f>
        <v>July</v>
      </c>
      <c r="E1354" t="s">
        <v>38</v>
      </c>
      <c r="F1354" t="str">
        <f>TEXT(WEEKNUM(tblData[[#This Row],[Rental Date]]),"00")</f>
        <v>28</v>
      </c>
      <c r="G1354" s="1">
        <f>EOMONTH(tblData[[#This Row],[Rental Date]],0)</f>
        <v>46234</v>
      </c>
      <c r="H1354" t="s">
        <v>749</v>
      </c>
      <c r="I1354" t="s">
        <v>53</v>
      </c>
      <c r="J1354" t="s">
        <v>33</v>
      </c>
      <c r="K1354" t="s">
        <v>60</v>
      </c>
      <c r="L1354">
        <v>1</v>
      </c>
      <c r="M1354" s="2">
        <v>26.88</v>
      </c>
      <c r="N1354" t="s">
        <v>89</v>
      </c>
      <c r="O1354" s="3">
        <v>6</v>
      </c>
      <c r="P1354" s="3">
        <v>3.29</v>
      </c>
      <c r="Q1354" s="2">
        <v>29.59</v>
      </c>
      <c r="R1354" t="s">
        <v>94</v>
      </c>
      <c r="S1354" t="s">
        <v>54</v>
      </c>
      <c r="T1354" t="s">
        <v>90</v>
      </c>
      <c r="U1354" t="s">
        <v>30</v>
      </c>
    </row>
    <row r="1355" spans="1:21" x14ac:dyDescent="0.35">
      <c r="A1355" t="s">
        <v>1434</v>
      </c>
      <c r="B1355" s="1">
        <v>46213</v>
      </c>
      <c r="C1355" t="str">
        <f>TEXT(tblData[[#This Row],[Rental Date]],"mmm")</f>
        <v>Jul</v>
      </c>
      <c r="D1355" t="str">
        <f>TEXT(tblData[[#This Row],[Rental Date]],"mmmm")</f>
        <v>July</v>
      </c>
      <c r="E1355" t="s">
        <v>38</v>
      </c>
      <c r="F1355" t="str">
        <f>TEXT(WEEKNUM(tblData[[#This Row],[Rental Date]]),"00")</f>
        <v>28</v>
      </c>
      <c r="G1355" s="1">
        <f>EOMONTH(tblData[[#This Row],[Rental Date]],0)</f>
        <v>46234</v>
      </c>
      <c r="H1355" t="s">
        <v>749</v>
      </c>
      <c r="I1355" t="s">
        <v>48</v>
      </c>
      <c r="J1355" t="s">
        <v>86</v>
      </c>
      <c r="K1355" t="s">
        <v>60</v>
      </c>
      <c r="L1355">
        <v>1</v>
      </c>
      <c r="M1355" s="2">
        <v>40.32</v>
      </c>
      <c r="N1355" t="s">
        <v>26</v>
      </c>
      <c r="O1355" s="3">
        <v>0</v>
      </c>
      <c r="P1355" s="3">
        <v>0</v>
      </c>
      <c r="Q1355" s="2">
        <v>40.32</v>
      </c>
      <c r="R1355" t="s">
        <v>71</v>
      </c>
      <c r="S1355" t="s">
        <v>35</v>
      </c>
      <c r="T1355" t="s">
        <v>90</v>
      </c>
      <c r="U1355" t="s">
        <v>58</v>
      </c>
    </row>
    <row r="1356" spans="1:21" x14ac:dyDescent="0.35">
      <c r="A1356" t="s">
        <v>1435</v>
      </c>
      <c r="B1356" s="1">
        <v>46213</v>
      </c>
      <c r="C1356" t="str">
        <f>TEXT(tblData[[#This Row],[Rental Date]],"mmm")</f>
        <v>Jul</v>
      </c>
      <c r="D1356" t="str">
        <f>TEXT(tblData[[#This Row],[Rental Date]],"mmmm")</f>
        <v>July</v>
      </c>
      <c r="E1356" t="s">
        <v>38</v>
      </c>
      <c r="F1356" t="str">
        <f>TEXT(WEEKNUM(tblData[[#This Row],[Rental Date]]),"00")</f>
        <v>28</v>
      </c>
      <c r="G1356" s="1">
        <f>EOMONTH(tblData[[#This Row],[Rental Date]],0)</f>
        <v>46234</v>
      </c>
      <c r="H1356" t="s">
        <v>749</v>
      </c>
      <c r="I1356" t="s">
        <v>48</v>
      </c>
      <c r="J1356" t="s">
        <v>44</v>
      </c>
      <c r="K1356" t="s">
        <v>25</v>
      </c>
      <c r="L1356">
        <v>1</v>
      </c>
      <c r="M1356" s="2">
        <v>58.24</v>
      </c>
      <c r="N1356" t="s">
        <v>26</v>
      </c>
      <c r="O1356" s="3">
        <v>0</v>
      </c>
      <c r="P1356" s="3">
        <v>0</v>
      </c>
      <c r="Q1356" s="2">
        <v>58.24</v>
      </c>
      <c r="R1356" t="s">
        <v>42</v>
      </c>
      <c r="S1356" t="s">
        <v>35</v>
      </c>
      <c r="T1356" t="s">
        <v>51</v>
      </c>
      <c r="U1356" t="s">
        <v>58</v>
      </c>
    </row>
    <row r="1357" spans="1:21" x14ac:dyDescent="0.35">
      <c r="A1357" t="s">
        <v>1436</v>
      </c>
      <c r="B1357" s="1">
        <v>46213</v>
      </c>
      <c r="C1357" t="str">
        <f>TEXT(tblData[[#This Row],[Rental Date]],"mmm")</f>
        <v>Jul</v>
      </c>
      <c r="D1357" t="str">
        <f>TEXT(tblData[[#This Row],[Rental Date]],"mmmm")</f>
        <v>July</v>
      </c>
      <c r="E1357" t="s">
        <v>38</v>
      </c>
      <c r="F1357" t="str">
        <f>TEXT(WEEKNUM(tblData[[#This Row],[Rental Date]]),"00")</f>
        <v>28</v>
      </c>
      <c r="G1357" s="1">
        <f>EOMONTH(tblData[[#This Row],[Rental Date]],0)</f>
        <v>46234</v>
      </c>
      <c r="H1357" t="s">
        <v>749</v>
      </c>
      <c r="I1357" t="s">
        <v>32</v>
      </c>
      <c r="J1357" t="s">
        <v>78</v>
      </c>
      <c r="K1357" t="s">
        <v>25</v>
      </c>
      <c r="L1357">
        <v>1</v>
      </c>
      <c r="M1357" s="2">
        <v>47.04</v>
      </c>
      <c r="N1357" t="s">
        <v>41</v>
      </c>
      <c r="O1357" s="3">
        <v>5</v>
      </c>
      <c r="P1357" s="3">
        <v>5.2</v>
      </c>
      <c r="Q1357" s="2">
        <v>46.84</v>
      </c>
      <c r="R1357" t="s">
        <v>27</v>
      </c>
      <c r="S1357" t="s">
        <v>28</v>
      </c>
      <c r="T1357" t="s">
        <v>63</v>
      </c>
      <c r="U1357" t="s">
        <v>30</v>
      </c>
    </row>
    <row r="1358" spans="1:21" x14ac:dyDescent="0.35">
      <c r="A1358" t="s">
        <v>1437</v>
      </c>
      <c r="B1358" s="1">
        <v>46213</v>
      </c>
      <c r="C1358" t="str">
        <f>TEXT(tblData[[#This Row],[Rental Date]],"mmm")</f>
        <v>Jul</v>
      </c>
      <c r="D1358" t="str">
        <f>TEXT(tblData[[#This Row],[Rental Date]],"mmmm")</f>
        <v>July</v>
      </c>
      <c r="E1358" t="s">
        <v>38</v>
      </c>
      <c r="F1358" t="str">
        <f>TEXT(WEEKNUM(tblData[[#This Row],[Rental Date]]),"00")</f>
        <v>28</v>
      </c>
      <c r="G1358" s="1">
        <f>EOMONTH(tblData[[#This Row],[Rental Date]],0)</f>
        <v>46234</v>
      </c>
      <c r="H1358" t="s">
        <v>749</v>
      </c>
      <c r="I1358" t="s">
        <v>48</v>
      </c>
      <c r="J1358" t="s">
        <v>44</v>
      </c>
      <c r="K1358" t="s">
        <v>92</v>
      </c>
      <c r="L1358">
        <v>1</v>
      </c>
      <c r="M1358" s="2">
        <v>125.44</v>
      </c>
      <c r="N1358" t="s">
        <v>89</v>
      </c>
      <c r="O1358" s="3">
        <v>6</v>
      </c>
      <c r="P1358" s="3">
        <v>0</v>
      </c>
      <c r="Q1358" s="2">
        <v>131.44</v>
      </c>
      <c r="R1358" t="s">
        <v>57</v>
      </c>
      <c r="S1358" t="s">
        <v>28</v>
      </c>
      <c r="T1358" t="s">
        <v>29</v>
      </c>
      <c r="U1358" t="s">
        <v>58</v>
      </c>
    </row>
    <row r="1359" spans="1:21" x14ac:dyDescent="0.35">
      <c r="A1359" t="s">
        <v>1438</v>
      </c>
      <c r="B1359" s="1">
        <v>46213</v>
      </c>
      <c r="C1359" t="str">
        <f>TEXT(tblData[[#This Row],[Rental Date]],"mmm")</f>
        <v>Jul</v>
      </c>
      <c r="D1359" t="str">
        <f>TEXT(tblData[[#This Row],[Rental Date]],"mmmm")</f>
        <v>July</v>
      </c>
      <c r="E1359" t="s">
        <v>38</v>
      </c>
      <c r="F1359" t="str">
        <f>TEXT(WEEKNUM(tblData[[#This Row],[Rental Date]]),"00")</f>
        <v>28</v>
      </c>
      <c r="G1359" s="1">
        <f>EOMONTH(tblData[[#This Row],[Rental Date]],0)</f>
        <v>46234</v>
      </c>
      <c r="H1359" t="s">
        <v>749</v>
      </c>
      <c r="I1359" t="s">
        <v>39</v>
      </c>
      <c r="J1359" t="s">
        <v>24</v>
      </c>
      <c r="K1359" t="s">
        <v>40</v>
      </c>
      <c r="L1359">
        <v>1</v>
      </c>
      <c r="M1359" s="2">
        <v>85.12</v>
      </c>
      <c r="N1359" t="s">
        <v>26</v>
      </c>
      <c r="O1359" s="3">
        <v>0</v>
      </c>
      <c r="P1359" s="3">
        <v>0</v>
      </c>
      <c r="Q1359" s="2">
        <v>85.12</v>
      </c>
      <c r="R1359" t="s">
        <v>76</v>
      </c>
      <c r="S1359" t="s">
        <v>50</v>
      </c>
      <c r="T1359" t="s">
        <v>63</v>
      </c>
      <c r="U1359" t="s">
        <v>30</v>
      </c>
    </row>
    <row r="1360" spans="1:21" x14ac:dyDescent="0.35">
      <c r="A1360" t="s">
        <v>1439</v>
      </c>
      <c r="B1360" s="1">
        <v>46213</v>
      </c>
      <c r="C1360" t="str">
        <f>TEXT(tblData[[#This Row],[Rental Date]],"mmm")</f>
        <v>Jul</v>
      </c>
      <c r="D1360" t="str">
        <f>TEXT(tblData[[#This Row],[Rental Date]],"mmmm")</f>
        <v>July</v>
      </c>
      <c r="E1360" t="s">
        <v>38</v>
      </c>
      <c r="F1360" t="str">
        <f>TEXT(WEEKNUM(tblData[[#This Row],[Rental Date]]),"00")</f>
        <v>28</v>
      </c>
      <c r="G1360" s="1">
        <f>EOMONTH(tblData[[#This Row],[Rental Date]],0)</f>
        <v>46234</v>
      </c>
      <c r="H1360" t="s">
        <v>749</v>
      </c>
      <c r="I1360" t="s">
        <v>23</v>
      </c>
      <c r="J1360" t="s">
        <v>111</v>
      </c>
      <c r="K1360" t="s">
        <v>25</v>
      </c>
      <c r="L1360">
        <v>1</v>
      </c>
      <c r="M1360" s="2">
        <v>24.64</v>
      </c>
      <c r="N1360" t="s">
        <v>89</v>
      </c>
      <c r="O1360" s="3">
        <v>6</v>
      </c>
      <c r="P1360" s="3">
        <v>1.53</v>
      </c>
      <c r="Q1360" s="2">
        <v>29.11</v>
      </c>
      <c r="R1360" t="s">
        <v>94</v>
      </c>
      <c r="S1360" t="s">
        <v>50</v>
      </c>
      <c r="T1360" t="s">
        <v>51</v>
      </c>
      <c r="U1360" t="s">
        <v>30</v>
      </c>
    </row>
    <row r="1361" spans="1:21" x14ac:dyDescent="0.35">
      <c r="A1361" t="s">
        <v>1440</v>
      </c>
      <c r="B1361" s="1">
        <v>46213</v>
      </c>
      <c r="C1361" t="str">
        <f>TEXT(tblData[[#This Row],[Rental Date]],"mmm")</f>
        <v>Jul</v>
      </c>
      <c r="D1361" t="str">
        <f>TEXT(tblData[[#This Row],[Rental Date]],"mmmm")</f>
        <v>July</v>
      </c>
      <c r="E1361" t="s">
        <v>38</v>
      </c>
      <c r="F1361" t="str">
        <f>TEXT(WEEKNUM(tblData[[#This Row],[Rental Date]]),"00")</f>
        <v>28</v>
      </c>
      <c r="G1361" s="1">
        <f>EOMONTH(tblData[[#This Row],[Rental Date]],0)</f>
        <v>46234</v>
      </c>
      <c r="H1361" t="s">
        <v>749</v>
      </c>
      <c r="I1361" t="s">
        <v>32</v>
      </c>
      <c r="J1361" t="s">
        <v>44</v>
      </c>
      <c r="K1361" t="s">
        <v>25</v>
      </c>
      <c r="L1361">
        <v>1</v>
      </c>
      <c r="M1361" s="2">
        <v>58.24</v>
      </c>
      <c r="N1361" t="s">
        <v>41</v>
      </c>
      <c r="O1361" s="3">
        <v>5</v>
      </c>
      <c r="P1361" s="3">
        <v>3.16</v>
      </c>
      <c r="Q1361" s="2">
        <v>60.08</v>
      </c>
      <c r="R1361" t="s">
        <v>66</v>
      </c>
      <c r="S1361" t="s">
        <v>50</v>
      </c>
      <c r="T1361" t="s">
        <v>63</v>
      </c>
      <c r="U1361" t="s">
        <v>30</v>
      </c>
    </row>
    <row r="1362" spans="1:21" x14ac:dyDescent="0.35">
      <c r="A1362" t="s">
        <v>1441</v>
      </c>
      <c r="B1362" s="1">
        <v>46213</v>
      </c>
      <c r="C1362" t="str">
        <f>TEXT(tblData[[#This Row],[Rental Date]],"mmm")</f>
        <v>Jul</v>
      </c>
      <c r="D1362" t="str">
        <f>TEXT(tblData[[#This Row],[Rental Date]],"mmmm")</f>
        <v>July</v>
      </c>
      <c r="E1362" t="s">
        <v>38</v>
      </c>
      <c r="F1362" t="str">
        <f>TEXT(WEEKNUM(tblData[[#This Row],[Rental Date]]),"00")</f>
        <v>28</v>
      </c>
      <c r="G1362" s="1">
        <f>EOMONTH(tblData[[#This Row],[Rental Date]],0)</f>
        <v>46234</v>
      </c>
      <c r="H1362" t="s">
        <v>749</v>
      </c>
      <c r="I1362" t="s">
        <v>32</v>
      </c>
      <c r="J1362" t="s">
        <v>49</v>
      </c>
      <c r="K1362" t="s">
        <v>25</v>
      </c>
      <c r="L1362">
        <v>1</v>
      </c>
      <c r="M1362" s="2">
        <v>40.32</v>
      </c>
      <c r="N1362" t="s">
        <v>26</v>
      </c>
      <c r="O1362" s="3">
        <v>0</v>
      </c>
      <c r="P1362" s="3">
        <v>4.03</v>
      </c>
      <c r="Q1362" s="2">
        <v>36.29</v>
      </c>
      <c r="R1362" t="s">
        <v>34</v>
      </c>
      <c r="S1362" t="s">
        <v>54</v>
      </c>
      <c r="T1362" t="s">
        <v>90</v>
      </c>
      <c r="U1362" t="s">
        <v>30</v>
      </c>
    </row>
    <row r="1363" spans="1:21" x14ac:dyDescent="0.35">
      <c r="A1363" t="s">
        <v>1442</v>
      </c>
      <c r="B1363" s="1">
        <v>46213</v>
      </c>
      <c r="C1363" t="str">
        <f>TEXT(tblData[[#This Row],[Rental Date]],"mmm")</f>
        <v>Jul</v>
      </c>
      <c r="D1363" t="str">
        <f>TEXT(tblData[[#This Row],[Rental Date]],"mmmm")</f>
        <v>July</v>
      </c>
      <c r="E1363" t="s">
        <v>38</v>
      </c>
      <c r="F1363" t="str">
        <f>TEXT(WEEKNUM(tblData[[#This Row],[Rental Date]]),"00")</f>
        <v>28</v>
      </c>
      <c r="G1363" s="1">
        <f>EOMONTH(tblData[[#This Row],[Rental Date]],0)</f>
        <v>46234</v>
      </c>
      <c r="H1363" t="s">
        <v>749</v>
      </c>
      <c r="I1363" t="s">
        <v>23</v>
      </c>
      <c r="J1363" t="s">
        <v>138</v>
      </c>
      <c r="K1363" t="s">
        <v>25</v>
      </c>
      <c r="L1363">
        <v>1</v>
      </c>
      <c r="M1363" s="2">
        <v>53.76</v>
      </c>
      <c r="N1363" t="s">
        <v>61</v>
      </c>
      <c r="O1363" s="3">
        <v>8</v>
      </c>
      <c r="P1363" s="3">
        <v>0</v>
      </c>
      <c r="Q1363" s="2">
        <v>61.76</v>
      </c>
      <c r="R1363" t="s">
        <v>71</v>
      </c>
      <c r="S1363" t="s">
        <v>54</v>
      </c>
      <c r="T1363" t="s">
        <v>29</v>
      </c>
      <c r="U1363" t="s">
        <v>30</v>
      </c>
    </row>
    <row r="1364" spans="1:21" x14ac:dyDescent="0.35">
      <c r="A1364" t="s">
        <v>1443</v>
      </c>
      <c r="B1364" s="1">
        <v>46213</v>
      </c>
      <c r="C1364" t="str">
        <f>TEXT(tblData[[#This Row],[Rental Date]],"mmm")</f>
        <v>Jul</v>
      </c>
      <c r="D1364" t="str">
        <f>TEXT(tblData[[#This Row],[Rental Date]],"mmmm")</f>
        <v>July</v>
      </c>
      <c r="E1364" t="s">
        <v>38</v>
      </c>
      <c r="F1364" t="str">
        <f>TEXT(WEEKNUM(tblData[[#This Row],[Rental Date]]),"00")</f>
        <v>28</v>
      </c>
      <c r="G1364" s="1">
        <f>EOMONTH(tblData[[#This Row],[Rental Date]],0)</f>
        <v>46234</v>
      </c>
      <c r="H1364" t="s">
        <v>749</v>
      </c>
      <c r="I1364" t="s">
        <v>39</v>
      </c>
      <c r="J1364" t="s">
        <v>33</v>
      </c>
      <c r="K1364" t="s">
        <v>40</v>
      </c>
      <c r="L1364">
        <v>1</v>
      </c>
      <c r="M1364" s="2">
        <v>64.959999999999994</v>
      </c>
      <c r="N1364" t="s">
        <v>41</v>
      </c>
      <c r="O1364" s="3">
        <v>5</v>
      </c>
      <c r="P1364" s="3">
        <v>0</v>
      </c>
      <c r="Q1364" s="2">
        <v>69.959999999999994</v>
      </c>
      <c r="R1364" t="s">
        <v>57</v>
      </c>
      <c r="S1364" t="s">
        <v>50</v>
      </c>
      <c r="T1364" t="s">
        <v>29</v>
      </c>
      <c r="U1364" t="s">
        <v>30</v>
      </c>
    </row>
    <row r="1365" spans="1:21" x14ac:dyDescent="0.35">
      <c r="A1365" t="s">
        <v>1444</v>
      </c>
      <c r="B1365" s="1">
        <v>46213</v>
      </c>
      <c r="C1365" t="str">
        <f>TEXT(tblData[[#This Row],[Rental Date]],"mmm")</f>
        <v>Jul</v>
      </c>
      <c r="D1365" t="str">
        <f>TEXT(tblData[[#This Row],[Rental Date]],"mmmm")</f>
        <v>July</v>
      </c>
      <c r="E1365" t="s">
        <v>38</v>
      </c>
      <c r="F1365" t="str">
        <f>TEXT(WEEKNUM(tblData[[#This Row],[Rental Date]]),"00")</f>
        <v>28</v>
      </c>
      <c r="G1365" s="1">
        <f>EOMONTH(tblData[[#This Row],[Rental Date]],0)</f>
        <v>46234</v>
      </c>
      <c r="H1365" t="s">
        <v>749</v>
      </c>
      <c r="I1365" t="s">
        <v>39</v>
      </c>
      <c r="J1365" t="s">
        <v>78</v>
      </c>
      <c r="K1365" t="s">
        <v>60</v>
      </c>
      <c r="L1365">
        <v>1</v>
      </c>
      <c r="M1365" s="2">
        <v>29.12</v>
      </c>
      <c r="N1365" t="s">
        <v>70</v>
      </c>
      <c r="O1365" s="3">
        <v>7</v>
      </c>
      <c r="P1365" s="3">
        <v>0</v>
      </c>
      <c r="Q1365" s="2">
        <v>36.119999999999997</v>
      </c>
      <c r="R1365" t="s">
        <v>57</v>
      </c>
      <c r="S1365" t="s">
        <v>46</v>
      </c>
      <c r="T1365" t="s">
        <v>29</v>
      </c>
      <c r="U1365" t="s">
        <v>58</v>
      </c>
    </row>
    <row r="1366" spans="1:21" x14ac:dyDescent="0.35">
      <c r="A1366" t="s">
        <v>1445</v>
      </c>
      <c r="B1366" s="1">
        <v>46213</v>
      </c>
      <c r="C1366" t="str">
        <f>TEXT(tblData[[#This Row],[Rental Date]],"mmm")</f>
        <v>Jul</v>
      </c>
      <c r="D1366" t="str">
        <f>TEXT(tblData[[#This Row],[Rental Date]],"mmmm")</f>
        <v>July</v>
      </c>
      <c r="E1366" t="s">
        <v>38</v>
      </c>
      <c r="F1366" t="str">
        <f>TEXT(WEEKNUM(tblData[[#This Row],[Rental Date]]),"00")</f>
        <v>28</v>
      </c>
      <c r="G1366" s="1">
        <f>EOMONTH(tblData[[#This Row],[Rental Date]],0)</f>
        <v>46234</v>
      </c>
      <c r="H1366" t="s">
        <v>749</v>
      </c>
      <c r="I1366" t="s">
        <v>23</v>
      </c>
      <c r="J1366" t="s">
        <v>138</v>
      </c>
      <c r="K1366" t="s">
        <v>60</v>
      </c>
      <c r="L1366">
        <v>1</v>
      </c>
      <c r="M1366" s="2">
        <v>33.6</v>
      </c>
      <c r="N1366" t="s">
        <v>61</v>
      </c>
      <c r="O1366" s="3">
        <v>8</v>
      </c>
      <c r="P1366" s="3">
        <v>0</v>
      </c>
      <c r="Q1366" s="2">
        <v>41.6</v>
      </c>
      <c r="R1366" t="s">
        <v>34</v>
      </c>
      <c r="S1366" t="s">
        <v>35</v>
      </c>
      <c r="T1366" t="s">
        <v>29</v>
      </c>
      <c r="U1366" t="s">
        <v>30</v>
      </c>
    </row>
    <row r="1367" spans="1:21" x14ac:dyDescent="0.35">
      <c r="A1367" t="s">
        <v>1446</v>
      </c>
      <c r="B1367" s="1">
        <v>46213</v>
      </c>
      <c r="C1367" t="str">
        <f>TEXT(tblData[[#This Row],[Rental Date]],"mmm")</f>
        <v>Jul</v>
      </c>
      <c r="D1367" t="str">
        <f>TEXT(tblData[[#This Row],[Rental Date]],"mmmm")</f>
        <v>July</v>
      </c>
      <c r="E1367" t="s">
        <v>38</v>
      </c>
      <c r="F1367" t="str">
        <f>TEXT(WEEKNUM(tblData[[#This Row],[Rental Date]]),"00")</f>
        <v>28</v>
      </c>
      <c r="G1367" s="1">
        <f>EOMONTH(tblData[[#This Row],[Rental Date]],0)</f>
        <v>46234</v>
      </c>
      <c r="H1367" t="s">
        <v>749</v>
      </c>
      <c r="I1367" t="s">
        <v>39</v>
      </c>
      <c r="J1367" t="s">
        <v>127</v>
      </c>
      <c r="K1367" t="s">
        <v>25</v>
      </c>
      <c r="L1367">
        <v>1</v>
      </c>
      <c r="M1367" s="2">
        <v>17.920000000000002</v>
      </c>
      <c r="N1367" t="s">
        <v>26</v>
      </c>
      <c r="O1367" s="3">
        <v>0</v>
      </c>
      <c r="P1367" s="3">
        <v>0</v>
      </c>
      <c r="Q1367" s="2">
        <v>17.920000000000002</v>
      </c>
      <c r="R1367" t="s">
        <v>66</v>
      </c>
      <c r="S1367" t="s">
        <v>35</v>
      </c>
      <c r="T1367" t="s">
        <v>51</v>
      </c>
      <c r="U1367" t="s">
        <v>30</v>
      </c>
    </row>
    <row r="1368" spans="1:21" x14ac:dyDescent="0.35">
      <c r="A1368" t="s">
        <v>1447</v>
      </c>
      <c r="B1368" s="1">
        <v>46213</v>
      </c>
      <c r="C1368" t="str">
        <f>TEXT(tblData[[#This Row],[Rental Date]],"mmm")</f>
        <v>Jul</v>
      </c>
      <c r="D1368" t="str">
        <f>TEXT(tblData[[#This Row],[Rental Date]],"mmmm")</f>
        <v>July</v>
      </c>
      <c r="E1368" t="s">
        <v>38</v>
      </c>
      <c r="F1368" t="str">
        <f>TEXT(WEEKNUM(tblData[[#This Row],[Rental Date]]),"00")</f>
        <v>28</v>
      </c>
      <c r="G1368" s="1">
        <f>EOMONTH(tblData[[#This Row],[Rental Date]],0)</f>
        <v>46234</v>
      </c>
      <c r="H1368" t="s">
        <v>749</v>
      </c>
      <c r="I1368" t="s">
        <v>53</v>
      </c>
      <c r="J1368" t="s">
        <v>44</v>
      </c>
      <c r="K1368" t="s">
        <v>25</v>
      </c>
      <c r="L1368">
        <v>1</v>
      </c>
      <c r="M1368" s="2">
        <v>58.24</v>
      </c>
      <c r="N1368" t="s">
        <v>26</v>
      </c>
      <c r="O1368" s="3">
        <v>0</v>
      </c>
      <c r="P1368" s="3">
        <v>5.82</v>
      </c>
      <c r="Q1368" s="2">
        <v>52.42</v>
      </c>
      <c r="R1368" t="s">
        <v>45</v>
      </c>
      <c r="S1368" t="s">
        <v>50</v>
      </c>
      <c r="T1368" t="s">
        <v>90</v>
      </c>
      <c r="U1368" t="s">
        <v>30</v>
      </c>
    </row>
    <row r="1369" spans="1:21" x14ac:dyDescent="0.35">
      <c r="A1369" t="s">
        <v>1448</v>
      </c>
      <c r="B1369" s="1">
        <v>46213</v>
      </c>
      <c r="C1369" t="str">
        <f>TEXT(tblData[[#This Row],[Rental Date]],"mmm")</f>
        <v>Jul</v>
      </c>
      <c r="D1369" t="str">
        <f>TEXT(tblData[[#This Row],[Rental Date]],"mmmm")</f>
        <v>July</v>
      </c>
      <c r="E1369" t="s">
        <v>38</v>
      </c>
      <c r="F1369" t="str">
        <f>TEXT(WEEKNUM(tblData[[#This Row],[Rental Date]]),"00")</f>
        <v>28</v>
      </c>
      <c r="G1369" s="1">
        <f>EOMONTH(tblData[[#This Row],[Rental Date]],0)</f>
        <v>46234</v>
      </c>
      <c r="H1369" t="s">
        <v>749</v>
      </c>
      <c r="I1369" t="s">
        <v>39</v>
      </c>
      <c r="J1369" t="s">
        <v>24</v>
      </c>
      <c r="K1369" t="s">
        <v>25</v>
      </c>
      <c r="L1369">
        <v>1</v>
      </c>
      <c r="M1369" s="2">
        <v>56</v>
      </c>
      <c r="N1369" t="s">
        <v>89</v>
      </c>
      <c r="O1369" s="3">
        <v>6</v>
      </c>
      <c r="P1369" s="3">
        <v>3.1</v>
      </c>
      <c r="Q1369" s="2">
        <v>58.9</v>
      </c>
      <c r="R1369" t="s">
        <v>27</v>
      </c>
      <c r="S1369" t="s">
        <v>28</v>
      </c>
      <c r="T1369" t="s">
        <v>63</v>
      </c>
      <c r="U1369" t="s">
        <v>58</v>
      </c>
    </row>
    <row r="1370" spans="1:21" x14ac:dyDescent="0.35">
      <c r="A1370" t="s">
        <v>1449</v>
      </c>
      <c r="B1370" s="1">
        <v>46214</v>
      </c>
      <c r="C1370" t="str">
        <f>TEXT(tblData[[#This Row],[Rental Date]],"mmm")</f>
        <v>Jul</v>
      </c>
      <c r="D1370" t="str">
        <f>TEXT(tblData[[#This Row],[Rental Date]],"mmmm")</f>
        <v>July</v>
      </c>
      <c r="E1370" t="s">
        <v>56</v>
      </c>
      <c r="F1370" t="str">
        <f>TEXT(WEEKNUM(tblData[[#This Row],[Rental Date]]),"00")</f>
        <v>28</v>
      </c>
      <c r="G1370" s="1">
        <f>EOMONTH(tblData[[#This Row],[Rental Date]],0)</f>
        <v>46234</v>
      </c>
      <c r="H1370" t="s">
        <v>749</v>
      </c>
      <c r="I1370" t="s">
        <v>48</v>
      </c>
      <c r="J1370" t="s">
        <v>127</v>
      </c>
      <c r="K1370" t="s">
        <v>40</v>
      </c>
      <c r="L1370">
        <v>1</v>
      </c>
      <c r="M1370" s="2">
        <v>28.8</v>
      </c>
      <c r="N1370" t="s">
        <v>26</v>
      </c>
      <c r="O1370" s="3">
        <v>0</v>
      </c>
      <c r="P1370" s="3">
        <v>0</v>
      </c>
      <c r="Q1370" s="2">
        <v>28.8</v>
      </c>
      <c r="R1370" t="s">
        <v>34</v>
      </c>
      <c r="S1370" t="s">
        <v>28</v>
      </c>
      <c r="T1370" t="s">
        <v>29</v>
      </c>
      <c r="U1370" t="s">
        <v>58</v>
      </c>
    </row>
    <row r="1371" spans="1:21" x14ac:dyDescent="0.35">
      <c r="A1371" t="s">
        <v>1450</v>
      </c>
      <c r="B1371" s="1">
        <v>46214</v>
      </c>
      <c r="C1371" t="str">
        <f>TEXT(tblData[[#This Row],[Rental Date]],"mmm")</f>
        <v>Jul</v>
      </c>
      <c r="D1371" t="str">
        <f>TEXT(tblData[[#This Row],[Rental Date]],"mmmm")</f>
        <v>July</v>
      </c>
      <c r="E1371" t="s">
        <v>56</v>
      </c>
      <c r="F1371" t="str">
        <f>TEXT(WEEKNUM(tblData[[#This Row],[Rental Date]]),"00")</f>
        <v>28</v>
      </c>
      <c r="G1371" s="1">
        <f>EOMONTH(tblData[[#This Row],[Rental Date]],0)</f>
        <v>46234</v>
      </c>
      <c r="H1371" t="s">
        <v>749</v>
      </c>
      <c r="I1371" t="s">
        <v>23</v>
      </c>
      <c r="J1371" t="s">
        <v>65</v>
      </c>
      <c r="K1371" t="s">
        <v>25</v>
      </c>
      <c r="L1371">
        <v>1</v>
      </c>
      <c r="M1371" s="2">
        <v>21.6</v>
      </c>
      <c r="N1371" t="s">
        <v>89</v>
      </c>
      <c r="O1371" s="3">
        <v>6</v>
      </c>
      <c r="P1371" s="3">
        <v>0</v>
      </c>
      <c r="Q1371" s="2">
        <v>27.6</v>
      </c>
      <c r="R1371" t="s">
        <v>76</v>
      </c>
      <c r="S1371" t="s">
        <v>35</v>
      </c>
      <c r="T1371" t="s">
        <v>63</v>
      </c>
      <c r="U1371" t="s">
        <v>30</v>
      </c>
    </row>
    <row r="1372" spans="1:21" x14ac:dyDescent="0.35">
      <c r="A1372" t="s">
        <v>1451</v>
      </c>
      <c r="B1372" s="1">
        <v>46214</v>
      </c>
      <c r="C1372" t="str">
        <f>TEXT(tblData[[#This Row],[Rental Date]],"mmm")</f>
        <v>Jul</v>
      </c>
      <c r="D1372" t="str">
        <f>TEXT(tblData[[#This Row],[Rental Date]],"mmmm")</f>
        <v>July</v>
      </c>
      <c r="E1372" t="s">
        <v>56</v>
      </c>
      <c r="F1372" t="str">
        <f>TEXT(WEEKNUM(tblData[[#This Row],[Rental Date]]),"00")</f>
        <v>28</v>
      </c>
      <c r="G1372" s="1">
        <f>EOMONTH(tblData[[#This Row],[Rental Date]],0)</f>
        <v>46234</v>
      </c>
      <c r="H1372" t="s">
        <v>749</v>
      </c>
      <c r="I1372" t="s">
        <v>48</v>
      </c>
      <c r="J1372" t="s">
        <v>78</v>
      </c>
      <c r="K1372" t="s">
        <v>25</v>
      </c>
      <c r="L1372">
        <v>1</v>
      </c>
      <c r="M1372" s="2">
        <v>50.4</v>
      </c>
      <c r="N1372" t="s">
        <v>87</v>
      </c>
      <c r="O1372" s="3">
        <v>10</v>
      </c>
      <c r="P1372" s="3">
        <v>3.02</v>
      </c>
      <c r="Q1372" s="2">
        <v>57.38</v>
      </c>
      <c r="R1372" t="s">
        <v>42</v>
      </c>
      <c r="S1372" t="s">
        <v>54</v>
      </c>
      <c r="T1372" t="s">
        <v>29</v>
      </c>
      <c r="U1372" t="s">
        <v>58</v>
      </c>
    </row>
    <row r="1373" spans="1:21" x14ac:dyDescent="0.35">
      <c r="A1373" t="s">
        <v>1452</v>
      </c>
      <c r="B1373" s="1">
        <v>46214</v>
      </c>
      <c r="C1373" t="str">
        <f>TEXT(tblData[[#This Row],[Rental Date]],"mmm")</f>
        <v>Jul</v>
      </c>
      <c r="D1373" t="str">
        <f>TEXT(tblData[[#This Row],[Rental Date]],"mmmm")</f>
        <v>July</v>
      </c>
      <c r="E1373" t="s">
        <v>56</v>
      </c>
      <c r="F1373" t="str">
        <f>TEXT(WEEKNUM(tblData[[#This Row],[Rental Date]]),"00")</f>
        <v>28</v>
      </c>
      <c r="G1373" s="1">
        <f>EOMONTH(tblData[[#This Row],[Rental Date]],0)</f>
        <v>46234</v>
      </c>
      <c r="H1373" t="s">
        <v>749</v>
      </c>
      <c r="I1373" t="s">
        <v>23</v>
      </c>
      <c r="J1373" t="s">
        <v>86</v>
      </c>
      <c r="K1373" t="s">
        <v>40</v>
      </c>
      <c r="L1373">
        <v>1</v>
      </c>
      <c r="M1373" s="2">
        <v>103.2</v>
      </c>
      <c r="N1373" t="s">
        <v>26</v>
      </c>
      <c r="O1373" s="3">
        <v>0</v>
      </c>
      <c r="P1373" s="3">
        <v>0</v>
      </c>
      <c r="Q1373" s="2">
        <v>103.2</v>
      </c>
      <c r="R1373" t="s">
        <v>66</v>
      </c>
      <c r="S1373" t="s">
        <v>35</v>
      </c>
      <c r="T1373" t="s">
        <v>29</v>
      </c>
      <c r="U1373" t="s">
        <v>30</v>
      </c>
    </row>
    <row r="1374" spans="1:21" x14ac:dyDescent="0.35">
      <c r="A1374" t="s">
        <v>1453</v>
      </c>
      <c r="B1374" s="1">
        <v>46214</v>
      </c>
      <c r="C1374" t="str">
        <f>TEXT(tblData[[#This Row],[Rental Date]],"mmm")</f>
        <v>Jul</v>
      </c>
      <c r="D1374" t="str">
        <f>TEXT(tblData[[#This Row],[Rental Date]],"mmmm")</f>
        <v>July</v>
      </c>
      <c r="E1374" t="s">
        <v>56</v>
      </c>
      <c r="F1374" t="str">
        <f>TEXT(WEEKNUM(tblData[[#This Row],[Rental Date]]),"00")</f>
        <v>28</v>
      </c>
      <c r="G1374" s="1">
        <f>EOMONTH(tblData[[#This Row],[Rental Date]],0)</f>
        <v>46234</v>
      </c>
      <c r="H1374" t="s">
        <v>749</v>
      </c>
      <c r="I1374" t="s">
        <v>48</v>
      </c>
      <c r="J1374" t="s">
        <v>44</v>
      </c>
      <c r="K1374" t="s">
        <v>25</v>
      </c>
      <c r="L1374">
        <v>1</v>
      </c>
      <c r="M1374" s="2">
        <v>62.4</v>
      </c>
      <c r="N1374" t="s">
        <v>61</v>
      </c>
      <c r="O1374" s="3">
        <v>8</v>
      </c>
      <c r="P1374" s="3">
        <v>0</v>
      </c>
      <c r="Q1374" s="2">
        <v>70.400000000000006</v>
      </c>
      <c r="R1374" t="s">
        <v>42</v>
      </c>
      <c r="S1374" t="s">
        <v>35</v>
      </c>
      <c r="T1374" t="s">
        <v>90</v>
      </c>
      <c r="U1374" t="s">
        <v>58</v>
      </c>
    </row>
    <row r="1375" spans="1:21" x14ac:dyDescent="0.35">
      <c r="A1375" t="s">
        <v>1454</v>
      </c>
      <c r="B1375" s="1">
        <v>46214</v>
      </c>
      <c r="C1375" t="str">
        <f>TEXT(tblData[[#This Row],[Rental Date]],"mmm")</f>
        <v>Jul</v>
      </c>
      <c r="D1375" t="str">
        <f>TEXT(tblData[[#This Row],[Rental Date]],"mmmm")</f>
        <v>July</v>
      </c>
      <c r="E1375" t="s">
        <v>56</v>
      </c>
      <c r="F1375" t="str">
        <f>TEXT(WEEKNUM(tblData[[#This Row],[Rental Date]]),"00")</f>
        <v>28</v>
      </c>
      <c r="G1375" s="1">
        <f>EOMONTH(tblData[[#This Row],[Rental Date]],0)</f>
        <v>46234</v>
      </c>
      <c r="H1375" t="s">
        <v>749</v>
      </c>
      <c r="I1375" t="s">
        <v>48</v>
      </c>
      <c r="J1375" t="s">
        <v>33</v>
      </c>
      <c r="K1375" t="s">
        <v>40</v>
      </c>
      <c r="L1375">
        <v>1</v>
      </c>
      <c r="M1375" s="2">
        <v>69.599999999999994</v>
      </c>
      <c r="N1375" t="s">
        <v>41</v>
      </c>
      <c r="O1375" s="3">
        <v>5</v>
      </c>
      <c r="P1375" s="3">
        <v>0</v>
      </c>
      <c r="Q1375" s="2">
        <v>74.599999999999994</v>
      </c>
      <c r="R1375" t="s">
        <v>34</v>
      </c>
      <c r="S1375" t="s">
        <v>54</v>
      </c>
      <c r="T1375" t="s">
        <v>29</v>
      </c>
      <c r="U1375" t="s">
        <v>30</v>
      </c>
    </row>
    <row r="1376" spans="1:21" x14ac:dyDescent="0.35">
      <c r="A1376" t="s">
        <v>1455</v>
      </c>
      <c r="B1376" s="1">
        <v>46214</v>
      </c>
      <c r="C1376" t="str">
        <f>TEXT(tblData[[#This Row],[Rental Date]],"mmm")</f>
        <v>Jul</v>
      </c>
      <c r="D1376" t="str">
        <f>TEXT(tblData[[#This Row],[Rental Date]],"mmmm")</f>
        <v>July</v>
      </c>
      <c r="E1376" t="s">
        <v>56</v>
      </c>
      <c r="F1376" t="str">
        <f>TEXT(WEEKNUM(tblData[[#This Row],[Rental Date]]),"00")</f>
        <v>28</v>
      </c>
      <c r="G1376" s="1">
        <f>EOMONTH(tblData[[#This Row],[Rental Date]],0)</f>
        <v>46234</v>
      </c>
      <c r="H1376" t="s">
        <v>749</v>
      </c>
      <c r="I1376" t="s">
        <v>39</v>
      </c>
      <c r="J1376" t="s">
        <v>138</v>
      </c>
      <c r="K1376" t="s">
        <v>40</v>
      </c>
      <c r="L1376">
        <v>1</v>
      </c>
      <c r="M1376" s="2">
        <v>86.4</v>
      </c>
      <c r="N1376" t="s">
        <v>26</v>
      </c>
      <c r="O1376" s="3">
        <v>0</v>
      </c>
      <c r="P1376" s="3">
        <v>0</v>
      </c>
      <c r="Q1376" s="2">
        <v>86.4</v>
      </c>
      <c r="R1376" t="s">
        <v>71</v>
      </c>
      <c r="S1376" t="s">
        <v>28</v>
      </c>
      <c r="T1376" t="s">
        <v>63</v>
      </c>
      <c r="U1376" t="s">
        <v>58</v>
      </c>
    </row>
    <row r="1377" spans="1:21" x14ac:dyDescent="0.35">
      <c r="A1377" t="s">
        <v>1456</v>
      </c>
      <c r="B1377" s="1">
        <v>46214</v>
      </c>
      <c r="C1377" t="str">
        <f>TEXT(tblData[[#This Row],[Rental Date]],"mmm")</f>
        <v>Jul</v>
      </c>
      <c r="D1377" t="str">
        <f>TEXT(tblData[[#This Row],[Rental Date]],"mmmm")</f>
        <v>July</v>
      </c>
      <c r="E1377" t="s">
        <v>56</v>
      </c>
      <c r="F1377" t="str">
        <f>TEXT(WEEKNUM(tblData[[#This Row],[Rental Date]]),"00")</f>
        <v>28</v>
      </c>
      <c r="G1377" s="1">
        <f>EOMONTH(tblData[[#This Row],[Rental Date]],0)</f>
        <v>46234</v>
      </c>
      <c r="H1377" t="s">
        <v>749</v>
      </c>
      <c r="I1377" t="s">
        <v>39</v>
      </c>
      <c r="J1377" t="s">
        <v>33</v>
      </c>
      <c r="K1377" t="s">
        <v>92</v>
      </c>
      <c r="L1377">
        <v>1</v>
      </c>
      <c r="M1377" s="2">
        <v>100.8</v>
      </c>
      <c r="N1377" t="s">
        <v>26</v>
      </c>
      <c r="O1377" s="3">
        <v>0</v>
      </c>
      <c r="P1377" s="3">
        <v>0</v>
      </c>
      <c r="Q1377" s="2">
        <v>100.8</v>
      </c>
      <c r="R1377" t="s">
        <v>62</v>
      </c>
      <c r="S1377" t="s">
        <v>50</v>
      </c>
      <c r="T1377" t="s">
        <v>29</v>
      </c>
      <c r="U1377" t="s">
        <v>30</v>
      </c>
    </row>
    <row r="1378" spans="1:21" x14ac:dyDescent="0.35">
      <c r="A1378" t="s">
        <v>1457</v>
      </c>
      <c r="B1378" s="1">
        <v>46214</v>
      </c>
      <c r="C1378" t="str">
        <f>TEXT(tblData[[#This Row],[Rental Date]],"mmm")</f>
        <v>Jul</v>
      </c>
      <c r="D1378" t="str">
        <f>TEXT(tblData[[#This Row],[Rental Date]],"mmmm")</f>
        <v>July</v>
      </c>
      <c r="E1378" t="s">
        <v>56</v>
      </c>
      <c r="F1378" t="str">
        <f>TEXT(WEEKNUM(tblData[[#This Row],[Rental Date]]),"00")</f>
        <v>28</v>
      </c>
      <c r="G1378" s="1">
        <f>EOMONTH(tblData[[#This Row],[Rental Date]],0)</f>
        <v>46234</v>
      </c>
      <c r="H1378" t="s">
        <v>749</v>
      </c>
      <c r="I1378" t="s">
        <v>48</v>
      </c>
      <c r="J1378" t="s">
        <v>33</v>
      </c>
      <c r="K1378" t="s">
        <v>25</v>
      </c>
      <c r="L1378">
        <v>1</v>
      </c>
      <c r="M1378" s="2">
        <v>45.6</v>
      </c>
      <c r="N1378" t="s">
        <v>41</v>
      </c>
      <c r="O1378" s="3">
        <v>5</v>
      </c>
      <c r="P1378" s="3">
        <v>0</v>
      </c>
      <c r="Q1378" s="2">
        <v>50.6</v>
      </c>
      <c r="R1378" t="s">
        <v>34</v>
      </c>
      <c r="S1378" t="s">
        <v>54</v>
      </c>
      <c r="T1378" t="s">
        <v>51</v>
      </c>
      <c r="U1378" t="s">
        <v>30</v>
      </c>
    </row>
    <row r="1379" spans="1:21" x14ac:dyDescent="0.35">
      <c r="A1379" t="s">
        <v>1458</v>
      </c>
      <c r="B1379" s="1">
        <v>46214</v>
      </c>
      <c r="C1379" t="str">
        <f>TEXT(tblData[[#This Row],[Rental Date]],"mmm")</f>
        <v>Jul</v>
      </c>
      <c r="D1379" t="str">
        <f>TEXT(tblData[[#This Row],[Rental Date]],"mmmm")</f>
        <v>July</v>
      </c>
      <c r="E1379" t="s">
        <v>56</v>
      </c>
      <c r="F1379" t="str">
        <f>TEXT(WEEKNUM(tblData[[#This Row],[Rental Date]]),"00")</f>
        <v>28</v>
      </c>
      <c r="G1379" s="1">
        <f>EOMONTH(tblData[[#This Row],[Rental Date]],0)</f>
        <v>46234</v>
      </c>
      <c r="H1379" t="s">
        <v>749</v>
      </c>
      <c r="I1379" t="s">
        <v>39</v>
      </c>
      <c r="J1379" t="s">
        <v>33</v>
      </c>
      <c r="K1379" t="s">
        <v>25</v>
      </c>
      <c r="L1379">
        <v>1</v>
      </c>
      <c r="M1379" s="2">
        <v>45.6</v>
      </c>
      <c r="N1379" t="s">
        <v>26</v>
      </c>
      <c r="O1379" s="3">
        <v>0</v>
      </c>
      <c r="P1379" s="3">
        <v>0</v>
      </c>
      <c r="Q1379" s="2">
        <v>45.6</v>
      </c>
      <c r="R1379" t="s">
        <v>42</v>
      </c>
      <c r="S1379" t="s">
        <v>50</v>
      </c>
      <c r="T1379" t="s">
        <v>29</v>
      </c>
      <c r="U1379" t="s">
        <v>30</v>
      </c>
    </row>
    <row r="1380" spans="1:21" x14ac:dyDescent="0.35">
      <c r="A1380" t="s">
        <v>1459</v>
      </c>
      <c r="B1380" s="1">
        <v>46214</v>
      </c>
      <c r="C1380" t="str">
        <f>TEXT(tblData[[#This Row],[Rental Date]],"mmm")</f>
        <v>Jul</v>
      </c>
      <c r="D1380" t="str">
        <f>TEXT(tblData[[#This Row],[Rental Date]],"mmmm")</f>
        <v>July</v>
      </c>
      <c r="E1380" t="s">
        <v>56</v>
      </c>
      <c r="F1380" t="str">
        <f>TEXT(WEEKNUM(tblData[[#This Row],[Rental Date]]),"00")</f>
        <v>28</v>
      </c>
      <c r="G1380" s="1">
        <f>EOMONTH(tblData[[#This Row],[Rental Date]],0)</f>
        <v>46234</v>
      </c>
      <c r="H1380" t="s">
        <v>749</v>
      </c>
      <c r="I1380" t="s">
        <v>48</v>
      </c>
      <c r="J1380" t="s">
        <v>111</v>
      </c>
      <c r="K1380" t="s">
        <v>25</v>
      </c>
      <c r="L1380">
        <v>1</v>
      </c>
      <c r="M1380" s="2">
        <v>26.4</v>
      </c>
      <c r="N1380" t="s">
        <v>26</v>
      </c>
      <c r="O1380" s="3">
        <v>0</v>
      </c>
      <c r="P1380" s="3">
        <v>0</v>
      </c>
      <c r="Q1380" s="2">
        <v>26.4</v>
      </c>
      <c r="R1380" t="s">
        <v>76</v>
      </c>
      <c r="S1380" t="s">
        <v>50</v>
      </c>
      <c r="T1380" t="s">
        <v>29</v>
      </c>
      <c r="U1380" t="s">
        <v>30</v>
      </c>
    </row>
    <row r="1381" spans="1:21" x14ac:dyDescent="0.35">
      <c r="A1381" t="s">
        <v>1460</v>
      </c>
      <c r="B1381" s="1">
        <v>46214</v>
      </c>
      <c r="C1381" t="str">
        <f>TEXT(tblData[[#This Row],[Rental Date]],"mmm")</f>
        <v>Jul</v>
      </c>
      <c r="D1381" t="str">
        <f>TEXT(tblData[[#This Row],[Rental Date]],"mmmm")</f>
        <v>July</v>
      </c>
      <c r="E1381" t="s">
        <v>56</v>
      </c>
      <c r="F1381" t="str">
        <f>TEXT(WEEKNUM(tblData[[#This Row],[Rental Date]]),"00")</f>
        <v>28</v>
      </c>
      <c r="G1381" s="1">
        <f>EOMONTH(tblData[[#This Row],[Rental Date]],0)</f>
        <v>46234</v>
      </c>
      <c r="H1381" t="s">
        <v>749</v>
      </c>
      <c r="I1381" t="s">
        <v>39</v>
      </c>
      <c r="J1381" t="s">
        <v>65</v>
      </c>
      <c r="K1381" t="s">
        <v>40</v>
      </c>
      <c r="L1381">
        <v>1</v>
      </c>
      <c r="M1381" s="2">
        <v>33.6</v>
      </c>
      <c r="N1381" t="s">
        <v>41</v>
      </c>
      <c r="O1381" s="3">
        <v>5</v>
      </c>
      <c r="P1381" s="3">
        <v>0</v>
      </c>
      <c r="Q1381" s="2">
        <v>38.6</v>
      </c>
      <c r="R1381" t="s">
        <v>94</v>
      </c>
      <c r="S1381" t="s">
        <v>35</v>
      </c>
      <c r="T1381" t="s">
        <v>83</v>
      </c>
      <c r="U1381" t="s">
        <v>30</v>
      </c>
    </row>
    <row r="1382" spans="1:21" x14ac:dyDescent="0.35">
      <c r="A1382" t="s">
        <v>1461</v>
      </c>
      <c r="B1382" s="1">
        <v>46214</v>
      </c>
      <c r="C1382" t="str">
        <f>TEXT(tblData[[#This Row],[Rental Date]],"mmm")</f>
        <v>Jul</v>
      </c>
      <c r="D1382" t="str">
        <f>TEXT(tblData[[#This Row],[Rental Date]],"mmmm")</f>
        <v>July</v>
      </c>
      <c r="E1382" t="s">
        <v>56</v>
      </c>
      <c r="F1382" t="str">
        <f>TEXT(WEEKNUM(tblData[[#This Row],[Rental Date]]),"00")</f>
        <v>28</v>
      </c>
      <c r="G1382" s="1">
        <f>EOMONTH(tblData[[#This Row],[Rental Date]],0)</f>
        <v>46234</v>
      </c>
      <c r="H1382" t="s">
        <v>749</v>
      </c>
      <c r="I1382" t="s">
        <v>23</v>
      </c>
      <c r="J1382" t="s">
        <v>24</v>
      </c>
      <c r="K1382" t="s">
        <v>60</v>
      </c>
      <c r="L1382">
        <v>1</v>
      </c>
      <c r="M1382" s="2">
        <v>38.4</v>
      </c>
      <c r="N1382" t="s">
        <v>26</v>
      </c>
      <c r="O1382" s="3">
        <v>0</v>
      </c>
      <c r="P1382" s="3">
        <v>0</v>
      </c>
      <c r="Q1382" s="2">
        <v>38.4</v>
      </c>
      <c r="R1382" t="s">
        <v>76</v>
      </c>
      <c r="S1382" t="s">
        <v>28</v>
      </c>
      <c r="T1382" t="s">
        <v>29</v>
      </c>
      <c r="U1382" t="s">
        <v>30</v>
      </c>
    </row>
    <row r="1383" spans="1:21" x14ac:dyDescent="0.35">
      <c r="A1383" t="s">
        <v>1462</v>
      </c>
      <c r="B1383" s="1">
        <v>46214</v>
      </c>
      <c r="C1383" t="str">
        <f>TEXT(tblData[[#This Row],[Rental Date]],"mmm")</f>
        <v>Jul</v>
      </c>
      <c r="D1383" t="str">
        <f>TEXT(tblData[[#This Row],[Rental Date]],"mmmm")</f>
        <v>July</v>
      </c>
      <c r="E1383" t="s">
        <v>56</v>
      </c>
      <c r="F1383" t="str">
        <f>TEXT(WEEKNUM(tblData[[#This Row],[Rental Date]]),"00")</f>
        <v>28</v>
      </c>
      <c r="G1383" s="1">
        <f>EOMONTH(tblData[[#This Row],[Rental Date]],0)</f>
        <v>46234</v>
      </c>
      <c r="H1383" t="s">
        <v>749</v>
      </c>
      <c r="I1383" t="s">
        <v>32</v>
      </c>
      <c r="J1383" t="s">
        <v>44</v>
      </c>
      <c r="K1383" t="s">
        <v>60</v>
      </c>
      <c r="L1383">
        <v>1</v>
      </c>
      <c r="M1383" s="2">
        <v>40.799999999999997</v>
      </c>
      <c r="N1383" t="s">
        <v>70</v>
      </c>
      <c r="O1383" s="3">
        <v>7</v>
      </c>
      <c r="P1383" s="3">
        <v>2.39</v>
      </c>
      <c r="Q1383" s="2">
        <v>45.41</v>
      </c>
      <c r="R1383" t="s">
        <v>94</v>
      </c>
      <c r="S1383" t="s">
        <v>46</v>
      </c>
      <c r="T1383" t="s">
        <v>29</v>
      </c>
      <c r="U1383" t="s">
        <v>79</v>
      </c>
    </row>
    <row r="1384" spans="1:21" x14ac:dyDescent="0.35">
      <c r="A1384" t="s">
        <v>1463</v>
      </c>
      <c r="B1384" s="1">
        <v>46214</v>
      </c>
      <c r="C1384" t="str">
        <f>TEXT(tblData[[#This Row],[Rental Date]],"mmm")</f>
        <v>Jul</v>
      </c>
      <c r="D1384" t="str">
        <f>TEXT(tblData[[#This Row],[Rental Date]],"mmmm")</f>
        <v>July</v>
      </c>
      <c r="E1384" t="s">
        <v>56</v>
      </c>
      <c r="F1384" t="str">
        <f>TEXT(WEEKNUM(tblData[[#This Row],[Rental Date]]),"00")</f>
        <v>28</v>
      </c>
      <c r="G1384" s="1">
        <f>EOMONTH(tblData[[#This Row],[Rental Date]],0)</f>
        <v>46234</v>
      </c>
      <c r="H1384" t="s">
        <v>749</v>
      </c>
      <c r="I1384" t="s">
        <v>32</v>
      </c>
      <c r="J1384" t="s">
        <v>78</v>
      </c>
      <c r="K1384" t="s">
        <v>25</v>
      </c>
      <c r="L1384">
        <v>1</v>
      </c>
      <c r="M1384" s="2">
        <v>50.4</v>
      </c>
      <c r="N1384" t="s">
        <v>26</v>
      </c>
      <c r="O1384" s="3">
        <v>0</v>
      </c>
      <c r="P1384" s="3">
        <v>0</v>
      </c>
      <c r="Q1384" s="2">
        <v>50.4</v>
      </c>
      <c r="R1384" t="s">
        <v>27</v>
      </c>
      <c r="S1384" t="s">
        <v>46</v>
      </c>
      <c r="T1384" t="s">
        <v>51</v>
      </c>
      <c r="U1384" t="s">
        <v>30</v>
      </c>
    </row>
    <row r="1385" spans="1:21" x14ac:dyDescent="0.35">
      <c r="A1385" t="s">
        <v>1464</v>
      </c>
      <c r="B1385" s="1">
        <v>46214</v>
      </c>
      <c r="C1385" t="str">
        <f>TEXT(tblData[[#This Row],[Rental Date]],"mmm")</f>
        <v>Jul</v>
      </c>
      <c r="D1385" t="str">
        <f>TEXT(tblData[[#This Row],[Rental Date]],"mmmm")</f>
        <v>July</v>
      </c>
      <c r="E1385" t="s">
        <v>56</v>
      </c>
      <c r="F1385" t="str">
        <f>TEXT(WEEKNUM(tblData[[#This Row],[Rental Date]]),"00")</f>
        <v>28</v>
      </c>
      <c r="G1385" s="1">
        <f>EOMONTH(tblData[[#This Row],[Rental Date]],0)</f>
        <v>46234</v>
      </c>
      <c r="H1385" t="s">
        <v>749</v>
      </c>
      <c r="I1385" t="s">
        <v>48</v>
      </c>
      <c r="J1385" t="s">
        <v>33</v>
      </c>
      <c r="K1385" t="s">
        <v>25</v>
      </c>
      <c r="L1385">
        <v>1</v>
      </c>
      <c r="M1385" s="2">
        <v>45.6</v>
      </c>
      <c r="N1385" t="s">
        <v>26</v>
      </c>
      <c r="O1385" s="3">
        <v>0</v>
      </c>
      <c r="P1385" s="3">
        <v>0</v>
      </c>
      <c r="Q1385" s="2">
        <v>45.6</v>
      </c>
      <c r="R1385" t="s">
        <v>66</v>
      </c>
      <c r="S1385" t="s">
        <v>28</v>
      </c>
      <c r="T1385" t="s">
        <v>29</v>
      </c>
      <c r="U1385" t="s">
        <v>30</v>
      </c>
    </row>
    <row r="1386" spans="1:21" x14ac:dyDescent="0.35">
      <c r="A1386" t="s">
        <v>1465</v>
      </c>
      <c r="B1386" s="1">
        <v>46214</v>
      </c>
      <c r="C1386" t="str">
        <f>TEXT(tblData[[#This Row],[Rental Date]],"mmm")</f>
        <v>Jul</v>
      </c>
      <c r="D1386" t="str">
        <f>TEXT(tblData[[#This Row],[Rental Date]],"mmmm")</f>
        <v>July</v>
      </c>
      <c r="E1386" t="s">
        <v>56</v>
      </c>
      <c r="F1386" t="str">
        <f>TEXT(WEEKNUM(tblData[[#This Row],[Rental Date]]),"00")</f>
        <v>28</v>
      </c>
      <c r="G1386" s="1">
        <f>EOMONTH(tblData[[#This Row],[Rental Date]],0)</f>
        <v>46234</v>
      </c>
      <c r="H1386" t="s">
        <v>749</v>
      </c>
      <c r="I1386" t="s">
        <v>48</v>
      </c>
      <c r="J1386" t="s">
        <v>49</v>
      </c>
      <c r="K1386" t="s">
        <v>25</v>
      </c>
      <c r="L1386">
        <v>1</v>
      </c>
      <c r="M1386" s="2">
        <v>43.2</v>
      </c>
      <c r="N1386" t="s">
        <v>26</v>
      </c>
      <c r="O1386" s="3">
        <v>0</v>
      </c>
      <c r="P1386" s="3">
        <v>0</v>
      </c>
      <c r="Q1386" s="2">
        <v>43.2</v>
      </c>
      <c r="R1386" t="s">
        <v>76</v>
      </c>
      <c r="S1386" t="s">
        <v>28</v>
      </c>
      <c r="T1386" t="s">
        <v>29</v>
      </c>
      <c r="U1386" t="s">
        <v>30</v>
      </c>
    </row>
    <row r="1387" spans="1:21" x14ac:dyDescent="0.35">
      <c r="A1387" t="s">
        <v>1466</v>
      </c>
      <c r="B1387" s="1">
        <v>46214</v>
      </c>
      <c r="C1387" t="str">
        <f>TEXT(tblData[[#This Row],[Rental Date]],"mmm")</f>
        <v>Jul</v>
      </c>
      <c r="D1387" t="str">
        <f>TEXT(tblData[[#This Row],[Rental Date]],"mmmm")</f>
        <v>July</v>
      </c>
      <c r="E1387" t="s">
        <v>56</v>
      </c>
      <c r="F1387" t="str">
        <f>TEXT(WEEKNUM(tblData[[#This Row],[Rental Date]]),"00")</f>
        <v>28</v>
      </c>
      <c r="G1387" s="1">
        <f>EOMONTH(tblData[[#This Row],[Rental Date]],0)</f>
        <v>46234</v>
      </c>
      <c r="H1387" t="s">
        <v>749</v>
      </c>
      <c r="I1387" t="s">
        <v>39</v>
      </c>
      <c r="J1387" t="s">
        <v>65</v>
      </c>
      <c r="K1387" t="s">
        <v>60</v>
      </c>
      <c r="L1387">
        <v>1</v>
      </c>
      <c r="M1387" s="2">
        <v>14.4</v>
      </c>
      <c r="N1387" t="s">
        <v>26</v>
      </c>
      <c r="O1387" s="3">
        <v>0</v>
      </c>
      <c r="P1387" s="3">
        <v>0</v>
      </c>
      <c r="Q1387" s="2">
        <v>14.4</v>
      </c>
      <c r="R1387" t="s">
        <v>45</v>
      </c>
      <c r="S1387" t="s">
        <v>35</v>
      </c>
      <c r="T1387" t="s">
        <v>83</v>
      </c>
      <c r="U1387" t="s">
        <v>30</v>
      </c>
    </row>
    <row r="1388" spans="1:21" x14ac:dyDescent="0.35">
      <c r="A1388" t="s">
        <v>1467</v>
      </c>
      <c r="B1388" s="1">
        <v>46214</v>
      </c>
      <c r="C1388" t="str">
        <f>TEXT(tblData[[#This Row],[Rental Date]],"mmm")</f>
        <v>Jul</v>
      </c>
      <c r="D1388" t="str">
        <f>TEXT(tblData[[#This Row],[Rental Date]],"mmmm")</f>
        <v>July</v>
      </c>
      <c r="E1388" t="s">
        <v>56</v>
      </c>
      <c r="F1388" t="str">
        <f>TEXT(WEEKNUM(tblData[[#This Row],[Rental Date]]),"00")</f>
        <v>28</v>
      </c>
      <c r="G1388" s="1">
        <f>EOMONTH(tblData[[#This Row],[Rental Date]],0)</f>
        <v>46234</v>
      </c>
      <c r="H1388" t="s">
        <v>749</v>
      </c>
      <c r="I1388" t="s">
        <v>48</v>
      </c>
      <c r="J1388" t="s">
        <v>44</v>
      </c>
      <c r="K1388" t="s">
        <v>92</v>
      </c>
      <c r="L1388">
        <v>1</v>
      </c>
      <c r="M1388" s="2">
        <v>134.4</v>
      </c>
      <c r="N1388" t="s">
        <v>26</v>
      </c>
      <c r="O1388" s="3">
        <v>0</v>
      </c>
      <c r="P1388" s="3">
        <v>0</v>
      </c>
      <c r="Q1388" s="2">
        <v>134.4</v>
      </c>
      <c r="R1388" t="s">
        <v>62</v>
      </c>
      <c r="S1388" t="s">
        <v>54</v>
      </c>
      <c r="T1388" t="s">
        <v>51</v>
      </c>
      <c r="U1388" t="s">
        <v>79</v>
      </c>
    </row>
    <row r="1389" spans="1:21" x14ac:dyDescent="0.35">
      <c r="A1389" t="s">
        <v>1468</v>
      </c>
      <c r="B1389" s="1">
        <v>46214</v>
      </c>
      <c r="C1389" t="str">
        <f>TEXT(tblData[[#This Row],[Rental Date]],"mmm")</f>
        <v>Jul</v>
      </c>
      <c r="D1389" t="str">
        <f>TEXT(tblData[[#This Row],[Rental Date]],"mmmm")</f>
        <v>July</v>
      </c>
      <c r="E1389" t="s">
        <v>56</v>
      </c>
      <c r="F1389" t="str">
        <f>TEXT(WEEKNUM(tblData[[#This Row],[Rental Date]]),"00")</f>
        <v>28</v>
      </c>
      <c r="G1389" s="1">
        <f>EOMONTH(tblData[[#This Row],[Rental Date]],0)</f>
        <v>46234</v>
      </c>
      <c r="H1389" t="s">
        <v>749</v>
      </c>
      <c r="I1389" t="s">
        <v>39</v>
      </c>
      <c r="J1389" t="s">
        <v>24</v>
      </c>
      <c r="K1389" t="s">
        <v>40</v>
      </c>
      <c r="L1389">
        <v>1</v>
      </c>
      <c r="M1389" s="2">
        <v>91.2</v>
      </c>
      <c r="N1389" t="s">
        <v>89</v>
      </c>
      <c r="O1389" s="3">
        <v>6</v>
      </c>
      <c r="P1389" s="3">
        <v>0</v>
      </c>
      <c r="Q1389" s="2">
        <v>97.2</v>
      </c>
      <c r="R1389" t="s">
        <v>62</v>
      </c>
      <c r="S1389" t="s">
        <v>46</v>
      </c>
      <c r="T1389" t="s">
        <v>51</v>
      </c>
      <c r="U1389" t="s">
        <v>58</v>
      </c>
    </row>
    <row r="1390" spans="1:21" x14ac:dyDescent="0.35">
      <c r="A1390" t="s">
        <v>1469</v>
      </c>
      <c r="B1390" s="1">
        <v>46214</v>
      </c>
      <c r="C1390" t="str">
        <f>TEXT(tblData[[#This Row],[Rental Date]],"mmm")</f>
        <v>Jul</v>
      </c>
      <c r="D1390" t="str">
        <f>TEXT(tblData[[#This Row],[Rental Date]],"mmmm")</f>
        <v>July</v>
      </c>
      <c r="E1390" t="s">
        <v>56</v>
      </c>
      <c r="F1390" t="str">
        <f>TEXT(WEEKNUM(tblData[[#This Row],[Rental Date]]),"00")</f>
        <v>28</v>
      </c>
      <c r="G1390" s="1">
        <f>EOMONTH(tblData[[#This Row],[Rental Date]],0)</f>
        <v>46234</v>
      </c>
      <c r="H1390" t="s">
        <v>749</v>
      </c>
      <c r="I1390" t="s">
        <v>32</v>
      </c>
      <c r="J1390" t="s">
        <v>24</v>
      </c>
      <c r="K1390" t="s">
        <v>25</v>
      </c>
      <c r="L1390">
        <v>1</v>
      </c>
      <c r="M1390" s="2">
        <v>60</v>
      </c>
      <c r="N1390" t="s">
        <v>26</v>
      </c>
      <c r="O1390" s="3">
        <v>0</v>
      </c>
      <c r="P1390" s="3">
        <v>0</v>
      </c>
      <c r="Q1390" s="2">
        <v>60</v>
      </c>
      <c r="R1390" t="s">
        <v>45</v>
      </c>
      <c r="S1390" t="s">
        <v>54</v>
      </c>
      <c r="T1390" t="s">
        <v>29</v>
      </c>
      <c r="U1390" t="s">
        <v>30</v>
      </c>
    </row>
    <row r="1391" spans="1:21" x14ac:dyDescent="0.35">
      <c r="A1391" t="s">
        <v>1470</v>
      </c>
      <c r="B1391" s="1">
        <v>46214</v>
      </c>
      <c r="C1391" t="str">
        <f>TEXT(tblData[[#This Row],[Rental Date]],"mmm")</f>
        <v>Jul</v>
      </c>
      <c r="D1391" t="str">
        <f>TEXT(tblData[[#This Row],[Rental Date]],"mmmm")</f>
        <v>July</v>
      </c>
      <c r="E1391" t="s">
        <v>56</v>
      </c>
      <c r="F1391" t="str">
        <f>TEXT(WEEKNUM(tblData[[#This Row],[Rental Date]]),"00")</f>
        <v>28</v>
      </c>
      <c r="G1391" s="1">
        <f>EOMONTH(tblData[[#This Row],[Rental Date]],0)</f>
        <v>46234</v>
      </c>
      <c r="H1391" t="s">
        <v>749</v>
      </c>
      <c r="I1391" t="s">
        <v>23</v>
      </c>
      <c r="J1391" t="s">
        <v>65</v>
      </c>
      <c r="K1391" t="s">
        <v>25</v>
      </c>
      <c r="L1391">
        <v>1</v>
      </c>
      <c r="M1391" s="2">
        <v>21.6</v>
      </c>
      <c r="N1391" t="s">
        <v>89</v>
      </c>
      <c r="O1391" s="3">
        <v>6</v>
      </c>
      <c r="P1391" s="3">
        <v>0</v>
      </c>
      <c r="Q1391" s="2">
        <v>27.6</v>
      </c>
      <c r="R1391" t="s">
        <v>94</v>
      </c>
      <c r="S1391" t="s">
        <v>46</v>
      </c>
      <c r="T1391" t="s">
        <v>90</v>
      </c>
      <c r="U1391" t="s">
        <v>30</v>
      </c>
    </row>
    <row r="1392" spans="1:21" x14ac:dyDescent="0.35">
      <c r="A1392" t="s">
        <v>1471</v>
      </c>
      <c r="B1392" s="1">
        <v>46214</v>
      </c>
      <c r="C1392" t="str">
        <f>TEXT(tblData[[#This Row],[Rental Date]],"mmm")</f>
        <v>Jul</v>
      </c>
      <c r="D1392" t="str">
        <f>TEXT(tblData[[#This Row],[Rental Date]],"mmmm")</f>
        <v>July</v>
      </c>
      <c r="E1392" t="s">
        <v>56</v>
      </c>
      <c r="F1392" t="str">
        <f>TEXT(WEEKNUM(tblData[[#This Row],[Rental Date]]),"00")</f>
        <v>28</v>
      </c>
      <c r="G1392" s="1">
        <f>EOMONTH(tblData[[#This Row],[Rental Date]],0)</f>
        <v>46234</v>
      </c>
      <c r="H1392" t="s">
        <v>749</v>
      </c>
      <c r="I1392" t="s">
        <v>48</v>
      </c>
      <c r="J1392" t="s">
        <v>86</v>
      </c>
      <c r="K1392" t="s">
        <v>40</v>
      </c>
      <c r="L1392">
        <v>1</v>
      </c>
      <c r="M1392" s="2">
        <v>103.2</v>
      </c>
      <c r="N1392" t="s">
        <v>41</v>
      </c>
      <c r="O1392" s="3">
        <v>5</v>
      </c>
      <c r="P1392" s="3">
        <v>0</v>
      </c>
      <c r="Q1392" s="2">
        <v>108.2</v>
      </c>
      <c r="R1392" t="s">
        <v>62</v>
      </c>
      <c r="S1392" t="s">
        <v>46</v>
      </c>
      <c r="T1392" t="s">
        <v>51</v>
      </c>
      <c r="U1392" t="s">
        <v>30</v>
      </c>
    </row>
    <row r="1393" spans="1:21" x14ac:dyDescent="0.35">
      <c r="A1393" t="s">
        <v>1472</v>
      </c>
      <c r="B1393" s="1">
        <v>46214</v>
      </c>
      <c r="C1393" t="str">
        <f>TEXT(tblData[[#This Row],[Rental Date]],"mmm")</f>
        <v>Jul</v>
      </c>
      <c r="D1393" t="str">
        <f>TEXT(tblData[[#This Row],[Rental Date]],"mmmm")</f>
        <v>July</v>
      </c>
      <c r="E1393" t="s">
        <v>56</v>
      </c>
      <c r="F1393" t="str">
        <f>TEXT(WEEKNUM(tblData[[#This Row],[Rental Date]]),"00")</f>
        <v>28</v>
      </c>
      <c r="G1393" s="1">
        <f>EOMONTH(tblData[[#This Row],[Rental Date]],0)</f>
        <v>46234</v>
      </c>
      <c r="H1393" t="s">
        <v>749</v>
      </c>
      <c r="I1393" t="s">
        <v>23</v>
      </c>
      <c r="J1393" t="s">
        <v>65</v>
      </c>
      <c r="K1393" t="s">
        <v>25</v>
      </c>
      <c r="L1393">
        <v>1</v>
      </c>
      <c r="M1393" s="2">
        <v>21.6</v>
      </c>
      <c r="N1393" t="s">
        <v>89</v>
      </c>
      <c r="O1393" s="3">
        <v>6</v>
      </c>
      <c r="P1393" s="3">
        <v>0</v>
      </c>
      <c r="Q1393" s="2">
        <v>27.6</v>
      </c>
      <c r="R1393" t="s">
        <v>94</v>
      </c>
      <c r="S1393" t="s">
        <v>35</v>
      </c>
      <c r="T1393" t="s">
        <v>29</v>
      </c>
      <c r="U1393" t="s">
        <v>30</v>
      </c>
    </row>
    <row r="1394" spans="1:21" x14ac:dyDescent="0.35">
      <c r="A1394" t="s">
        <v>1473</v>
      </c>
      <c r="B1394" s="1">
        <v>46215</v>
      </c>
      <c r="C1394" t="str">
        <f>TEXT(tblData[[#This Row],[Rental Date]],"mmm")</f>
        <v>Jul</v>
      </c>
      <c r="D1394" t="str">
        <f>TEXT(tblData[[#This Row],[Rental Date]],"mmmm")</f>
        <v>July</v>
      </c>
      <c r="E1394" t="s">
        <v>68</v>
      </c>
      <c r="F1394" t="str">
        <f>TEXT(WEEKNUM(tblData[[#This Row],[Rental Date]]),"00")</f>
        <v>29</v>
      </c>
      <c r="G1394" s="1">
        <f>EOMONTH(tblData[[#This Row],[Rental Date]],0)</f>
        <v>46234</v>
      </c>
      <c r="H1394" t="s">
        <v>749</v>
      </c>
      <c r="I1394" t="s">
        <v>48</v>
      </c>
      <c r="J1394" t="s">
        <v>78</v>
      </c>
      <c r="K1394" t="s">
        <v>92</v>
      </c>
      <c r="L1394">
        <v>1</v>
      </c>
      <c r="M1394" s="2">
        <v>105.6</v>
      </c>
      <c r="N1394" t="s">
        <v>26</v>
      </c>
      <c r="O1394" s="3">
        <v>0</v>
      </c>
      <c r="P1394" s="3">
        <v>0</v>
      </c>
      <c r="Q1394" s="2">
        <v>105.6</v>
      </c>
      <c r="R1394" t="s">
        <v>57</v>
      </c>
      <c r="S1394" t="s">
        <v>35</v>
      </c>
      <c r="T1394" t="s">
        <v>29</v>
      </c>
      <c r="U1394" t="s">
        <v>30</v>
      </c>
    </row>
    <row r="1395" spans="1:21" x14ac:dyDescent="0.35">
      <c r="A1395" t="s">
        <v>1474</v>
      </c>
      <c r="B1395" s="1">
        <v>46215</v>
      </c>
      <c r="C1395" t="str">
        <f>TEXT(tblData[[#This Row],[Rental Date]],"mmm")</f>
        <v>Jul</v>
      </c>
      <c r="D1395" t="str">
        <f>TEXT(tblData[[#This Row],[Rental Date]],"mmmm")</f>
        <v>July</v>
      </c>
      <c r="E1395" t="s">
        <v>68</v>
      </c>
      <c r="F1395" t="str">
        <f>TEXT(WEEKNUM(tblData[[#This Row],[Rental Date]]),"00")</f>
        <v>29</v>
      </c>
      <c r="G1395" s="1">
        <f>EOMONTH(tblData[[#This Row],[Rental Date]],0)</f>
        <v>46234</v>
      </c>
      <c r="H1395" t="s">
        <v>749</v>
      </c>
      <c r="I1395" t="s">
        <v>32</v>
      </c>
      <c r="J1395" t="s">
        <v>78</v>
      </c>
      <c r="K1395" t="s">
        <v>60</v>
      </c>
      <c r="L1395">
        <v>1</v>
      </c>
      <c r="M1395" s="2">
        <v>31.2</v>
      </c>
      <c r="N1395" t="s">
        <v>26</v>
      </c>
      <c r="O1395" s="3">
        <v>0</v>
      </c>
      <c r="P1395" s="3">
        <v>3.12</v>
      </c>
      <c r="Q1395" s="2">
        <v>28.08</v>
      </c>
      <c r="R1395" t="s">
        <v>94</v>
      </c>
      <c r="S1395" t="s">
        <v>46</v>
      </c>
      <c r="T1395" t="s">
        <v>29</v>
      </c>
      <c r="U1395" t="s">
        <v>30</v>
      </c>
    </row>
    <row r="1396" spans="1:21" x14ac:dyDescent="0.35">
      <c r="A1396" t="s">
        <v>1475</v>
      </c>
      <c r="B1396" s="1">
        <v>46215</v>
      </c>
      <c r="C1396" t="str">
        <f>TEXT(tblData[[#This Row],[Rental Date]],"mmm")</f>
        <v>Jul</v>
      </c>
      <c r="D1396" t="str">
        <f>TEXT(tblData[[#This Row],[Rental Date]],"mmmm")</f>
        <v>July</v>
      </c>
      <c r="E1396" t="s">
        <v>68</v>
      </c>
      <c r="F1396" t="str">
        <f>TEXT(WEEKNUM(tblData[[#This Row],[Rental Date]]),"00")</f>
        <v>29</v>
      </c>
      <c r="G1396" s="1">
        <f>EOMONTH(tblData[[#This Row],[Rental Date]],0)</f>
        <v>46234</v>
      </c>
      <c r="H1396" t="s">
        <v>749</v>
      </c>
      <c r="I1396" t="s">
        <v>23</v>
      </c>
      <c r="J1396" t="s">
        <v>86</v>
      </c>
      <c r="K1396" t="s">
        <v>25</v>
      </c>
      <c r="L1396">
        <v>1</v>
      </c>
      <c r="M1396" s="2">
        <v>69.599999999999994</v>
      </c>
      <c r="N1396" t="s">
        <v>89</v>
      </c>
      <c r="O1396" s="3">
        <v>6</v>
      </c>
      <c r="P1396" s="3">
        <v>0</v>
      </c>
      <c r="Q1396" s="2">
        <v>75.599999999999994</v>
      </c>
      <c r="R1396" t="s">
        <v>62</v>
      </c>
      <c r="S1396" t="s">
        <v>28</v>
      </c>
      <c r="T1396" t="s">
        <v>29</v>
      </c>
      <c r="U1396" t="s">
        <v>30</v>
      </c>
    </row>
    <row r="1397" spans="1:21" x14ac:dyDescent="0.35">
      <c r="A1397" t="s">
        <v>1476</v>
      </c>
      <c r="B1397" s="1">
        <v>46215</v>
      </c>
      <c r="C1397" t="str">
        <f>TEXT(tblData[[#This Row],[Rental Date]],"mmm")</f>
        <v>Jul</v>
      </c>
      <c r="D1397" t="str">
        <f>TEXT(tblData[[#This Row],[Rental Date]],"mmmm")</f>
        <v>July</v>
      </c>
      <c r="E1397" t="s">
        <v>68</v>
      </c>
      <c r="F1397" t="str">
        <f>TEXT(WEEKNUM(tblData[[#This Row],[Rental Date]]),"00")</f>
        <v>29</v>
      </c>
      <c r="G1397" s="1">
        <f>EOMONTH(tblData[[#This Row],[Rental Date]],0)</f>
        <v>46234</v>
      </c>
      <c r="H1397" t="s">
        <v>749</v>
      </c>
      <c r="I1397" t="s">
        <v>32</v>
      </c>
      <c r="J1397" t="s">
        <v>33</v>
      </c>
      <c r="K1397" t="s">
        <v>25</v>
      </c>
      <c r="L1397">
        <v>1</v>
      </c>
      <c r="M1397" s="2">
        <v>45.6</v>
      </c>
      <c r="N1397" t="s">
        <v>26</v>
      </c>
      <c r="O1397" s="3">
        <v>0</v>
      </c>
      <c r="P1397" s="3">
        <v>4.5599999999999996</v>
      </c>
      <c r="Q1397" s="2">
        <v>41.04</v>
      </c>
      <c r="R1397" t="s">
        <v>57</v>
      </c>
      <c r="S1397" t="s">
        <v>50</v>
      </c>
      <c r="T1397" t="s">
        <v>29</v>
      </c>
      <c r="U1397" t="s">
        <v>30</v>
      </c>
    </row>
    <row r="1398" spans="1:21" x14ac:dyDescent="0.35">
      <c r="A1398" t="s">
        <v>1477</v>
      </c>
      <c r="B1398" s="1">
        <v>46215</v>
      </c>
      <c r="C1398" t="str">
        <f>TEXT(tblData[[#This Row],[Rental Date]],"mmm")</f>
        <v>Jul</v>
      </c>
      <c r="D1398" t="str">
        <f>TEXT(tblData[[#This Row],[Rental Date]],"mmmm")</f>
        <v>July</v>
      </c>
      <c r="E1398" t="s">
        <v>68</v>
      </c>
      <c r="F1398" t="str">
        <f>TEXT(WEEKNUM(tblData[[#This Row],[Rental Date]]),"00")</f>
        <v>29</v>
      </c>
      <c r="G1398" s="1">
        <f>EOMONTH(tblData[[#This Row],[Rental Date]],0)</f>
        <v>46234</v>
      </c>
      <c r="H1398" t="s">
        <v>749</v>
      </c>
      <c r="I1398" t="s">
        <v>39</v>
      </c>
      <c r="J1398" t="s">
        <v>49</v>
      </c>
      <c r="K1398" t="s">
        <v>60</v>
      </c>
      <c r="L1398">
        <v>1</v>
      </c>
      <c r="M1398" s="2">
        <v>26.4</v>
      </c>
      <c r="N1398" t="s">
        <v>61</v>
      </c>
      <c r="O1398" s="3">
        <v>8</v>
      </c>
      <c r="P1398" s="3">
        <v>0</v>
      </c>
      <c r="Q1398" s="2">
        <v>34.4</v>
      </c>
      <c r="R1398" t="s">
        <v>42</v>
      </c>
      <c r="S1398" t="s">
        <v>50</v>
      </c>
      <c r="T1398" t="s">
        <v>51</v>
      </c>
      <c r="U1398" t="s">
        <v>58</v>
      </c>
    </row>
    <row r="1399" spans="1:21" x14ac:dyDescent="0.35">
      <c r="A1399" t="s">
        <v>1478</v>
      </c>
      <c r="B1399" s="1">
        <v>46215</v>
      </c>
      <c r="C1399" t="str">
        <f>TEXT(tblData[[#This Row],[Rental Date]],"mmm")</f>
        <v>Jul</v>
      </c>
      <c r="D1399" t="str">
        <f>TEXT(tblData[[#This Row],[Rental Date]],"mmmm")</f>
        <v>July</v>
      </c>
      <c r="E1399" t="s">
        <v>68</v>
      </c>
      <c r="F1399" t="str">
        <f>TEXT(WEEKNUM(tblData[[#This Row],[Rental Date]]),"00")</f>
        <v>29</v>
      </c>
      <c r="G1399" s="1">
        <f>EOMONTH(tblData[[#This Row],[Rental Date]],0)</f>
        <v>46234</v>
      </c>
      <c r="H1399" t="s">
        <v>749</v>
      </c>
      <c r="I1399" t="s">
        <v>48</v>
      </c>
      <c r="J1399" t="s">
        <v>86</v>
      </c>
      <c r="K1399" t="s">
        <v>92</v>
      </c>
      <c r="L1399">
        <v>1</v>
      </c>
      <c r="M1399" s="2">
        <v>148.80000000000001</v>
      </c>
      <c r="N1399" t="s">
        <v>75</v>
      </c>
      <c r="O1399" s="3">
        <v>12</v>
      </c>
      <c r="P1399" s="3">
        <v>0</v>
      </c>
      <c r="Q1399" s="2">
        <v>160.80000000000001</v>
      </c>
      <c r="R1399" t="s">
        <v>71</v>
      </c>
      <c r="S1399" t="s">
        <v>50</v>
      </c>
      <c r="T1399" t="s">
        <v>51</v>
      </c>
      <c r="U1399" t="s">
        <v>30</v>
      </c>
    </row>
    <row r="1400" spans="1:21" x14ac:dyDescent="0.35">
      <c r="A1400" t="s">
        <v>1479</v>
      </c>
      <c r="B1400" s="1">
        <v>46215</v>
      </c>
      <c r="C1400" t="str">
        <f>TEXT(tblData[[#This Row],[Rental Date]],"mmm")</f>
        <v>Jul</v>
      </c>
      <c r="D1400" t="str">
        <f>TEXT(tblData[[#This Row],[Rental Date]],"mmmm")</f>
        <v>July</v>
      </c>
      <c r="E1400" t="s">
        <v>68</v>
      </c>
      <c r="F1400" t="str">
        <f>TEXT(WEEKNUM(tblData[[#This Row],[Rental Date]]),"00")</f>
        <v>29</v>
      </c>
      <c r="G1400" s="1">
        <f>EOMONTH(tblData[[#This Row],[Rental Date]],0)</f>
        <v>46234</v>
      </c>
      <c r="H1400" t="s">
        <v>749</v>
      </c>
      <c r="I1400" t="s">
        <v>23</v>
      </c>
      <c r="J1400" t="s">
        <v>138</v>
      </c>
      <c r="K1400" t="s">
        <v>25</v>
      </c>
      <c r="L1400">
        <v>1</v>
      </c>
      <c r="M1400" s="2">
        <v>57.6</v>
      </c>
      <c r="N1400" t="s">
        <v>41</v>
      </c>
      <c r="O1400" s="3">
        <v>5</v>
      </c>
      <c r="P1400" s="3">
        <v>0</v>
      </c>
      <c r="Q1400" s="2">
        <v>62.6</v>
      </c>
      <c r="R1400" t="s">
        <v>66</v>
      </c>
      <c r="S1400" t="s">
        <v>46</v>
      </c>
      <c r="T1400" t="s">
        <v>29</v>
      </c>
      <c r="U1400" t="s">
        <v>30</v>
      </c>
    </row>
    <row r="1401" spans="1:21" x14ac:dyDescent="0.35">
      <c r="A1401" t="s">
        <v>1480</v>
      </c>
      <c r="B1401" s="1">
        <v>46215</v>
      </c>
      <c r="C1401" t="str">
        <f>TEXT(tblData[[#This Row],[Rental Date]],"mmm")</f>
        <v>Jul</v>
      </c>
      <c r="D1401" t="str">
        <f>TEXT(tblData[[#This Row],[Rental Date]],"mmmm")</f>
        <v>July</v>
      </c>
      <c r="E1401" t="s">
        <v>68</v>
      </c>
      <c r="F1401" t="str">
        <f>TEXT(WEEKNUM(tblData[[#This Row],[Rental Date]]),"00")</f>
        <v>29</v>
      </c>
      <c r="G1401" s="1">
        <f>EOMONTH(tblData[[#This Row],[Rental Date]],0)</f>
        <v>46234</v>
      </c>
      <c r="H1401" t="s">
        <v>749</v>
      </c>
      <c r="I1401" t="s">
        <v>39</v>
      </c>
      <c r="J1401" t="s">
        <v>86</v>
      </c>
      <c r="K1401" t="s">
        <v>25</v>
      </c>
      <c r="L1401">
        <v>1</v>
      </c>
      <c r="M1401" s="2">
        <v>69.599999999999994</v>
      </c>
      <c r="N1401" t="s">
        <v>26</v>
      </c>
      <c r="O1401" s="3">
        <v>0</v>
      </c>
      <c r="P1401" s="3">
        <v>0</v>
      </c>
      <c r="Q1401" s="2">
        <v>69.599999999999994</v>
      </c>
      <c r="R1401" t="s">
        <v>94</v>
      </c>
      <c r="S1401" t="s">
        <v>50</v>
      </c>
      <c r="T1401" t="s">
        <v>51</v>
      </c>
      <c r="U1401" t="s">
        <v>79</v>
      </c>
    </row>
    <row r="1402" spans="1:21" x14ac:dyDescent="0.35">
      <c r="A1402" t="s">
        <v>1481</v>
      </c>
      <c r="B1402" s="1">
        <v>46215</v>
      </c>
      <c r="C1402" t="str">
        <f>TEXT(tblData[[#This Row],[Rental Date]],"mmm")</f>
        <v>Jul</v>
      </c>
      <c r="D1402" t="str">
        <f>TEXT(tblData[[#This Row],[Rental Date]],"mmmm")</f>
        <v>July</v>
      </c>
      <c r="E1402" t="s">
        <v>68</v>
      </c>
      <c r="F1402" t="str">
        <f>TEXT(WEEKNUM(tblData[[#This Row],[Rental Date]]),"00")</f>
        <v>29</v>
      </c>
      <c r="G1402" s="1">
        <f>EOMONTH(tblData[[#This Row],[Rental Date]],0)</f>
        <v>46234</v>
      </c>
      <c r="H1402" t="s">
        <v>749</v>
      </c>
      <c r="I1402" t="s">
        <v>23</v>
      </c>
      <c r="J1402" t="s">
        <v>65</v>
      </c>
      <c r="K1402" t="s">
        <v>60</v>
      </c>
      <c r="L1402">
        <v>1</v>
      </c>
      <c r="M1402" s="2">
        <v>14.4</v>
      </c>
      <c r="N1402" t="s">
        <v>26</v>
      </c>
      <c r="O1402" s="3">
        <v>0</v>
      </c>
      <c r="P1402" s="3">
        <v>0</v>
      </c>
      <c r="Q1402" s="2">
        <v>14.4</v>
      </c>
      <c r="R1402" t="s">
        <v>45</v>
      </c>
      <c r="S1402" t="s">
        <v>50</v>
      </c>
      <c r="T1402" t="s">
        <v>29</v>
      </c>
      <c r="U1402" t="s">
        <v>30</v>
      </c>
    </row>
    <row r="1403" spans="1:21" x14ac:dyDescent="0.35">
      <c r="A1403" t="s">
        <v>1482</v>
      </c>
      <c r="B1403" s="1">
        <v>46215</v>
      </c>
      <c r="C1403" t="str">
        <f>TEXT(tblData[[#This Row],[Rental Date]],"mmm")</f>
        <v>Jul</v>
      </c>
      <c r="D1403" t="str">
        <f>TEXT(tblData[[#This Row],[Rental Date]],"mmmm")</f>
        <v>July</v>
      </c>
      <c r="E1403" t="s">
        <v>68</v>
      </c>
      <c r="F1403" t="str">
        <f>TEXT(WEEKNUM(tblData[[#This Row],[Rental Date]]),"00")</f>
        <v>29</v>
      </c>
      <c r="G1403" s="1">
        <f>EOMONTH(tblData[[#This Row],[Rental Date]],0)</f>
        <v>46234</v>
      </c>
      <c r="H1403" t="s">
        <v>749</v>
      </c>
      <c r="I1403" t="s">
        <v>23</v>
      </c>
      <c r="J1403" t="s">
        <v>44</v>
      </c>
      <c r="K1403" t="s">
        <v>40</v>
      </c>
      <c r="L1403">
        <v>1</v>
      </c>
      <c r="M1403" s="2">
        <v>93.6</v>
      </c>
      <c r="N1403" t="s">
        <v>26</v>
      </c>
      <c r="O1403" s="3">
        <v>0</v>
      </c>
      <c r="P1403" s="3">
        <v>0</v>
      </c>
      <c r="Q1403" s="2">
        <v>93.6</v>
      </c>
      <c r="R1403" t="s">
        <v>45</v>
      </c>
      <c r="S1403" t="s">
        <v>35</v>
      </c>
      <c r="T1403" t="s">
        <v>90</v>
      </c>
      <c r="U1403" t="s">
        <v>30</v>
      </c>
    </row>
    <row r="1404" spans="1:21" x14ac:dyDescent="0.35">
      <c r="A1404" t="s">
        <v>1483</v>
      </c>
      <c r="B1404" s="1">
        <v>46215</v>
      </c>
      <c r="C1404" t="str">
        <f>TEXT(tblData[[#This Row],[Rental Date]],"mmm")</f>
        <v>Jul</v>
      </c>
      <c r="D1404" t="str">
        <f>TEXT(tblData[[#This Row],[Rental Date]],"mmmm")</f>
        <v>July</v>
      </c>
      <c r="E1404" t="s">
        <v>68</v>
      </c>
      <c r="F1404" t="str">
        <f>TEXT(WEEKNUM(tblData[[#This Row],[Rental Date]]),"00")</f>
        <v>29</v>
      </c>
      <c r="G1404" s="1">
        <f>EOMONTH(tblData[[#This Row],[Rental Date]],0)</f>
        <v>46234</v>
      </c>
      <c r="H1404" t="s">
        <v>749</v>
      </c>
      <c r="I1404" t="s">
        <v>39</v>
      </c>
      <c r="J1404" t="s">
        <v>49</v>
      </c>
      <c r="K1404" t="s">
        <v>92</v>
      </c>
      <c r="L1404">
        <v>1</v>
      </c>
      <c r="M1404" s="2">
        <v>91.2</v>
      </c>
      <c r="N1404" t="s">
        <v>89</v>
      </c>
      <c r="O1404" s="3">
        <v>6</v>
      </c>
      <c r="P1404" s="3">
        <v>0</v>
      </c>
      <c r="Q1404" s="2">
        <v>97.2</v>
      </c>
      <c r="R1404" t="s">
        <v>57</v>
      </c>
      <c r="S1404" t="s">
        <v>50</v>
      </c>
      <c r="T1404" t="s">
        <v>51</v>
      </c>
      <c r="U1404" t="s">
        <v>30</v>
      </c>
    </row>
    <row r="1405" spans="1:21" x14ac:dyDescent="0.35">
      <c r="A1405" t="s">
        <v>1484</v>
      </c>
      <c r="B1405" s="1">
        <v>46215</v>
      </c>
      <c r="C1405" t="str">
        <f>TEXT(tblData[[#This Row],[Rental Date]],"mmm")</f>
        <v>Jul</v>
      </c>
      <c r="D1405" t="str">
        <f>TEXT(tblData[[#This Row],[Rental Date]],"mmmm")</f>
        <v>July</v>
      </c>
      <c r="E1405" t="s">
        <v>68</v>
      </c>
      <c r="F1405" t="str">
        <f>TEXT(WEEKNUM(tblData[[#This Row],[Rental Date]]),"00")</f>
        <v>29</v>
      </c>
      <c r="G1405" s="1">
        <f>EOMONTH(tblData[[#This Row],[Rental Date]],0)</f>
        <v>46234</v>
      </c>
      <c r="H1405" t="s">
        <v>749</v>
      </c>
      <c r="I1405" t="s">
        <v>32</v>
      </c>
      <c r="J1405" t="s">
        <v>78</v>
      </c>
      <c r="K1405" t="s">
        <v>40</v>
      </c>
      <c r="L1405">
        <v>1</v>
      </c>
      <c r="M1405" s="2">
        <v>74.400000000000006</v>
      </c>
      <c r="N1405" t="s">
        <v>26</v>
      </c>
      <c r="O1405" s="3">
        <v>0</v>
      </c>
      <c r="P1405" s="3">
        <v>7.44</v>
      </c>
      <c r="Q1405" s="2">
        <v>66.959999999999994</v>
      </c>
      <c r="R1405" t="s">
        <v>34</v>
      </c>
      <c r="S1405" t="s">
        <v>54</v>
      </c>
      <c r="T1405" t="s">
        <v>83</v>
      </c>
      <c r="U1405" t="s">
        <v>30</v>
      </c>
    </row>
    <row r="1406" spans="1:21" x14ac:dyDescent="0.35">
      <c r="A1406" t="s">
        <v>1485</v>
      </c>
      <c r="B1406" s="1">
        <v>46215</v>
      </c>
      <c r="C1406" t="str">
        <f>TEXT(tblData[[#This Row],[Rental Date]],"mmm")</f>
        <v>Jul</v>
      </c>
      <c r="D1406" t="str">
        <f>TEXT(tblData[[#This Row],[Rental Date]],"mmmm")</f>
        <v>July</v>
      </c>
      <c r="E1406" t="s">
        <v>68</v>
      </c>
      <c r="F1406" t="str">
        <f>TEXT(WEEKNUM(tblData[[#This Row],[Rental Date]]),"00")</f>
        <v>29</v>
      </c>
      <c r="G1406" s="1">
        <f>EOMONTH(tblData[[#This Row],[Rental Date]],0)</f>
        <v>46234</v>
      </c>
      <c r="H1406" t="s">
        <v>749</v>
      </c>
      <c r="I1406" t="s">
        <v>39</v>
      </c>
      <c r="J1406" t="s">
        <v>49</v>
      </c>
      <c r="K1406" t="s">
        <v>60</v>
      </c>
      <c r="L1406">
        <v>1</v>
      </c>
      <c r="M1406" s="2">
        <v>26.4</v>
      </c>
      <c r="N1406" t="s">
        <v>26</v>
      </c>
      <c r="O1406" s="3">
        <v>0</v>
      </c>
      <c r="P1406" s="3">
        <v>0</v>
      </c>
      <c r="Q1406" s="2">
        <v>26.4</v>
      </c>
      <c r="R1406" t="s">
        <v>34</v>
      </c>
      <c r="S1406" t="s">
        <v>46</v>
      </c>
      <c r="T1406" t="s">
        <v>29</v>
      </c>
      <c r="U1406" t="s">
        <v>30</v>
      </c>
    </row>
    <row r="1407" spans="1:21" x14ac:dyDescent="0.35">
      <c r="A1407" t="s">
        <v>1486</v>
      </c>
      <c r="B1407" s="1">
        <v>46215</v>
      </c>
      <c r="C1407" t="str">
        <f>TEXT(tblData[[#This Row],[Rental Date]],"mmm")</f>
        <v>Jul</v>
      </c>
      <c r="D1407" t="str">
        <f>TEXT(tblData[[#This Row],[Rental Date]],"mmmm")</f>
        <v>July</v>
      </c>
      <c r="E1407" t="s">
        <v>68</v>
      </c>
      <c r="F1407" t="str">
        <f>TEXT(WEEKNUM(tblData[[#This Row],[Rental Date]]),"00")</f>
        <v>29</v>
      </c>
      <c r="G1407" s="1">
        <f>EOMONTH(tblData[[#This Row],[Rental Date]],0)</f>
        <v>46234</v>
      </c>
      <c r="H1407" t="s">
        <v>749</v>
      </c>
      <c r="I1407" t="s">
        <v>32</v>
      </c>
      <c r="J1407" t="s">
        <v>86</v>
      </c>
      <c r="K1407" t="s">
        <v>25</v>
      </c>
      <c r="L1407">
        <v>1</v>
      </c>
      <c r="M1407" s="2">
        <v>69.599999999999994</v>
      </c>
      <c r="N1407" t="s">
        <v>61</v>
      </c>
      <c r="O1407" s="3">
        <v>8</v>
      </c>
      <c r="P1407" s="3">
        <v>3.88</v>
      </c>
      <c r="Q1407" s="2">
        <v>73.72</v>
      </c>
      <c r="R1407" t="s">
        <v>94</v>
      </c>
      <c r="S1407" t="s">
        <v>50</v>
      </c>
      <c r="T1407" t="s">
        <v>29</v>
      </c>
      <c r="U1407" t="s">
        <v>30</v>
      </c>
    </row>
    <row r="1408" spans="1:21" x14ac:dyDescent="0.35">
      <c r="A1408" t="s">
        <v>1487</v>
      </c>
      <c r="B1408" s="1">
        <v>46215</v>
      </c>
      <c r="C1408" t="str">
        <f>TEXT(tblData[[#This Row],[Rental Date]],"mmm")</f>
        <v>Jul</v>
      </c>
      <c r="D1408" t="str">
        <f>TEXT(tblData[[#This Row],[Rental Date]],"mmmm")</f>
        <v>July</v>
      </c>
      <c r="E1408" t="s">
        <v>68</v>
      </c>
      <c r="F1408" t="str">
        <f>TEXT(WEEKNUM(tblData[[#This Row],[Rental Date]]),"00")</f>
        <v>29</v>
      </c>
      <c r="G1408" s="1">
        <f>EOMONTH(tblData[[#This Row],[Rental Date]],0)</f>
        <v>46234</v>
      </c>
      <c r="H1408" t="s">
        <v>749</v>
      </c>
      <c r="I1408" t="s">
        <v>48</v>
      </c>
      <c r="J1408" t="s">
        <v>33</v>
      </c>
      <c r="K1408" t="s">
        <v>40</v>
      </c>
      <c r="L1408">
        <v>1</v>
      </c>
      <c r="M1408" s="2">
        <v>69.599999999999994</v>
      </c>
      <c r="N1408" t="s">
        <v>87</v>
      </c>
      <c r="O1408" s="3">
        <v>10</v>
      </c>
      <c r="P1408" s="3">
        <v>0</v>
      </c>
      <c r="Q1408" s="2">
        <v>79.599999999999994</v>
      </c>
      <c r="R1408" t="s">
        <v>71</v>
      </c>
      <c r="S1408" t="s">
        <v>28</v>
      </c>
      <c r="T1408" t="s">
        <v>29</v>
      </c>
      <c r="U1408" t="s">
        <v>30</v>
      </c>
    </row>
    <row r="1409" spans="1:21" x14ac:dyDescent="0.35">
      <c r="A1409" t="s">
        <v>1488</v>
      </c>
      <c r="B1409" s="1">
        <v>46215</v>
      </c>
      <c r="C1409" t="str">
        <f>TEXT(tblData[[#This Row],[Rental Date]],"mmm")</f>
        <v>Jul</v>
      </c>
      <c r="D1409" t="str">
        <f>TEXT(tblData[[#This Row],[Rental Date]],"mmmm")</f>
        <v>July</v>
      </c>
      <c r="E1409" t="s">
        <v>68</v>
      </c>
      <c r="F1409" t="str">
        <f>TEXT(WEEKNUM(tblData[[#This Row],[Rental Date]]),"00")</f>
        <v>29</v>
      </c>
      <c r="G1409" s="1">
        <f>EOMONTH(tblData[[#This Row],[Rental Date]],0)</f>
        <v>46234</v>
      </c>
      <c r="H1409" t="s">
        <v>749</v>
      </c>
      <c r="I1409" t="s">
        <v>39</v>
      </c>
      <c r="J1409" t="s">
        <v>78</v>
      </c>
      <c r="K1409" t="s">
        <v>25</v>
      </c>
      <c r="L1409">
        <v>1</v>
      </c>
      <c r="M1409" s="2">
        <v>50.4</v>
      </c>
      <c r="N1409" t="s">
        <v>26</v>
      </c>
      <c r="O1409" s="3">
        <v>0</v>
      </c>
      <c r="P1409" s="3">
        <v>0</v>
      </c>
      <c r="Q1409" s="2">
        <v>50.4</v>
      </c>
      <c r="R1409" t="s">
        <v>34</v>
      </c>
      <c r="S1409" t="s">
        <v>46</v>
      </c>
      <c r="T1409" t="s">
        <v>51</v>
      </c>
      <c r="U1409" t="s">
        <v>30</v>
      </c>
    </row>
    <row r="1410" spans="1:21" x14ac:dyDescent="0.35">
      <c r="A1410" t="s">
        <v>1489</v>
      </c>
      <c r="B1410" s="1">
        <v>46215</v>
      </c>
      <c r="C1410" t="str">
        <f>TEXT(tblData[[#This Row],[Rental Date]],"mmm")</f>
        <v>Jul</v>
      </c>
      <c r="D1410" t="str">
        <f>TEXT(tblData[[#This Row],[Rental Date]],"mmmm")</f>
        <v>July</v>
      </c>
      <c r="E1410" t="s">
        <v>68</v>
      </c>
      <c r="F1410" t="str">
        <f>TEXT(WEEKNUM(tblData[[#This Row],[Rental Date]]),"00")</f>
        <v>29</v>
      </c>
      <c r="G1410" s="1">
        <f>EOMONTH(tblData[[#This Row],[Rental Date]],0)</f>
        <v>46234</v>
      </c>
      <c r="H1410" t="s">
        <v>749</v>
      </c>
      <c r="I1410" t="s">
        <v>39</v>
      </c>
      <c r="J1410" t="s">
        <v>33</v>
      </c>
      <c r="K1410" t="s">
        <v>25</v>
      </c>
      <c r="L1410">
        <v>1</v>
      </c>
      <c r="M1410" s="2">
        <v>45.6</v>
      </c>
      <c r="N1410" t="s">
        <v>26</v>
      </c>
      <c r="O1410" s="3">
        <v>0</v>
      </c>
      <c r="P1410" s="3">
        <v>0</v>
      </c>
      <c r="Q1410" s="2">
        <v>45.6</v>
      </c>
      <c r="R1410" t="s">
        <v>27</v>
      </c>
      <c r="S1410" t="s">
        <v>46</v>
      </c>
      <c r="T1410" t="s">
        <v>51</v>
      </c>
      <c r="U1410" t="s">
        <v>58</v>
      </c>
    </row>
    <row r="1411" spans="1:21" x14ac:dyDescent="0.35">
      <c r="A1411" t="s">
        <v>1490</v>
      </c>
      <c r="B1411" s="1">
        <v>46215</v>
      </c>
      <c r="C1411" t="str">
        <f>TEXT(tblData[[#This Row],[Rental Date]],"mmm")</f>
        <v>Jul</v>
      </c>
      <c r="D1411" t="str">
        <f>TEXT(tblData[[#This Row],[Rental Date]],"mmmm")</f>
        <v>July</v>
      </c>
      <c r="E1411" t="s">
        <v>68</v>
      </c>
      <c r="F1411" t="str">
        <f>TEXT(WEEKNUM(tblData[[#This Row],[Rental Date]]),"00")</f>
        <v>29</v>
      </c>
      <c r="G1411" s="1">
        <f>EOMONTH(tblData[[#This Row],[Rental Date]],0)</f>
        <v>46234</v>
      </c>
      <c r="H1411" t="s">
        <v>749</v>
      </c>
      <c r="I1411" t="s">
        <v>39</v>
      </c>
      <c r="J1411" t="s">
        <v>49</v>
      </c>
      <c r="K1411" t="s">
        <v>60</v>
      </c>
      <c r="L1411">
        <v>1</v>
      </c>
      <c r="M1411" s="2">
        <v>26.4</v>
      </c>
      <c r="N1411" t="s">
        <v>26</v>
      </c>
      <c r="O1411" s="3">
        <v>0</v>
      </c>
      <c r="P1411" s="3">
        <v>0</v>
      </c>
      <c r="Q1411" s="2">
        <v>26.4</v>
      </c>
      <c r="R1411" t="s">
        <v>66</v>
      </c>
      <c r="S1411" t="s">
        <v>46</v>
      </c>
      <c r="T1411" t="s">
        <v>51</v>
      </c>
      <c r="U1411" t="s">
        <v>30</v>
      </c>
    </row>
    <row r="1412" spans="1:21" x14ac:dyDescent="0.35">
      <c r="A1412" t="s">
        <v>1491</v>
      </c>
      <c r="B1412" s="1">
        <v>46215</v>
      </c>
      <c r="C1412" t="str">
        <f>TEXT(tblData[[#This Row],[Rental Date]],"mmm")</f>
        <v>Jul</v>
      </c>
      <c r="D1412" t="str">
        <f>TEXT(tblData[[#This Row],[Rental Date]],"mmmm")</f>
        <v>July</v>
      </c>
      <c r="E1412" t="s">
        <v>68</v>
      </c>
      <c r="F1412" t="str">
        <f>TEXT(WEEKNUM(tblData[[#This Row],[Rental Date]]),"00")</f>
        <v>29</v>
      </c>
      <c r="G1412" s="1">
        <f>EOMONTH(tblData[[#This Row],[Rental Date]],0)</f>
        <v>46234</v>
      </c>
      <c r="H1412" t="s">
        <v>749</v>
      </c>
      <c r="I1412" t="s">
        <v>32</v>
      </c>
      <c r="J1412" t="s">
        <v>127</v>
      </c>
      <c r="K1412" t="s">
        <v>25</v>
      </c>
      <c r="L1412">
        <v>1</v>
      </c>
      <c r="M1412" s="2">
        <v>19.2</v>
      </c>
      <c r="N1412" t="s">
        <v>26</v>
      </c>
      <c r="O1412" s="3">
        <v>0</v>
      </c>
      <c r="P1412" s="3">
        <v>0</v>
      </c>
      <c r="Q1412" s="2">
        <v>19.2</v>
      </c>
      <c r="R1412" t="s">
        <v>66</v>
      </c>
      <c r="S1412" t="s">
        <v>46</v>
      </c>
      <c r="T1412" t="s">
        <v>29</v>
      </c>
      <c r="U1412" t="s">
        <v>30</v>
      </c>
    </row>
    <row r="1413" spans="1:21" x14ac:dyDescent="0.35">
      <c r="A1413" t="s">
        <v>1492</v>
      </c>
      <c r="B1413" s="1">
        <v>46215</v>
      </c>
      <c r="C1413" t="str">
        <f>TEXT(tblData[[#This Row],[Rental Date]],"mmm")</f>
        <v>Jul</v>
      </c>
      <c r="D1413" t="str">
        <f>TEXT(tblData[[#This Row],[Rental Date]],"mmmm")</f>
        <v>July</v>
      </c>
      <c r="E1413" t="s">
        <v>68</v>
      </c>
      <c r="F1413" t="str">
        <f>TEXT(WEEKNUM(tblData[[#This Row],[Rental Date]]),"00")</f>
        <v>29</v>
      </c>
      <c r="G1413" s="1">
        <f>EOMONTH(tblData[[#This Row],[Rental Date]],0)</f>
        <v>46234</v>
      </c>
      <c r="H1413" t="s">
        <v>749</v>
      </c>
      <c r="I1413" t="s">
        <v>39</v>
      </c>
      <c r="J1413" t="s">
        <v>86</v>
      </c>
      <c r="K1413" t="s">
        <v>60</v>
      </c>
      <c r="L1413">
        <v>1</v>
      </c>
      <c r="M1413" s="2">
        <v>43.2</v>
      </c>
      <c r="N1413" t="s">
        <v>61</v>
      </c>
      <c r="O1413" s="3">
        <v>8</v>
      </c>
      <c r="P1413" s="3">
        <v>0</v>
      </c>
      <c r="Q1413" s="2">
        <v>51.2</v>
      </c>
      <c r="R1413" t="s">
        <v>45</v>
      </c>
      <c r="S1413" t="s">
        <v>50</v>
      </c>
      <c r="T1413" t="s">
        <v>29</v>
      </c>
      <c r="U1413" t="s">
        <v>30</v>
      </c>
    </row>
    <row r="1414" spans="1:21" x14ac:dyDescent="0.35">
      <c r="A1414" t="s">
        <v>1493</v>
      </c>
      <c r="B1414" s="1">
        <v>46215</v>
      </c>
      <c r="C1414" t="str">
        <f>TEXT(tblData[[#This Row],[Rental Date]],"mmm")</f>
        <v>Jul</v>
      </c>
      <c r="D1414" t="str">
        <f>TEXT(tblData[[#This Row],[Rental Date]],"mmmm")</f>
        <v>July</v>
      </c>
      <c r="E1414" t="s">
        <v>68</v>
      </c>
      <c r="F1414" t="str">
        <f>TEXT(WEEKNUM(tblData[[#This Row],[Rental Date]]),"00")</f>
        <v>29</v>
      </c>
      <c r="G1414" s="1">
        <f>EOMONTH(tblData[[#This Row],[Rental Date]],0)</f>
        <v>46234</v>
      </c>
      <c r="H1414" t="s">
        <v>749</v>
      </c>
      <c r="I1414" t="s">
        <v>23</v>
      </c>
      <c r="J1414" t="s">
        <v>78</v>
      </c>
      <c r="K1414" t="s">
        <v>60</v>
      </c>
      <c r="L1414">
        <v>1</v>
      </c>
      <c r="M1414" s="2">
        <v>31.2</v>
      </c>
      <c r="N1414" t="s">
        <v>89</v>
      </c>
      <c r="O1414" s="3">
        <v>6</v>
      </c>
      <c r="P1414" s="3">
        <v>0</v>
      </c>
      <c r="Q1414" s="2">
        <v>37.200000000000003</v>
      </c>
      <c r="R1414" t="s">
        <v>66</v>
      </c>
      <c r="S1414" t="s">
        <v>50</v>
      </c>
      <c r="T1414" t="s">
        <v>29</v>
      </c>
      <c r="U1414" t="s">
        <v>30</v>
      </c>
    </row>
    <row r="1415" spans="1:21" x14ac:dyDescent="0.35">
      <c r="A1415" t="s">
        <v>1494</v>
      </c>
      <c r="B1415" s="1">
        <v>46215</v>
      </c>
      <c r="C1415" t="str">
        <f>TEXT(tblData[[#This Row],[Rental Date]],"mmm")</f>
        <v>Jul</v>
      </c>
      <c r="D1415" t="str">
        <f>TEXT(tblData[[#This Row],[Rental Date]],"mmmm")</f>
        <v>July</v>
      </c>
      <c r="E1415" t="s">
        <v>68</v>
      </c>
      <c r="F1415" t="str">
        <f>TEXT(WEEKNUM(tblData[[#This Row],[Rental Date]]),"00")</f>
        <v>29</v>
      </c>
      <c r="G1415" s="1">
        <f>EOMONTH(tblData[[#This Row],[Rental Date]],0)</f>
        <v>46234</v>
      </c>
      <c r="H1415" t="s">
        <v>749</v>
      </c>
      <c r="I1415" t="s">
        <v>48</v>
      </c>
      <c r="J1415" t="s">
        <v>65</v>
      </c>
      <c r="K1415" t="s">
        <v>40</v>
      </c>
      <c r="L1415">
        <v>1</v>
      </c>
      <c r="M1415" s="2">
        <v>33.6</v>
      </c>
      <c r="N1415" t="s">
        <v>26</v>
      </c>
      <c r="O1415" s="3">
        <v>0</v>
      </c>
      <c r="P1415" s="3">
        <v>1.68</v>
      </c>
      <c r="Q1415" s="2">
        <v>31.92</v>
      </c>
      <c r="R1415" t="s">
        <v>45</v>
      </c>
      <c r="S1415" t="s">
        <v>50</v>
      </c>
      <c r="T1415" t="s">
        <v>29</v>
      </c>
      <c r="U1415" t="s">
        <v>30</v>
      </c>
    </row>
    <row r="1416" spans="1:21" x14ac:dyDescent="0.35">
      <c r="A1416" t="s">
        <v>1495</v>
      </c>
      <c r="B1416" s="1">
        <v>46215</v>
      </c>
      <c r="C1416" t="str">
        <f>TEXT(tblData[[#This Row],[Rental Date]],"mmm")</f>
        <v>Jul</v>
      </c>
      <c r="D1416" t="str">
        <f>TEXT(tblData[[#This Row],[Rental Date]],"mmmm")</f>
        <v>July</v>
      </c>
      <c r="E1416" t="s">
        <v>68</v>
      </c>
      <c r="F1416" t="str">
        <f>TEXT(WEEKNUM(tblData[[#This Row],[Rental Date]]),"00")</f>
        <v>29</v>
      </c>
      <c r="G1416" s="1">
        <f>EOMONTH(tblData[[#This Row],[Rental Date]],0)</f>
        <v>46234</v>
      </c>
      <c r="H1416" t="s">
        <v>749</v>
      </c>
      <c r="I1416" t="s">
        <v>32</v>
      </c>
      <c r="J1416" t="s">
        <v>78</v>
      </c>
      <c r="K1416" t="s">
        <v>25</v>
      </c>
      <c r="L1416">
        <v>1</v>
      </c>
      <c r="M1416" s="2">
        <v>50.4</v>
      </c>
      <c r="N1416" t="s">
        <v>26</v>
      </c>
      <c r="O1416" s="3">
        <v>0</v>
      </c>
      <c r="P1416" s="3">
        <v>2.52</v>
      </c>
      <c r="Q1416" s="2">
        <v>47.88</v>
      </c>
      <c r="R1416" t="s">
        <v>34</v>
      </c>
      <c r="S1416" t="s">
        <v>46</v>
      </c>
      <c r="T1416" t="s">
        <v>29</v>
      </c>
      <c r="U1416" t="s">
        <v>30</v>
      </c>
    </row>
    <row r="1417" spans="1:21" x14ac:dyDescent="0.35">
      <c r="A1417" t="s">
        <v>1496</v>
      </c>
      <c r="B1417" s="1">
        <v>46215</v>
      </c>
      <c r="C1417" t="str">
        <f>TEXT(tblData[[#This Row],[Rental Date]],"mmm")</f>
        <v>Jul</v>
      </c>
      <c r="D1417" t="str">
        <f>TEXT(tblData[[#This Row],[Rental Date]],"mmmm")</f>
        <v>July</v>
      </c>
      <c r="E1417" t="s">
        <v>68</v>
      </c>
      <c r="F1417" t="str">
        <f>TEXT(WEEKNUM(tblData[[#This Row],[Rental Date]]),"00")</f>
        <v>29</v>
      </c>
      <c r="G1417" s="1">
        <f>EOMONTH(tblData[[#This Row],[Rental Date]],0)</f>
        <v>46234</v>
      </c>
      <c r="H1417" t="s">
        <v>749</v>
      </c>
      <c r="I1417" t="s">
        <v>48</v>
      </c>
      <c r="J1417" t="s">
        <v>111</v>
      </c>
      <c r="K1417" t="s">
        <v>25</v>
      </c>
      <c r="L1417">
        <v>1</v>
      </c>
      <c r="M1417" s="2">
        <v>26.4</v>
      </c>
      <c r="N1417" t="s">
        <v>26</v>
      </c>
      <c r="O1417" s="3">
        <v>0</v>
      </c>
      <c r="P1417" s="3">
        <v>0</v>
      </c>
      <c r="Q1417" s="2">
        <v>26.4</v>
      </c>
      <c r="R1417" t="s">
        <v>57</v>
      </c>
      <c r="S1417" t="s">
        <v>28</v>
      </c>
      <c r="T1417" t="s">
        <v>29</v>
      </c>
      <c r="U1417" t="s">
        <v>30</v>
      </c>
    </row>
    <row r="1418" spans="1:21" x14ac:dyDescent="0.35">
      <c r="A1418" t="s">
        <v>1497</v>
      </c>
      <c r="B1418" s="1">
        <v>46216</v>
      </c>
      <c r="C1418" t="str">
        <f>TEXT(tblData[[#This Row],[Rental Date]],"mmm")</f>
        <v>Jul</v>
      </c>
      <c r="D1418" t="str">
        <f>TEXT(tblData[[#This Row],[Rental Date]],"mmmm")</f>
        <v>July</v>
      </c>
      <c r="E1418" t="s">
        <v>74</v>
      </c>
      <c r="F1418" t="str">
        <f>TEXT(WEEKNUM(tblData[[#This Row],[Rental Date]]),"00")</f>
        <v>29</v>
      </c>
      <c r="G1418" s="1">
        <f>EOMONTH(tblData[[#This Row],[Rental Date]],0)</f>
        <v>46234</v>
      </c>
      <c r="H1418" t="s">
        <v>749</v>
      </c>
      <c r="I1418" t="s">
        <v>48</v>
      </c>
      <c r="J1418" t="s">
        <v>33</v>
      </c>
      <c r="K1418" t="s">
        <v>40</v>
      </c>
      <c r="L1418">
        <v>1</v>
      </c>
      <c r="M1418" s="2">
        <v>64.959999999999994</v>
      </c>
      <c r="N1418" t="s">
        <v>26</v>
      </c>
      <c r="O1418" s="3">
        <v>0</v>
      </c>
      <c r="P1418" s="3">
        <v>0</v>
      </c>
      <c r="Q1418" s="2">
        <v>64.959999999999994</v>
      </c>
      <c r="R1418" t="s">
        <v>34</v>
      </c>
      <c r="S1418" t="s">
        <v>46</v>
      </c>
      <c r="T1418" t="s">
        <v>63</v>
      </c>
      <c r="U1418" t="s">
        <v>30</v>
      </c>
    </row>
    <row r="1419" spans="1:21" x14ac:dyDescent="0.35">
      <c r="A1419" t="s">
        <v>1498</v>
      </c>
      <c r="B1419" s="1">
        <v>46216</v>
      </c>
      <c r="C1419" t="str">
        <f>TEXT(tblData[[#This Row],[Rental Date]],"mmm")</f>
        <v>Jul</v>
      </c>
      <c r="D1419" t="str">
        <f>TEXT(tblData[[#This Row],[Rental Date]],"mmmm")</f>
        <v>July</v>
      </c>
      <c r="E1419" t="s">
        <v>74</v>
      </c>
      <c r="F1419" t="str">
        <f>TEXT(WEEKNUM(tblData[[#This Row],[Rental Date]]),"00")</f>
        <v>29</v>
      </c>
      <c r="G1419" s="1">
        <f>EOMONTH(tblData[[#This Row],[Rental Date]],0)</f>
        <v>46234</v>
      </c>
      <c r="H1419" t="s">
        <v>749</v>
      </c>
      <c r="I1419" t="s">
        <v>48</v>
      </c>
      <c r="J1419" t="s">
        <v>86</v>
      </c>
      <c r="K1419" t="s">
        <v>25</v>
      </c>
      <c r="L1419">
        <v>1</v>
      </c>
      <c r="M1419" s="2">
        <v>64.959999999999994</v>
      </c>
      <c r="N1419" t="s">
        <v>26</v>
      </c>
      <c r="O1419" s="3">
        <v>0</v>
      </c>
      <c r="P1419" s="3">
        <v>0</v>
      </c>
      <c r="Q1419" s="2">
        <v>64.959999999999994</v>
      </c>
      <c r="R1419" t="s">
        <v>62</v>
      </c>
      <c r="S1419" t="s">
        <v>50</v>
      </c>
      <c r="T1419" t="s">
        <v>29</v>
      </c>
      <c r="U1419" t="s">
        <v>58</v>
      </c>
    </row>
    <row r="1420" spans="1:21" x14ac:dyDescent="0.35">
      <c r="A1420" t="s">
        <v>1499</v>
      </c>
      <c r="B1420" s="1">
        <v>46216</v>
      </c>
      <c r="C1420" t="str">
        <f>TEXT(tblData[[#This Row],[Rental Date]],"mmm")</f>
        <v>Jul</v>
      </c>
      <c r="D1420" t="str">
        <f>TEXT(tblData[[#This Row],[Rental Date]],"mmmm")</f>
        <v>July</v>
      </c>
      <c r="E1420" t="s">
        <v>74</v>
      </c>
      <c r="F1420" t="str">
        <f>TEXT(WEEKNUM(tblData[[#This Row],[Rental Date]]),"00")</f>
        <v>29</v>
      </c>
      <c r="G1420" s="1">
        <f>EOMONTH(tblData[[#This Row],[Rental Date]],0)</f>
        <v>46234</v>
      </c>
      <c r="H1420" t="s">
        <v>749</v>
      </c>
      <c r="I1420" t="s">
        <v>48</v>
      </c>
      <c r="J1420" t="s">
        <v>111</v>
      </c>
      <c r="K1420" t="s">
        <v>25</v>
      </c>
      <c r="L1420">
        <v>1</v>
      </c>
      <c r="M1420" s="2">
        <v>24.64</v>
      </c>
      <c r="N1420" t="s">
        <v>70</v>
      </c>
      <c r="O1420" s="3">
        <v>7</v>
      </c>
      <c r="P1420" s="3">
        <v>0</v>
      </c>
      <c r="Q1420" s="2">
        <v>31.64</v>
      </c>
      <c r="R1420" t="s">
        <v>62</v>
      </c>
      <c r="S1420" t="s">
        <v>28</v>
      </c>
      <c r="T1420" t="s">
        <v>29</v>
      </c>
      <c r="U1420" t="s">
        <v>30</v>
      </c>
    </row>
    <row r="1421" spans="1:21" x14ac:dyDescent="0.35">
      <c r="A1421" t="s">
        <v>1500</v>
      </c>
      <c r="B1421" s="1">
        <v>46216</v>
      </c>
      <c r="C1421" t="str">
        <f>TEXT(tblData[[#This Row],[Rental Date]],"mmm")</f>
        <v>Jul</v>
      </c>
      <c r="D1421" t="str">
        <f>TEXT(tblData[[#This Row],[Rental Date]],"mmmm")</f>
        <v>July</v>
      </c>
      <c r="E1421" t="s">
        <v>74</v>
      </c>
      <c r="F1421" t="str">
        <f>TEXT(WEEKNUM(tblData[[#This Row],[Rental Date]]),"00")</f>
        <v>29</v>
      </c>
      <c r="G1421" s="1">
        <f>EOMONTH(tblData[[#This Row],[Rental Date]],0)</f>
        <v>46234</v>
      </c>
      <c r="H1421" t="s">
        <v>749</v>
      </c>
      <c r="I1421" t="s">
        <v>23</v>
      </c>
      <c r="J1421" t="s">
        <v>78</v>
      </c>
      <c r="K1421" t="s">
        <v>92</v>
      </c>
      <c r="L1421">
        <v>1</v>
      </c>
      <c r="M1421" s="2">
        <v>98.56</v>
      </c>
      <c r="N1421" t="s">
        <v>89</v>
      </c>
      <c r="O1421" s="3">
        <v>6</v>
      </c>
      <c r="P1421" s="3">
        <v>0</v>
      </c>
      <c r="Q1421" s="2">
        <v>104.56</v>
      </c>
      <c r="R1421" t="s">
        <v>34</v>
      </c>
      <c r="S1421" t="s">
        <v>46</v>
      </c>
      <c r="T1421" t="s">
        <v>63</v>
      </c>
      <c r="U1421" t="s">
        <v>30</v>
      </c>
    </row>
    <row r="1422" spans="1:21" x14ac:dyDescent="0.35">
      <c r="A1422" t="s">
        <v>1501</v>
      </c>
      <c r="B1422" s="1">
        <v>46216</v>
      </c>
      <c r="C1422" t="str">
        <f>TEXT(tblData[[#This Row],[Rental Date]],"mmm")</f>
        <v>Jul</v>
      </c>
      <c r="D1422" t="str">
        <f>TEXT(tblData[[#This Row],[Rental Date]],"mmmm")</f>
        <v>July</v>
      </c>
      <c r="E1422" t="s">
        <v>74</v>
      </c>
      <c r="F1422" t="str">
        <f>TEXT(WEEKNUM(tblData[[#This Row],[Rental Date]]),"00")</f>
        <v>29</v>
      </c>
      <c r="G1422" s="1">
        <f>EOMONTH(tblData[[#This Row],[Rental Date]],0)</f>
        <v>46234</v>
      </c>
      <c r="H1422" t="s">
        <v>749</v>
      </c>
      <c r="I1422" t="s">
        <v>39</v>
      </c>
      <c r="J1422" t="s">
        <v>78</v>
      </c>
      <c r="K1422" t="s">
        <v>60</v>
      </c>
      <c r="L1422">
        <v>1</v>
      </c>
      <c r="M1422" s="2">
        <v>29.12</v>
      </c>
      <c r="N1422" t="s">
        <v>89</v>
      </c>
      <c r="O1422" s="3">
        <v>6</v>
      </c>
      <c r="P1422" s="3">
        <v>0</v>
      </c>
      <c r="Q1422" s="2">
        <v>35.119999999999997</v>
      </c>
      <c r="R1422" t="s">
        <v>94</v>
      </c>
      <c r="S1422" t="s">
        <v>46</v>
      </c>
      <c r="T1422" t="s">
        <v>90</v>
      </c>
      <c r="U1422" t="s">
        <v>30</v>
      </c>
    </row>
    <row r="1423" spans="1:21" x14ac:dyDescent="0.35">
      <c r="A1423" t="s">
        <v>1502</v>
      </c>
      <c r="B1423" s="1">
        <v>46216</v>
      </c>
      <c r="C1423" t="str">
        <f>TEXT(tblData[[#This Row],[Rental Date]],"mmm")</f>
        <v>Jul</v>
      </c>
      <c r="D1423" t="str">
        <f>TEXT(tblData[[#This Row],[Rental Date]],"mmmm")</f>
        <v>July</v>
      </c>
      <c r="E1423" t="s">
        <v>74</v>
      </c>
      <c r="F1423" t="str">
        <f>TEXT(WEEKNUM(tblData[[#This Row],[Rental Date]]),"00")</f>
        <v>29</v>
      </c>
      <c r="G1423" s="1">
        <f>EOMONTH(tblData[[#This Row],[Rental Date]],0)</f>
        <v>46234</v>
      </c>
      <c r="H1423" t="s">
        <v>749</v>
      </c>
      <c r="I1423" t="s">
        <v>39</v>
      </c>
      <c r="J1423" t="s">
        <v>24</v>
      </c>
      <c r="K1423" t="s">
        <v>40</v>
      </c>
      <c r="L1423">
        <v>1</v>
      </c>
      <c r="M1423" s="2">
        <v>85.12</v>
      </c>
      <c r="N1423" t="s">
        <v>70</v>
      </c>
      <c r="O1423" s="3">
        <v>7</v>
      </c>
      <c r="P1423" s="3">
        <v>0</v>
      </c>
      <c r="Q1423" s="2">
        <v>92.12</v>
      </c>
      <c r="R1423" t="s">
        <v>34</v>
      </c>
      <c r="S1423" t="s">
        <v>54</v>
      </c>
      <c r="T1423" t="s">
        <v>63</v>
      </c>
      <c r="U1423" t="s">
        <v>30</v>
      </c>
    </row>
    <row r="1424" spans="1:21" x14ac:dyDescent="0.35">
      <c r="A1424" t="s">
        <v>1503</v>
      </c>
      <c r="B1424" s="1">
        <v>46216</v>
      </c>
      <c r="C1424" t="str">
        <f>TEXT(tblData[[#This Row],[Rental Date]],"mmm")</f>
        <v>Jul</v>
      </c>
      <c r="D1424" t="str">
        <f>TEXT(tblData[[#This Row],[Rental Date]],"mmmm")</f>
        <v>July</v>
      </c>
      <c r="E1424" t="s">
        <v>74</v>
      </c>
      <c r="F1424" t="str">
        <f>TEXT(WEEKNUM(tblData[[#This Row],[Rental Date]]),"00")</f>
        <v>29</v>
      </c>
      <c r="G1424" s="1">
        <f>EOMONTH(tblData[[#This Row],[Rental Date]],0)</f>
        <v>46234</v>
      </c>
      <c r="H1424" t="s">
        <v>749</v>
      </c>
      <c r="I1424" t="s">
        <v>48</v>
      </c>
      <c r="J1424" t="s">
        <v>78</v>
      </c>
      <c r="K1424" t="s">
        <v>60</v>
      </c>
      <c r="L1424">
        <v>1</v>
      </c>
      <c r="M1424" s="2">
        <v>29.12</v>
      </c>
      <c r="N1424" t="s">
        <v>89</v>
      </c>
      <c r="O1424" s="3">
        <v>6</v>
      </c>
      <c r="P1424" s="3">
        <v>0</v>
      </c>
      <c r="Q1424" s="2">
        <v>35.119999999999997</v>
      </c>
      <c r="R1424" t="s">
        <v>94</v>
      </c>
      <c r="S1424" t="s">
        <v>28</v>
      </c>
      <c r="T1424" t="s">
        <v>51</v>
      </c>
      <c r="U1424" t="s">
        <v>30</v>
      </c>
    </row>
    <row r="1425" spans="1:21" x14ac:dyDescent="0.35">
      <c r="A1425" t="s">
        <v>1504</v>
      </c>
      <c r="B1425" s="1">
        <v>46216</v>
      </c>
      <c r="C1425" t="str">
        <f>TEXT(tblData[[#This Row],[Rental Date]],"mmm")</f>
        <v>Jul</v>
      </c>
      <c r="D1425" t="str">
        <f>TEXT(tblData[[#This Row],[Rental Date]],"mmmm")</f>
        <v>July</v>
      </c>
      <c r="E1425" t="s">
        <v>74</v>
      </c>
      <c r="F1425" t="str">
        <f>TEXT(WEEKNUM(tblData[[#This Row],[Rental Date]]),"00")</f>
        <v>29</v>
      </c>
      <c r="G1425" s="1">
        <f>EOMONTH(tblData[[#This Row],[Rental Date]],0)</f>
        <v>46234</v>
      </c>
      <c r="H1425" t="s">
        <v>749</v>
      </c>
      <c r="I1425" t="s">
        <v>23</v>
      </c>
      <c r="J1425" t="s">
        <v>49</v>
      </c>
      <c r="K1425" t="s">
        <v>92</v>
      </c>
      <c r="L1425">
        <v>1</v>
      </c>
      <c r="M1425" s="2">
        <v>85.12</v>
      </c>
      <c r="N1425" t="s">
        <v>26</v>
      </c>
      <c r="O1425" s="3">
        <v>0</v>
      </c>
      <c r="P1425" s="3">
        <v>0</v>
      </c>
      <c r="Q1425" s="2">
        <v>85.12</v>
      </c>
      <c r="R1425" t="s">
        <v>34</v>
      </c>
      <c r="S1425" t="s">
        <v>46</v>
      </c>
      <c r="T1425" t="s">
        <v>51</v>
      </c>
      <c r="U1425" t="s">
        <v>30</v>
      </c>
    </row>
    <row r="1426" spans="1:21" x14ac:dyDescent="0.35">
      <c r="A1426" t="s">
        <v>1505</v>
      </c>
      <c r="B1426" s="1">
        <v>46216</v>
      </c>
      <c r="C1426" t="str">
        <f>TEXT(tblData[[#This Row],[Rental Date]],"mmm")</f>
        <v>Jul</v>
      </c>
      <c r="D1426" t="str">
        <f>TEXT(tblData[[#This Row],[Rental Date]],"mmmm")</f>
        <v>July</v>
      </c>
      <c r="E1426" t="s">
        <v>74</v>
      </c>
      <c r="F1426" t="str">
        <f>TEXT(WEEKNUM(tblData[[#This Row],[Rental Date]]),"00")</f>
        <v>29</v>
      </c>
      <c r="G1426" s="1">
        <f>EOMONTH(tblData[[#This Row],[Rental Date]],0)</f>
        <v>46234</v>
      </c>
      <c r="H1426" t="s">
        <v>749</v>
      </c>
      <c r="I1426" t="s">
        <v>48</v>
      </c>
      <c r="J1426" t="s">
        <v>49</v>
      </c>
      <c r="K1426" t="s">
        <v>60</v>
      </c>
      <c r="L1426">
        <v>1</v>
      </c>
      <c r="M1426" s="2">
        <v>24.64</v>
      </c>
      <c r="N1426" t="s">
        <v>41</v>
      </c>
      <c r="O1426" s="3">
        <v>5</v>
      </c>
      <c r="P1426" s="3">
        <v>0</v>
      </c>
      <c r="Q1426" s="2">
        <v>29.64</v>
      </c>
      <c r="R1426" t="s">
        <v>62</v>
      </c>
      <c r="S1426" t="s">
        <v>35</v>
      </c>
      <c r="T1426" t="s">
        <v>90</v>
      </c>
      <c r="U1426" t="s">
        <v>30</v>
      </c>
    </row>
    <row r="1427" spans="1:21" x14ac:dyDescent="0.35">
      <c r="A1427" t="s">
        <v>1506</v>
      </c>
      <c r="B1427" s="1">
        <v>46216</v>
      </c>
      <c r="C1427" t="str">
        <f>TEXT(tblData[[#This Row],[Rental Date]],"mmm")</f>
        <v>Jul</v>
      </c>
      <c r="D1427" t="str">
        <f>TEXT(tblData[[#This Row],[Rental Date]],"mmmm")</f>
        <v>July</v>
      </c>
      <c r="E1427" t="s">
        <v>74</v>
      </c>
      <c r="F1427" t="str">
        <f>TEXT(WEEKNUM(tblData[[#This Row],[Rental Date]]),"00")</f>
        <v>29</v>
      </c>
      <c r="G1427" s="1">
        <f>EOMONTH(tblData[[#This Row],[Rental Date]],0)</f>
        <v>46234</v>
      </c>
      <c r="H1427" t="s">
        <v>749</v>
      </c>
      <c r="I1427" t="s">
        <v>48</v>
      </c>
      <c r="J1427" t="s">
        <v>138</v>
      </c>
      <c r="K1427" t="s">
        <v>25</v>
      </c>
      <c r="L1427">
        <v>1</v>
      </c>
      <c r="M1427" s="2">
        <v>53.76</v>
      </c>
      <c r="N1427" t="s">
        <v>41</v>
      </c>
      <c r="O1427" s="3">
        <v>5</v>
      </c>
      <c r="P1427" s="3">
        <v>0</v>
      </c>
      <c r="Q1427" s="2">
        <v>58.76</v>
      </c>
      <c r="R1427" t="s">
        <v>66</v>
      </c>
      <c r="S1427" t="s">
        <v>46</v>
      </c>
      <c r="T1427" t="s">
        <v>51</v>
      </c>
      <c r="U1427" t="s">
        <v>58</v>
      </c>
    </row>
    <row r="1428" spans="1:21" x14ac:dyDescent="0.35">
      <c r="A1428" t="s">
        <v>1507</v>
      </c>
      <c r="B1428" s="1">
        <v>46216</v>
      </c>
      <c r="C1428" t="str">
        <f>TEXT(tblData[[#This Row],[Rental Date]],"mmm")</f>
        <v>Jul</v>
      </c>
      <c r="D1428" t="str">
        <f>TEXT(tblData[[#This Row],[Rental Date]],"mmmm")</f>
        <v>July</v>
      </c>
      <c r="E1428" t="s">
        <v>74</v>
      </c>
      <c r="F1428" t="str">
        <f>TEXT(WEEKNUM(tblData[[#This Row],[Rental Date]]),"00")</f>
        <v>29</v>
      </c>
      <c r="G1428" s="1">
        <f>EOMONTH(tblData[[#This Row],[Rental Date]],0)</f>
        <v>46234</v>
      </c>
      <c r="H1428" t="s">
        <v>749</v>
      </c>
      <c r="I1428" t="s">
        <v>48</v>
      </c>
      <c r="J1428" t="s">
        <v>127</v>
      </c>
      <c r="K1428" t="s">
        <v>60</v>
      </c>
      <c r="L1428">
        <v>1</v>
      </c>
      <c r="M1428" s="2">
        <v>11.2</v>
      </c>
      <c r="N1428" t="s">
        <v>26</v>
      </c>
      <c r="O1428" s="3">
        <v>0</v>
      </c>
      <c r="P1428" s="3">
        <v>0</v>
      </c>
      <c r="Q1428" s="2">
        <v>11.2</v>
      </c>
      <c r="R1428" t="s">
        <v>45</v>
      </c>
      <c r="S1428" t="s">
        <v>54</v>
      </c>
      <c r="T1428" t="s">
        <v>29</v>
      </c>
      <c r="U1428" t="s">
        <v>30</v>
      </c>
    </row>
    <row r="1429" spans="1:21" x14ac:dyDescent="0.35">
      <c r="A1429" t="s">
        <v>1508</v>
      </c>
      <c r="B1429" s="1">
        <v>46216</v>
      </c>
      <c r="C1429" t="str">
        <f>TEXT(tblData[[#This Row],[Rental Date]],"mmm")</f>
        <v>Jul</v>
      </c>
      <c r="D1429" t="str">
        <f>TEXT(tblData[[#This Row],[Rental Date]],"mmmm")</f>
        <v>July</v>
      </c>
      <c r="E1429" t="s">
        <v>74</v>
      </c>
      <c r="F1429" t="str">
        <f>TEXT(WEEKNUM(tblData[[#This Row],[Rental Date]]),"00")</f>
        <v>29</v>
      </c>
      <c r="G1429" s="1">
        <f>EOMONTH(tblData[[#This Row],[Rental Date]],0)</f>
        <v>46234</v>
      </c>
      <c r="H1429" t="s">
        <v>749</v>
      </c>
      <c r="I1429" t="s">
        <v>48</v>
      </c>
      <c r="J1429" t="s">
        <v>49</v>
      </c>
      <c r="K1429" t="s">
        <v>25</v>
      </c>
      <c r="L1429">
        <v>1</v>
      </c>
      <c r="M1429" s="2">
        <v>40.32</v>
      </c>
      <c r="N1429" t="s">
        <v>26</v>
      </c>
      <c r="O1429" s="3">
        <v>0</v>
      </c>
      <c r="P1429" s="3">
        <v>0</v>
      </c>
      <c r="Q1429" s="2">
        <v>40.32</v>
      </c>
      <c r="R1429" t="s">
        <v>27</v>
      </c>
      <c r="S1429" t="s">
        <v>50</v>
      </c>
      <c r="T1429" t="s">
        <v>51</v>
      </c>
      <c r="U1429" t="s">
        <v>30</v>
      </c>
    </row>
    <row r="1430" spans="1:21" x14ac:dyDescent="0.35">
      <c r="A1430" t="s">
        <v>1509</v>
      </c>
      <c r="B1430" s="1">
        <v>46217</v>
      </c>
      <c r="C1430" t="str">
        <f>TEXT(tblData[[#This Row],[Rental Date]],"mmm")</f>
        <v>Jul</v>
      </c>
      <c r="D1430" t="str">
        <f>TEXT(tblData[[#This Row],[Rental Date]],"mmmm")</f>
        <v>July</v>
      </c>
      <c r="E1430" t="s">
        <v>102</v>
      </c>
      <c r="F1430" t="str">
        <f>TEXT(WEEKNUM(tblData[[#This Row],[Rental Date]]),"00")</f>
        <v>29</v>
      </c>
      <c r="G1430" s="1">
        <f>EOMONTH(tblData[[#This Row],[Rental Date]],0)</f>
        <v>46234</v>
      </c>
      <c r="H1430" t="s">
        <v>749</v>
      </c>
      <c r="I1430" t="s">
        <v>48</v>
      </c>
      <c r="J1430" t="s">
        <v>49</v>
      </c>
      <c r="K1430" t="s">
        <v>40</v>
      </c>
      <c r="L1430">
        <v>1</v>
      </c>
      <c r="M1430" s="2">
        <v>60.48</v>
      </c>
      <c r="N1430" t="s">
        <v>70</v>
      </c>
      <c r="O1430" s="3">
        <v>7</v>
      </c>
      <c r="P1430" s="3">
        <v>0</v>
      </c>
      <c r="Q1430" s="2">
        <v>67.48</v>
      </c>
      <c r="R1430" t="s">
        <v>66</v>
      </c>
      <c r="S1430" t="s">
        <v>54</v>
      </c>
      <c r="T1430" t="s">
        <v>29</v>
      </c>
      <c r="U1430" t="s">
        <v>30</v>
      </c>
    </row>
    <row r="1431" spans="1:21" x14ac:dyDescent="0.35">
      <c r="A1431" t="s">
        <v>1510</v>
      </c>
      <c r="B1431" s="1">
        <v>46217</v>
      </c>
      <c r="C1431" t="str">
        <f>TEXT(tblData[[#This Row],[Rental Date]],"mmm")</f>
        <v>Jul</v>
      </c>
      <c r="D1431" t="str">
        <f>TEXT(tblData[[#This Row],[Rental Date]],"mmmm")</f>
        <v>July</v>
      </c>
      <c r="E1431" t="s">
        <v>102</v>
      </c>
      <c r="F1431" t="str">
        <f>TEXT(WEEKNUM(tblData[[#This Row],[Rental Date]]),"00")</f>
        <v>29</v>
      </c>
      <c r="G1431" s="1">
        <f>EOMONTH(tblData[[#This Row],[Rental Date]],0)</f>
        <v>46234</v>
      </c>
      <c r="H1431" t="s">
        <v>749</v>
      </c>
      <c r="I1431" t="s">
        <v>39</v>
      </c>
      <c r="J1431" t="s">
        <v>78</v>
      </c>
      <c r="K1431" t="s">
        <v>92</v>
      </c>
      <c r="L1431">
        <v>1</v>
      </c>
      <c r="M1431" s="2">
        <v>98.56</v>
      </c>
      <c r="N1431" t="s">
        <v>26</v>
      </c>
      <c r="O1431" s="3">
        <v>0</v>
      </c>
      <c r="P1431" s="3">
        <v>4.93</v>
      </c>
      <c r="Q1431" s="2">
        <v>93.63</v>
      </c>
      <c r="R1431" t="s">
        <v>94</v>
      </c>
      <c r="S1431" t="s">
        <v>50</v>
      </c>
      <c r="T1431" t="s">
        <v>83</v>
      </c>
      <c r="U1431" t="s">
        <v>30</v>
      </c>
    </row>
    <row r="1432" spans="1:21" x14ac:dyDescent="0.35">
      <c r="A1432" t="s">
        <v>1511</v>
      </c>
      <c r="B1432" s="1">
        <v>46217</v>
      </c>
      <c r="C1432" t="str">
        <f>TEXT(tblData[[#This Row],[Rental Date]],"mmm")</f>
        <v>Jul</v>
      </c>
      <c r="D1432" t="str">
        <f>TEXT(tblData[[#This Row],[Rental Date]],"mmmm")</f>
        <v>July</v>
      </c>
      <c r="E1432" t="s">
        <v>102</v>
      </c>
      <c r="F1432" t="str">
        <f>TEXT(WEEKNUM(tblData[[#This Row],[Rental Date]]),"00")</f>
        <v>29</v>
      </c>
      <c r="G1432" s="1">
        <f>EOMONTH(tblData[[#This Row],[Rental Date]],0)</f>
        <v>46234</v>
      </c>
      <c r="H1432" t="s">
        <v>749</v>
      </c>
      <c r="I1432" t="s">
        <v>32</v>
      </c>
      <c r="J1432" t="s">
        <v>24</v>
      </c>
      <c r="K1432" t="s">
        <v>60</v>
      </c>
      <c r="L1432">
        <v>1</v>
      </c>
      <c r="M1432" s="2">
        <v>35.840000000000003</v>
      </c>
      <c r="N1432" t="s">
        <v>26</v>
      </c>
      <c r="O1432" s="3">
        <v>0</v>
      </c>
      <c r="P1432" s="3">
        <v>0</v>
      </c>
      <c r="Q1432" s="2">
        <v>35.840000000000003</v>
      </c>
      <c r="R1432" t="s">
        <v>71</v>
      </c>
      <c r="S1432" t="s">
        <v>46</v>
      </c>
      <c r="T1432" t="s">
        <v>51</v>
      </c>
      <c r="U1432" t="s">
        <v>58</v>
      </c>
    </row>
    <row r="1433" spans="1:21" x14ac:dyDescent="0.35">
      <c r="A1433" t="s">
        <v>1512</v>
      </c>
      <c r="B1433" s="1">
        <v>46217</v>
      </c>
      <c r="C1433" t="str">
        <f>TEXT(tblData[[#This Row],[Rental Date]],"mmm")</f>
        <v>Jul</v>
      </c>
      <c r="D1433" t="str">
        <f>TEXT(tblData[[#This Row],[Rental Date]],"mmmm")</f>
        <v>July</v>
      </c>
      <c r="E1433" t="s">
        <v>102</v>
      </c>
      <c r="F1433" t="str">
        <f>TEXT(WEEKNUM(tblData[[#This Row],[Rental Date]]),"00")</f>
        <v>29</v>
      </c>
      <c r="G1433" s="1">
        <f>EOMONTH(tblData[[#This Row],[Rental Date]],0)</f>
        <v>46234</v>
      </c>
      <c r="H1433" t="s">
        <v>749</v>
      </c>
      <c r="I1433" t="s">
        <v>23</v>
      </c>
      <c r="J1433" t="s">
        <v>33</v>
      </c>
      <c r="K1433" t="s">
        <v>60</v>
      </c>
      <c r="L1433">
        <v>1</v>
      </c>
      <c r="M1433" s="2">
        <v>26.88</v>
      </c>
      <c r="N1433" t="s">
        <v>26</v>
      </c>
      <c r="O1433" s="3">
        <v>0</v>
      </c>
      <c r="P1433" s="3">
        <v>0</v>
      </c>
      <c r="Q1433" s="2">
        <v>26.88</v>
      </c>
      <c r="R1433" t="s">
        <v>27</v>
      </c>
      <c r="S1433" t="s">
        <v>35</v>
      </c>
      <c r="T1433" t="s">
        <v>51</v>
      </c>
      <c r="U1433" t="s">
        <v>30</v>
      </c>
    </row>
    <row r="1434" spans="1:21" x14ac:dyDescent="0.35">
      <c r="A1434" t="s">
        <v>1513</v>
      </c>
      <c r="B1434" s="1">
        <v>46217</v>
      </c>
      <c r="C1434" t="str">
        <f>TEXT(tblData[[#This Row],[Rental Date]],"mmm")</f>
        <v>Jul</v>
      </c>
      <c r="D1434" t="str">
        <f>TEXT(tblData[[#This Row],[Rental Date]],"mmmm")</f>
        <v>July</v>
      </c>
      <c r="E1434" t="s">
        <v>102</v>
      </c>
      <c r="F1434" t="str">
        <f>TEXT(WEEKNUM(tblData[[#This Row],[Rental Date]]),"00")</f>
        <v>29</v>
      </c>
      <c r="G1434" s="1">
        <f>EOMONTH(tblData[[#This Row],[Rental Date]],0)</f>
        <v>46234</v>
      </c>
      <c r="H1434" t="s">
        <v>749</v>
      </c>
      <c r="I1434" t="s">
        <v>32</v>
      </c>
      <c r="J1434" t="s">
        <v>33</v>
      </c>
      <c r="K1434" t="s">
        <v>40</v>
      </c>
      <c r="L1434">
        <v>1</v>
      </c>
      <c r="M1434" s="2">
        <v>64.959999999999994</v>
      </c>
      <c r="N1434" t="s">
        <v>89</v>
      </c>
      <c r="O1434" s="3">
        <v>6</v>
      </c>
      <c r="P1434" s="3">
        <v>3.55</v>
      </c>
      <c r="Q1434" s="2">
        <v>67.41</v>
      </c>
      <c r="R1434" t="s">
        <v>45</v>
      </c>
      <c r="S1434" t="s">
        <v>46</v>
      </c>
      <c r="T1434" t="s">
        <v>29</v>
      </c>
      <c r="U1434" t="s">
        <v>30</v>
      </c>
    </row>
    <row r="1435" spans="1:21" x14ac:dyDescent="0.35">
      <c r="A1435" t="s">
        <v>1514</v>
      </c>
      <c r="B1435" s="1">
        <v>46217</v>
      </c>
      <c r="C1435" t="str">
        <f>TEXT(tblData[[#This Row],[Rental Date]],"mmm")</f>
        <v>Jul</v>
      </c>
      <c r="D1435" t="str">
        <f>TEXT(tblData[[#This Row],[Rental Date]],"mmmm")</f>
        <v>July</v>
      </c>
      <c r="E1435" t="s">
        <v>102</v>
      </c>
      <c r="F1435" t="str">
        <f>TEXT(WEEKNUM(tblData[[#This Row],[Rental Date]]),"00")</f>
        <v>29</v>
      </c>
      <c r="G1435" s="1">
        <f>EOMONTH(tblData[[#This Row],[Rental Date]],0)</f>
        <v>46234</v>
      </c>
      <c r="H1435" t="s">
        <v>749</v>
      </c>
      <c r="I1435" t="s">
        <v>23</v>
      </c>
      <c r="J1435" t="s">
        <v>78</v>
      </c>
      <c r="K1435" t="s">
        <v>25</v>
      </c>
      <c r="L1435">
        <v>1</v>
      </c>
      <c r="M1435" s="2">
        <v>47.04</v>
      </c>
      <c r="N1435" t="s">
        <v>26</v>
      </c>
      <c r="O1435" s="3">
        <v>0</v>
      </c>
      <c r="P1435" s="3">
        <v>0</v>
      </c>
      <c r="Q1435" s="2">
        <v>47.04</v>
      </c>
      <c r="R1435" t="s">
        <v>76</v>
      </c>
      <c r="S1435" t="s">
        <v>46</v>
      </c>
      <c r="T1435" t="s">
        <v>63</v>
      </c>
      <c r="U1435" t="s">
        <v>58</v>
      </c>
    </row>
    <row r="1436" spans="1:21" x14ac:dyDescent="0.35">
      <c r="A1436" t="s">
        <v>1515</v>
      </c>
      <c r="B1436" s="1">
        <v>46217</v>
      </c>
      <c r="C1436" t="str">
        <f>TEXT(tblData[[#This Row],[Rental Date]],"mmm")</f>
        <v>Jul</v>
      </c>
      <c r="D1436" t="str">
        <f>TEXT(tblData[[#This Row],[Rental Date]],"mmmm")</f>
        <v>July</v>
      </c>
      <c r="E1436" t="s">
        <v>102</v>
      </c>
      <c r="F1436" t="str">
        <f>TEXT(WEEKNUM(tblData[[#This Row],[Rental Date]]),"00")</f>
        <v>29</v>
      </c>
      <c r="G1436" s="1">
        <f>EOMONTH(tblData[[#This Row],[Rental Date]],0)</f>
        <v>46234</v>
      </c>
      <c r="H1436" t="s">
        <v>749</v>
      </c>
      <c r="I1436" t="s">
        <v>23</v>
      </c>
      <c r="J1436" t="s">
        <v>78</v>
      </c>
      <c r="K1436" t="s">
        <v>60</v>
      </c>
      <c r="L1436">
        <v>1</v>
      </c>
      <c r="M1436" s="2">
        <v>29.12</v>
      </c>
      <c r="N1436" t="s">
        <v>26</v>
      </c>
      <c r="O1436" s="3">
        <v>0</v>
      </c>
      <c r="P1436" s="3">
        <v>0</v>
      </c>
      <c r="Q1436" s="2">
        <v>29.12</v>
      </c>
      <c r="R1436" t="s">
        <v>42</v>
      </c>
      <c r="S1436" t="s">
        <v>54</v>
      </c>
      <c r="T1436" t="s">
        <v>29</v>
      </c>
      <c r="U1436" t="s">
        <v>30</v>
      </c>
    </row>
    <row r="1437" spans="1:21" x14ac:dyDescent="0.35">
      <c r="A1437" t="s">
        <v>1516</v>
      </c>
      <c r="B1437" s="1">
        <v>46217</v>
      </c>
      <c r="C1437" t="str">
        <f>TEXT(tblData[[#This Row],[Rental Date]],"mmm")</f>
        <v>Jul</v>
      </c>
      <c r="D1437" t="str">
        <f>TEXT(tblData[[#This Row],[Rental Date]],"mmmm")</f>
        <v>July</v>
      </c>
      <c r="E1437" t="s">
        <v>102</v>
      </c>
      <c r="F1437" t="str">
        <f>TEXT(WEEKNUM(tblData[[#This Row],[Rental Date]]),"00")</f>
        <v>29</v>
      </c>
      <c r="G1437" s="1">
        <f>EOMONTH(tblData[[#This Row],[Rental Date]],0)</f>
        <v>46234</v>
      </c>
      <c r="H1437" t="s">
        <v>749</v>
      </c>
      <c r="I1437" t="s">
        <v>48</v>
      </c>
      <c r="J1437" t="s">
        <v>33</v>
      </c>
      <c r="K1437" t="s">
        <v>60</v>
      </c>
      <c r="L1437">
        <v>1</v>
      </c>
      <c r="M1437" s="2">
        <v>26.88</v>
      </c>
      <c r="N1437" t="s">
        <v>61</v>
      </c>
      <c r="O1437" s="3">
        <v>8</v>
      </c>
      <c r="P1437" s="3">
        <v>0</v>
      </c>
      <c r="Q1437" s="2">
        <v>34.880000000000003</v>
      </c>
      <c r="R1437" t="s">
        <v>71</v>
      </c>
      <c r="S1437" t="s">
        <v>54</v>
      </c>
      <c r="T1437" t="s">
        <v>90</v>
      </c>
      <c r="U1437" t="s">
        <v>30</v>
      </c>
    </row>
    <row r="1438" spans="1:21" x14ac:dyDescent="0.35">
      <c r="A1438" t="s">
        <v>1517</v>
      </c>
      <c r="B1438" s="1">
        <v>46217</v>
      </c>
      <c r="C1438" t="str">
        <f>TEXT(tblData[[#This Row],[Rental Date]],"mmm")</f>
        <v>Jul</v>
      </c>
      <c r="D1438" t="str">
        <f>TEXT(tblData[[#This Row],[Rental Date]],"mmmm")</f>
        <v>July</v>
      </c>
      <c r="E1438" t="s">
        <v>102</v>
      </c>
      <c r="F1438" t="str">
        <f>TEXT(WEEKNUM(tblData[[#This Row],[Rental Date]]),"00")</f>
        <v>29</v>
      </c>
      <c r="G1438" s="1">
        <f>EOMONTH(tblData[[#This Row],[Rental Date]],0)</f>
        <v>46234</v>
      </c>
      <c r="H1438" t="s">
        <v>749</v>
      </c>
      <c r="I1438" t="s">
        <v>39</v>
      </c>
      <c r="J1438" t="s">
        <v>65</v>
      </c>
      <c r="K1438" t="s">
        <v>25</v>
      </c>
      <c r="L1438">
        <v>1</v>
      </c>
      <c r="M1438" s="2">
        <v>20.16</v>
      </c>
      <c r="N1438" t="s">
        <v>26</v>
      </c>
      <c r="O1438" s="3">
        <v>0</v>
      </c>
      <c r="P1438" s="3">
        <v>0</v>
      </c>
      <c r="Q1438" s="2">
        <v>20.16</v>
      </c>
      <c r="R1438" t="s">
        <v>57</v>
      </c>
      <c r="S1438" t="s">
        <v>54</v>
      </c>
      <c r="T1438" t="s">
        <v>29</v>
      </c>
      <c r="U1438" t="s">
        <v>30</v>
      </c>
    </row>
    <row r="1439" spans="1:21" x14ac:dyDescent="0.35">
      <c r="A1439" t="s">
        <v>1518</v>
      </c>
      <c r="B1439" s="1">
        <v>46217</v>
      </c>
      <c r="C1439" t="str">
        <f>TEXT(tblData[[#This Row],[Rental Date]],"mmm")</f>
        <v>Jul</v>
      </c>
      <c r="D1439" t="str">
        <f>TEXT(tblData[[#This Row],[Rental Date]],"mmmm")</f>
        <v>July</v>
      </c>
      <c r="E1439" t="s">
        <v>102</v>
      </c>
      <c r="F1439" t="str">
        <f>TEXT(WEEKNUM(tblData[[#This Row],[Rental Date]]),"00")</f>
        <v>29</v>
      </c>
      <c r="G1439" s="1">
        <f>EOMONTH(tblData[[#This Row],[Rental Date]],0)</f>
        <v>46234</v>
      </c>
      <c r="H1439" t="s">
        <v>749</v>
      </c>
      <c r="I1439" t="s">
        <v>23</v>
      </c>
      <c r="J1439" t="s">
        <v>44</v>
      </c>
      <c r="K1439" t="s">
        <v>25</v>
      </c>
      <c r="L1439">
        <v>1</v>
      </c>
      <c r="M1439" s="2">
        <v>58.24</v>
      </c>
      <c r="N1439" t="s">
        <v>26</v>
      </c>
      <c r="O1439" s="3">
        <v>0</v>
      </c>
      <c r="P1439" s="3">
        <v>0</v>
      </c>
      <c r="Q1439" s="2">
        <v>58.24</v>
      </c>
      <c r="R1439" t="s">
        <v>34</v>
      </c>
      <c r="S1439" t="s">
        <v>46</v>
      </c>
      <c r="T1439" t="s">
        <v>90</v>
      </c>
      <c r="U1439" t="s">
        <v>79</v>
      </c>
    </row>
    <row r="1440" spans="1:21" x14ac:dyDescent="0.35">
      <c r="A1440" t="s">
        <v>1519</v>
      </c>
      <c r="B1440" s="1">
        <v>46217</v>
      </c>
      <c r="C1440" t="str">
        <f>TEXT(tblData[[#This Row],[Rental Date]],"mmm")</f>
        <v>Jul</v>
      </c>
      <c r="D1440" t="str">
        <f>TEXT(tblData[[#This Row],[Rental Date]],"mmmm")</f>
        <v>July</v>
      </c>
      <c r="E1440" t="s">
        <v>102</v>
      </c>
      <c r="F1440" t="str">
        <f>TEXT(WEEKNUM(tblData[[#This Row],[Rental Date]]),"00")</f>
        <v>29</v>
      </c>
      <c r="G1440" s="1">
        <f>EOMONTH(tblData[[#This Row],[Rental Date]],0)</f>
        <v>46234</v>
      </c>
      <c r="H1440" t="s">
        <v>749</v>
      </c>
      <c r="I1440" t="s">
        <v>39</v>
      </c>
      <c r="J1440" t="s">
        <v>44</v>
      </c>
      <c r="K1440" t="s">
        <v>60</v>
      </c>
      <c r="L1440">
        <v>1</v>
      </c>
      <c r="M1440" s="2">
        <v>38.08</v>
      </c>
      <c r="N1440" t="s">
        <v>89</v>
      </c>
      <c r="O1440" s="3">
        <v>6</v>
      </c>
      <c r="P1440" s="3">
        <v>0</v>
      </c>
      <c r="Q1440" s="2">
        <v>44.08</v>
      </c>
      <c r="R1440" t="s">
        <v>71</v>
      </c>
      <c r="S1440" t="s">
        <v>46</v>
      </c>
      <c r="T1440" t="s">
        <v>90</v>
      </c>
      <c r="U1440" t="s">
        <v>30</v>
      </c>
    </row>
    <row r="1441" spans="1:21" x14ac:dyDescent="0.35">
      <c r="A1441" t="s">
        <v>1520</v>
      </c>
      <c r="B1441" s="1">
        <v>46217</v>
      </c>
      <c r="C1441" t="str">
        <f>TEXT(tblData[[#This Row],[Rental Date]],"mmm")</f>
        <v>Jul</v>
      </c>
      <c r="D1441" t="str">
        <f>TEXT(tblData[[#This Row],[Rental Date]],"mmmm")</f>
        <v>July</v>
      </c>
      <c r="E1441" t="s">
        <v>102</v>
      </c>
      <c r="F1441" t="str">
        <f>TEXT(WEEKNUM(tblData[[#This Row],[Rental Date]]),"00")</f>
        <v>29</v>
      </c>
      <c r="G1441" s="1">
        <f>EOMONTH(tblData[[#This Row],[Rental Date]],0)</f>
        <v>46234</v>
      </c>
      <c r="H1441" t="s">
        <v>749</v>
      </c>
      <c r="I1441" t="s">
        <v>39</v>
      </c>
      <c r="J1441" t="s">
        <v>65</v>
      </c>
      <c r="K1441" t="s">
        <v>25</v>
      </c>
      <c r="L1441">
        <v>1</v>
      </c>
      <c r="M1441" s="2">
        <v>20.16</v>
      </c>
      <c r="N1441" t="s">
        <v>41</v>
      </c>
      <c r="O1441" s="3">
        <v>5</v>
      </c>
      <c r="P1441" s="3">
        <v>0</v>
      </c>
      <c r="Q1441" s="2">
        <v>25.16</v>
      </c>
      <c r="R1441" t="s">
        <v>34</v>
      </c>
      <c r="S1441" t="s">
        <v>46</v>
      </c>
      <c r="T1441" t="s">
        <v>90</v>
      </c>
      <c r="U1441" t="s">
        <v>30</v>
      </c>
    </row>
    <row r="1442" spans="1:21" x14ac:dyDescent="0.35">
      <c r="A1442" t="s">
        <v>1521</v>
      </c>
      <c r="B1442" s="1">
        <v>46217</v>
      </c>
      <c r="C1442" t="str">
        <f>TEXT(tblData[[#This Row],[Rental Date]],"mmm")</f>
        <v>Jul</v>
      </c>
      <c r="D1442" t="str">
        <f>TEXT(tblData[[#This Row],[Rental Date]],"mmmm")</f>
        <v>July</v>
      </c>
      <c r="E1442" t="s">
        <v>102</v>
      </c>
      <c r="F1442" t="str">
        <f>TEXT(WEEKNUM(tblData[[#This Row],[Rental Date]]),"00")</f>
        <v>29</v>
      </c>
      <c r="G1442" s="1">
        <f>EOMONTH(tblData[[#This Row],[Rental Date]],0)</f>
        <v>46234</v>
      </c>
      <c r="H1442" t="s">
        <v>749</v>
      </c>
      <c r="I1442" t="s">
        <v>23</v>
      </c>
      <c r="J1442" t="s">
        <v>78</v>
      </c>
      <c r="K1442" t="s">
        <v>92</v>
      </c>
      <c r="L1442">
        <v>1</v>
      </c>
      <c r="M1442" s="2">
        <v>98.56</v>
      </c>
      <c r="N1442" t="s">
        <v>87</v>
      </c>
      <c r="O1442" s="3">
        <v>10</v>
      </c>
      <c r="P1442" s="3">
        <v>0</v>
      </c>
      <c r="Q1442" s="2">
        <v>108.56</v>
      </c>
      <c r="R1442" t="s">
        <v>45</v>
      </c>
      <c r="S1442" t="s">
        <v>28</v>
      </c>
      <c r="T1442" t="s">
        <v>29</v>
      </c>
      <c r="U1442" t="s">
        <v>30</v>
      </c>
    </row>
    <row r="1443" spans="1:21" x14ac:dyDescent="0.35">
      <c r="A1443" t="s">
        <v>1522</v>
      </c>
      <c r="B1443" s="1">
        <v>46217</v>
      </c>
      <c r="C1443" t="str">
        <f>TEXT(tblData[[#This Row],[Rental Date]],"mmm")</f>
        <v>Jul</v>
      </c>
      <c r="D1443" t="str">
        <f>TEXT(tblData[[#This Row],[Rental Date]],"mmmm")</f>
        <v>July</v>
      </c>
      <c r="E1443" t="s">
        <v>102</v>
      </c>
      <c r="F1443" t="str">
        <f>TEXT(WEEKNUM(tblData[[#This Row],[Rental Date]]),"00")</f>
        <v>29</v>
      </c>
      <c r="G1443" s="1">
        <f>EOMONTH(tblData[[#This Row],[Rental Date]],0)</f>
        <v>46234</v>
      </c>
      <c r="H1443" t="s">
        <v>749</v>
      </c>
      <c r="I1443" t="s">
        <v>23</v>
      </c>
      <c r="J1443" t="s">
        <v>65</v>
      </c>
      <c r="K1443" t="s">
        <v>25</v>
      </c>
      <c r="L1443">
        <v>1</v>
      </c>
      <c r="M1443" s="2">
        <v>20.16</v>
      </c>
      <c r="N1443" t="s">
        <v>89</v>
      </c>
      <c r="O1443" s="3">
        <v>6</v>
      </c>
      <c r="P1443" s="3">
        <v>0</v>
      </c>
      <c r="Q1443" s="2">
        <v>26.16</v>
      </c>
      <c r="R1443" t="s">
        <v>94</v>
      </c>
      <c r="S1443" t="s">
        <v>46</v>
      </c>
      <c r="T1443" t="s">
        <v>90</v>
      </c>
      <c r="U1443" t="s">
        <v>30</v>
      </c>
    </row>
    <row r="1444" spans="1:21" x14ac:dyDescent="0.35">
      <c r="A1444" t="s">
        <v>1523</v>
      </c>
      <c r="B1444" s="1">
        <v>46217</v>
      </c>
      <c r="C1444" t="str">
        <f>TEXT(tblData[[#This Row],[Rental Date]],"mmm")</f>
        <v>Jul</v>
      </c>
      <c r="D1444" t="str">
        <f>TEXT(tblData[[#This Row],[Rental Date]],"mmmm")</f>
        <v>July</v>
      </c>
      <c r="E1444" t="s">
        <v>102</v>
      </c>
      <c r="F1444" t="str">
        <f>TEXT(WEEKNUM(tblData[[#This Row],[Rental Date]]),"00")</f>
        <v>29</v>
      </c>
      <c r="G1444" s="1">
        <f>EOMONTH(tblData[[#This Row],[Rental Date]],0)</f>
        <v>46234</v>
      </c>
      <c r="H1444" t="s">
        <v>749</v>
      </c>
      <c r="I1444" t="s">
        <v>23</v>
      </c>
      <c r="J1444" t="s">
        <v>44</v>
      </c>
      <c r="K1444" t="s">
        <v>60</v>
      </c>
      <c r="L1444">
        <v>1</v>
      </c>
      <c r="M1444" s="2">
        <v>38.08</v>
      </c>
      <c r="N1444" t="s">
        <v>61</v>
      </c>
      <c r="O1444" s="3">
        <v>8</v>
      </c>
      <c r="P1444" s="3">
        <v>0</v>
      </c>
      <c r="Q1444" s="2">
        <v>46.08</v>
      </c>
      <c r="R1444" t="s">
        <v>76</v>
      </c>
      <c r="S1444" t="s">
        <v>46</v>
      </c>
      <c r="T1444" t="s">
        <v>90</v>
      </c>
      <c r="U1444" t="s">
        <v>30</v>
      </c>
    </row>
    <row r="1445" spans="1:21" x14ac:dyDescent="0.35">
      <c r="A1445" t="s">
        <v>1524</v>
      </c>
      <c r="B1445" s="1">
        <v>46217</v>
      </c>
      <c r="C1445" t="str">
        <f>TEXT(tblData[[#This Row],[Rental Date]],"mmm")</f>
        <v>Jul</v>
      </c>
      <c r="D1445" t="str">
        <f>TEXT(tblData[[#This Row],[Rental Date]],"mmmm")</f>
        <v>July</v>
      </c>
      <c r="E1445" t="s">
        <v>102</v>
      </c>
      <c r="F1445" t="str">
        <f>TEXT(WEEKNUM(tblData[[#This Row],[Rental Date]]),"00")</f>
        <v>29</v>
      </c>
      <c r="G1445" s="1">
        <f>EOMONTH(tblData[[#This Row],[Rental Date]],0)</f>
        <v>46234</v>
      </c>
      <c r="H1445" t="s">
        <v>749</v>
      </c>
      <c r="I1445" t="s">
        <v>48</v>
      </c>
      <c r="J1445" t="s">
        <v>86</v>
      </c>
      <c r="K1445" t="s">
        <v>25</v>
      </c>
      <c r="L1445">
        <v>1</v>
      </c>
      <c r="M1445" s="2">
        <v>64.959999999999994</v>
      </c>
      <c r="N1445" t="s">
        <v>89</v>
      </c>
      <c r="O1445" s="3">
        <v>6</v>
      </c>
      <c r="P1445" s="3">
        <v>0</v>
      </c>
      <c r="Q1445" s="2">
        <v>70.959999999999994</v>
      </c>
      <c r="R1445" t="s">
        <v>57</v>
      </c>
      <c r="S1445" t="s">
        <v>28</v>
      </c>
      <c r="T1445" t="s">
        <v>29</v>
      </c>
      <c r="U1445" t="s">
        <v>58</v>
      </c>
    </row>
    <row r="1446" spans="1:21" x14ac:dyDescent="0.35">
      <c r="A1446" t="s">
        <v>1525</v>
      </c>
      <c r="B1446" s="1">
        <v>46217</v>
      </c>
      <c r="C1446" t="str">
        <f>TEXT(tblData[[#This Row],[Rental Date]],"mmm")</f>
        <v>Jul</v>
      </c>
      <c r="D1446" t="str">
        <f>TEXT(tblData[[#This Row],[Rental Date]],"mmmm")</f>
        <v>July</v>
      </c>
      <c r="E1446" t="s">
        <v>102</v>
      </c>
      <c r="F1446" t="str">
        <f>TEXT(WEEKNUM(tblData[[#This Row],[Rental Date]]),"00")</f>
        <v>29</v>
      </c>
      <c r="G1446" s="1">
        <f>EOMONTH(tblData[[#This Row],[Rental Date]],0)</f>
        <v>46234</v>
      </c>
      <c r="H1446" t="s">
        <v>749</v>
      </c>
      <c r="I1446" t="s">
        <v>39</v>
      </c>
      <c r="J1446" t="s">
        <v>78</v>
      </c>
      <c r="K1446" t="s">
        <v>25</v>
      </c>
      <c r="L1446">
        <v>1</v>
      </c>
      <c r="M1446" s="2">
        <v>47.04</v>
      </c>
      <c r="N1446" t="s">
        <v>26</v>
      </c>
      <c r="O1446" s="3">
        <v>0</v>
      </c>
      <c r="P1446" s="3">
        <v>0</v>
      </c>
      <c r="Q1446" s="2">
        <v>47.04</v>
      </c>
      <c r="R1446" t="s">
        <v>66</v>
      </c>
      <c r="S1446" t="s">
        <v>28</v>
      </c>
      <c r="T1446" t="s">
        <v>29</v>
      </c>
      <c r="U1446" t="s">
        <v>79</v>
      </c>
    </row>
    <row r="1447" spans="1:21" x14ac:dyDescent="0.35">
      <c r="A1447" t="s">
        <v>1526</v>
      </c>
      <c r="B1447" s="1">
        <v>46218</v>
      </c>
      <c r="C1447" t="str">
        <f>TEXT(tblData[[#This Row],[Rental Date]],"mmm")</f>
        <v>Jul</v>
      </c>
      <c r="D1447" t="str">
        <f>TEXT(tblData[[#This Row],[Rental Date]],"mmmm")</f>
        <v>July</v>
      </c>
      <c r="E1447" t="s">
        <v>109</v>
      </c>
      <c r="F1447" t="str">
        <f>TEXT(WEEKNUM(tblData[[#This Row],[Rental Date]]),"00")</f>
        <v>29</v>
      </c>
      <c r="G1447" s="1">
        <f>EOMONTH(tblData[[#This Row],[Rental Date]],0)</f>
        <v>46234</v>
      </c>
      <c r="H1447" t="s">
        <v>749</v>
      </c>
      <c r="I1447" t="s">
        <v>48</v>
      </c>
      <c r="J1447" t="s">
        <v>127</v>
      </c>
      <c r="K1447" t="s">
        <v>25</v>
      </c>
      <c r="L1447">
        <v>1</v>
      </c>
      <c r="M1447" s="2">
        <v>17.920000000000002</v>
      </c>
      <c r="N1447" t="s">
        <v>26</v>
      </c>
      <c r="O1447" s="3">
        <v>0</v>
      </c>
      <c r="P1447" s="3">
        <v>0</v>
      </c>
      <c r="Q1447" s="2">
        <v>17.920000000000002</v>
      </c>
      <c r="R1447" t="s">
        <v>66</v>
      </c>
      <c r="S1447" t="s">
        <v>46</v>
      </c>
      <c r="T1447" t="s">
        <v>63</v>
      </c>
      <c r="U1447" t="s">
        <v>30</v>
      </c>
    </row>
    <row r="1448" spans="1:21" x14ac:dyDescent="0.35">
      <c r="A1448" t="s">
        <v>1527</v>
      </c>
      <c r="B1448" s="1">
        <v>46218</v>
      </c>
      <c r="C1448" t="str">
        <f>TEXT(tblData[[#This Row],[Rental Date]],"mmm")</f>
        <v>Jul</v>
      </c>
      <c r="D1448" t="str">
        <f>TEXT(tblData[[#This Row],[Rental Date]],"mmmm")</f>
        <v>July</v>
      </c>
      <c r="E1448" t="s">
        <v>109</v>
      </c>
      <c r="F1448" t="str">
        <f>TEXT(WEEKNUM(tblData[[#This Row],[Rental Date]]),"00")</f>
        <v>29</v>
      </c>
      <c r="G1448" s="1">
        <f>EOMONTH(tblData[[#This Row],[Rental Date]],0)</f>
        <v>46234</v>
      </c>
      <c r="H1448" t="s">
        <v>749</v>
      </c>
      <c r="I1448" t="s">
        <v>39</v>
      </c>
      <c r="J1448" t="s">
        <v>65</v>
      </c>
      <c r="K1448" t="s">
        <v>40</v>
      </c>
      <c r="L1448">
        <v>1</v>
      </c>
      <c r="M1448" s="2">
        <v>31.36</v>
      </c>
      <c r="N1448" t="s">
        <v>26</v>
      </c>
      <c r="O1448" s="3">
        <v>0</v>
      </c>
      <c r="P1448" s="3">
        <v>0</v>
      </c>
      <c r="Q1448" s="2">
        <v>31.36</v>
      </c>
      <c r="R1448" t="s">
        <v>45</v>
      </c>
      <c r="S1448" t="s">
        <v>50</v>
      </c>
      <c r="T1448" t="s">
        <v>51</v>
      </c>
      <c r="U1448" t="s">
        <v>58</v>
      </c>
    </row>
    <row r="1449" spans="1:21" x14ac:dyDescent="0.35">
      <c r="A1449" t="s">
        <v>1528</v>
      </c>
      <c r="B1449" s="1">
        <v>46218</v>
      </c>
      <c r="C1449" t="str">
        <f>TEXT(tblData[[#This Row],[Rental Date]],"mmm")</f>
        <v>Jul</v>
      </c>
      <c r="D1449" t="str">
        <f>TEXT(tblData[[#This Row],[Rental Date]],"mmmm")</f>
        <v>July</v>
      </c>
      <c r="E1449" t="s">
        <v>109</v>
      </c>
      <c r="F1449" t="str">
        <f>TEXT(WEEKNUM(tblData[[#This Row],[Rental Date]]),"00")</f>
        <v>29</v>
      </c>
      <c r="G1449" s="1">
        <f>EOMONTH(tblData[[#This Row],[Rental Date]],0)</f>
        <v>46234</v>
      </c>
      <c r="H1449" t="s">
        <v>749</v>
      </c>
      <c r="I1449" t="s">
        <v>39</v>
      </c>
      <c r="J1449" t="s">
        <v>111</v>
      </c>
      <c r="K1449" t="s">
        <v>25</v>
      </c>
      <c r="L1449">
        <v>1</v>
      </c>
      <c r="M1449" s="2">
        <v>24.64</v>
      </c>
      <c r="N1449" t="s">
        <v>87</v>
      </c>
      <c r="O1449" s="3">
        <v>10</v>
      </c>
      <c r="P1449" s="3">
        <v>0</v>
      </c>
      <c r="Q1449" s="2">
        <v>34.64</v>
      </c>
      <c r="R1449" t="s">
        <v>76</v>
      </c>
      <c r="S1449" t="s">
        <v>28</v>
      </c>
      <c r="T1449" t="s">
        <v>51</v>
      </c>
      <c r="U1449" t="s">
        <v>30</v>
      </c>
    </row>
    <row r="1450" spans="1:21" x14ac:dyDescent="0.35">
      <c r="A1450" t="s">
        <v>1529</v>
      </c>
      <c r="B1450" s="1">
        <v>46218</v>
      </c>
      <c r="C1450" t="str">
        <f>TEXT(tblData[[#This Row],[Rental Date]],"mmm")</f>
        <v>Jul</v>
      </c>
      <c r="D1450" t="str">
        <f>TEXT(tblData[[#This Row],[Rental Date]],"mmmm")</f>
        <v>July</v>
      </c>
      <c r="E1450" t="s">
        <v>109</v>
      </c>
      <c r="F1450" t="str">
        <f>TEXT(WEEKNUM(tblData[[#This Row],[Rental Date]]),"00")</f>
        <v>29</v>
      </c>
      <c r="G1450" s="1">
        <f>EOMONTH(tblData[[#This Row],[Rental Date]],0)</f>
        <v>46234</v>
      </c>
      <c r="H1450" t="s">
        <v>749</v>
      </c>
      <c r="I1450" t="s">
        <v>32</v>
      </c>
      <c r="J1450" t="s">
        <v>44</v>
      </c>
      <c r="K1450" t="s">
        <v>25</v>
      </c>
      <c r="L1450">
        <v>1</v>
      </c>
      <c r="M1450" s="2">
        <v>58.24</v>
      </c>
      <c r="N1450" t="s">
        <v>61</v>
      </c>
      <c r="O1450" s="3">
        <v>8</v>
      </c>
      <c r="P1450" s="3">
        <v>0</v>
      </c>
      <c r="Q1450" s="2">
        <v>66.239999999999995</v>
      </c>
      <c r="R1450" t="s">
        <v>57</v>
      </c>
      <c r="S1450" t="s">
        <v>28</v>
      </c>
      <c r="T1450" t="s">
        <v>83</v>
      </c>
      <c r="U1450" t="s">
        <v>30</v>
      </c>
    </row>
    <row r="1451" spans="1:21" x14ac:dyDescent="0.35">
      <c r="A1451" t="s">
        <v>1530</v>
      </c>
      <c r="B1451" s="1">
        <v>46218</v>
      </c>
      <c r="C1451" t="str">
        <f>TEXT(tblData[[#This Row],[Rental Date]],"mmm")</f>
        <v>Jul</v>
      </c>
      <c r="D1451" t="str">
        <f>TEXT(tblData[[#This Row],[Rental Date]],"mmmm")</f>
        <v>July</v>
      </c>
      <c r="E1451" t="s">
        <v>109</v>
      </c>
      <c r="F1451" t="str">
        <f>TEXT(WEEKNUM(tblData[[#This Row],[Rental Date]]),"00")</f>
        <v>29</v>
      </c>
      <c r="G1451" s="1">
        <f>EOMONTH(tblData[[#This Row],[Rental Date]],0)</f>
        <v>46234</v>
      </c>
      <c r="H1451" t="s">
        <v>749</v>
      </c>
      <c r="I1451" t="s">
        <v>39</v>
      </c>
      <c r="J1451" t="s">
        <v>78</v>
      </c>
      <c r="K1451" t="s">
        <v>60</v>
      </c>
      <c r="L1451">
        <v>1</v>
      </c>
      <c r="M1451" s="2">
        <v>29.12</v>
      </c>
      <c r="N1451" t="s">
        <v>61</v>
      </c>
      <c r="O1451" s="3">
        <v>8</v>
      </c>
      <c r="P1451" s="3">
        <v>0</v>
      </c>
      <c r="Q1451" s="2">
        <v>37.119999999999997</v>
      </c>
      <c r="R1451" t="s">
        <v>42</v>
      </c>
      <c r="S1451" t="s">
        <v>28</v>
      </c>
      <c r="T1451" t="s">
        <v>90</v>
      </c>
      <c r="U1451" t="s">
        <v>30</v>
      </c>
    </row>
    <row r="1452" spans="1:21" x14ac:dyDescent="0.35">
      <c r="A1452" t="s">
        <v>1531</v>
      </c>
      <c r="B1452" s="1">
        <v>46218</v>
      </c>
      <c r="C1452" t="str">
        <f>TEXT(tblData[[#This Row],[Rental Date]],"mmm")</f>
        <v>Jul</v>
      </c>
      <c r="D1452" t="str">
        <f>TEXT(tblData[[#This Row],[Rental Date]],"mmmm")</f>
        <v>July</v>
      </c>
      <c r="E1452" t="s">
        <v>109</v>
      </c>
      <c r="F1452" t="str">
        <f>TEXT(WEEKNUM(tblData[[#This Row],[Rental Date]]),"00")</f>
        <v>29</v>
      </c>
      <c r="G1452" s="1">
        <f>EOMONTH(tblData[[#This Row],[Rental Date]],0)</f>
        <v>46234</v>
      </c>
      <c r="H1452" t="s">
        <v>749</v>
      </c>
      <c r="I1452" t="s">
        <v>32</v>
      </c>
      <c r="J1452" t="s">
        <v>44</v>
      </c>
      <c r="K1452" t="s">
        <v>40</v>
      </c>
      <c r="L1452">
        <v>1</v>
      </c>
      <c r="M1452" s="2">
        <v>87.36</v>
      </c>
      <c r="N1452" t="s">
        <v>87</v>
      </c>
      <c r="O1452" s="3">
        <v>10</v>
      </c>
      <c r="P1452" s="3">
        <v>0</v>
      </c>
      <c r="Q1452" s="2">
        <v>97.36</v>
      </c>
      <c r="R1452" t="s">
        <v>71</v>
      </c>
      <c r="S1452" t="s">
        <v>50</v>
      </c>
      <c r="T1452" t="s">
        <v>29</v>
      </c>
      <c r="U1452" t="s">
        <v>79</v>
      </c>
    </row>
    <row r="1453" spans="1:21" x14ac:dyDescent="0.35">
      <c r="A1453" t="s">
        <v>1532</v>
      </c>
      <c r="B1453" s="1">
        <v>46218</v>
      </c>
      <c r="C1453" t="str">
        <f>TEXT(tblData[[#This Row],[Rental Date]],"mmm")</f>
        <v>Jul</v>
      </c>
      <c r="D1453" t="str">
        <f>TEXT(tblData[[#This Row],[Rental Date]],"mmmm")</f>
        <v>July</v>
      </c>
      <c r="E1453" t="s">
        <v>109</v>
      </c>
      <c r="F1453" t="str">
        <f>TEXT(WEEKNUM(tblData[[#This Row],[Rental Date]]),"00")</f>
        <v>29</v>
      </c>
      <c r="G1453" s="1">
        <f>EOMONTH(tblData[[#This Row],[Rental Date]],0)</f>
        <v>46234</v>
      </c>
      <c r="H1453" t="s">
        <v>749</v>
      </c>
      <c r="I1453" t="s">
        <v>39</v>
      </c>
      <c r="J1453" t="s">
        <v>127</v>
      </c>
      <c r="K1453" t="s">
        <v>40</v>
      </c>
      <c r="L1453">
        <v>1</v>
      </c>
      <c r="M1453" s="2">
        <v>26.88</v>
      </c>
      <c r="N1453" t="s">
        <v>26</v>
      </c>
      <c r="O1453" s="3">
        <v>0</v>
      </c>
      <c r="P1453" s="3">
        <v>0</v>
      </c>
      <c r="Q1453" s="2">
        <v>26.88</v>
      </c>
      <c r="R1453" t="s">
        <v>45</v>
      </c>
      <c r="S1453" t="s">
        <v>50</v>
      </c>
      <c r="T1453" t="s">
        <v>29</v>
      </c>
      <c r="U1453" t="s">
        <v>30</v>
      </c>
    </row>
    <row r="1454" spans="1:21" x14ac:dyDescent="0.35">
      <c r="A1454" t="s">
        <v>1533</v>
      </c>
      <c r="B1454" s="1">
        <v>46218</v>
      </c>
      <c r="C1454" t="str">
        <f>TEXT(tblData[[#This Row],[Rental Date]],"mmm")</f>
        <v>Jul</v>
      </c>
      <c r="D1454" t="str">
        <f>TEXT(tblData[[#This Row],[Rental Date]],"mmmm")</f>
        <v>July</v>
      </c>
      <c r="E1454" t="s">
        <v>109</v>
      </c>
      <c r="F1454" t="str">
        <f>TEXT(WEEKNUM(tblData[[#This Row],[Rental Date]]),"00")</f>
        <v>29</v>
      </c>
      <c r="G1454" s="1">
        <f>EOMONTH(tblData[[#This Row],[Rental Date]],0)</f>
        <v>46234</v>
      </c>
      <c r="H1454" t="s">
        <v>749</v>
      </c>
      <c r="I1454" t="s">
        <v>39</v>
      </c>
      <c r="J1454" t="s">
        <v>44</v>
      </c>
      <c r="K1454" t="s">
        <v>60</v>
      </c>
      <c r="L1454">
        <v>1</v>
      </c>
      <c r="M1454" s="2">
        <v>38.08</v>
      </c>
      <c r="N1454" t="s">
        <v>26</v>
      </c>
      <c r="O1454" s="3">
        <v>0</v>
      </c>
      <c r="P1454" s="3">
        <v>0</v>
      </c>
      <c r="Q1454" s="2">
        <v>38.08</v>
      </c>
      <c r="R1454" t="s">
        <v>34</v>
      </c>
      <c r="S1454" t="s">
        <v>35</v>
      </c>
      <c r="T1454" t="s">
        <v>51</v>
      </c>
      <c r="U1454" t="s">
        <v>30</v>
      </c>
    </row>
    <row r="1455" spans="1:21" x14ac:dyDescent="0.35">
      <c r="A1455" t="s">
        <v>1534</v>
      </c>
      <c r="B1455" s="1">
        <v>46218</v>
      </c>
      <c r="C1455" t="str">
        <f>TEXT(tblData[[#This Row],[Rental Date]],"mmm")</f>
        <v>Jul</v>
      </c>
      <c r="D1455" t="str">
        <f>TEXT(tblData[[#This Row],[Rental Date]],"mmmm")</f>
        <v>July</v>
      </c>
      <c r="E1455" t="s">
        <v>109</v>
      </c>
      <c r="F1455" t="str">
        <f>TEXT(WEEKNUM(tblData[[#This Row],[Rental Date]]),"00")</f>
        <v>29</v>
      </c>
      <c r="G1455" s="1">
        <f>EOMONTH(tblData[[#This Row],[Rental Date]],0)</f>
        <v>46234</v>
      </c>
      <c r="H1455" t="s">
        <v>749</v>
      </c>
      <c r="I1455" t="s">
        <v>23</v>
      </c>
      <c r="J1455" t="s">
        <v>78</v>
      </c>
      <c r="K1455" t="s">
        <v>25</v>
      </c>
      <c r="L1455">
        <v>1</v>
      </c>
      <c r="M1455" s="2">
        <v>47.04</v>
      </c>
      <c r="N1455" t="s">
        <v>26</v>
      </c>
      <c r="O1455" s="3">
        <v>0</v>
      </c>
      <c r="P1455" s="3">
        <v>0</v>
      </c>
      <c r="Q1455" s="2">
        <v>47.04</v>
      </c>
      <c r="R1455" t="s">
        <v>27</v>
      </c>
      <c r="S1455" t="s">
        <v>54</v>
      </c>
      <c r="T1455" t="s">
        <v>29</v>
      </c>
      <c r="U1455" t="s">
        <v>30</v>
      </c>
    </row>
    <row r="1456" spans="1:21" x14ac:dyDescent="0.35">
      <c r="A1456" t="s">
        <v>1535</v>
      </c>
      <c r="B1456" s="1">
        <v>46218</v>
      </c>
      <c r="C1456" t="str">
        <f>TEXT(tblData[[#This Row],[Rental Date]],"mmm")</f>
        <v>Jul</v>
      </c>
      <c r="D1456" t="str">
        <f>TEXT(tblData[[#This Row],[Rental Date]],"mmmm")</f>
        <v>July</v>
      </c>
      <c r="E1456" t="s">
        <v>109</v>
      </c>
      <c r="F1456" t="str">
        <f>TEXT(WEEKNUM(tblData[[#This Row],[Rental Date]]),"00")</f>
        <v>29</v>
      </c>
      <c r="G1456" s="1">
        <f>EOMONTH(tblData[[#This Row],[Rental Date]],0)</f>
        <v>46234</v>
      </c>
      <c r="H1456" t="s">
        <v>749</v>
      </c>
      <c r="I1456" t="s">
        <v>23</v>
      </c>
      <c r="J1456" t="s">
        <v>33</v>
      </c>
      <c r="K1456" t="s">
        <v>60</v>
      </c>
      <c r="L1456">
        <v>1</v>
      </c>
      <c r="M1456" s="2">
        <v>26.88</v>
      </c>
      <c r="N1456" t="s">
        <v>41</v>
      </c>
      <c r="O1456" s="3">
        <v>5</v>
      </c>
      <c r="P1456" s="3">
        <v>0</v>
      </c>
      <c r="Q1456" s="2">
        <v>31.88</v>
      </c>
      <c r="R1456" t="s">
        <v>94</v>
      </c>
      <c r="S1456" t="s">
        <v>35</v>
      </c>
      <c r="T1456" t="s">
        <v>29</v>
      </c>
      <c r="U1456" t="s">
        <v>30</v>
      </c>
    </row>
    <row r="1457" spans="1:21" x14ac:dyDescent="0.35">
      <c r="A1457" t="s">
        <v>1536</v>
      </c>
      <c r="B1457" s="1">
        <v>46218</v>
      </c>
      <c r="C1457" t="str">
        <f>TEXT(tblData[[#This Row],[Rental Date]],"mmm")</f>
        <v>Jul</v>
      </c>
      <c r="D1457" t="str">
        <f>TEXT(tblData[[#This Row],[Rental Date]],"mmmm")</f>
        <v>July</v>
      </c>
      <c r="E1457" t="s">
        <v>109</v>
      </c>
      <c r="F1457" t="str">
        <f>TEXT(WEEKNUM(tblData[[#This Row],[Rental Date]]),"00")</f>
        <v>29</v>
      </c>
      <c r="G1457" s="1">
        <f>EOMONTH(tblData[[#This Row],[Rental Date]],0)</f>
        <v>46234</v>
      </c>
      <c r="H1457" t="s">
        <v>749</v>
      </c>
      <c r="I1457" t="s">
        <v>39</v>
      </c>
      <c r="J1457" t="s">
        <v>33</v>
      </c>
      <c r="K1457" t="s">
        <v>40</v>
      </c>
      <c r="L1457">
        <v>1</v>
      </c>
      <c r="M1457" s="2">
        <v>64.959999999999994</v>
      </c>
      <c r="N1457" t="s">
        <v>41</v>
      </c>
      <c r="O1457" s="3">
        <v>5</v>
      </c>
      <c r="P1457" s="3">
        <v>0</v>
      </c>
      <c r="Q1457" s="2">
        <v>69.959999999999994</v>
      </c>
      <c r="R1457" t="s">
        <v>66</v>
      </c>
      <c r="S1457" t="s">
        <v>54</v>
      </c>
      <c r="T1457" t="s">
        <v>90</v>
      </c>
      <c r="U1457" t="s">
        <v>30</v>
      </c>
    </row>
    <row r="1458" spans="1:21" x14ac:dyDescent="0.35">
      <c r="A1458" t="s">
        <v>1537</v>
      </c>
      <c r="B1458" s="1">
        <v>46218</v>
      </c>
      <c r="C1458" t="str">
        <f>TEXT(tblData[[#This Row],[Rental Date]],"mmm")</f>
        <v>Jul</v>
      </c>
      <c r="D1458" t="str">
        <f>TEXT(tblData[[#This Row],[Rental Date]],"mmmm")</f>
        <v>July</v>
      </c>
      <c r="E1458" t="s">
        <v>109</v>
      </c>
      <c r="F1458" t="str">
        <f>TEXT(WEEKNUM(tblData[[#This Row],[Rental Date]]),"00")</f>
        <v>29</v>
      </c>
      <c r="G1458" s="1">
        <f>EOMONTH(tblData[[#This Row],[Rental Date]],0)</f>
        <v>46234</v>
      </c>
      <c r="H1458" t="s">
        <v>749</v>
      </c>
      <c r="I1458" t="s">
        <v>48</v>
      </c>
      <c r="J1458" t="s">
        <v>49</v>
      </c>
      <c r="K1458" t="s">
        <v>40</v>
      </c>
      <c r="L1458">
        <v>1</v>
      </c>
      <c r="M1458" s="2">
        <v>60.48</v>
      </c>
      <c r="N1458" t="s">
        <v>89</v>
      </c>
      <c r="O1458" s="3">
        <v>6</v>
      </c>
      <c r="P1458" s="3">
        <v>0</v>
      </c>
      <c r="Q1458" s="2">
        <v>66.48</v>
      </c>
      <c r="R1458" t="s">
        <v>94</v>
      </c>
      <c r="S1458" t="s">
        <v>50</v>
      </c>
      <c r="T1458" t="s">
        <v>29</v>
      </c>
      <c r="U1458" t="s">
        <v>30</v>
      </c>
    </row>
    <row r="1459" spans="1:21" x14ac:dyDescent="0.35">
      <c r="A1459" t="s">
        <v>1538</v>
      </c>
      <c r="B1459" s="1">
        <v>46218</v>
      </c>
      <c r="C1459" t="str">
        <f>TEXT(tblData[[#This Row],[Rental Date]],"mmm")</f>
        <v>Jul</v>
      </c>
      <c r="D1459" t="str">
        <f>TEXT(tblData[[#This Row],[Rental Date]],"mmmm")</f>
        <v>July</v>
      </c>
      <c r="E1459" t="s">
        <v>109</v>
      </c>
      <c r="F1459" t="str">
        <f>TEXT(WEEKNUM(tblData[[#This Row],[Rental Date]]),"00")</f>
        <v>29</v>
      </c>
      <c r="G1459" s="1">
        <f>EOMONTH(tblData[[#This Row],[Rental Date]],0)</f>
        <v>46234</v>
      </c>
      <c r="H1459" t="s">
        <v>749</v>
      </c>
      <c r="I1459" t="s">
        <v>48</v>
      </c>
      <c r="J1459" t="s">
        <v>49</v>
      </c>
      <c r="K1459" t="s">
        <v>25</v>
      </c>
      <c r="L1459">
        <v>1</v>
      </c>
      <c r="M1459" s="2">
        <v>40.32</v>
      </c>
      <c r="N1459" t="s">
        <v>89</v>
      </c>
      <c r="O1459" s="3">
        <v>6</v>
      </c>
      <c r="P1459" s="3">
        <v>0</v>
      </c>
      <c r="Q1459" s="2">
        <v>46.32</v>
      </c>
      <c r="R1459" t="s">
        <v>71</v>
      </c>
      <c r="S1459" t="s">
        <v>46</v>
      </c>
      <c r="T1459" t="s">
        <v>29</v>
      </c>
      <c r="U1459" t="s">
        <v>30</v>
      </c>
    </row>
    <row r="1460" spans="1:21" x14ac:dyDescent="0.35">
      <c r="A1460" t="s">
        <v>1539</v>
      </c>
      <c r="B1460" s="1">
        <v>46218</v>
      </c>
      <c r="C1460" t="str">
        <f>TEXT(tblData[[#This Row],[Rental Date]],"mmm")</f>
        <v>Jul</v>
      </c>
      <c r="D1460" t="str">
        <f>TEXT(tblData[[#This Row],[Rental Date]],"mmmm")</f>
        <v>July</v>
      </c>
      <c r="E1460" t="s">
        <v>109</v>
      </c>
      <c r="F1460" t="str">
        <f>TEXT(WEEKNUM(tblData[[#This Row],[Rental Date]]),"00")</f>
        <v>29</v>
      </c>
      <c r="G1460" s="1">
        <f>EOMONTH(tblData[[#This Row],[Rental Date]],0)</f>
        <v>46234</v>
      </c>
      <c r="H1460" t="s">
        <v>749</v>
      </c>
      <c r="I1460" t="s">
        <v>39</v>
      </c>
      <c r="J1460" t="s">
        <v>65</v>
      </c>
      <c r="K1460" t="s">
        <v>40</v>
      </c>
      <c r="L1460">
        <v>1</v>
      </c>
      <c r="M1460" s="2">
        <v>31.36</v>
      </c>
      <c r="N1460" t="s">
        <v>26</v>
      </c>
      <c r="O1460" s="3">
        <v>0</v>
      </c>
      <c r="P1460" s="3">
        <v>0</v>
      </c>
      <c r="Q1460" s="2">
        <v>31.36</v>
      </c>
      <c r="R1460" t="s">
        <v>62</v>
      </c>
      <c r="S1460" t="s">
        <v>28</v>
      </c>
      <c r="T1460" t="s">
        <v>83</v>
      </c>
      <c r="U1460" t="s">
        <v>30</v>
      </c>
    </row>
    <row r="1461" spans="1:21" x14ac:dyDescent="0.35">
      <c r="A1461" t="s">
        <v>1540</v>
      </c>
      <c r="B1461" s="1">
        <v>46218</v>
      </c>
      <c r="C1461" t="str">
        <f>TEXT(tblData[[#This Row],[Rental Date]],"mmm")</f>
        <v>Jul</v>
      </c>
      <c r="D1461" t="str">
        <f>TEXT(tblData[[#This Row],[Rental Date]],"mmmm")</f>
        <v>July</v>
      </c>
      <c r="E1461" t="s">
        <v>109</v>
      </c>
      <c r="F1461" t="str">
        <f>TEXT(WEEKNUM(tblData[[#This Row],[Rental Date]]),"00")</f>
        <v>29</v>
      </c>
      <c r="G1461" s="1">
        <f>EOMONTH(tblData[[#This Row],[Rental Date]],0)</f>
        <v>46234</v>
      </c>
      <c r="H1461" t="s">
        <v>749</v>
      </c>
      <c r="I1461" t="s">
        <v>23</v>
      </c>
      <c r="J1461" t="s">
        <v>44</v>
      </c>
      <c r="K1461" t="s">
        <v>60</v>
      </c>
      <c r="L1461">
        <v>1</v>
      </c>
      <c r="M1461" s="2">
        <v>38.08</v>
      </c>
      <c r="N1461" t="s">
        <v>89</v>
      </c>
      <c r="O1461" s="3">
        <v>6</v>
      </c>
      <c r="P1461" s="3">
        <v>0</v>
      </c>
      <c r="Q1461" s="2">
        <v>44.08</v>
      </c>
      <c r="R1461" t="s">
        <v>94</v>
      </c>
      <c r="S1461" t="s">
        <v>28</v>
      </c>
      <c r="T1461" t="s">
        <v>63</v>
      </c>
      <c r="U1461" t="s">
        <v>58</v>
      </c>
    </row>
    <row r="1462" spans="1:21" x14ac:dyDescent="0.35">
      <c r="A1462" t="s">
        <v>1541</v>
      </c>
      <c r="B1462" s="1">
        <v>46218</v>
      </c>
      <c r="C1462" t="str">
        <f>TEXT(tblData[[#This Row],[Rental Date]],"mmm")</f>
        <v>Jul</v>
      </c>
      <c r="D1462" t="str">
        <f>TEXT(tblData[[#This Row],[Rental Date]],"mmmm")</f>
        <v>July</v>
      </c>
      <c r="E1462" t="s">
        <v>109</v>
      </c>
      <c r="F1462" t="str">
        <f>TEXT(WEEKNUM(tblData[[#This Row],[Rental Date]]),"00")</f>
        <v>29</v>
      </c>
      <c r="G1462" s="1">
        <f>EOMONTH(tblData[[#This Row],[Rental Date]],0)</f>
        <v>46234</v>
      </c>
      <c r="H1462" t="s">
        <v>749</v>
      </c>
      <c r="I1462" t="s">
        <v>39</v>
      </c>
      <c r="J1462" t="s">
        <v>33</v>
      </c>
      <c r="K1462" t="s">
        <v>40</v>
      </c>
      <c r="L1462">
        <v>1</v>
      </c>
      <c r="M1462" s="2">
        <v>64.959999999999994</v>
      </c>
      <c r="N1462" t="s">
        <v>61</v>
      </c>
      <c r="O1462" s="3">
        <v>8</v>
      </c>
      <c r="P1462" s="3">
        <v>0</v>
      </c>
      <c r="Q1462" s="2">
        <v>72.959999999999994</v>
      </c>
      <c r="R1462" t="s">
        <v>76</v>
      </c>
      <c r="S1462" t="s">
        <v>50</v>
      </c>
      <c r="T1462" t="s">
        <v>29</v>
      </c>
      <c r="U1462" t="s">
        <v>58</v>
      </c>
    </row>
    <row r="1463" spans="1:21" x14ac:dyDescent="0.35">
      <c r="A1463" t="s">
        <v>1542</v>
      </c>
      <c r="B1463" s="1">
        <v>46219</v>
      </c>
      <c r="C1463" t="str">
        <f>TEXT(tblData[[#This Row],[Rental Date]],"mmm")</f>
        <v>Jul</v>
      </c>
      <c r="D1463" t="str">
        <f>TEXT(tblData[[#This Row],[Rental Date]],"mmmm")</f>
        <v>July</v>
      </c>
      <c r="E1463" t="s">
        <v>21</v>
      </c>
      <c r="F1463" t="str">
        <f>TEXT(WEEKNUM(tblData[[#This Row],[Rental Date]]),"00")</f>
        <v>29</v>
      </c>
      <c r="G1463" s="1">
        <f>EOMONTH(tblData[[#This Row],[Rental Date]],0)</f>
        <v>46234</v>
      </c>
      <c r="H1463" t="s">
        <v>749</v>
      </c>
      <c r="I1463" t="s">
        <v>23</v>
      </c>
      <c r="J1463" t="s">
        <v>49</v>
      </c>
      <c r="K1463" t="s">
        <v>40</v>
      </c>
      <c r="L1463">
        <v>1</v>
      </c>
      <c r="M1463" s="2">
        <v>60.48</v>
      </c>
      <c r="N1463" t="s">
        <v>26</v>
      </c>
      <c r="O1463" s="3">
        <v>0</v>
      </c>
      <c r="P1463" s="3">
        <v>0</v>
      </c>
      <c r="Q1463" s="2">
        <v>60.48</v>
      </c>
      <c r="R1463" t="s">
        <v>57</v>
      </c>
      <c r="S1463" t="s">
        <v>46</v>
      </c>
      <c r="T1463" t="s">
        <v>29</v>
      </c>
      <c r="U1463" t="s">
        <v>30</v>
      </c>
    </row>
    <row r="1464" spans="1:21" x14ac:dyDescent="0.35">
      <c r="A1464" t="s">
        <v>1543</v>
      </c>
      <c r="B1464" s="1">
        <v>46219</v>
      </c>
      <c r="C1464" t="str">
        <f>TEXT(tblData[[#This Row],[Rental Date]],"mmm")</f>
        <v>Jul</v>
      </c>
      <c r="D1464" t="str">
        <f>TEXT(tblData[[#This Row],[Rental Date]],"mmmm")</f>
        <v>July</v>
      </c>
      <c r="E1464" t="s">
        <v>21</v>
      </c>
      <c r="F1464" t="str">
        <f>TEXT(WEEKNUM(tblData[[#This Row],[Rental Date]]),"00")</f>
        <v>29</v>
      </c>
      <c r="G1464" s="1">
        <f>EOMONTH(tblData[[#This Row],[Rental Date]],0)</f>
        <v>46234</v>
      </c>
      <c r="H1464" t="s">
        <v>749</v>
      </c>
      <c r="I1464" t="s">
        <v>48</v>
      </c>
      <c r="J1464" t="s">
        <v>78</v>
      </c>
      <c r="K1464" t="s">
        <v>25</v>
      </c>
      <c r="L1464">
        <v>1</v>
      </c>
      <c r="M1464" s="2">
        <v>47.04</v>
      </c>
      <c r="N1464" t="s">
        <v>75</v>
      </c>
      <c r="O1464" s="3">
        <v>12</v>
      </c>
      <c r="P1464" s="3">
        <v>0</v>
      </c>
      <c r="Q1464" s="2">
        <v>59.04</v>
      </c>
      <c r="R1464" t="s">
        <v>62</v>
      </c>
      <c r="S1464" t="s">
        <v>35</v>
      </c>
      <c r="T1464" t="s">
        <v>90</v>
      </c>
      <c r="U1464" t="s">
        <v>58</v>
      </c>
    </row>
    <row r="1465" spans="1:21" x14ac:dyDescent="0.35">
      <c r="A1465" t="s">
        <v>1544</v>
      </c>
      <c r="B1465" s="1">
        <v>46219</v>
      </c>
      <c r="C1465" t="str">
        <f>TEXT(tblData[[#This Row],[Rental Date]],"mmm")</f>
        <v>Jul</v>
      </c>
      <c r="D1465" t="str">
        <f>TEXT(tblData[[#This Row],[Rental Date]],"mmmm")</f>
        <v>July</v>
      </c>
      <c r="E1465" t="s">
        <v>21</v>
      </c>
      <c r="F1465" t="str">
        <f>TEXT(WEEKNUM(tblData[[#This Row],[Rental Date]]),"00")</f>
        <v>29</v>
      </c>
      <c r="G1465" s="1">
        <f>EOMONTH(tblData[[#This Row],[Rental Date]],0)</f>
        <v>46234</v>
      </c>
      <c r="H1465" t="s">
        <v>749</v>
      </c>
      <c r="I1465" t="s">
        <v>32</v>
      </c>
      <c r="J1465" t="s">
        <v>33</v>
      </c>
      <c r="K1465" t="s">
        <v>92</v>
      </c>
      <c r="L1465">
        <v>1</v>
      </c>
      <c r="M1465" s="2">
        <v>94.08</v>
      </c>
      <c r="N1465" t="s">
        <v>26</v>
      </c>
      <c r="O1465" s="3">
        <v>0</v>
      </c>
      <c r="P1465" s="3">
        <v>4.7</v>
      </c>
      <c r="Q1465" s="2">
        <v>89.38</v>
      </c>
      <c r="R1465" t="s">
        <v>34</v>
      </c>
      <c r="S1465" t="s">
        <v>54</v>
      </c>
      <c r="T1465" t="s">
        <v>29</v>
      </c>
      <c r="U1465" t="s">
        <v>30</v>
      </c>
    </row>
    <row r="1466" spans="1:21" x14ac:dyDescent="0.35">
      <c r="A1466" t="s">
        <v>1545</v>
      </c>
      <c r="B1466" s="1">
        <v>46219</v>
      </c>
      <c r="C1466" t="str">
        <f>TEXT(tblData[[#This Row],[Rental Date]],"mmm")</f>
        <v>Jul</v>
      </c>
      <c r="D1466" t="str">
        <f>TEXT(tblData[[#This Row],[Rental Date]],"mmmm")</f>
        <v>July</v>
      </c>
      <c r="E1466" t="s">
        <v>21</v>
      </c>
      <c r="F1466" t="str">
        <f>TEXT(WEEKNUM(tblData[[#This Row],[Rental Date]]),"00")</f>
        <v>29</v>
      </c>
      <c r="G1466" s="1">
        <f>EOMONTH(tblData[[#This Row],[Rental Date]],0)</f>
        <v>46234</v>
      </c>
      <c r="H1466" t="s">
        <v>749</v>
      </c>
      <c r="I1466" t="s">
        <v>48</v>
      </c>
      <c r="J1466" t="s">
        <v>33</v>
      </c>
      <c r="K1466" t="s">
        <v>25</v>
      </c>
      <c r="L1466">
        <v>1</v>
      </c>
      <c r="M1466" s="2">
        <v>42.56</v>
      </c>
      <c r="N1466" t="s">
        <v>41</v>
      </c>
      <c r="O1466" s="3">
        <v>5</v>
      </c>
      <c r="P1466" s="3">
        <v>0</v>
      </c>
      <c r="Q1466" s="2">
        <v>47.56</v>
      </c>
      <c r="R1466" t="s">
        <v>42</v>
      </c>
      <c r="S1466" t="s">
        <v>50</v>
      </c>
      <c r="T1466" t="s">
        <v>29</v>
      </c>
      <c r="U1466" t="s">
        <v>30</v>
      </c>
    </row>
    <row r="1467" spans="1:21" x14ac:dyDescent="0.35">
      <c r="A1467" t="s">
        <v>1546</v>
      </c>
      <c r="B1467" s="1">
        <v>46219</v>
      </c>
      <c r="C1467" t="str">
        <f>TEXT(tblData[[#This Row],[Rental Date]],"mmm")</f>
        <v>Jul</v>
      </c>
      <c r="D1467" t="str">
        <f>TEXT(tblData[[#This Row],[Rental Date]],"mmmm")</f>
        <v>July</v>
      </c>
      <c r="E1467" t="s">
        <v>21</v>
      </c>
      <c r="F1467" t="str">
        <f>TEXT(WEEKNUM(tblData[[#This Row],[Rental Date]]),"00")</f>
        <v>29</v>
      </c>
      <c r="G1467" s="1">
        <f>EOMONTH(tblData[[#This Row],[Rental Date]],0)</f>
        <v>46234</v>
      </c>
      <c r="H1467" t="s">
        <v>749</v>
      </c>
      <c r="I1467" t="s">
        <v>39</v>
      </c>
      <c r="J1467" t="s">
        <v>33</v>
      </c>
      <c r="K1467" t="s">
        <v>60</v>
      </c>
      <c r="L1467">
        <v>1</v>
      </c>
      <c r="M1467" s="2">
        <v>26.88</v>
      </c>
      <c r="N1467" t="s">
        <v>75</v>
      </c>
      <c r="O1467" s="3">
        <v>12</v>
      </c>
      <c r="P1467" s="3">
        <v>0</v>
      </c>
      <c r="Q1467" s="2">
        <v>38.880000000000003</v>
      </c>
      <c r="R1467" t="s">
        <v>45</v>
      </c>
      <c r="S1467" t="s">
        <v>46</v>
      </c>
      <c r="T1467" t="s">
        <v>63</v>
      </c>
      <c r="U1467" t="s">
        <v>30</v>
      </c>
    </row>
    <row r="1468" spans="1:21" x14ac:dyDescent="0.35">
      <c r="A1468" t="s">
        <v>1547</v>
      </c>
      <c r="B1468" s="1">
        <v>46219</v>
      </c>
      <c r="C1468" t="str">
        <f>TEXT(tblData[[#This Row],[Rental Date]],"mmm")</f>
        <v>Jul</v>
      </c>
      <c r="D1468" t="str">
        <f>TEXT(tblData[[#This Row],[Rental Date]],"mmmm")</f>
        <v>July</v>
      </c>
      <c r="E1468" t="s">
        <v>21</v>
      </c>
      <c r="F1468" t="str">
        <f>TEXT(WEEKNUM(tblData[[#This Row],[Rental Date]]),"00")</f>
        <v>29</v>
      </c>
      <c r="G1468" s="1">
        <f>EOMONTH(tblData[[#This Row],[Rental Date]],0)</f>
        <v>46234</v>
      </c>
      <c r="H1468" t="s">
        <v>749</v>
      </c>
      <c r="I1468" t="s">
        <v>23</v>
      </c>
      <c r="J1468" t="s">
        <v>49</v>
      </c>
      <c r="K1468" t="s">
        <v>60</v>
      </c>
      <c r="L1468">
        <v>1</v>
      </c>
      <c r="M1468" s="2">
        <v>24.64</v>
      </c>
      <c r="N1468" t="s">
        <v>26</v>
      </c>
      <c r="O1468" s="3">
        <v>0</v>
      </c>
      <c r="P1468" s="3">
        <v>0</v>
      </c>
      <c r="Q1468" s="2">
        <v>24.64</v>
      </c>
      <c r="R1468" t="s">
        <v>57</v>
      </c>
      <c r="S1468" t="s">
        <v>50</v>
      </c>
      <c r="T1468" t="s">
        <v>29</v>
      </c>
      <c r="U1468" t="s">
        <v>58</v>
      </c>
    </row>
    <row r="1469" spans="1:21" x14ac:dyDescent="0.35">
      <c r="A1469" t="s">
        <v>1548</v>
      </c>
      <c r="B1469" s="1">
        <v>46219</v>
      </c>
      <c r="C1469" t="str">
        <f>TEXT(tblData[[#This Row],[Rental Date]],"mmm")</f>
        <v>Jul</v>
      </c>
      <c r="D1469" t="str">
        <f>TEXT(tblData[[#This Row],[Rental Date]],"mmmm")</f>
        <v>July</v>
      </c>
      <c r="E1469" t="s">
        <v>21</v>
      </c>
      <c r="F1469" t="str">
        <f>TEXT(WEEKNUM(tblData[[#This Row],[Rental Date]]),"00")</f>
        <v>29</v>
      </c>
      <c r="G1469" s="1">
        <f>EOMONTH(tblData[[#This Row],[Rental Date]],0)</f>
        <v>46234</v>
      </c>
      <c r="H1469" t="s">
        <v>749</v>
      </c>
      <c r="I1469" t="s">
        <v>23</v>
      </c>
      <c r="J1469" t="s">
        <v>127</v>
      </c>
      <c r="K1469" t="s">
        <v>25</v>
      </c>
      <c r="L1469">
        <v>1</v>
      </c>
      <c r="M1469" s="2">
        <v>17.920000000000002</v>
      </c>
      <c r="N1469" t="s">
        <v>26</v>
      </c>
      <c r="O1469" s="3">
        <v>0</v>
      </c>
      <c r="P1469" s="3">
        <v>0</v>
      </c>
      <c r="Q1469" s="2">
        <v>17.920000000000002</v>
      </c>
      <c r="R1469" t="s">
        <v>71</v>
      </c>
      <c r="S1469" t="s">
        <v>50</v>
      </c>
      <c r="T1469" t="s">
        <v>29</v>
      </c>
      <c r="U1469" t="s">
        <v>30</v>
      </c>
    </row>
    <row r="1470" spans="1:21" x14ac:dyDescent="0.35">
      <c r="A1470" t="s">
        <v>1549</v>
      </c>
      <c r="B1470" s="1">
        <v>46219</v>
      </c>
      <c r="C1470" t="str">
        <f>TEXT(tblData[[#This Row],[Rental Date]],"mmm")</f>
        <v>Jul</v>
      </c>
      <c r="D1470" t="str">
        <f>TEXT(tblData[[#This Row],[Rental Date]],"mmmm")</f>
        <v>July</v>
      </c>
      <c r="E1470" t="s">
        <v>21</v>
      </c>
      <c r="F1470" t="str">
        <f>TEXT(WEEKNUM(tblData[[#This Row],[Rental Date]]),"00")</f>
        <v>29</v>
      </c>
      <c r="G1470" s="1">
        <f>EOMONTH(tblData[[#This Row],[Rental Date]],0)</f>
        <v>46234</v>
      </c>
      <c r="H1470" t="s">
        <v>749</v>
      </c>
      <c r="I1470" t="s">
        <v>39</v>
      </c>
      <c r="J1470" t="s">
        <v>111</v>
      </c>
      <c r="K1470" t="s">
        <v>92</v>
      </c>
      <c r="L1470">
        <v>1</v>
      </c>
      <c r="M1470" s="2">
        <v>53.76</v>
      </c>
      <c r="N1470" t="s">
        <v>26</v>
      </c>
      <c r="O1470" s="3">
        <v>0</v>
      </c>
      <c r="P1470" s="3">
        <v>0</v>
      </c>
      <c r="Q1470" s="2">
        <v>53.76</v>
      </c>
      <c r="R1470" t="s">
        <v>45</v>
      </c>
      <c r="S1470" t="s">
        <v>54</v>
      </c>
      <c r="T1470" t="s">
        <v>90</v>
      </c>
      <c r="U1470" t="s">
        <v>30</v>
      </c>
    </row>
    <row r="1471" spans="1:21" x14ac:dyDescent="0.35">
      <c r="A1471" t="s">
        <v>1550</v>
      </c>
      <c r="B1471" s="1">
        <v>46219</v>
      </c>
      <c r="C1471" t="str">
        <f>TEXT(tblData[[#This Row],[Rental Date]],"mmm")</f>
        <v>Jul</v>
      </c>
      <c r="D1471" t="str">
        <f>TEXT(tblData[[#This Row],[Rental Date]],"mmmm")</f>
        <v>July</v>
      </c>
      <c r="E1471" t="s">
        <v>21</v>
      </c>
      <c r="F1471" t="str">
        <f>TEXT(WEEKNUM(tblData[[#This Row],[Rental Date]]),"00")</f>
        <v>29</v>
      </c>
      <c r="G1471" s="1">
        <f>EOMONTH(tblData[[#This Row],[Rental Date]],0)</f>
        <v>46234</v>
      </c>
      <c r="H1471" t="s">
        <v>749</v>
      </c>
      <c r="I1471" t="s">
        <v>48</v>
      </c>
      <c r="J1471" t="s">
        <v>138</v>
      </c>
      <c r="K1471" t="s">
        <v>25</v>
      </c>
      <c r="L1471">
        <v>1</v>
      </c>
      <c r="M1471" s="2">
        <v>53.76</v>
      </c>
      <c r="N1471" t="s">
        <v>26</v>
      </c>
      <c r="O1471" s="3">
        <v>0</v>
      </c>
      <c r="P1471" s="3">
        <v>2.69</v>
      </c>
      <c r="Q1471" s="2">
        <v>51.07</v>
      </c>
      <c r="R1471" t="s">
        <v>62</v>
      </c>
      <c r="S1471" t="s">
        <v>50</v>
      </c>
      <c r="T1471" t="s">
        <v>29</v>
      </c>
      <c r="U1471" t="s">
        <v>30</v>
      </c>
    </row>
    <row r="1472" spans="1:21" x14ac:dyDescent="0.35">
      <c r="A1472" t="s">
        <v>1551</v>
      </c>
      <c r="B1472" s="1">
        <v>46219</v>
      </c>
      <c r="C1472" t="str">
        <f>TEXT(tblData[[#This Row],[Rental Date]],"mmm")</f>
        <v>Jul</v>
      </c>
      <c r="D1472" t="str">
        <f>TEXT(tblData[[#This Row],[Rental Date]],"mmmm")</f>
        <v>July</v>
      </c>
      <c r="E1472" t="s">
        <v>21</v>
      </c>
      <c r="F1472" t="str">
        <f>TEXT(WEEKNUM(tblData[[#This Row],[Rental Date]]),"00")</f>
        <v>29</v>
      </c>
      <c r="G1472" s="1">
        <f>EOMONTH(tblData[[#This Row],[Rental Date]],0)</f>
        <v>46234</v>
      </c>
      <c r="H1472" t="s">
        <v>749</v>
      </c>
      <c r="I1472" t="s">
        <v>39</v>
      </c>
      <c r="J1472" t="s">
        <v>138</v>
      </c>
      <c r="K1472" t="s">
        <v>40</v>
      </c>
      <c r="L1472">
        <v>1</v>
      </c>
      <c r="M1472" s="2">
        <v>80.64</v>
      </c>
      <c r="N1472" t="s">
        <v>26</v>
      </c>
      <c r="O1472" s="3">
        <v>0</v>
      </c>
      <c r="P1472" s="3">
        <v>0</v>
      </c>
      <c r="Q1472" s="2">
        <v>80.64</v>
      </c>
      <c r="R1472" t="s">
        <v>45</v>
      </c>
      <c r="S1472" t="s">
        <v>35</v>
      </c>
      <c r="T1472" t="s">
        <v>51</v>
      </c>
      <c r="U1472" t="s">
        <v>30</v>
      </c>
    </row>
    <row r="1473" spans="1:21" x14ac:dyDescent="0.35">
      <c r="A1473" t="s">
        <v>1552</v>
      </c>
      <c r="B1473" s="1">
        <v>46219</v>
      </c>
      <c r="C1473" t="str">
        <f>TEXT(tblData[[#This Row],[Rental Date]],"mmm")</f>
        <v>Jul</v>
      </c>
      <c r="D1473" t="str">
        <f>TEXT(tblData[[#This Row],[Rental Date]],"mmmm")</f>
        <v>July</v>
      </c>
      <c r="E1473" t="s">
        <v>21</v>
      </c>
      <c r="F1473" t="str">
        <f>TEXT(WEEKNUM(tblData[[#This Row],[Rental Date]]),"00")</f>
        <v>29</v>
      </c>
      <c r="G1473" s="1">
        <f>EOMONTH(tblData[[#This Row],[Rental Date]],0)</f>
        <v>46234</v>
      </c>
      <c r="H1473" t="s">
        <v>749</v>
      </c>
      <c r="I1473" t="s">
        <v>48</v>
      </c>
      <c r="J1473" t="s">
        <v>33</v>
      </c>
      <c r="K1473" t="s">
        <v>60</v>
      </c>
      <c r="L1473">
        <v>1</v>
      </c>
      <c r="M1473" s="2">
        <v>26.88</v>
      </c>
      <c r="N1473" t="s">
        <v>41</v>
      </c>
      <c r="O1473" s="3">
        <v>5</v>
      </c>
      <c r="P1473" s="3">
        <v>0</v>
      </c>
      <c r="Q1473" s="2">
        <v>31.88</v>
      </c>
      <c r="R1473" t="s">
        <v>62</v>
      </c>
      <c r="S1473" t="s">
        <v>50</v>
      </c>
      <c r="T1473" t="s">
        <v>29</v>
      </c>
      <c r="U1473" t="s">
        <v>30</v>
      </c>
    </row>
    <row r="1474" spans="1:21" x14ac:dyDescent="0.35">
      <c r="A1474" t="s">
        <v>1553</v>
      </c>
      <c r="B1474" s="1">
        <v>46219</v>
      </c>
      <c r="C1474" t="str">
        <f>TEXT(tblData[[#This Row],[Rental Date]],"mmm")</f>
        <v>Jul</v>
      </c>
      <c r="D1474" t="str">
        <f>TEXT(tblData[[#This Row],[Rental Date]],"mmmm")</f>
        <v>July</v>
      </c>
      <c r="E1474" t="s">
        <v>21</v>
      </c>
      <c r="F1474" t="str">
        <f>TEXT(WEEKNUM(tblData[[#This Row],[Rental Date]]),"00")</f>
        <v>29</v>
      </c>
      <c r="G1474" s="1">
        <f>EOMONTH(tblData[[#This Row],[Rental Date]],0)</f>
        <v>46234</v>
      </c>
      <c r="H1474" t="s">
        <v>749</v>
      </c>
      <c r="I1474" t="s">
        <v>39</v>
      </c>
      <c r="J1474" t="s">
        <v>127</v>
      </c>
      <c r="K1474" t="s">
        <v>40</v>
      </c>
      <c r="L1474">
        <v>1</v>
      </c>
      <c r="M1474" s="2">
        <v>26.88</v>
      </c>
      <c r="N1474" t="s">
        <v>26</v>
      </c>
      <c r="O1474" s="3">
        <v>0</v>
      </c>
      <c r="P1474" s="3">
        <v>1.34</v>
      </c>
      <c r="Q1474" s="2">
        <v>25.54</v>
      </c>
      <c r="R1474" t="s">
        <v>42</v>
      </c>
      <c r="S1474" t="s">
        <v>46</v>
      </c>
      <c r="T1474" t="s">
        <v>29</v>
      </c>
      <c r="U1474" t="s">
        <v>30</v>
      </c>
    </row>
    <row r="1475" spans="1:21" x14ac:dyDescent="0.35">
      <c r="A1475" t="s">
        <v>1554</v>
      </c>
      <c r="B1475" s="1">
        <v>46219</v>
      </c>
      <c r="C1475" t="str">
        <f>TEXT(tblData[[#This Row],[Rental Date]],"mmm")</f>
        <v>Jul</v>
      </c>
      <c r="D1475" t="str">
        <f>TEXT(tblData[[#This Row],[Rental Date]],"mmmm")</f>
        <v>July</v>
      </c>
      <c r="E1475" t="s">
        <v>21</v>
      </c>
      <c r="F1475" t="str">
        <f>TEXT(WEEKNUM(tblData[[#This Row],[Rental Date]]),"00")</f>
        <v>29</v>
      </c>
      <c r="G1475" s="1">
        <f>EOMONTH(tblData[[#This Row],[Rental Date]],0)</f>
        <v>46234</v>
      </c>
      <c r="H1475" t="s">
        <v>749</v>
      </c>
      <c r="I1475" t="s">
        <v>23</v>
      </c>
      <c r="J1475" t="s">
        <v>78</v>
      </c>
      <c r="K1475" t="s">
        <v>92</v>
      </c>
      <c r="L1475">
        <v>1</v>
      </c>
      <c r="M1475" s="2">
        <v>98.56</v>
      </c>
      <c r="N1475" t="s">
        <v>26</v>
      </c>
      <c r="O1475" s="3">
        <v>0</v>
      </c>
      <c r="P1475" s="3">
        <v>0</v>
      </c>
      <c r="Q1475" s="2">
        <v>98.56</v>
      </c>
      <c r="R1475" t="s">
        <v>66</v>
      </c>
      <c r="S1475" t="s">
        <v>54</v>
      </c>
      <c r="T1475" t="s">
        <v>29</v>
      </c>
      <c r="U1475" t="s">
        <v>58</v>
      </c>
    </row>
    <row r="1476" spans="1:21" x14ac:dyDescent="0.35">
      <c r="A1476" t="s">
        <v>1555</v>
      </c>
      <c r="B1476" s="1">
        <v>46219</v>
      </c>
      <c r="C1476" t="str">
        <f>TEXT(tblData[[#This Row],[Rental Date]],"mmm")</f>
        <v>Jul</v>
      </c>
      <c r="D1476" t="str">
        <f>TEXT(tblData[[#This Row],[Rental Date]],"mmmm")</f>
        <v>July</v>
      </c>
      <c r="E1476" t="s">
        <v>21</v>
      </c>
      <c r="F1476" t="str">
        <f>TEXT(WEEKNUM(tblData[[#This Row],[Rental Date]]),"00")</f>
        <v>29</v>
      </c>
      <c r="G1476" s="1">
        <f>EOMONTH(tblData[[#This Row],[Rental Date]],0)</f>
        <v>46234</v>
      </c>
      <c r="H1476" t="s">
        <v>749</v>
      </c>
      <c r="I1476" t="s">
        <v>48</v>
      </c>
      <c r="J1476" t="s">
        <v>33</v>
      </c>
      <c r="K1476" t="s">
        <v>40</v>
      </c>
      <c r="L1476">
        <v>1</v>
      </c>
      <c r="M1476" s="2">
        <v>64.959999999999994</v>
      </c>
      <c r="N1476" t="s">
        <v>89</v>
      </c>
      <c r="O1476" s="3">
        <v>6</v>
      </c>
      <c r="P1476" s="3">
        <v>0</v>
      </c>
      <c r="Q1476" s="2">
        <v>70.959999999999994</v>
      </c>
      <c r="R1476" t="s">
        <v>42</v>
      </c>
      <c r="S1476" t="s">
        <v>50</v>
      </c>
      <c r="T1476" t="s">
        <v>51</v>
      </c>
      <c r="U1476" t="s">
        <v>30</v>
      </c>
    </row>
    <row r="1477" spans="1:21" x14ac:dyDescent="0.35">
      <c r="A1477" t="s">
        <v>1556</v>
      </c>
      <c r="B1477" s="1">
        <v>46219</v>
      </c>
      <c r="C1477" t="str">
        <f>TEXT(tblData[[#This Row],[Rental Date]],"mmm")</f>
        <v>Jul</v>
      </c>
      <c r="D1477" t="str">
        <f>TEXT(tblData[[#This Row],[Rental Date]],"mmmm")</f>
        <v>July</v>
      </c>
      <c r="E1477" t="s">
        <v>21</v>
      </c>
      <c r="F1477" t="str">
        <f>TEXT(WEEKNUM(tblData[[#This Row],[Rental Date]]),"00")</f>
        <v>29</v>
      </c>
      <c r="G1477" s="1">
        <f>EOMONTH(tblData[[#This Row],[Rental Date]],0)</f>
        <v>46234</v>
      </c>
      <c r="H1477" t="s">
        <v>749</v>
      </c>
      <c r="I1477" t="s">
        <v>39</v>
      </c>
      <c r="J1477" t="s">
        <v>111</v>
      </c>
      <c r="K1477" t="s">
        <v>25</v>
      </c>
      <c r="L1477">
        <v>1</v>
      </c>
      <c r="M1477" s="2">
        <v>24.64</v>
      </c>
      <c r="N1477" t="s">
        <v>26</v>
      </c>
      <c r="O1477" s="3">
        <v>0</v>
      </c>
      <c r="P1477" s="3">
        <v>0</v>
      </c>
      <c r="Q1477" s="2">
        <v>24.64</v>
      </c>
      <c r="R1477" t="s">
        <v>45</v>
      </c>
      <c r="S1477" t="s">
        <v>46</v>
      </c>
      <c r="T1477" t="s">
        <v>51</v>
      </c>
      <c r="U1477" t="s">
        <v>30</v>
      </c>
    </row>
    <row r="1478" spans="1:21" x14ac:dyDescent="0.35">
      <c r="A1478" t="s">
        <v>1557</v>
      </c>
      <c r="B1478" s="1">
        <v>46219</v>
      </c>
      <c r="C1478" t="str">
        <f>TEXT(tblData[[#This Row],[Rental Date]],"mmm")</f>
        <v>Jul</v>
      </c>
      <c r="D1478" t="str">
        <f>TEXT(tblData[[#This Row],[Rental Date]],"mmmm")</f>
        <v>July</v>
      </c>
      <c r="E1478" t="s">
        <v>21</v>
      </c>
      <c r="F1478" t="str">
        <f>TEXT(WEEKNUM(tblData[[#This Row],[Rental Date]]),"00")</f>
        <v>29</v>
      </c>
      <c r="G1478" s="1">
        <f>EOMONTH(tblData[[#This Row],[Rental Date]],0)</f>
        <v>46234</v>
      </c>
      <c r="H1478" t="s">
        <v>749</v>
      </c>
      <c r="I1478" t="s">
        <v>32</v>
      </c>
      <c r="J1478" t="s">
        <v>138</v>
      </c>
      <c r="K1478" t="s">
        <v>92</v>
      </c>
      <c r="L1478">
        <v>1</v>
      </c>
      <c r="M1478" s="2">
        <v>116.48</v>
      </c>
      <c r="N1478" t="s">
        <v>87</v>
      </c>
      <c r="O1478" s="3">
        <v>10</v>
      </c>
      <c r="P1478" s="3">
        <v>6.32</v>
      </c>
      <c r="Q1478" s="2">
        <v>120.16</v>
      </c>
      <c r="R1478" t="s">
        <v>42</v>
      </c>
      <c r="S1478" t="s">
        <v>46</v>
      </c>
      <c r="T1478" t="s">
        <v>29</v>
      </c>
      <c r="U1478" t="s">
        <v>30</v>
      </c>
    </row>
    <row r="1479" spans="1:21" x14ac:dyDescent="0.35">
      <c r="A1479" t="s">
        <v>1558</v>
      </c>
      <c r="B1479" s="1">
        <v>46219</v>
      </c>
      <c r="C1479" t="str">
        <f>TEXT(tblData[[#This Row],[Rental Date]],"mmm")</f>
        <v>Jul</v>
      </c>
      <c r="D1479" t="str">
        <f>TEXT(tblData[[#This Row],[Rental Date]],"mmmm")</f>
        <v>July</v>
      </c>
      <c r="E1479" t="s">
        <v>21</v>
      </c>
      <c r="F1479" t="str">
        <f>TEXT(WEEKNUM(tblData[[#This Row],[Rental Date]]),"00")</f>
        <v>29</v>
      </c>
      <c r="G1479" s="1">
        <f>EOMONTH(tblData[[#This Row],[Rental Date]],0)</f>
        <v>46234</v>
      </c>
      <c r="H1479" t="s">
        <v>749</v>
      </c>
      <c r="I1479" t="s">
        <v>23</v>
      </c>
      <c r="J1479" t="s">
        <v>78</v>
      </c>
      <c r="K1479" t="s">
        <v>40</v>
      </c>
      <c r="L1479">
        <v>1</v>
      </c>
      <c r="M1479" s="2">
        <v>69.44</v>
      </c>
      <c r="N1479" t="s">
        <v>26</v>
      </c>
      <c r="O1479" s="3">
        <v>0</v>
      </c>
      <c r="P1479" s="3">
        <v>3.47</v>
      </c>
      <c r="Q1479" s="2">
        <v>65.97</v>
      </c>
      <c r="R1479" t="s">
        <v>66</v>
      </c>
      <c r="S1479" t="s">
        <v>54</v>
      </c>
      <c r="T1479" t="s">
        <v>29</v>
      </c>
      <c r="U1479" t="s">
        <v>30</v>
      </c>
    </row>
    <row r="1480" spans="1:21" x14ac:dyDescent="0.35">
      <c r="A1480" t="s">
        <v>1559</v>
      </c>
      <c r="B1480" s="1">
        <v>46219</v>
      </c>
      <c r="C1480" t="str">
        <f>TEXT(tblData[[#This Row],[Rental Date]],"mmm")</f>
        <v>Jul</v>
      </c>
      <c r="D1480" t="str">
        <f>TEXT(tblData[[#This Row],[Rental Date]],"mmmm")</f>
        <v>July</v>
      </c>
      <c r="E1480" t="s">
        <v>21</v>
      </c>
      <c r="F1480" t="str">
        <f>TEXT(WEEKNUM(tblData[[#This Row],[Rental Date]]),"00")</f>
        <v>29</v>
      </c>
      <c r="G1480" s="1">
        <f>EOMONTH(tblData[[#This Row],[Rental Date]],0)</f>
        <v>46234</v>
      </c>
      <c r="H1480" t="s">
        <v>749</v>
      </c>
      <c r="I1480" t="s">
        <v>48</v>
      </c>
      <c r="J1480" t="s">
        <v>127</v>
      </c>
      <c r="K1480" t="s">
        <v>25</v>
      </c>
      <c r="L1480">
        <v>1</v>
      </c>
      <c r="M1480" s="2">
        <v>17.920000000000002</v>
      </c>
      <c r="N1480" t="s">
        <v>26</v>
      </c>
      <c r="O1480" s="3">
        <v>0</v>
      </c>
      <c r="P1480" s="3">
        <v>0</v>
      </c>
      <c r="Q1480" s="2">
        <v>17.920000000000002</v>
      </c>
      <c r="R1480" t="s">
        <v>42</v>
      </c>
      <c r="S1480" t="s">
        <v>54</v>
      </c>
      <c r="T1480" t="s">
        <v>51</v>
      </c>
      <c r="U1480" t="s">
        <v>30</v>
      </c>
    </row>
    <row r="1481" spans="1:21" x14ac:dyDescent="0.35">
      <c r="A1481" t="s">
        <v>1560</v>
      </c>
      <c r="B1481" s="1">
        <v>46219</v>
      </c>
      <c r="C1481" t="str">
        <f>TEXT(tblData[[#This Row],[Rental Date]],"mmm")</f>
        <v>Jul</v>
      </c>
      <c r="D1481" t="str">
        <f>TEXT(tblData[[#This Row],[Rental Date]],"mmmm")</f>
        <v>July</v>
      </c>
      <c r="E1481" t="s">
        <v>21</v>
      </c>
      <c r="F1481" t="str">
        <f>TEXT(WEEKNUM(tblData[[#This Row],[Rental Date]]),"00")</f>
        <v>29</v>
      </c>
      <c r="G1481" s="1">
        <f>EOMONTH(tblData[[#This Row],[Rental Date]],0)</f>
        <v>46234</v>
      </c>
      <c r="H1481" t="s">
        <v>749</v>
      </c>
      <c r="I1481" t="s">
        <v>39</v>
      </c>
      <c r="J1481" t="s">
        <v>44</v>
      </c>
      <c r="K1481" t="s">
        <v>60</v>
      </c>
      <c r="L1481">
        <v>1</v>
      </c>
      <c r="M1481" s="2">
        <v>38.08</v>
      </c>
      <c r="N1481" t="s">
        <v>89</v>
      </c>
      <c r="O1481" s="3">
        <v>6</v>
      </c>
      <c r="P1481" s="3">
        <v>0</v>
      </c>
      <c r="Q1481" s="2">
        <v>44.08</v>
      </c>
      <c r="R1481" t="s">
        <v>66</v>
      </c>
      <c r="S1481" t="s">
        <v>35</v>
      </c>
      <c r="T1481" t="s">
        <v>63</v>
      </c>
      <c r="U1481" t="s">
        <v>30</v>
      </c>
    </row>
    <row r="1482" spans="1:21" x14ac:dyDescent="0.35">
      <c r="A1482" t="s">
        <v>1561</v>
      </c>
      <c r="B1482" s="1">
        <v>46219</v>
      </c>
      <c r="C1482" t="str">
        <f>TEXT(tblData[[#This Row],[Rental Date]],"mmm")</f>
        <v>Jul</v>
      </c>
      <c r="D1482" t="str">
        <f>TEXT(tblData[[#This Row],[Rental Date]],"mmmm")</f>
        <v>July</v>
      </c>
      <c r="E1482" t="s">
        <v>21</v>
      </c>
      <c r="F1482" t="str">
        <f>TEXT(WEEKNUM(tblData[[#This Row],[Rental Date]]),"00")</f>
        <v>29</v>
      </c>
      <c r="G1482" s="1">
        <f>EOMONTH(tblData[[#This Row],[Rental Date]],0)</f>
        <v>46234</v>
      </c>
      <c r="H1482" t="s">
        <v>749</v>
      </c>
      <c r="I1482" t="s">
        <v>23</v>
      </c>
      <c r="J1482" t="s">
        <v>111</v>
      </c>
      <c r="K1482" t="s">
        <v>40</v>
      </c>
      <c r="L1482">
        <v>1</v>
      </c>
      <c r="M1482" s="2">
        <v>38.08</v>
      </c>
      <c r="N1482" t="s">
        <v>89</v>
      </c>
      <c r="O1482" s="3">
        <v>6</v>
      </c>
      <c r="P1482" s="3">
        <v>0</v>
      </c>
      <c r="Q1482" s="2">
        <v>44.08</v>
      </c>
      <c r="R1482" t="s">
        <v>76</v>
      </c>
      <c r="S1482" t="s">
        <v>35</v>
      </c>
      <c r="T1482" t="s">
        <v>29</v>
      </c>
      <c r="U1482" t="s">
        <v>30</v>
      </c>
    </row>
    <row r="1483" spans="1:21" x14ac:dyDescent="0.35">
      <c r="A1483" t="s">
        <v>1562</v>
      </c>
      <c r="B1483" s="1">
        <v>46219</v>
      </c>
      <c r="C1483" t="str">
        <f>TEXT(tblData[[#This Row],[Rental Date]],"mmm")</f>
        <v>Jul</v>
      </c>
      <c r="D1483" t="str">
        <f>TEXT(tblData[[#This Row],[Rental Date]],"mmmm")</f>
        <v>July</v>
      </c>
      <c r="E1483" t="s">
        <v>21</v>
      </c>
      <c r="F1483" t="str">
        <f>TEXT(WEEKNUM(tblData[[#This Row],[Rental Date]]),"00")</f>
        <v>29</v>
      </c>
      <c r="G1483" s="1">
        <f>EOMONTH(tblData[[#This Row],[Rental Date]],0)</f>
        <v>46234</v>
      </c>
      <c r="H1483" t="s">
        <v>749</v>
      </c>
      <c r="I1483" t="s">
        <v>48</v>
      </c>
      <c r="J1483" t="s">
        <v>44</v>
      </c>
      <c r="K1483" t="s">
        <v>25</v>
      </c>
      <c r="L1483">
        <v>1</v>
      </c>
      <c r="M1483" s="2">
        <v>58.24</v>
      </c>
      <c r="N1483" t="s">
        <v>89</v>
      </c>
      <c r="O1483" s="3">
        <v>6</v>
      </c>
      <c r="P1483" s="3">
        <v>0</v>
      </c>
      <c r="Q1483" s="2">
        <v>64.239999999999995</v>
      </c>
      <c r="R1483" t="s">
        <v>34</v>
      </c>
      <c r="S1483" t="s">
        <v>54</v>
      </c>
      <c r="T1483" t="s">
        <v>90</v>
      </c>
      <c r="U1483" t="s">
        <v>30</v>
      </c>
    </row>
    <row r="1484" spans="1:21" x14ac:dyDescent="0.35">
      <c r="A1484" t="s">
        <v>1563</v>
      </c>
      <c r="B1484" s="1">
        <v>46219</v>
      </c>
      <c r="C1484" t="str">
        <f>TEXT(tblData[[#This Row],[Rental Date]],"mmm")</f>
        <v>Jul</v>
      </c>
      <c r="D1484" t="str">
        <f>TEXT(tblData[[#This Row],[Rental Date]],"mmmm")</f>
        <v>July</v>
      </c>
      <c r="E1484" t="s">
        <v>21</v>
      </c>
      <c r="F1484" t="str">
        <f>TEXT(WEEKNUM(tblData[[#This Row],[Rental Date]]),"00")</f>
        <v>29</v>
      </c>
      <c r="G1484" s="1">
        <f>EOMONTH(tblData[[#This Row],[Rental Date]],0)</f>
        <v>46234</v>
      </c>
      <c r="H1484" t="s">
        <v>749</v>
      </c>
      <c r="I1484" t="s">
        <v>39</v>
      </c>
      <c r="J1484" t="s">
        <v>49</v>
      </c>
      <c r="K1484" t="s">
        <v>92</v>
      </c>
      <c r="L1484">
        <v>1</v>
      </c>
      <c r="M1484" s="2">
        <v>85.12</v>
      </c>
      <c r="N1484" t="s">
        <v>41</v>
      </c>
      <c r="O1484" s="3">
        <v>5</v>
      </c>
      <c r="P1484" s="3">
        <v>0</v>
      </c>
      <c r="Q1484" s="2">
        <v>90.12</v>
      </c>
      <c r="R1484" t="s">
        <v>34</v>
      </c>
      <c r="S1484" t="s">
        <v>35</v>
      </c>
      <c r="T1484" t="s">
        <v>63</v>
      </c>
      <c r="U1484" t="s">
        <v>30</v>
      </c>
    </row>
    <row r="1485" spans="1:21" x14ac:dyDescent="0.35">
      <c r="A1485" t="s">
        <v>1564</v>
      </c>
      <c r="B1485" s="1">
        <v>46220</v>
      </c>
      <c r="C1485" t="str">
        <f>TEXT(tblData[[#This Row],[Rental Date]],"mmm")</f>
        <v>Jul</v>
      </c>
      <c r="D1485" t="str">
        <f>TEXT(tblData[[#This Row],[Rental Date]],"mmmm")</f>
        <v>July</v>
      </c>
      <c r="E1485" t="s">
        <v>38</v>
      </c>
      <c r="F1485" t="str">
        <f>TEXT(WEEKNUM(tblData[[#This Row],[Rental Date]]),"00")</f>
        <v>29</v>
      </c>
      <c r="G1485" s="1">
        <f>EOMONTH(tblData[[#This Row],[Rental Date]],0)</f>
        <v>46234</v>
      </c>
      <c r="H1485" t="s">
        <v>749</v>
      </c>
      <c r="I1485" t="s">
        <v>39</v>
      </c>
      <c r="J1485" t="s">
        <v>49</v>
      </c>
      <c r="K1485" t="s">
        <v>60</v>
      </c>
      <c r="L1485">
        <v>1</v>
      </c>
      <c r="M1485" s="2">
        <v>24.64</v>
      </c>
      <c r="N1485" t="s">
        <v>26</v>
      </c>
      <c r="O1485" s="3">
        <v>0</v>
      </c>
      <c r="P1485" s="3">
        <v>0</v>
      </c>
      <c r="Q1485" s="2">
        <v>24.64</v>
      </c>
      <c r="R1485" t="s">
        <v>57</v>
      </c>
      <c r="S1485" t="s">
        <v>28</v>
      </c>
      <c r="T1485" t="s">
        <v>90</v>
      </c>
      <c r="U1485" t="s">
        <v>30</v>
      </c>
    </row>
    <row r="1486" spans="1:21" x14ac:dyDescent="0.35">
      <c r="A1486" t="s">
        <v>1565</v>
      </c>
      <c r="B1486" s="1">
        <v>46220</v>
      </c>
      <c r="C1486" t="str">
        <f>TEXT(tblData[[#This Row],[Rental Date]],"mmm")</f>
        <v>Jul</v>
      </c>
      <c r="D1486" t="str">
        <f>TEXT(tblData[[#This Row],[Rental Date]],"mmmm")</f>
        <v>July</v>
      </c>
      <c r="E1486" t="s">
        <v>38</v>
      </c>
      <c r="F1486" t="str">
        <f>TEXT(WEEKNUM(tblData[[#This Row],[Rental Date]]),"00")</f>
        <v>29</v>
      </c>
      <c r="G1486" s="1">
        <f>EOMONTH(tblData[[#This Row],[Rental Date]],0)</f>
        <v>46234</v>
      </c>
      <c r="H1486" t="s">
        <v>749</v>
      </c>
      <c r="I1486" t="s">
        <v>23</v>
      </c>
      <c r="J1486" t="s">
        <v>49</v>
      </c>
      <c r="K1486" t="s">
        <v>60</v>
      </c>
      <c r="L1486">
        <v>1</v>
      </c>
      <c r="M1486" s="2">
        <v>24.64</v>
      </c>
      <c r="N1486" t="s">
        <v>61</v>
      </c>
      <c r="O1486" s="3">
        <v>8</v>
      </c>
      <c r="P1486" s="3">
        <v>0</v>
      </c>
      <c r="Q1486" s="2">
        <v>32.64</v>
      </c>
      <c r="R1486" t="s">
        <v>57</v>
      </c>
      <c r="S1486" t="s">
        <v>50</v>
      </c>
      <c r="T1486" t="s">
        <v>51</v>
      </c>
      <c r="U1486" t="s">
        <v>30</v>
      </c>
    </row>
    <row r="1487" spans="1:21" x14ac:dyDescent="0.35">
      <c r="A1487" t="s">
        <v>1566</v>
      </c>
      <c r="B1487" s="1">
        <v>46220</v>
      </c>
      <c r="C1487" t="str">
        <f>TEXT(tblData[[#This Row],[Rental Date]],"mmm")</f>
        <v>Jul</v>
      </c>
      <c r="D1487" t="str">
        <f>TEXT(tblData[[#This Row],[Rental Date]],"mmmm")</f>
        <v>July</v>
      </c>
      <c r="E1487" t="s">
        <v>38</v>
      </c>
      <c r="F1487" t="str">
        <f>TEXT(WEEKNUM(tblData[[#This Row],[Rental Date]]),"00")</f>
        <v>29</v>
      </c>
      <c r="G1487" s="1">
        <f>EOMONTH(tblData[[#This Row],[Rental Date]],0)</f>
        <v>46234</v>
      </c>
      <c r="H1487" t="s">
        <v>749</v>
      </c>
      <c r="I1487" t="s">
        <v>53</v>
      </c>
      <c r="J1487" t="s">
        <v>49</v>
      </c>
      <c r="K1487" t="s">
        <v>92</v>
      </c>
      <c r="L1487">
        <v>1</v>
      </c>
      <c r="M1487" s="2">
        <v>85.12</v>
      </c>
      <c r="N1487" t="s">
        <v>26</v>
      </c>
      <c r="O1487" s="3">
        <v>0</v>
      </c>
      <c r="P1487" s="3">
        <v>8.51</v>
      </c>
      <c r="Q1487" s="2">
        <v>76.61</v>
      </c>
      <c r="R1487" t="s">
        <v>62</v>
      </c>
      <c r="S1487" t="s">
        <v>28</v>
      </c>
      <c r="T1487" t="s">
        <v>29</v>
      </c>
      <c r="U1487" t="s">
        <v>30</v>
      </c>
    </row>
    <row r="1488" spans="1:21" x14ac:dyDescent="0.35">
      <c r="A1488" t="s">
        <v>1567</v>
      </c>
      <c r="B1488" s="1">
        <v>46220</v>
      </c>
      <c r="C1488" t="str">
        <f>TEXT(tblData[[#This Row],[Rental Date]],"mmm")</f>
        <v>Jul</v>
      </c>
      <c r="D1488" t="str">
        <f>TEXT(tblData[[#This Row],[Rental Date]],"mmmm")</f>
        <v>July</v>
      </c>
      <c r="E1488" t="s">
        <v>38</v>
      </c>
      <c r="F1488" t="str">
        <f>TEXT(WEEKNUM(tblData[[#This Row],[Rental Date]]),"00")</f>
        <v>29</v>
      </c>
      <c r="G1488" s="1">
        <f>EOMONTH(tblData[[#This Row],[Rental Date]],0)</f>
        <v>46234</v>
      </c>
      <c r="H1488" t="s">
        <v>749</v>
      </c>
      <c r="I1488" t="s">
        <v>48</v>
      </c>
      <c r="J1488" t="s">
        <v>127</v>
      </c>
      <c r="K1488" t="s">
        <v>25</v>
      </c>
      <c r="L1488">
        <v>1</v>
      </c>
      <c r="M1488" s="2">
        <v>17.920000000000002</v>
      </c>
      <c r="N1488" t="s">
        <v>26</v>
      </c>
      <c r="O1488" s="3">
        <v>0</v>
      </c>
      <c r="P1488" s="3">
        <v>0</v>
      </c>
      <c r="Q1488" s="2">
        <v>17.920000000000002</v>
      </c>
      <c r="R1488" t="s">
        <v>27</v>
      </c>
      <c r="S1488" t="s">
        <v>50</v>
      </c>
      <c r="T1488" t="s">
        <v>90</v>
      </c>
      <c r="U1488" t="s">
        <v>30</v>
      </c>
    </row>
    <row r="1489" spans="1:21" x14ac:dyDescent="0.35">
      <c r="A1489" t="s">
        <v>1568</v>
      </c>
      <c r="B1489" s="1">
        <v>46220</v>
      </c>
      <c r="C1489" t="str">
        <f>TEXT(tblData[[#This Row],[Rental Date]],"mmm")</f>
        <v>Jul</v>
      </c>
      <c r="D1489" t="str">
        <f>TEXT(tblData[[#This Row],[Rental Date]],"mmmm")</f>
        <v>July</v>
      </c>
      <c r="E1489" t="s">
        <v>38</v>
      </c>
      <c r="F1489" t="str">
        <f>TEXT(WEEKNUM(tblData[[#This Row],[Rental Date]]),"00")</f>
        <v>29</v>
      </c>
      <c r="G1489" s="1">
        <f>EOMONTH(tblData[[#This Row],[Rental Date]],0)</f>
        <v>46234</v>
      </c>
      <c r="H1489" t="s">
        <v>749</v>
      </c>
      <c r="I1489" t="s">
        <v>39</v>
      </c>
      <c r="J1489" t="s">
        <v>78</v>
      </c>
      <c r="K1489" t="s">
        <v>40</v>
      </c>
      <c r="L1489">
        <v>1</v>
      </c>
      <c r="M1489" s="2">
        <v>69.44</v>
      </c>
      <c r="N1489" t="s">
        <v>41</v>
      </c>
      <c r="O1489" s="3">
        <v>5</v>
      </c>
      <c r="P1489" s="3">
        <v>0</v>
      </c>
      <c r="Q1489" s="2">
        <v>74.44</v>
      </c>
      <c r="R1489" t="s">
        <v>76</v>
      </c>
      <c r="S1489" t="s">
        <v>28</v>
      </c>
      <c r="T1489" t="s">
        <v>29</v>
      </c>
      <c r="U1489" t="s">
        <v>79</v>
      </c>
    </row>
    <row r="1490" spans="1:21" x14ac:dyDescent="0.35">
      <c r="A1490" t="s">
        <v>1569</v>
      </c>
      <c r="B1490" s="1">
        <v>46220</v>
      </c>
      <c r="C1490" t="str">
        <f>TEXT(tblData[[#This Row],[Rental Date]],"mmm")</f>
        <v>Jul</v>
      </c>
      <c r="D1490" t="str">
        <f>TEXT(tblData[[#This Row],[Rental Date]],"mmmm")</f>
        <v>July</v>
      </c>
      <c r="E1490" t="s">
        <v>38</v>
      </c>
      <c r="F1490" t="str">
        <f>TEXT(WEEKNUM(tblData[[#This Row],[Rental Date]]),"00")</f>
        <v>29</v>
      </c>
      <c r="G1490" s="1">
        <f>EOMONTH(tblData[[#This Row],[Rental Date]],0)</f>
        <v>46234</v>
      </c>
      <c r="H1490" t="s">
        <v>749</v>
      </c>
      <c r="I1490" t="s">
        <v>23</v>
      </c>
      <c r="J1490" t="s">
        <v>24</v>
      </c>
      <c r="K1490" t="s">
        <v>92</v>
      </c>
      <c r="L1490">
        <v>1</v>
      </c>
      <c r="M1490" s="2">
        <v>123.2</v>
      </c>
      <c r="N1490" t="s">
        <v>26</v>
      </c>
      <c r="O1490" s="3">
        <v>0</v>
      </c>
      <c r="P1490" s="3">
        <v>0</v>
      </c>
      <c r="Q1490" s="2">
        <v>123.2</v>
      </c>
      <c r="R1490" t="s">
        <v>71</v>
      </c>
      <c r="S1490" t="s">
        <v>50</v>
      </c>
      <c r="T1490" t="s">
        <v>51</v>
      </c>
      <c r="U1490" t="s">
        <v>30</v>
      </c>
    </row>
    <row r="1491" spans="1:21" x14ac:dyDescent="0.35">
      <c r="A1491" t="s">
        <v>1570</v>
      </c>
      <c r="B1491" s="1">
        <v>46220</v>
      </c>
      <c r="C1491" t="str">
        <f>TEXT(tblData[[#This Row],[Rental Date]],"mmm")</f>
        <v>Jul</v>
      </c>
      <c r="D1491" t="str">
        <f>TEXT(tblData[[#This Row],[Rental Date]],"mmmm")</f>
        <v>July</v>
      </c>
      <c r="E1491" t="s">
        <v>38</v>
      </c>
      <c r="F1491" t="str">
        <f>TEXT(WEEKNUM(tblData[[#This Row],[Rental Date]]),"00")</f>
        <v>29</v>
      </c>
      <c r="G1491" s="1">
        <f>EOMONTH(tblData[[#This Row],[Rental Date]],0)</f>
        <v>46234</v>
      </c>
      <c r="H1491" t="s">
        <v>749</v>
      </c>
      <c r="I1491" t="s">
        <v>32</v>
      </c>
      <c r="J1491" t="s">
        <v>127</v>
      </c>
      <c r="K1491" t="s">
        <v>25</v>
      </c>
      <c r="L1491">
        <v>1</v>
      </c>
      <c r="M1491" s="2">
        <v>17.920000000000002</v>
      </c>
      <c r="N1491" t="s">
        <v>87</v>
      </c>
      <c r="O1491" s="3">
        <v>10</v>
      </c>
      <c r="P1491" s="3">
        <v>0</v>
      </c>
      <c r="Q1491" s="2">
        <v>27.92</v>
      </c>
      <c r="R1491" t="s">
        <v>66</v>
      </c>
      <c r="S1491" t="s">
        <v>35</v>
      </c>
      <c r="T1491" t="s">
        <v>63</v>
      </c>
      <c r="U1491" t="s">
        <v>30</v>
      </c>
    </row>
    <row r="1492" spans="1:21" x14ac:dyDescent="0.35">
      <c r="A1492" t="s">
        <v>1571</v>
      </c>
      <c r="B1492" s="1">
        <v>46220</v>
      </c>
      <c r="C1492" t="str">
        <f>TEXT(tblData[[#This Row],[Rental Date]],"mmm")</f>
        <v>Jul</v>
      </c>
      <c r="D1492" t="str">
        <f>TEXT(tblData[[#This Row],[Rental Date]],"mmmm")</f>
        <v>July</v>
      </c>
      <c r="E1492" t="s">
        <v>38</v>
      </c>
      <c r="F1492" t="str">
        <f>TEXT(WEEKNUM(tblData[[#This Row],[Rental Date]]),"00")</f>
        <v>29</v>
      </c>
      <c r="G1492" s="1">
        <f>EOMONTH(tblData[[#This Row],[Rental Date]],0)</f>
        <v>46234</v>
      </c>
      <c r="H1492" t="s">
        <v>749</v>
      </c>
      <c r="I1492" t="s">
        <v>32</v>
      </c>
      <c r="J1492" t="s">
        <v>49</v>
      </c>
      <c r="K1492" t="s">
        <v>92</v>
      </c>
      <c r="L1492">
        <v>1</v>
      </c>
      <c r="M1492" s="2">
        <v>85.12</v>
      </c>
      <c r="N1492" t="s">
        <v>89</v>
      </c>
      <c r="O1492" s="3">
        <v>6</v>
      </c>
      <c r="P1492" s="3">
        <v>0</v>
      </c>
      <c r="Q1492" s="2">
        <v>91.12</v>
      </c>
      <c r="R1492" t="s">
        <v>66</v>
      </c>
      <c r="S1492" t="s">
        <v>54</v>
      </c>
      <c r="T1492" t="s">
        <v>90</v>
      </c>
      <c r="U1492" t="s">
        <v>30</v>
      </c>
    </row>
    <row r="1493" spans="1:21" x14ac:dyDescent="0.35">
      <c r="A1493" t="s">
        <v>1572</v>
      </c>
      <c r="B1493" s="1">
        <v>46220</v>
      </c>
      <c r="C1493" t="str">
        <f>TEXT(tblData[[#This Row],[Rental Date]],"mmm")</f>
        <v>Jul</v>
      </c>
      <c r="D1493" t="str">
        <f>TEXT(tblData[[#This Row],[Rental Date]],"mmmm")</f>
        <v>July</v>
      </c>
      <c r="E1493" t="s">
        <v>38</v>
      </c>
      <c r="F1493" t="str">
        <f>TEXT(WEEKNUM(tblData[[#This Row],[Rental Date]]),"00")</f>
        <v>29</v>
      </c>
      <c r="G1493" s="1">
        <f>EOMONTH(tblData[[#This Row],[Rental Date]],0)</f>
        <v>46234</v>
      </c>
      <c r="H1493" t="s">
        <v>749</v>
      </c>
      <c r="I1493" t="s">
        <v>39</v>
      </c>
      <c r="J1493" t="s">
        <v>33</v>
      </c>
      <c r="K1493" t="s">
        <v>40</v>
      </c>
      <c r="L1493">
        <v>1</v>
      </c>
      <c r="M1493" s="2">
        <v>64.959999999999994</v>
      </c>
      <c r="N1493" t="s">
        <v>87</v>
      </c>
      <c r="O1493" s="3">
        <v>10</v>
      </c>
      <c r="P1493" s="3">
        <v>0</v>
      </c>
      <c r="Q1493" s="2">
        <v>74.959999999999994</v>
      </c>
      <c r="R1493" t="s">
        <v>42</v>
      </c>
      <c r="S1493" t="s">
        <v>46</v>
      </c>
      <c r="T1493" t="s">
        <v>51</v>
      </c>
      <c r="U1493" t="s">
        <v>30</v>
      </c>
    </row>
    <row r="1494" spans="1:21" x14ac:dyDescent="0.35">
      <c r="A1494" t="s">
        <v>1573</v>
      </c>
      <c r="B1494" s="1">
        <v>46220</v>
      </c>
      <c r="C1494" t="str">
        <f>TEXT(tblData[[#This Row],[Rental Date]],"mmm")</f>
        <v>Jul</v>
      </c>
      <c r="D1494" t="str">
        <f>TEXT(tblData[[#This Row],[Rental Date]],"mmmm")</f>
        <v>July</v>
      </c>
      <c r="E1494" t="s">
        <v>38</v>
      </c>
      <c r="F1494" t="str">
        <f>TEXT(WEEKNUM(tblData[[#This Row],[Rental Date]]),"00")</f>
        <v>29</v>
      </c>
      <c r="G1494" s="1">
        <f>EOMONTH(tblData[[#This Row],[Rental Date]],0)</f>
        <v>46234</v>
      </c>
      <c r="H1494" t="s">
        <v>749</v>
      </c>
      <c r="I1494" t="s">
        <v>48</v>
      </c>
      <c r="J1494" t="s">
        <v>78</v>
      </c>
      <c r="K1494" t="s">
        <v>25</v>
      </c>
      <c r="L1494">
        <v>1</v>
      </c>
      <c r="M1494" s="2">
        <v>47.04</v>
      </c>
      <c r="N1494" t="s">
        <v>26</v>
      </c>
      <c r="O1494" s="3">
        <v>0</v>
      </c>
      <c r="P1494" s="3">
        <v>0</v>
      </c>
      <c r="Q1494" s="2">
        <v>47.04</v>
      </c>
      <c r="R1494" t="s">
        <v>45</v>
      </c>
      <c r="S1494" t="s">
        <v>35</v>
      </c>
      <c r="T1494" t="s">
        <v>29</v>
      </c>
      <c r="U1494" t="s">
        <v>30</v>
      </c>
    </row>
    <row r="1495" spans="1:21" x14ac:dyDescent="0.35">
      <c r="A1495" t="s">
        <v>1574</v>
      </c>
      <c r="B1495" s="1">
        <v>46220</v>
      </c>
      <c r="C1495" t="str">
        <f>TEXT(tblData[[#This Row],[Rental Date]],"mmm")</f>
        <v>Jul</v>
      </c>
      <c r="D1495" t="str">
        <f>TEXT(tblData[[#This Row],[Rental Date]],"mmmm")</f>
        <v>July</v>
      </c>
      <c r="E1495" t="s">
        <v>38</v>
      </c>
      <c r="F1495" t="str">
        <f>TEXT(WEEKNUM(tblData[[#This Row],[Rental Date]]),"00")</f>
        <v>29</v>
      </c>
      <c r="G1495" s="1">
        <f>EOMONTH(tblData[[#This Row],[Rental Date]],0)</f>
        <v>46234</v>
      </c>
      <c r="H1495" t="s">
        <v>749</v>
      </c>
      <c r="I1495" t="s">
        <v>48</v>
      </c>
      <c r="J1495" t="s">
        <v>111</v>
      </c>
      <c r="K1495" t="s">
        <v>40</v>
      </c>
      <c r="L1495">
        <v>1</v>
      </c>
      <c r="M1495" s="2">
        <v>38.08</v>
      </c>
      <c r="N1495" t="s">
        <v>26</v>
      </c>
      <c r="O1495" s="3">
        <v>0</v>
      </c>
      <c r="P1495" s="3">
        <v>0</v>
      </c>
      <c r="Q1495" s="2">
        <v>38.08</v>
      </c>
      <c r="R1495" t="s">
        <v>45</v>
      </c>
      <c r="S1495" t="s">
        <v>54</v>
      </c>
      <c r="T1495" t="s">
        <v>29</v>
      </c>
      <c r="U1495" t="s">
        <v>30</v>
      </c>
    </row>
    <row r="1496" spans="1:21" x14ac:dyDescent="0.35">
      <c r="A1496" t="s">
        <v>1575</v>
      </c>
      <c r="B1496" s="1">
        <v>46220</v>
      </c>
      <c r="C1496" t="str">
        <f>TEXT(tblData[[#This Row],[Rental Date]],"mmm")</f>
        <v>Jul</v>
      </c>
      <c r="D1496" t="str">
        <f>TEXT(tblData[[#This Row],[Rental Date]],"mmmm")</f>
        <v>July</v>
      </c>
      <c r="E1496" t="s">
        <v>38</v>
      </c>
      <c r="F1496" t="str">
        <f>TEXT(WEEKNUM(tblData[[#This Row],[Rental Date]]),"00")</f>
        <v>29</v>
      </c>
      <c r="G1496" s="1">
        <f>EOMONTH(tblData[[#This Row],[Rental Date]],0)</f>
        <v>46234</v>
      </c>
      <c r="H1496" t="s">
        <v>749</v>
      </c>
      <c r="I1496" t="s">
        <v>32</v>
      </c>
      <c r="J1496" t="s">
        <v>33</v>
      </c>
      <c r="K1496" t="s">
        <v>60</v>
      </c>
      <c r="L1496">
        <v>1</v>
      </c>
      <c r="M1496" s="2">
        <v>26.88</v>
      </c>
      <c r="N1496" t="s">
        <v>41</v>
      </c>
      <c r="O1496" s="3">
        <v>5</v>
      </c>
      <c r="P1496" s="3">
        <v>3.19</v>
      </c>
      <c r="Q1496" s="2">
        <v>28.69</v>
      </c>
      <c r="R1496" t="s">
        <v>45</v>
      </c>
      <c r="S1496" t="s">
        <v>46</v>
      </c>
      <c r="T1496" t="s">
        <v>51</v>
      </c>
      <c r="U1496" t="s">
        <v>30</v>
      </c>
    </row>
    <row r="1497" spans="1:21" x14ac:dyDescent="0.35">
      <c r="A1497" t="s">
        <v>1576</v>
      </c>
      <c r="B1497" s="1">
        <v>46220</v>
      </c>
      <c r="C1497" t="str">
        <f>TEXT(tblData[[#This Row],[Rental Date]],"mmm")</f>
        <v>Jul</v>
      </c>
      <c r="D1497" t="str">
        <f>TEXT(tblData[[#This Row],[Rental Date]],"mmmm")</f>
        <v>July</v>
      </c>
      <c r="E1497" t="s">
        <v>38</v>
      </c>
      <c r="F1497" t="str">
        <f>TEXT(WEEKNUM(tblData[[#This Row],[Rental Date]]),"00")</f>
        <v>29</v>
      </c>
      <c r="G1497" s="1">
        <f>EOMONTH(tblData[[#This Row],[Rental Date]],0)</f>
        <v>46234</v>
      </c>
      <c r="H1497" t="s">
        <v>749</v>
      </c>
      <c r="I1497" t="s">
        <v>23</v>
      </c>
      <c r="J1497" t="s">
        <v>24</v>
      </c>
      <c r="K1497" t="s">
        <v>60</v>
      </c>
      <c r="L1497">
        <v>1</v>
      </c>
      <c r="M1497" s="2">
        <v>35.840000000000003</v>
      </c>
      <c r="N1497" t="s">
        <v>26</v>
      </c>
      <c r="O1497" s="3">
        <v>0</v>
      </c>
      <c r="P1497" s="3">
        <v>0</v>
      </c>
      <c r="Q1497" s="2">
        <v>35.840000000000003</v>
      </c>
      <c r="R1497" t="s">
        <v>76</v>
      </c>
      <c r="S1497" t="s">
        <v>54</v>
      </c>
      <c r="T1497" t="s">
        <v>51</v>
      </c>
      <c r="U1497" t="s">
        <v>30</v>
      </c>
    </row>
    <row r="1498" spans="1:21" x14ac:dyDescent="0.35">
      <c r="A1498" t="s">
        <v>1577</v>
      </c>
      <c r="B1498" s="1">
        <v>46220</v>
      </c>
      <c r="C1498" t="str">
        <f>TEXT(tblData[[#This Row],[Rental Date]],"mmm")</f>
        <v>Jul</v>
      </c>
      <c r="D1498" t="str">
        <f>TEXT(tblData[[#This Row],[Rental Date]],"mmmm")</f>
        <v>July</v>
      </c>
      <c r="E1498" t="s">
        <v>38</v>
      </c>
      <c r="F1498" t="str">
        <f>TEXT(WEEKNUM(tblData[[#This Row],[Rental Date]]),"00")</f>
        <v>29</v>
      </c>
      <c r="G1498" s="1">
        <f>EOMONTH(tblData[[#This Row],[Rental Date]],0)</f>
        <v>46234</v>
      </c>
      <c r="H1498" t="s">
        <v>749</v>
      </c>
      <c r="I1498" t="s">
        <v>23</v>
      </c>
      <c r="J1498" t="s">
        <v>33</v>
      </c>
      <c r="K1498" t="s">
        <v>25</v>
      </c>
      <c r="L1498">
        <v>1</v>
      </c>
      <c r="M1498" s="2">
        <v>42.56</v>
      </c>
      <c r="N1498" t="s">
        <v>26</v>
      </c>
      <c r="O1498" s="3">
        <v>0</v>
      </c>
      <c r="P1498" s="3">
        <v>0</v>
      </c>
      <c r="Q1498" s="2">
        <v>42.56</v>
      </c>
      <c r="R1498" t="s">
        <v>71</v>
      </c>
      <c r="S1498" t="s">
        <v>54</v>
      </c>
      <c r="T1498" t="s">
        <v>29</v>
      </c>
      <c r="U1498" t="s">
        <v>30</v>
      </c>
    </row>
    <row r="1499" spans="1:21" x14ac:dyDescent="0.35">
      <c r="A1499" t="s">
        <v>1578</v>
      </c>
      <c r="B1499" s="1">
        <v>46220</v>
      </c>
      <c r="C1499" t="str">
        <f>TEXT(tblData[[#This Row],[Rental Date]],"mmm")</f>
        <v>Jul</v>
      </c>
      <c r="D1499" t="str">
        <f>TEXT(tblData[[#This Row],[Rental Date]],"mmmm")</f>
        <v>July</v>
      </c>
      <c r="E1499" t="s">
        <v>38</v>
      </c>
      <c r="F1499" t="str">
        <f>TEXT(WEEKNUM(tblData[[#This Row],[Rental Date]]),"00")</f>
        <v>29</v>
      </c>
      <c r="G1499" s="1">
        <f>EOMONTH(tblData[[#This Row],[Rental Date]],0)</f>
        <v>46234</v>
      </c>
      <c r="H1499" t="s">
        <v>749</v>
      </c>
      <c r="I1499" t="s">
        <v>48</v>
      </c>
      <c r="J1499" t="s">
        <v>78</v>
      </c>
      <c r="K1499" t="s">
        <v>25</v>
      </c>
      <c r="L1499">
        <v>1</v>
      </c>
      <c r="M1499" s="2">
        <v>47.04</v>
      </c>
      <c r="N1499" t="s">
        <v>89</v>
      </c>
      <c r="O1499" s="3">
        <v>6</v>
      </c>
      <c r="P1499" s="3">
        <v>0</v>
      </c>
      <c r="Q1499" s="2">
        <v>53.04</v>
      </c>
      <c r="R1499" t="s">
        <v>71</v>
      </c>
      <c r="S1499" t="s">
        <v>50</v>
      </c>
      <c r="T1499" t="s">
        <v>51</v>
      </c>
      <c r="U1499" t="s">
        <v>30</v>
      </c>
    </row>
    <row r="1500" spans="1:21" x14ac:dyDescent="0.35">
      <c r="A1500" t="s">
        <v>1579</v>
      </c>
      <c r="B1500" s="1">
        <v>46220</v>
      </c>
      <c r="C1500" t="str">
        <f>TEXT(tblData[[#This Row],[Rental Date]],"mmm")</f>
        <v>Jul</v>
      </c>
      <c r="D1500" t="str">
        <f>TEXT(tblData[[#This Row],[Rental Date]],"mmmm")</f>
        <v>July</v>
      </c>
      <c r="E1500" t="s">
        <v>38</v>
      </c>
      <c r="F1500" t="str">
        <f>TEXT(WEEKNUM(tblData[[#This Row],[Rental Date]]),"00")</f>
        <v>29</v>
      </c>
      <c r="G1500" s="1">
        <f>EOMONTH(tblData[[#This Row],[Rental Date]],0)</f>
        <v>46234</v>
      </c>
      <c r="H1500" t="s">
        <v>749</v>
      </c>
      <c r="I1500" t="s">
        <v>32</v>
      </c>
      <c r="J1500" t="s">
        <v>78</v>
      </c>
      <c r="K1500" t="s">
        <v>60</v>
      </c>
      <c r="L1500">
        <v>1</v>
      </c>
      <c r="M1500" s="2">
        <v>29.12</v>
      </c>
      <c r="N1500" t="s">
        <v>89</v>
      </c>
      <c r="O1500" s="3">
        <v>6</v>
      </c>
      <c r="P1500" s="3">
        <v>3.51</v>
      </c>
      <c r="Q1500" s="2">
        <v>31.61</v>
      </c>
      <c r="R1500" t="s">
        <v>76</v>
      </c>
      <c r="S1500" t="s">
        <v>54</v>
      </c>
      <c r="T1500" t="s">
        <v>29</v>
      </c>
      <c r="U1500" t="s">
        <v>30</v>
      </c>
    </row>
    <row r="1501" spans="1:21" x14ac:dyDescent="0.35">
      <c r="A1501" t="s">
        <v>1580</v>
      </c>
      <c r="B1501" s="1">
        <v>46220</v>
      </c>
      <c r="C1501" t="str">
        <f>TEXT(tblData[[#This Row],[Rental Date]],"mmm")</f>
        <v>Jul</v>
      </c>
      <c r="D1501" t="str">
        <f>TEXT(tblData[[#This Row],[Rental Date]],"mmmm")</f>
        <v>July</v>
      </c>
      <c r="E1501" t="s">
        <v>38</v>
      </c>
      <c r="F1501" t="str">
        <f>TEXT(WEEKNUM(tblData[[#This Row],[Rental Date]]),"00")</f>
        <v>29</v>
      </c>
      <c r="G1501" s="1">
        <f>EOMONTH(tblData[[#This Row],[Rental Date]],0)</f>
        <v>46234</v>
      </c>
      <c r="H1501" t="s">
        <v>749</v>
      </c>
      <c r="I1501" t="s">
        <v>23</v>
      </c>
      <c r="J1501" t="s">
        <v>24</v>
      </c>
      <c r="K1501" t="s">
        <v>92</v>
      </c>
      <c r="L1501">
        <v>1</v>
      </c>
      <c r="M1501" s="2">
        <v>123.2</v>
      </c>
      <c r="N1501" t="s">
        <v>26</v>
      </c>
      <c r="O1501" s="3">
        <v>0</v>
      </c>
      <c r="P1501" s="3">
        <v>0</v>
      </c>
      <c r="Q1501" s="2">
        <v>123.2</v>
      </c>
      <c r="R1501" t="s">
        <v>94</v>
      </c>
      <c r="S1501" t="s">
        <v>46</v>
      </c>
      <c r="T1501" t="s">
        <v>63</v>
      </c>
      <c r="U1501" t="s">
        <v>79</v>
      </c>
    </row>
    <row r="1502" spans="1:21" x14ac:dyDescent="0.35">
      <c r="A1502" t="s">
        <v>1581</v>
      </c>
      <c r="B1502" s="1">
        <v>46220</v>
      </c>
      <c r="C1502" t="str">
        <f>TEXT(tblData[[#This Row],[Rental Date]],"mmm")</f>
        <v>Jul</v>
      </c>
      <c r="D1502" t="str">
        <f>TEXT(tblData[[#This Row],[Rental Date]],"mmmm")</f>
        <v>July</v>
      </c>
      <c r="E1502" t="s">
        <v>38</v>
      </c>
      <c r="F1502" t="str">
        <f>TEXT(WEEKNUM(tblData[[#This Row],[Rental Date]]),"00")</f>
        <v>29</v>
      </c>
      <c r="G1502" s="1">
        <f>EOMONTH(tblData[[#This Row],[Rental Date]],0)</f>
        <v>46234</v>
      </c>
      <c r="H1502" t="s">
        <v>749</v>
      </c>
      <c r="I1502" t="s">
        <v>39</v>
      </c>
      <c r="J1502" t="s">
        <v>78</v>
      </c>
      <c r="K1502" t="s">
        <v>60</v>
      </c>
      <c r="L1502">
        <v>1</v>
      </c>
      <c r="M1502" s="2">
        <v>29.12</v>
      </c>
      <c r="N1502" t="s">
        <v>26</v>
      </c>
      <c r="O1502" s="3">
        <v>0</v>
      </c>
      <c r="P1502" s="3">
        <v>0</v>
      </c>
      <c r="Q1502" s="2">
        <v>29.12</v>
      </c>
      <c r="R1502" t="s">
        <v>57</v>
      </c>
      <c r="S1502" t="s">
        <v>28</v>
      </c>
      <c r="T1502" t="s">
        <v>29</v>
      </c>
      <c r="U1502" t="s">
        <v>30</v>
      </c>
    </row>
    <row r="1503" spans="1:21" x14ac:dyDescent="0.35">
      <c r="A1503" t="s">
        <v>1582</v>
      </c>
      <c r="B1503" s="1">
        <v>46220</v>
      </c>
      <c r="C1503" t="str">
        <f>TEXT(tblData[[#This Row],[Rental Date]],"mmm")</f>
        <v>Jul</v>
      </c>
      <c r="D1503" t="str">
        <f>TEXT(tblData[[#This Row],[Rental Date]],"mmmm")</f>
        <v>July</v>
      </c>
      <c r="E1503" t="s">
        <v>38</v>
      </c>
      <c r="F1503" t="str">
        <f>TEXT(WEEKNUM(tblData[[#This Row],[Rental Date]]),"00")</f>
        <v>29</v>
      </c>
      <c r="G1503" s="1">
        <f>EOMONTH(tblData[[#This Row],[Rental Date]],0)</f>
        <v>46234</v>
      </c>
      <c r="H1503" t="s">
        <v>749</v>
      </c>
      <c r="I1503" t="s">
        <v>23</v>
      </c>
      <c r="J1503" t="s">
        <v>127</v>
      </c>
      <c r="K1503" t="s">
        <v>25</v>
      </c>
      <c r="L1503">
        <v>1</v>
      </c>
      <c r="M1503" s="2">
        <v>17.920000000000002</v>
      </c>
      <c r="N1503" t="s">
        <v>87</v>
      </c>
      <c r="O1503" s="3">
        <v>10</v>
      </c>
      <c r="P1503" s="3">
        <v>0</v>
      </c>
      <c r="Q1503" s="2">
        <v>27.92</v>
      </c>
      <c r="R1503" t="s">
        <v>34</v>
      </c>
      <c r="S1503" t="s">
        <v>46</v>
      </c>
      <c r="T1503" t="s">
        <v>29</v>
      </c>
      <c r="U1503" t="s">
        <v>79</v>
      </c>
    </row>
    <row r="1504" spans="1:21" x14ac:dyDescent="0.35">
      <c r="A1504" t="s">
        <v>1583</v>
      </c>
      <c r="B1504" s="1">
        <v>46220</v>
      </c>
      <c r="C1504" t="str">
        <f>TEXT(tblData[[#This Row],[Rental Date]],"mmm")</f>
        <v>Jul</v>
      </c>
      <c r="D1504" t="str">
        <f>TEXT(tblData[[#This Row],[Rental Date]],"mmmm")</f>
        <v>July</v>
      </c>
      <c r="E1504" t="s">
        <v>38</v>
      </c>
      <c r="F1504" t="str">
        <f>TEXT(WEEKNUM(tblData[[#This Row],[Rental Date]]),"00")</f>
        <v>29</v>
      </c>
      <c r="G1504" s="1">
        <f>EOMONTH(tblData[[#This Row],[Rental Date]],0)</f>
        <v>46234</v>
      </c>
      <c r="H1504" t="s">
        <v>749</v>
      </c>
      <c r="I1504" t="s">
        <v>48</v>
      </c>
      <c r="J1504" t="s">
        <v>127</v>
      </c>
      <c r="K1504" t="s">
        <v>40</v>
      </c>
      <c r="L1504">
        <v>1</v>
      </c>
      <c r="M1504" s="2">
        <v>26.88</v>
      </c>
      <c r="N1504" t="s">
        <v>26</v>
      </c>
      <c r="O1504" s="3">
        <v>0</v>
      </c>
      <c r="P1504" s="3">
        <v>0</v>
      </c>
      <c r="Q1504" s="2">
        <v>26.88</v>
      </c>
      <c r="R1504" t="s">
        <v>45</v>
      </c>
      <c r="S1504" t="s">
        <v>35</v>
      </c>
      <c r="T1504" t="s">
        <v>90</v>
      </c>
      <c r="U1504" t="s">
        <v>30</v>
      </c>
    </row>
    <row r="1505" spans="1:21" x14ac:dyDescent="0.35">
      <c r="A1505" t="s">
        <v>1584</v>
      </c>
      <c r="B1505" s="1">
        <v>46220</v>
      </c>
      <c r="C1505" t="str">
        <f>TEXT(tblData[[#This Row],[Rental Date]],"mmm")</f>
        <v>Jul</v>
      </c>
      <c r="D1505" t="str">
        <f>TEXT(tblData[[#This Row],[Rental Date]],"mmmm")</f>
        <v>July</v>
      </c>
      <c r="E1505" t="s">
        <v>38</v>
      </c>
      <c r="F1505" t="str">
        <f>TEXT(WEEKNUM(tblData[[#This Row],[Rental Date]]),"00")</f>
        <v>29</v>
      </c>
      <c r="G1505" s="1">
        <f>EOMONTH(tblData[[#This Row],[Rental Date]],0)</f>
        <v>46234</v>
      </c>
      <c r="H1505" t="s">
        <v>749</v>
      </c>
      <c r="I1505" t="s">
        <v>53</v>
      </c>
      <c r="J1505" t="s">
        <v>44</v>
      </c>
      <c r="K1505" t="s">
        <v>25</v>
      </c>
      <c r="L1505">
        <v>1</v>
      </c>
      <c r="M1505" s="2">
        <v>58.24</v>
      </c>
      <c r="N1505" t="s">
        <v>61</v>
      </c>
      <c r="O1505" s="3">
        <v>8</v>
      </c>
      <c r="P1505" s="3">
        <v>9.94</v>
      </c>
      <c r="Q1505" s="2">
        <v>56.3</v>
      </c>
      <c r="R1505" t="s">
        <v>34</v>
      </c>
      <c r="S1505" t="s">
        <v>35</v>
      </c>
      <c r="T1505" t="s">
        <v>29</v>
      </c>
      <c r="U1505" t="s">
        <v>30</v>
      </c>
    </row>
    <row r="1506" spans="1:21" x14ac:dyDescent="0.35">
      <c r="A1506" t="s">
        <v>1585</v>
      </c>
      <c r="B1506" s="1">
        <v>46220</v>
      </c>
      <c r="C1506" t="str">
        <f>TEXT(tblData[[#This Row],[Rental Date]],"mmm")</f>
        <v>Jul</v>
      </c>
      <c r="D1506" t="str">
        <f>TEXT(tblData[[#This Row],[Rental Date]],"mmmm")</f>
        <v>July</v>
      </c>
      <c r="E1506" t="s">
        <v>38</v>
      </c>
      <c r="F1506" t="str">
        <f>TEXT(WEEKNUM(tblData[[#This Row],[Rental Date]]),"00")</f>
        <v>29</v>
      </c>
      <c r="G1506" s="1">
        <f>EOMONTH(tblData[[#This Row],[Rental Date]],0)</f>
        <v>46234</v>
      </c>
      <c r="H1506" t="s">
        <v>749</v>
      </c>
      <c r="I1506" t="s">
        <v>48</v>
      </c>
      <c r="J1506" t="s">
        <v>33</v>
      </c>
      <c r="K1506" t="s">
        <v>60</v>
      </c>
      <c r="L1506">
        <v>1</v>
      </c>
      <c r="M1506" s="2">
        <v>26.88</v>
      </c>
      <c r="N1506" t="s">
        <v>87</v>
      </c>
      <c r="O1506" s="3">
        <v>10</v>
      </c>
      <c r="P1506" s="3">
        <v>0</v>
      </c>
      <c r="Q1506" s="2">
        <v>36.880000000000003</v>
      </c>
      <c r="R1506" t="s">
        <v>71</v>
      </c>
      <c r="S1506" t="s">
        <v>46</v>
      </c>
      <c r="T1506" t="s">
        <v>29</v>
      </c>
      <c r="U1506" t="s">
        <v>30</v>
      </c>
    </row>
    <row r="1507" spans="1:21" x14ac:dyDescent="0.35">
      <c r="A1507" t="s">
        <v>1586</v>
      </c>
      <c r="B1507" s="1">
        <v>46220</v>
      </c>
      <c r="C1507" t="str">
        <f>TEXT(tblData[[#This Row],[Rental Date]],"mmm")</f>
        <v>Jul</v>
      </c>
      <c r="D1507" t="str">
        <f>TEXT(tblData[[#This Row],[Rental Date]],"mmmm")</f>
        <v>July</v>
      </c>
      <c r="E1507" t="s">
        <v>38</v>
      </c>
      <c r="F1507" t="str">
        <f>TEXT(WEEKNUM(tblData[[#This Row],[Rental Date]]),"00")</f>
        <v>29</v>
      </c>
      <c r="G1507" s="1">
        <f>EOMONTH(tblData[[#This Row],[Rental Date]],0)</f>
        <v>46234</v>
      </c>
      <c r="H1507" t="s">
        <v>749</v>
      </c>
      <c r="I1507" t="s">
        <v>53</v>
      </c>
      <c r="J1507" t="s">
        <v>49</v>
      </c>
      <c r="K1507" t="s">
        <v>40</v>
      </c>
      <c r="L1507">
        <v>1</v>
      </c>
      <c r="M1507" s="2">
        <v>60.48</v>
      </c>
      <c r="N1507" t="s">
        <v>87</v>
      </c>
      <c r="O1507" s="3">
        <v>10</v>
      </c>
      <c r="P1507" s="3">
        <v>10.57</v>
      </c>
      <c r="Q1507" s="2">
        <v>59.91</v>
      </c>
      <c r="R1507" t="s">
        <v>62</v>
      </c>
      <c r="S1507" t="s">
        <v>46</v>
      </c>
      <c r="T1507" t="s">
        <v>51</v>
      </c>
      <c r="U1507" t="s">
        <v>30</v>
      </c>
    </row>
    <row r="1508" spans="1:21" x14ac:dyDescent="0.35">
      <c r="A1508" t="s">
        <v>1587</v>
      </c>
      <c r="B1508" s="1">
        <v>46220</v>
      </c>
      <c r="C1508" t="str">
        <f>TEXT(tblData[[#This Row],[Rental Date]],"mmm")</f>
        <v>Jul</v>
      </c>
      <c r="D1508" t="str">
        <f>TEXT(tblData[[#This Row],[Rental Date]],"mmmm")</f>
        <v>July</v>
      </c>
      <c r="E1508" t="s">
        <v>38</v>
      </c>
      <c r="F1508" t="str">
        <f>TEXT(WEEKNUM(tblData[[#This Row],[Rental Date]]),"00")</f>
        <v>29</v>
      </c>
      <c r="G1508" s="1">
        <f>EOMONTH(tblData[[#This Row],[Rental Date]],0)</f>
        <v>46234</v>
      </c>
      <c r="H1508" t="s">
        <v>749</v>
      </c>
      <c r="I1508" t="s">
        <v>48</v>
      </c>
      <c r="J1508" t="s">
        <v>33</v>
      </c>
      <c r="K1508" t="s">
        <v>60</v>
      </c>
      <c r="L1508">
        <v>1</v>
      </c>
      <c r="M1508" s="2">
        <v>26.88</v>
      </c>
      <c r="N1508" t="s">
        <v>75</v>
      </c>
      <c r="O1508" s="3">
        <v>12</v>
      </c>
      <c r="P1508" s="3">
        <v>0</v>
      </c>
      <c r="Q1508" s="2">
        <v>38.880000000000003</v>
      </c>
      <c r="R1508" t="s">
        <v>42</v>
      </c>
      <c r="S1508" t="s">
        <v>54</v>
      </c>
      <c r="T1508" t="s">
        <v>29</v>
      </c>
      <c r="U1508" t="s">
        <v>58</v>
      </c>
    </row>
    <row r="1509" spans="1:21" x14ac:dyDescent="0.35">
      <c r="A1509" t="s">
        <v>1588</v>
      </c>
      <c r="B1509" s="1">
        <v>46221</v>
      </c>
      <c r="C1509" t="str">
        <f>TEXT(tblData[[#This Row],[Rental Date]],"mmm")</f>
        <v>Jul</v>
      </c>
      <c r="D1509" t="str">
        <f>TEXT(tblData[[#This Row],[Rental Date]],"mmmm")</f>
        <v>July</v>
      </c>
      <c r="E1509" t="s">
        <v>56</v>
      </c>
      <c r="F1509" t="str">
        <f>TEXT(WEEKNUM(tblData[[#This Row],[Rental Date]]),"00")</f>
        <v>29</v>
      </c>
      <c r="G1509" s="1">
        <f>EOMONTH(tblData[[#This Row],[Rental Date]],0)</f>
        <v>46234</v>
      </c>
      <c r="H1509" t="s">
        <v>749</v>
      </c>
      <c r="I1509" t="s">
        <v>32</v>
      </c>
      <c r="J1509" t="s">
        <v>33</v>
      </c>
      <c r="K1509" t="s">
        <v>60</v>
      </c>
      <c r="L1509">
        <v>1</v>
      </c>
      <c r="M1509" s="2">
        <v>28.8</v>
      </c>
      <c r="N1509" t="s">
        <v>26</v>
      </c>
      <c r="O1509" s="3">
        <v>0</v>
      </c>
      <c r="P1509" s="3">
        <v>1.44</v>
      </c>
      <c r="Q1509" s="2">
        <v>27.36</v>
      </c>
      <c r="R1509" t="s">
        <v>42</v>
      </c>
      <c r="S1509" t="s">
        <v>28</v>
      </c>
      <c r="T1509" t="s">
        <v>29</v>
      </c>
      <c r="U1509" t="s">
        <v>30</v>
      </c>
    </row>
    <row r="1510" spans="1:21" x14ac:dyDescent="0.35">
      <c r="A1510" t="s">
        <v>1589</v>
      </c>
      <c r="B1510" s="1">
        <v>46221</v>
      </c>
      <c r="C1510" t="str">
        <f>TEXT(tblData[[#This Row],[Rental Date]],"mmm")</f>
        <v>Jul</v>
      </c>
      <c r="D1510" t="str">
        <f>TEXT(tblData[[#This Row],[Rental Date]],"mmmm")</f>
        <v>July</v>
      </c>
      <c r="E1510" t="s">
        <v>56</v>
      </c>
      <c r="F1510" t="str">
        <f>TEXT(WEEKNUM(tblData[[#This Row],[Rental Date]]),"00")</f>
        <v>29</v>
      </c>
      <c r="G1510" s="1">
        <f>EOMONTH(tblData[[#This Row],[Rental Date]],0)</f>
        <v>46234</v>
      </c>
      <c r="H1510" t="s">
        <v>749</v>
      </c>
      <c r="I1510" t="s">
        <v>48</v>
      </c>
      <c r="J1510" t="s">
        <v>44</v>
      </c>
      <c r="K1510" t="s">
        <v>60</v>
      </c>
      <c r="L1510">
        <v>1</v>
      </c>
      <c r="M1510" s="2">
        <v>40.799999999999997</v>
      </c>
      <c r="N1510" t="s">
        <v>26</v>
      </c>
      <c r="O1510" s="3">
        <v>0</v>
      </c>
      <c r="P1510" s="3">
        <v>2.04</v>
      </c>
      <c r="Q1510" s="2">
        <v>38.76</v>
      </c>
      <c r="R1510" t="s">
        <v>34</v>
      </c>
      <c r="S1510" t="s">
        <v>54</v>
      </c>
      <c r="T1510" t="s">
        <v>90</v>
      </c>
      <c r="U1510" t="s">
        <v>30</v>
      </c>
    </row>
    <row r="1511" spans="1:21" x14ac:dyDescent="0.35">
      <c r="A1511" t="s">
        <v>1590</v>
      </c>
      <c r="B1511" s="1">
        <v>46221</v>
      </c>
      <c r="C1511" t="str">
        <f>TEXT(tblData[[#This Row],[Rental Date]],"mmm")</f>
        <v>Jul</v>
      </c>
      <c r="D1511" t="str">
        <f>TEXT(tblData[[#This Row],[Rental Date]],"mmmm")</f>
        <v>July</v>
      </c>
      <c r="E1511" t="s">
        <v>56</v>
      </c>
      <c r="F1511" t="str">
        <f>TEXT(WEEKNUM(tblData[[#This Row],[Rental Date]]),"00")</f>
        <v>29</v>
      </c>
      <c r="G1511" s="1">
        <f>EOMONTH(tblData[[#This Row],[Rental Date]],0)</f>
        <v>46234</v>
      </c>
      <c r="H1511" t="s">
        <v>749</v>
      </c>
      <c r="I1511" t="s">
        <v>32</v>
      </c>
      <c r="J1511" t="s">
        <v>65</v>
      </c>
      <c r="K1511" t="s">
        <v>92</v>
      </c>
      <c r="L1511">
        <v>1</v>
      </c>
      <c r="M1511" s="2">
        <v>48</v>
      </c>
      <c r="N1511" t="s">
        <v>26</v>
      </c>
      <c r="O1511" s="3">
        <v>0</v>
      </c>
      <c r="P1511" s="3">
        <v>4.8</v>
      </c>
      <c r="Q1511" s="2">
        <v>43.2</v>
      </c>
      <c r="R1511" t="s">
        <v>57</v>
      </c>
      <c r="S1511" t="s">
        <v>28</v>
      </c>
      <c r="T1511" t="s">
        <v>51</v>
      </c>
      <c r="U1511" t="s">
        <v>30</v>
      </c>
    </row>
    <row r="1512" spans="1:21" x14ac:dyDescent="0.35">
      <c r="A1512" t="s">
        <v>1591</v>
      </c>
      <c r="B1512" s="1">
        <v>46221</v>
      </c>
      <c r="C1512" t="str">
        <f>TEXT(tblData[[#This Row],[Rental Date]],"mmm")</f>
        <v>Jul</v>
      </c>
      <c r="D1512" t="str">
        <f>TEXT(tblData[[#This Row],[Rental Date]],"mmmm")</f>
        <v>July</v>
      </c>
      <c r="E1512" t="s">
        <v>56</v>
      </c>
      <c r="F1512" t="str">
        <f>TEXT(WEEKNUM(tblData[[#This Row],[Rental Date]]),"00")</f>
        <v>29</v>
      </c>
      <c r="G1512" s="1">
        <f>EOMONTH(tblData[[#This Row],[Rental Date]],0)</f>
        <v>46234</v>
      </c>
      <c r="H1512" t="s">
        <v>749</v>
      </c>
      <c r="I1512" t="s">
        <v>39</v>
      </c>
      <c r="J1512" t="s">
        <v>49</v>
      </c>
      <c r="K1512" t="s">
        <v>60</v>
      </c>
      <c r="L1512">
        <v>1</v>
      </c>
      <c r="M1512" s="2">
        <v>26.4</v>
      </c>
      <c r="N1512" t="s">
        <v>75</v>
      </c>
      <c r="O1512" s="3">
        <v>12</v>
      </c>
      <c r="P1512" s="3">
        <v>1.92</v>
      </c>
      <c r="Q1512" s="2">
        <v>36.479999999999997</v>
      </c>
      <c r="R1512" t="s">
        <v>94</v>
      </c>
      <c r="S1512" t="s">
        <v>50</v>
      </c>
      <c r="T1512" t="s">
        <v>29</v>
      </c>
      <c r="U1512" t="s">
        <v>30</v>
      </c>
    </row>
    <row r="1513" spans="1:21" x14ac:dyDescent="0.35">
      <c r="A1513" t="s">
        <v>1592</v>
      </c>
      <c r="B1513" s="1">
        <v>46221</v>
      </c>
      <c r="C1513" t="str">
        <f>TEXT(tblData[[#This Row],[Rental Date]],"mmm")</f>
        <v>Jul</v>
      </c>
      <c r="D1513" t="str">
        <f>TEXT(tblData[[#This Row],[Rental Date]],"mmmm")</f>
        <v>July</v>
      </c>
      <c r="E1513" t="s">
        <v>56</v>
      </c>
      <c r="F1513" t="str">
        <f>TEXT(WEEKNUM(tblData[[#This Row],[Rental Date]]),"00")</f>
        <v>29</v>
      </c>
      <c r="G1513" s="1">
        <f>EOMONTH(tblData[[#This Row],[Rental Date]],0)</f>
        <v>46234</v>
      </c>
      <c r="H1513" t="s">
        <v>749</v>
      </c>
      <c r="I1513" t="s">
        <v>32</v>
      </c>
      <c r="J1513" t="s">
        <v>78</v>
      </c>
      <c r="K1513" t="s">
        <v>25</v>
      </c>
      <c r="L1513">
        <v>1</v>
      </c>
      <c r="M1513" s="2">
        <v>50.4</v>
      </c>
      <c r="N1513" t="s">
        <v>26</v>
      </c>
      <c r="O1513" s="3">
        <v>0</v>
      </c>
      <c r="P1513" s="3">
        <v>0</v>
      </c>
      <c r="Q1513" s="2">
        <v>50.4</v>
      </c>
      <c r="R1513" t="s">
        <v>27</v>
      </c>
      <c r="S1513" t="s">
        <v>50</v>
      </c>
      <c r="T1513" t="s">
        <v>29</v>
      </c>
      <c r="U1513" t="s">
        <v>30</v>
      </c>
    </row>
    <row r="1514" spans="1:21" x14ac:dyDescent="0.35">
      <c r="A1514" t="s">
        <v>1593</v>
      </c>
      <c r="B1514" s="1">
        <v>46221</v>
      </c>
      <c r="C1514" t="str">
        <f>TEXT(tblData[[#This Row],[Rental Date]],"mmm")</f>
        <v>Jul</v>
      </c>
      <c r="D1514" t="str">
        <f>TEXT(tblData[[#This Row],[Rental Date]],"mmmm")</f>
        <v>July</v>
      </c>
      <c r="E1514" t="s">
        <v>56</v>
      </c>
      <c r="F1514" t="str">
        <f>TEXT(WEEKNUM(tblData[[#This Row],[Rental Date]]),"00")</f>
        <v>29</v>
      </c>
      <c r="G1514" s="1">
        <f>EOMONTH(tblData[[#This Row],[Rental Date]],0)</f>
        <v>46234</v>
      </c>
      <c r="H1514" t="s">
        <v>749</v>
      </c>
      <c r="I1514" t="s">
        <v>39</v>
      </c>
      <c r="J1514" t="s">
        <v>78</v>
      </c>
      <c r="K1514" t="s">
        <v>60</v>
      </c>
      <c r="L1514">
        <v>1</v>
      </c>
      <c r="M1514" s="2">
        <v>31.2</v>
      </c>
      <c r="N1514" t="s">
        <v>41</v>
      </c>
      <c r="O1514" s="3">
        <v>5</v>
      </c>
      <c r="P1514" s="3">
        <v>0</v>
      </c>
      <c r="Q1514" s="2">
        <v>36.200000000000003</v>
      </c>
      <c r="R1514" t="s">
        <v>66</v>
      </c>
      <c r="S1514" t="s">
        <v>50</v>
      </c>
      <c r="T1514" t="s">
        <v>29</v>
      </c>
      <c r="U1514" t="s">
        <v>30</v>
      </c>
    </row>
    <row r="1515" spans="1:21" x14ac:dyDescent="0.35">
      <c r="A1515" t="s">
        <v>1594</v>
      </c>
      <c r="B1515" s="1">
        <v>46221</v>
      </c>
      <c r="C1515" t="str">
        <f>TEXT(tblData[[#This Row],[Rental Date]],"mmm")</f>
        <v>Jul</v>
      </c>
      <c r="D1515" t="str">
        <f>TEXT(tblData[[#This Row],[Rental Date]],"mmmm")</f>
        <v>July</v>
      </c>
      <c r="E1515" t="s">
        <v>56</v>
      </c>
      <c r="F1515" t="str">
        <f>TEXT(WEEKNUM(tblData[[#This Row],[Rental Date]]),"00")</f>
        <v>29</v>
      </c>
      <c r="G1515" s="1">
        <f>EOMONTH(tblData[[#This Row],[Rental Date]],0)</f>
        <v>46234</v>
      </c>
      <c r="H1515" t="s">
        <v>749</v>
      </c>
      <c r="I1515" t="s">
        <v>39</v>
      </c>
      <c r="J1515" t="s">
        <v>78</v>
      </c>
      <c r="K1515" t="s">
        <v>92</v>
      </c>
      <c r="L1515">
        <v>1</v>
      </c>
      <c r="M1515" s="2">
        <v>105.6</v>
      </c>
      <c r="N1515" t="s">
        <v>26</v>
      </c>
      <c r="O1515" s="3">
        <v>0</v>
      </c>
      <c r="P1515" s="3">
        <v>0</v>
      </c>
      <c r="Q1515" s="2">
        <v>105.6</v>
      </c>
      <c r="R1515" t="s">
        <v>62</v>
      </c>
      <c r="S1515" t="s">
        <v>28</v>
      </c>
      <c r="T1515" t="s">
        <v>51</v>
      </c>
      <c r="U1515" t="s">
        <v>79</v>
      </c>
    </row>
    <row r="1516" spans="1:21" x14ac:dyDescent="0.35">
      <c r="A1516" t="s">
        <v>1595</v>
      </c>
      <c r="B1516" s="1">
        <v>46221</v>
      </c>
      <c r="C1516" t="str">
        <f>TEXT(tblData[[#This Row],[Rental Date]],"mmm")</f>
        <v>Jul</v>
      </c>
      <c r="D1516" t="str">
        <f>TEXT(tblData[[#This Row],[Rental Date]],"mmmm")</f>
        <v>July</v>
      </c>
      <c r="E1516" t="s">
        <v>56</v>
      </c>
      <c r="F1516" t="str">
        <f>TEXT(WEEKNUM(tblData[[#This Row],[Rental Date]]),"00")</f>
        <v>29</v>
      </c>
      <c r="G1516" s="1">
        <f>EOMONTH(tblData[[#This Row],[Rental Date]],0)</f>
        <v>46234</v>
      </c>
      <c r="H1516" t="s">
        <v>749</v>
      </c>
      <c r="I1516" t="s">
        <v>48</v>
      </c>
      <c r="J1516" t="s">
        <v>138</v>
      </c>
      <c r="K1516" t="s">
        <v>60</v>
      </c>
      <c r="L1516">
        <v>1</v>
      </c>
      <c r="M1516" s="2">
        <v>36</v>
      </c>
      <c r="N1516" t="s">
        <v>26</v>
      </c>
      <c r="O1516" s="3">
        <v>0</v>
      </c>
      <c r="P1516" s="3">
        <v>0</v>
      </c>
      <c r="Q1516" s="2">
        <v>36</v>
      </c>
      <c r="R1516" t="s">
        <v>57</v>
      </c>
      <c r="S1516" t="s">
        <v>54</v>
      </c>
      <c r="T1516" t="s">
        <v>83</v>
      </c>
      <c r="U1516" t="s">
        <v>30</v>
      </c>
    </row>
    <row r="1517" spans="1:21" x14ac:dyDescent="0.35">
      <c r="A1517" t="s">
        <v>1596</v>
      </c>
      <c r="B1517" s="1">
        <v>46221</v>
      </c>
      <c r="C1517" t="str">
        <f>TEXT(tblData[[#This Row],[Rental Date]],"mmm")</f>
        <v>Jul</v>
      </c>
      <c r="D1517" t="str">
        <f>TEXT(tblData[[#This Row],[Rental Date]],"mmmm")</f>
        <v>July</v>
      </c>
      <c r="E1517" t="s">
        <v>56</v>
      </c>
      <c r="F1517" t="str">
        <f>TEXT(WEEKNUM(tblData[[#This Row],[Rental Date]]),"00")</f>
        <v>29</v>
      </c>
      <c r="G1517" s="1">
        <f>EOMONTH(tblData[[#This Row],[Rental Date]],0)</f>
        <v>46234</v>
      </c>
      <c r="H1517" t="s">
        <v>749</v>
      </c>
      <c r="I1517" t="s">
        <v>48</v>
      </c>
      <c r="J1517" t="s">
        <v>24</v>
      </c>
      <c r="K1517" t="s">
        <v>40</v>
      </c>
      <c r="L1517">
        <v>1</v>
      </c>
      <c r="M1517" s="2">
        <v>91.2</v>
      </c>
      <c r="N1517" t="s">
        <v>26</v>
      </c>
      <c r="O1517" s="3">
        <v>0</v>
      </c>
      <c r="P1517" s="3">
        <v>0</v>
      </c>
      <c r="Q1517" s="2">
        <v>91.2</v>
      </c>
      <c r="R1517" t="s">
        <v>94</v>
      </c>
      <c r="S1517" t="s">
        <v>35</v>
      </c>
      <c r="T1517" t="s">
        <v>29</v>
      </c>
      <c r="U1517" t="s">
        <v>30</v>
      </c>
    </row>
    <row r="1518" spans="1:21" x14ac:dyDescent="0.35">
      <c r="A1518" t="s">
        <v>1597</v>
      </c>
      <c r="B1518" s="1">
        <v>46221</v>
      </c>
      <c r="C1518" t="str">
        <f>TEXT(tblData[[#This Row],[Rental Date]],"mmm")</f>
        <v>Jul</v>
      </c>
      <c r="D1518" t="str">
        <f>TEXT(tblData[[#This Row],[Rental Date]],"mmmm")</f>
        <v>July</v>
      </c>
      <c r="E1518" t="s">
        <v>56</v>
      </c>
      <c r="F1518" t="str">
        <f>TEXT(WEEKNUM(tblData[[#This Row],[Rental Date]]),"00")</f>
        <v>29</v>
      </c>
      <c r="G1518" s="1">
        <f>EOMONTH(tblData[[#This Row],[Rental Date]],0)</f>
        <v>46234</v>
      </c>
      <c r="H1518" t="s">
        <v>749</v>
      </c>
      <c r="I1518" t="s">
        <v>39</v>
      </c>
      <c r="J1518" t="s">
        <v>65</v>
      </c>
      <c r="K1518" t="s">
        <v>25</v>
      </c>
      <c r="L1518">
        <v>1</v>
      </c>
      <c r="M1518" s="2">
        <v>21.6</v>
      </c>
      <c r="N1518" t="s">
        <v>26</v>
      </c>
      <c r="O1518" s="3">
        <v>0</v>
      </c>
      <c r="P1518" s="3">
        <v>0</v>
      </c>
      <c r="Q1518" s="2">
        <v>21.6</v>
      </c>
      <c r="R1518" t="s">
        <v>66</v>
      </c>
      <c r="S1518" t="s">
        <v>46</v>
      </c>
      <c r="T1518" t="s">
        <v>29</v>
      </c>
      <c r="U1518" t="s">
        <v>30</v>
      </c>
    </row>
    <row r="1519" spans="1:21" x14ac:dyDescent="0.35">
      <c r="A1519" t="s">
        <v>1598</v>
      </c>
      <c r="B1519" s="1">
        <v>46221</v>
      </c>
      <c r="C1519" t="str">
        <f>TEXT(tblData[[#This Row],[Rental Date]],"mmm")</f>
        <v>Jul</v>
      </c>
      <c r="D1519" t="str">
        <f>TEXT(tblData[[#This Row],[Rental Date]],"mmmm")</f>
        <v>July</v>
      </c>
      <c r="E1519" t="s">
        <v>56</v>
      </c>
      <c r="F1519" t="str">
        <f>TEXT(WEEKNUM(tblData[[#This Row],[Rental Date]]),"00")</f>
        <v>29</v>
      </c>
      <c r="G1519" s="1">
        <f>EOMONTH(tblData[[#This Row],[Rental Date]],0)</f>
        <v>46234</v>
      </c>
      <c r="H1519" t="s">
        <v>749</v>
      </c>
      <c r="I1519" t="s">
        <v>39</v>
      </c>
      <c r="J1519" t="s">
        <v>44</v>
      </c>
      <c r="K1519" t="s">
        <v>25</v>
      </c>
      <c r="L1519">
        <v>1</v>
      </c>
      <c r="M1519" s="2">
        <v>62.4</v>
      </c>
      <c r="N1519" t="s">
        <v>26</v>
      </c>
      <c r="O1519" s="3">
        <v>0</v>
      </c>
      <c r="P1519" s="3">
        <v>3.12</v>
      </c>
      <c r="Q1519" s="2">
        <v>59.28</v>
      </c>
      <c r="R1519" t="s">
        <v>76</v>
      </c>
      <c r="S1519" t="s">
        <v>50</v>
      </c>
      <c r="T1519" t="s">
        <v>29</v>
      </c>
      <c r="U1519" t="s">
        <v>30</v>
      </c>
    </row>
    <row r="1520" spans="1:21" x14ac:dyDescent="0.35">
      <c r="A1520" t="s">
        <v>1599</v>
      </c>
      <c r="B1520" s="1">
        <v>46221</v>
      </c>
      <c r="C1520" t="str">
        <f>TEXT(tblData[[#This Row],[Rental Date]],"mmm")</f>
        <v>Jul</v>
      </c>
      <c r="D1520" t="str">
        <f>TEXT(tblData[[#This Row],[Rental Date]],"mmmm")</f>
        <v>July</v>
      </c>
      <c r="E1520" t="s">
        <v>56</v>
      </c>
      <c r="F1520" t="str">
        <f>TEXT(WEEKNUM(tblData[[#This Row],[Rental Date]]),"00")</f>
        <v>29</v>
      </c>
      <c r="G1520" s="1">
        <f>EOMONTH(tblData[[#This Row],[Rental Date]],0)</f>
        <v>46234</v>
      </c>
      <c r="H1520" t="s">
        <v>749</v>
      </c>
      <c r="I1520" t="s">
        <v>48</v>
      </c>
      <c r="J1520" t="s">
        <v>78</v>
      </c>
      <c r="K1520" t="s">
        <v>25</v>
      </c>
      <c r="L1520">
        <v>1</v>
      </c>
      <c r="M1520" s="2">
        <v>50.4</v>
      </c>
      <c r="N1520" t="s">
        <v>26</v>
      </c>
      <c r="O1520" s="3">
        <v>0</v>
      </c>
      <c r="P1520" s="3">
        <v>0</v>
      </c>
      <c r="Q1520" s="2">
        <v>50.4</v>
      </c>
      <c r="R1520" t="s">
        <v>94</v>
      </c>
      <c r="S1520" t="s">
        <v>28</v>
      </c>
      <c r="T1520" t="s">
        <v>63</v>
      </c>
      <c r="U1520" t="s">
        <v>30</v>
      </c>
    </row>
    <row r="1521" spans="1:21" x14ac:dyDescent="0.35">
      <c r="A1521" t="s">
        <v>1600</v>
      </c>
      <c r="B1521" s="1">
        <v>46221</v>
      </c>
      <c r="C1521" t="str">
        <f>TEXT(tblData[[#This Row],[Rental Date]],"mmm")</f>
        <v>Jul</v>
      </c>
      <c r="D1521" t="str">
        <f>TEXT(tblData[[#This Row],[Rental Date]],"mmmm")</f>
        <v>July</v>
      </c>
      <c r="E1521" t="s">
        <v>56</v>
      </c>
      <c r="F1521" t="str">
        <f>TEXT(WEEKNUM(tblData[[#This Row],[Rental Date]]),"00")</f>
        <v>29</v>
      </c>
      <c r="G1521" s="1">
        <f>EOMONTH(tblData[[#This Row],[Rental Date]],0)</f>
        <v>46234</v>
      </c>
      <c r="H1521" t="s">
        <v>749</v>
      </c>
      <c r="I1521" t="s">
        <v>39</v>
      </c>
      <c r="J1521" t="s">
        <v>49</v>
      </c>
      <c r="K1521" t="s">
        <v>25</v>
      </c>
      <c r="L1521">
        <v>1</v>
      </c>
      <c r="M1521" s="2">
        <v>43.2</v>
      </c>
      <c r="N1521" t="s">
        <v>26</v>
      </c>
      <c r="O1521" s="3">
        <v>0</v>
      </c>
      <c r="P1521" s="3">
        <v>0</v>
      </c>
      <c r="Q1521" s="2">
        <v>43.2</v>
      </c>
      <c r="R1521" t="s">
        <v>45</v>
      </c>
      <c r="S1521" t="s">
        <v>35</v>
      </c>
      <c r="T1521" t="s">
        <v>63</v>
      </c>
      <c r="U1521" t="s">
        <v>79</v>
      </c>
    </row>
    <row r="1522" spans="1:21" x14ac:dyDescent="0.35">
      <c r="A1522" t="s">
        <v>1601</v>
      </c>
      <c r="B1522" s="1">
        <v>46221</v>
      </c>
      <c r="C1522" t="str">
        <f>TEXT(tblData[[#This Row],[Rental Date]],"mmm")</f>
        <v>Jul</v>
      </c>
      <c r="D1522" t="str">
        <f>TEXT(tblData[[#This Row],[Rental Date]],"mmmm")</f>
        <v>July</v>
      </c>
      <c r="E1522" t="s">
        <v>56</v>
      </c>
      <c r="F1522" t="str">
        <f>TEXT(WEEKNUM(tblData[[#This Row],[Rental Date]]),"00")</f>
        <v>29</v>
      </c>
      <c r="G1522" s="1">
        <f>EOMONTH(tblData[[#This Row],[Rental Date]],0)</f>
        <v>46234</v>
      </c>
      <c r="H1522" t="s">
        <v>749</v>
      </c>
      <c r="I1522" t="s">
        <v>39</v>
      </c>
      <c r="J1522" t="s">
        <v>44</v>
      </c>
      <c r="K1522" t="s">
        <v>40</v>
      </c>
      <c r="L1522">
        <v>1</v>
      </c>
      <c r="M1522" s="2">
        <v>93.6</v>
      </c>
      <c r="N1522" t="s">
        <v>26</v>
      </c>
      <c r="O1522" s="3">
        <v>0</v>
      </c>
      <c r="P1522" s="3">
        <v>0</v>
      </c>
      <c r="Q1522" s="2">
        <v>93.6</v>
      </c>
      <c r="R1522" t="s">
        <v>62</v>
      </c>
      <c r="S1522" t="s">
        <v>54</v>
      </c>
      <c r="T1522" t="s">
        <v>63</v>
      </c>
      <c r="U1522" t="s">
        <v>30</v>
      </c>
    </row>
    <row r="1523" spans="1:21" x14ac:dyDescent="0.35">
      <c r="A1523" t="s">
        <v>1602</v>
      </c>
      <c r="B1523" s="1">
        <v>46221</v>
      </c>
      <c r="C1523" t="str">
        <f>TEXT(tblData[[#This Row],[Rental Date]],"mmm")</f>
        <v>Jul</v>
      </c>
      <c r="D1523" t="str">
        <f>TEXT(tblData[[#This Row],[Rental Date]],"mmmm")</f>
        <v>July</v>
      </c>
      <c r="E1523" t="s">
        <v>56</v>
      </c>
      <c r="F1523" t="str">
        <f>TEXT(WEEKNUM(tblData[[#This Row],[Rental Date]]),"00")</f>
        <v>29</v>
      </c>
      <c r="G1523" s="1">
        <f>EOMONTH(tblData[[#This Row],[Rental Date]],0)</f>
        <v>46234</v>
      </c>
      <c r="H1523" t="s">
        <v>749</v>
      </c>
      <c r="I1523" t="s">
        <v>23</v>
      </c>
      <c r="J1523" t="s">
        <v>44</v>
      </c>
      <c r="K1523" t="s">
        <v>60</v>
      </c>
      <c r="L1523">
        <v>1</v>
      </c>
      <c r="M1523" s="2">
        <v>40.799999999999997</v>
      </c>
      <c r="N1523" t="s">
        <v>61</v>
      </c>
      <c r="O1523" s="3">
        <v>8</v>
      </c>
      <c r="P1523" s="3">
        <v>2.44</v>
      </c>
      <c r="Q1523" s="2">
        <v>46.36</v>
      </c>
      <c r="R1523" t="s">
        <v>57</v>
      </c>
      <c r="S1523" t="s">
        <v>28</v>
      </c>
      <c r="T1523" t="s">
        <v>29</v>
      </c>
      <c r="U1523" t="s">
        <v>30</v>
      </c>
    </row>
    <row r="1524" spans="1:21" x14ac:dyDescent="0.35">
      <c r="A1524" t="s">
        <v>1603</v>
      </c>
      <c r="B1524" s="1">
        <v>46221</v>
      </c>
      <c r="C1524" t="str">
        <f>TEXT(tblData[[#This Row],[Rental Date]],"mmm")</f>
        <v>Jul</v>
      </c>
      <c r="D1524" t="str">
        <f>TEXT(tblData[[#This Row],[Rental Date]],"mmmm")</f>
        <v>July</v>
      </c>
      <c r="E1524" t="s">
        <v>56</v>
      </c>
      <c r="F1524" t="str">
        <f>TEXT(WEEKNUM(tblData[[#This Row],[Rental Date]]),"00")</f>
        <v>29</v>
      </c>
      <c r="G1524" s="1">
        <f>EOMONTH(tblData[[#This Row],[Rental Date]],0)</f>
        <v>46234</v>
      </c>
      <c r="H1524" t="s">
        <v>749</v>
      </c>
      <c r="I1524" t="s">
        <v>39</v>
      </c>
      <c r="J1524" t="s">
        <v>78</v>
      </c>
      <c r="K1524" t="s">
        <v>60</v>
      </c>
      <c r="L1524">
        <v>1</v>
      </c>
      <c r="M1524" s="2">
        <v>31.2</v>
      </c>
      <c r="N1524" t="s">
        <v>61</v>
      </c>
      <c r="O1524" s="3">
        <v>8</v>
      </c>
      <c r="P1524" s="3">
        <v>0</v>
      </c>
      <c r="Q1524" s="2">
        <v>39.200000000000003</v>
      </c>
      <c r="R1524" t="s">
        <v>45</v>
      </c>
      <c r="S1524" t="s">
        <v>35</v>
      </c>
      <c r="T1524" t="s">
        <v>29</v>
      </c>
      <c r="U1524" t="s">
        <v>30</v>
      </c>
    </row>
    <row r="1525" spans="1:21" x14ac:dyDescent="0.35">
      <c r="A1525" t="s">
        <v>1604</v>
      </c>
      <c r="B1525" s="1">
        <v>46221</v>
      </c>
      <c r="C1525" t="str">
        <f>TEXT(tblData[[#This Row],[Rental Date]],"mmm")</f>
        <v>Jul</v>
      </c>
      <c r="D1525" t="str">
        <f>TEXT(tblData[[#This Row],[Rental Date]],"mmmm")</f>
        <v>July</v>
      </c>
      <c r="E1525" t="s">
        <v>56</v>
      </c>
      <c r="F1525" t="str">
        <f>TEXT(WEEKNUM(tblData[[#This Row],[Rental Date]]),"00")</f>
        <v>29</v>
      </c>
      <c r="G1525" s="1">
        <f>EOMONTH(tblData[[#This Row],[Rental Date]],0)</f>
        <v>46234</v>
      </c>
      <c r="H1525" t="s">
        <v>749</v>
      </c>
      <c r="I1525" t="s">
        <v>48</v>
      </c>
      <c r="J1525" t="s">
        <v>49</v>
      </c>
      <c r="K1525" t="s">
        <v>60</v>
      </c>
      <c r="L1525">
        <v>1</v>
      </c>
      <c r="M1525" s="2">
        <v>26.4</v>
      </c>
      <c r="N1525" t="s">
        <v>41</v>
      </c>
      <c r="O1525" s="3">
        <v>5</v>
      </c>
      <c r="P1525" s="3">
        <v>0</v>
      </c>
      <c r="Q1525" s="2">
        <v>31.4</v>
      </c>
      <c r="R1525" t="s">
        <v>57</v>
      </c>
      <c r="S1525" t="s">
        <v>46</v>
      </c>
      <c r="T1525" t="s">
        <v>29</v>
      </c>
      <c r="U1525" t="s">
        <v>30</v>
      </c>
    </row>
    <row r="1526" spans="1:21" x14ac:dyDescent="0.35">
      <c r="A1526" t="s">
        <v>1605</v>
      </c>
      <c r="B1526" s="1">
        <v>46221</v>
      </c>
      <c r="C1526" t="str">
        <f>TEXT(tblData[[#This Row],[Rental Date]],"mmm")</f>
        <v>Jul</v>
      </c>
      <c r="D1526" t="str">
        <f>TEXT(tblData[[#This Row],[Rental Date]],"mmmm")</f>
        <v>July</v>
      </c>
      <c r="E1526" t="s">
        <v>56</v>
      </c>
      <c r="F1526" t="str">
        <f>TEXT(WEEKNUM(tblData[[#This Row],[Rental Date]]),"00")</f>
        <v>29</v>
      </c>
      <c r="G1526" s="1">
        <f>EOMONTH(tblData[[#This Row],[Rental Date]],0)</f>
        <v>46234</v>
      </c>
      <c r="H1526" t="s">
        <v>749</v>
      </c>
      <c r="I1526" t="s">
        <v>39</v>
      </c>
      <c r="J1526" t="s">
        <v>33</v>
      </c>
      <c r="K1526" t="s">
        <v>40</v>
      </c>
      <c r="L1526">
        <v>1</v>
      </c>
      <c r="M1526" s="2">
        <v>69.599999999999994</v>
      </c>
      <c r="N1526" t="s">
        <v>70</v>
      </c>
      <c r="O1526" s="3">
        <v>7</v>
      </c>
      <c r="P1526" s="3">
        <v>0</v>
      </c>
      <c r="Q1526" s="2">
        <v>76.599999999999994</v>
      </c>
      <c r="R1526" t="s">
        <v>76</v>
      </c>
      <c r="S1526" t="s">
        <v>28</v>
      </c>
      <c r="T1526" t="s">
        <v>29</v>
      </c>
      <c r="U1526" t="s">
        <v>58</v>
      </c>
    </row>
    <row r="1527" spans="1:21" x14ac:dyDescent="0.35">
      <c r="A1527" t="s">
        <v>1606</v>
      </c>
      <c r="B1527" s="1">
        <v>46221</v>
      </c>
      <c r="C1527" t="str">
        <f>TEXT(tblData[[#This Row],[Rental Date]],"mmm")</f>
        <v>Jul</v>
      </c>
      <c r="D1527" t="str">
        <f>TEXT(tblData[[#This Row],[Rental Date]],"mmmm")</f>
        <v>July</v>
      </c>
      <c r="E1527" t="s">
        <v>56</v>
      </c>
      <c r="F1527" t="str">
        <f>TEXT(WEEKNUM(tblData[[#This Row],[Rental Date]]),"00")</f>
        <v>29</v>
      </c>
      <c r="G1527" s="1">
        <f>EOMONTH(tblData[[#This Row],[Rental Date]],0)</f>
        <v>46234</v>
      </c>
      <c r="H1527" t="s">
        <v>749</v>
      </c>
      <c r="I1527" t="s">
        <v>48</v>
      </c>
      <c r="J1527" t="s">
        <v>49</v>
      </c>
      <c r="K1527" t="s">
        <v>25</v>
      </c>
      <c r="L1527">
        <v>1</v>
      </c>
      <c r="M1527" s="2">
        <v>43.2</v>
      </c>
      <c r="N1527" t="s">
        <v>26</v>
      </c>
      <c r="O1527" s="3">
        <v>0</v>
      </c>
      <c r="P1527" s="3">
        <v>0</v>
      </c>
      <c r="Q1527" s="2">
        <v>43.2</v>
      </c>
      <c r="R1527" t="s">
        <v>62</v>
      </c>
      <c r="S1527" t="s">
        <v>28</v>
      </c>
      <c r="T1527" t="s">
        <v>90</v>
      </c>
      <c r="U1527" t="s">
        <v>58</v>
      </c>
    </row>
    <row r="1528" spans="1:21" x14ac:dyDescent="0.35">
      <c r="A1528" t="s">
        <v>1607</v>
      </c>
      <c r="B1528" s="1">
        <v>46221</v>
      </c>
      <c r="C1528" t="str">
        <f>TEXT(tblData[[#This Row],[Rental Date]],"mmm")</f>
        <v>Jul</v>
      </c>
      <c r="D1528" t="str">
        <f>TEXT(tblData[[#This Row],[Rental Date]],"mmmm")</f>
        <v>July</v>
      </c>
      <c r="E1528" t="s">
        <v>56</v>
      </c>
      <c r="F1528" t="str">
        <f>TEXT(WEEKNUM(tblData[[#This Row],[Rental Date]]),"00")</f>
        <v>29</v>
      </c>
      <c r="G1528" s="1">
        <f>EOMONTH(tblData[[#This Row],[Rental Date]],0)</f>
        <v>46234</v>
      </c>
      <c r="H1528" t="s">
        <v>749</v>
      </c>
      <c r="I1528" t="s">
        <v>23</v>
      </c>
      <c r="J1528" t="s">
        <v>138</v>
      </c>
      <c r="K1528" t="s">
        <v>60</v>
      </c>
      <c r="L1528">
        <v>1</v>
      </c>
      <c r="M1528" s="2">
        <v>36</v>
      </c>
      <c r="N1528" t="s">
        <v>41</v>
      </c>
      <c r="O1528" s="3">
        <v>5</v>
      </c>
      <c r="P1528" s="3">
        <v>0</v>
      </c>
      <c r="Q1528" s="2">
        <v>41</v>
      </c>
      <c r="R1528" t="s">
        <v>62</v>
      </c>
      <c r="S1528" t="s">
        <v>50</v>
      </c>
      <c r="T1528" t="s">
        <v>29</v>
      </c>
      <c r="U1528" t="s">
        <v>30</v>
      </c>
    </row>
    <row r="1529" spans="1:21" x14ac:dyDescent="0.35">
      <c r="A1529" t="s">
        <v>1608</v>
      </c>
      <c r="B1529" s="1">
        <v>46221</v>
      </c>
      <c r="C1529" t="str">
        <f>TEXT(tblData[[#This Row],[Rental Date]],"mmm")</f>
        <v>Jul</v>
      </c>
      <c r="D1529" t="str">
        <f>TEXT(tblData[[#This Row],[Rental Date]],"mmmm")</f>
        <v>July</v>
      </c>
      <c r="E1529" t="s">
        <v>56</v>
      </c>
      <c r="F1529" t="str">
        <f>TEXT(WEEKNUM(tblData[[#This Row],[Rental Date]]),"00")</f>
        <v>29</v>
      </c>
      <c r="G1529" s="1">
        <f>EOMONTH(tblData[[#This Row],[Rental Date]],0)</f>
        <v>46234</v>
      </c>
      <c r="H1529" t="s">
        <v>749</v>
      </c>
      <c r="I1529" t="s">
        <v>23</v>
      </c>
      <c r="J1529" t="s">
        <v>78</v>
      </c>
      <c r="K1529" t="s">
        <v>25</v>
      </c>
      <c r="L1529">
        <v>1</v>
      </c>
      <c r="M1529" s="2">
        <v>50.4</v>
      </c>
      <c r="N1529" t="s">
        <v>70</v>
      </c>
      <c r="O1529" s="3">
        <v>7</v>
      </c>
      <c r="P1529" s="3">
        <v>0</v>
      </c>
      <c r="Q1529" s="2">
        <v>57.4</v>
      </c>
      <c r="R1529" t="s">
        <v>27</v>
      </c>
      <c r="S1529" t="s">
        <v>46</v>
      </c>
      <c r="T1529" t="s">
        <v>51</v>
      </c>
      <c r="U1529" t="s">
        <v>58</v>
      </c>
    </row>
    <row r="1530" spans="1:21" x14ac:dyDescent="0.35">
      <c r="A1530" t="s">
        <v>1609</v>
      </c>
      <c r="B1530" s="1">
        <v>46221</v>
      </c>
      <c r="C1530" t="str">
        <f>TEXT(tblData[[#This Row],[Rental Date]],"mmm")</f>
        <v>Jul</v>
      </c>
      <c r="D1530" t="str">
        <f>TEXT(tblData[[#This Row],[Rental Date]],"mmmm")</f>
        <v>July</v>
      </c>
      <c r="E1530" t="s">
        <v>56</v>
      </c>
      <c r="F1530" t="str">
        <f>TEXT(WEEKNUM(tblData[[#This Row],[Rental Date]]),"00")</f>
        <v>29</v>
      </c>
      <c r="G1530" s="1">
        <f>EOMONTH(tblData[[#This Row],[Rental Date]],0)</f>
        <v>46234</v>
      </c>
      <c r="H1530" t="s">
        <v>749</v>
      </c>
      <c r="I1530" t="s">
        <v>32</v>
      </c>
      <c r="J1530" t="s">
        <v>78</v>
      </c>
      <c r="K1530" t="s">
        <v>92</v>
      </c>
      <c r="L1530">
        <v>1</v>
      </c>
      <c r="M1530" s="2">
        <v>105.6</v>
      </c>
      <c r="N1530" t="s">
        <v>75</v>
      </c>
      <c r="O1530" s="3">
        <v>12</v>
      </c>
      <c r="P1530" s="3">
        <v>5.88</v>
      </c>
      <c r="Q1530" s="2">
        <v>111.72</v>
      </c>
      <c r="R1530" t="s">
        <v>42</v>
      </c>
      <c r="S1530" t="s">
        <v>54</v>
      </c>
      <c r="T1530" t="s">
        <v>63</v>
      </c>
      <c r="U1530" t="s">
        <v>58</v>
      </c>
    </row>
    <row r="1531" spans="1:21" x14ac:dyDescent="0.35">
      <c r="A1531" t="s">
        <v>1610</v>
      </c>
      <c r="B1531" s="1">
        <v>46221</v>
      </c>
      <c r="C1531" t="str">
        <f>TEXT(tblData[[#This Row],[Rental Date]],"mmm")</f>
        <v>Jul</v>
      </c>
      <c r="D1531" t="str">
        <f>TEXT(tblData[[#This Row],[Rental Date]],"mmmm")</f>
        <v>July</v>
      </c>
      <c r="E1531" t="s">
        <v>56</v>
      </c>
      <c r="F1531" t="str">
        <f>TEXT(WEEKNUM(tblData[[#This Row],[Rental Date]]),"00")</f>
        <v>29</v>
      </c>
      <c r="G1531" s="1">
        <f>EOMONTH(tblData[[#This Row],[Rental Date]],0)</f>
        <v>46234</v>
      </c>
      <c r="H1531" t="s">
        <v>749</v>
      </c>
      <c r="I1531" t="s">
        <v>48</v>
      </c>
      <c r="J1531" t="s">
        <v>49</v>
      </c>
      <c r="K1531" t="s">
        <v>25</v>
      </c>
      <c r="L1531">
        <v>1</v>
      </c>
      <c r="M1531" s="2">
        <v>43.2</v>
      </c>
      <c r="N1531" t="s">
        <v>26</v>
      </c>
      <c r="O1531" s="3">
        <v>0</v>
      </c>
      <c r="P1531" s="3">
        <v>0</v>
      </c>
      <c r="Q1531" s="2">
        <v>43.2</v>
      </c>
      <c r="R1531" t="s">
        <v>57</v>
      </c>
      <c r="S1531" t="s">
        <v>28</v>
      </c>
      <c r="T1531" t="s">
        <v>29</v>
      </c>
      <c r="U1531" t="s">
        <v>30</v>
      </c>
    </row>
    <row r="1532" spans="1:21" x14ac:dyDescent="0.35">
      <c r="A1532" t="s">
        <v>1611</v>
      </c>
      <c r="B1532" s="1">
        <v>46221</v>
      </c>
      <c r="C1532" t="str">
        <f>TEXT(tblData[[#This Row],[Rental Date]],"mmm")</f>
        <v>Jul</v>
      </c>
      <c r="D1532" t="str">
        <f>TEXT(tblData[[#This Row],[Rental Date]],"mmmm")</f>
        <v>July</v>
      </c>
      <c r="E1532" t="s">
        <v>56</v>
      </c>
      <c r="F1532" t="str">
        <f>TEXT(WEEKNUM(tblData[[#This Row],[Rental Date]]),"00")</f>
        <v>29</v>
      </c>
      <c r="G1532" s="1">
        <f>EOMONTH(tblData[[#This Row],[Rental Date]],0)</f>
        <v>46234</v>
      </c>
      <c r="H1532" t="s">
        <v>749</v>
      </c>
      <c r="I1532" t="s">
        <v>39</v>
      </c>
      <c r="J1532" t="s">
        <v>78</v>
      </c>
      <c r="K1532" t="s">
        <v>60</v>
      </c>
      <c r="L1532">
        <v>1</v>
      </c>
      <c r="M1532" s="2">
        <v>31.2</v>
      </c>
      <c r="N1532" t="s">
        <v>89</v>
      </c>
      <c r="O1532" s="3">
        <v>6</v>
      </c>
      <c r="P1532" s="3">
        <v>0</v>
      </c>
      <c r="Q1532" s="2">
        <v>37.200000000000003</v>
      </c>
      <c r="R1532" t="s">
        <v>71</v>
      </c>
      <c r="S1532" t="s">
        <v>35</v>
      </c>
      <c r="T1532" t="s">
        <v>51</v>
      </c>
      <c r="U1532" t="s">
        <v>30</v>
      </c>
    </row>
    <row r="1533" spans="1:21" x14ac:dyDescent="0.35">
      <c r="A1533" t="s">
        <v>1612</v>
      </c>
      <c r="B1533" s="1">
        <v>46221</v>
      </c>
      <c r="C1533" t="str">
        <f>TEXT(tblData[[#This Row],[Rental Date]],"mmm")</f>
        <v>Jul</v>
      </c>
      <c r="D1533" t="str">
        <f>TEXT(tblData[[#This Row],[Rental Date]],"mmmm")</f>
        <v>July</v>
      </c>
      <c r="E1533" t="s">
        <v>56</v>
      </c>
      <c r="F1533" t="str">
        <f>TEXT(WEEKNUM(tblData[[#This Row],[Rental Date]]),"00")</f>
        <v>29</v>
      </c>
      <c r="G1533" s="1">
        <f>EOMONTH(tblData[[#This Row],[Rental Date]],0)</f>
        <v>46234</v>
      </c>
      <c r="H1533" t="s">
        <v>749</v>
      </c>
      <c r="I1533" t="s">
        <v>53</v>
      </c>
      <c r="J1533" t="s">
        <v>138</v>
      </c>
      <c r="K1533" t="s">
        <v>60</v>
      </c>
      <c r="L1533">
        <v>1</v>
      </c>
      <c r="M1533" s="2">
        <v>36</v>
      </c>
      <c r="N1533" t="s">
        <v>70</v>
      </c>
      <c r="O1533" s="3">
        <v>7</v>
      </c>
      <c r="P1533" s="3">
        <v>4.3</v>
      </c>
      <c r="Q1533" s="2">
        <v>38.700000000000003</v>
      </c>
      <c r="R1533" t="s">
        <v>45</v>
      </c>
      <c r="S1533" t="s">
        <v>35</v>
      </c>
      <c r="T1533" t="s">
        <v>51</v>
      </c>
      <c r="U1533" t="s">
        <v>30</v>
      </c>
    </row>
    <row r="1534" spans="1:21" x14ac:dyDescent="0.35">
      <c r="A1534" t="s">
        <v>1613</v>
      </c>
      <c r="B1534" s="1">
        <v>46221</v>
      </c>
      <c r="C1534" t="str">
        <f>TEXT(tblData[[#This Row],[Rental Date]],"mmm")</f>
        <v>Jul</v>
      </c>
      <c r="D1534" t="str">
        <f>TEXT(tblData[[#This Row],[Rental Date]],"mmmm")</f>
        <v>July</v>
      </c>
      <c r="E1534" t="s">
        <v>56</v>
      </c>
      <c r="F1534" t="str">
        <f>TEXT(WEEKNUM(tblData[[#This Row],[Rental Date]]),"00")</f>
        <v>29</v>
      </c>
      <c r="G1534" s="1">
        <f>EOMONTH(tblData[[#This Row],[Rental Date]],0)</f>
        <v>46234</v>
      </c>
      <c r="H1534" t="s">
        <v>749</v>
      </c>
      <c r="I1534" t="s">
        <v>48</v>
      </c>
      <c r="J1534" t="s">
        <v>44</v>
      </c>
      <c r="K1534" t="s">
        <v>60</v>
      </c>
      <c r="L1534">
        <v>1</v>
      </c>
      <c r="M1534" s="2">
        <v>40.799999999999997</v>
      </c>
      <c r="N1534" t="s">
        <v>61</v>
      </c>
      <c r="O1534" s="3">
        <v>8</v>
      </c>
      <c r="P1534" s="3">
        <v>0</v>
      </c>
      <c r="Q1534" s="2">
        <v>48.8</v>
      </c>
      <c r="R1534" t="s">
        <v>45</v>
      </c>
      <c r="S1534" t="s">
        <v>35</v>
      </c>
      <c r="T1534" t="s">
        <v>51</v>
      </c>
      <c r="U1534" t="s">
        <v>30</v>
      </c>
    </row>
    <row r="1535" spans="1:21" x14ac:dyDescent="0.35">
      <c r="A1535" t="s">
        <v>1614</v>
      </c>
      <c r="B1535" s="1">
        <v>46221</v>
      </c>
      <c r="C1535" t="str">
        <f>TEXT(tblData[[#This Row],[Rental Date]],"mmm")</f>
        <v>Jul</v>
      </c>
      <c r="D1535" t="str">
        <f>TEXT(tblData[[#This Row],[Rental Date]],"mmmm")</f>
        <v>July</v>
      </c>
      <c r="E1535" t="s">
        <v>56</v>
      </c>
      <c r="F1535" t="str">
        <f>TEXT(WEEKNUM(tblData[[#This Row],[Rental Date]]),"00")</f>
        <v>29</v>
      </c>
      <c r="G1535" s="1">
        <f>EOMONTH(tblData[[#This Row],[Rental Date]],0)</f>
        <v>46234</v>
      </c>
      <c r="H1535" t="s">
        <v>749</v>
      </c>
      <c r="I1535" t="s">
        <v>23</v>
      </c>
      <c r="J1535" t="s">
        <v>44</v>
      </c>
      <c r="K1535" t="s">
        <v>25</v>
      </c>
      <c r="L1535">
        <v>1</v>
      </c>
      <c r="M1535" s="2">
        <v>62.4</v>
      </c>
      <c r="N1535" t="s">
        <v>26</v>
      </c>
      <c r="O1535" s="3">
        <v>0</v>
      </c>
      <c r="P1535" s="3">
        <v>0</v>
      </c>
      <c r="Q1535" s="2">
        <v>62.4</v>
      </c>
      <c r="R1535" t="s">
        <v>57</v>
      </c>
      <c r="S1535" t="s">
        <v>35</v>
      </c>
      <c r="T1535" t="s">
        <v>29</v>
      </c>
      <c r="U1535" t="s">
        <v>79</v>
      </c>
    </row>
    <row r="1536" spans="1:21" x14ac:dyDescent="0.35">
      <c r="A1536" t="s">
        <v>1615</v>
      </c>
      <c r="B1536" s="1">
        <v>46222</v>
      </c>
      <c r="C1536" t="str">
        <f>TEXT(tblData[[#This Row],[Rental Date]],"mmm")</f>
        <v>Jul</v>
      </c>
      <c r="D1536" t="str">
        <f>TEXT(tblData[[#This Row],[Rental Date]],"mmmm")</f>
        <v>July</v>
      </c>
      <c r="E1536" t="s">
        <v>68</v>
      </c>
      <c r="F1536" t="str">
        <f>TEXT(WEEKNUM(tblData[[#This Row],[Rental Date]]),"00")</f>
        <v>30</v>
      </c>
      <c r="G1536" s="1">
        <f>EOMONTH(tblData[[#This Row],[Rental Date]],0)</f>
        <v>46234</v>
      </c>
      <c r="H1536" t="s">
        <v>749</v>
      </c>
      <c r="I1536" t="s">
        <v>39</v>
      </c>
      <c r="J1536" t="s">
        <v>33</v>
      </c>
      <c r="K1536" t="s">
        <v>40</v>
      </c>
      <c r="L1536">
        <v>1</v>
      </c>
      <c r="M1536" s="2">
        <v>69.599999999999994</v>
      </c>
      <c r="N1536" t="s">
        <v>61</v>
      </c>
      <c r="O1536" s="3">
        <v>8</v>
      </c>
      <c r="P1536" s="3">
        <v>0</v>
      </c>
      <c r="Q1536" s="2">
        <v>77.599999999999994</v>
      </c>
      <c r="R1536" t="s">
        <v>71</v>
      </c>
      <c r="S1536" t="s">
        <v>54</v>
      </c>
      <c r="T1536" t="s">
        <v>51</v>
      </c>
      <c r="U1536" t="s">
        <v>30</v>
      </c>
    </row>
    <row r="1537" spans="1:21" x14ac:dyDescent="0.35">
      <c r="A1537" t="s">
        <v>1616</v>
      </c>
      <c r="B1537" s="1">
        <v>46222</v>
      </c>
      <c r="C1537" t="str">
        <f>TEXT(tblData[[#This Row],[Rental Date]],"mmm")</f>
        <v>Jul</v>
      </c>
      <c r="D1537" t="str">
        <f>TEXT(tblData[[#This Row],[Rental Date]],"mmmm")</f>
        <v>July</v>
      </c>
      <c r="E1537" t="s">
        <v>68</v>
      </c>
      <c r="F1537" t="str">
        <f>TEXT(WEEKNUM(tblData[[#This Row],[Rental Date]]),"00")</f>
        <v>30</v>
      </c>
      <c r="G1537" s="1">
        <f>EOMONTH(tblData[[#This Row],[Rental Date]],0)</f>
        <v>46234</v>
      </c>
      <c r="H1537" t="s">
        <v>749</v>
      </c>
      <c r="I1537" t="s">
        <v>39</v>
      </c>
      <c r="J1537" t="s">
        <v>138</v>
      </c>
      <c r="K1537" t="s">
        <v>60</v>
      </c>
      <c r="L1537">
        <v>1</v>
      </c>
      <c r="M1537" s="2">
        <v>36</v>
      </c>
      <c r="N1537" t="s">
        <v>61</v>
      </c>
      <c r="O1537" s="3">
        <v>8</v>
      </c>
      <c r="P1537" s="3">
        <v>0</v>
      </c>
      <c r="Q1537" s="2">
        <v>44</v>
      </c>
      <c r="R1537" t="s">
        <v>45</v>
      </c>
      <c r="S1537" t="s">
        <v>28</v>
      </c>
      <c r="T1537" t="s">
        <v>51</v>
      </c>
      <c r="U1537" t="s">
        <v>30</v>
      </c>
    </row>
    <row r="1538" spans="1:21" x14ac:dyDescent="0.35">
      <c r="A1538" t="s">
        <v>1617</v>
      </c>
      <c r="B1538" s="1">
        <v>46222</v>
      </c>
      <c r="C1538" t="str">
        <f>TEXT(tblData[[#This Row],[Rental Date]],"mmm")</f>
        <v>Jul</v>
      </c>
      <c r="D1538" t="str">
        <f>TEXT(tblData[[#This Row],[Rental Date]],"mmmm")</f>
        <v>July</v>
      </c>
      <c r="E1538" t="s">
        <v>68</v>
      </c>
      <c r="F1538" t="str">
        <f>TEXT(WEEKNUM(tblData[[#This Row],[Rental Date]]),"00")</f>
        <v>30</v>
      </c>
      <c r="G1538" s="1">
        <f>EOMONTH(tblData[[#This Row],[Rental Date]],0)</f>
        <v>46234</v>
      </c>
      <c r="H1538" t="s">
        <v>749</v>
      </c>
      <c r="I1538" t="s">
        <v>48</v>
      </c>
      <c r="J1538" t="s">
        <v>33</v>
      </c>
      <c r="K1538" t="s">
        <v>60</v>
      </c>
      <c r="L1538">
        <v>1</v>
      </c>
      <c r="M1538" s="2">
        <v>28.8</v>
      </c>
      <c r="N1538" t="s">
        <v>87</v>
      </c>
      <c r="O1538" s="3">
        <v>10</v>
      </c>
      <c r="P1538" s="3">
        <v>0</v>
      </c>
      <c r="Q1538" s="2">
        <v>38.799999999999997</v>
      </c>
      <c r="R1538" t="s">
        <v>76</v>
      </c>
      <c r="S1538" t="s">
        <v>35</v>
      </c>
      <c r="T1538" t="s">
        <v>90</v>
      </c>
      <c r="U1538" t="s">
        <v>30</v>
      </c>
    </row>
    <row r="1539" spans="1:21" x14ac:dyDescent="0.35">
      <c r="A1539" t="s">
        <v>1618</v>
      </c>
      <c r="B1539" s="1">
        <v>46222</v>
      </c>
      <c r="C1539" t="str">
        <f>TEXT(tblData[[#This Row],[Rental Date]],"mmm")</f>
        <v>Jul</v>
      </c>
      <c r="D1539" t="str">
        <f>TEXT(tblData[[#This Row],[Rental Date]],"mmmm")</f>
        <v>July</v>
      </c>
      <c r="E1539" t="s">
        <v>68</v>
      </c>
      <c r="F1539" t="str">
        <f>TEXT(WEEKNUM(tblData[[#This Row],[Rental Date]]),"00")</f>
        <v>30</v>
      </c>
      <c r="G1539" s="1">
        <f>EOMONTH(tblData[[#This Row],[Rental Date]],0)</f>
        <v>46234</v>
      </c>
      <c r="H1539" t="s">
        <v>749</v>
      </c>
      <c r="I1539" t="s">
        <v>23</v>
      </c>
      <c r="J1539" t="s">
        <v>33</v>
      </c>
      <c r="K1539" t="s">
        <v>25</v>
      </c>
      <c r="L1539">
        <v>1</v>
      </c>
      <c r="M1539" s="2">
        <v>45.6</v>
      </c>
      <c r="N1539" t="s">
        <v>26</v>
      </c>
      <c r="O1539" s="3">
        <v>0</v>
      </c>
      <c r="P1539" s="3">
        <v>0</v>
      </c>
      <c r="Q1539" s="2">
        <v>45.6</v>
      </c>
      <c r="R1539" t="s">
        <v>66</v>
      </c>
      <c r="S1539" t="s">
        <v>35</v>
      </c>
      <c r="T1539" t="s">
        <v>29</v>
      </c>
      <c r="U1539" t="s">
        <v>30</v>
      </c>
    </row>
    <row r="1540" spans="1:21" x14ac:dyDescent="0.35">
      <c r="A1540" t="s">
        <v>1619</v>
      </c>
      <c r="B1540" s="1">
        <v>46222</v>
      </c>
      <c r="C1540" t="str">
        <f>TEXT(tblData[[#This Row],[Rental Date]],"mmm")</f>
        <v>Jul</v>
      </c>
      <c r="D1540" t="str">
        <f>TEXT(tblData[[#This Row],[Rental Date]],"mmmm")</f>
        <v>July</v>
      </c>
      <c r="E1540" t="s">
        <v>68</v>
      </c>
      <c r="F1540" t="str">
        <f>TEXT(WEEKNUM(tblData[[#This Row],[Rental Date]]),"00")</f>
        <v>30</v>
      </c>
      <c r="G1540" s="1">
        <f>EOMONTH(tblData[[#This Row],[Rental Date]],0)</f>
        <v>46234</v>
      </c>
      <c r="H1540" t="s">
        <v>749</v>
      </c>
      <c r="I1540" t="s">
        <v>53</v>
      </c>
      <c r="J1540" t="s">
        <v>44</v>
      </c>
      <c r="K1540" t="s">
        <v>25</v>
      </c>
      <c r="L1540">
        <v>1</v>
      </c>
      <c r="M1540" s="2">
        <v>62.4</v>
      </c>
      <c r="N1540" t="s">
        <v>70</v>
      </c>
      <c r="O1540" s="3">
        <v>7</v>
      </c>
      <c r="P1540" s="3">
        <v>10.41</v>
      </c>
      <c r="Q1540" s="2">
        <v>58.99</v>
      </c>
      <c r="R1540" t="s">
        <v>76</v>
      </c>
      <c r="S1540" t="s">
        <v>50</v>
      </c>
      <c r="T1540" t="s">
        <v>63</v>
      </c>
      <c r="U1540" t="s">
        <v>30</v>
      </c>
    </row>
    <row r="1541" spans="1:21" x14ac:dyDescent="0.35">
      <c r="A1541" t="s">
        <v>1620</v>
      </c>
      <c r="B1541" s="1">
        <v>46222</v>
      </c>
      <c r="C1541" t="str">
        <f>TEXT(tblData[[#This Row],[Rental Date]],"mmm")</f>
        <v>Jul</v>
      </c>
      <c r="D1541" t="str">
        <f>TEXT(tblData[[#This Row],[Rental Date]],"mmmm")</f>
        <v>July</v>
      </c>
      <c r="E1541" t="s">
        <v>68</v>
      </c>
      <c r="F1541" t="str">
        <f>TEXT(WEEKNUM(tblData[[#This Row],[Rental Date]]),"00")</f>
        <v>30</v>
      </c>
      <c r="G1541" s="1">
        <f>EOMONTH(tblData[[#This Row],[Rental Date]],0)</f>
        <v>46234</v>
      </c>
      <c r="H1541" t="s">
        <v>749</v>
      </c>
      <c r="I1541" t="s">
        <v>48</v>
      </c>
      <c r="J1541" t="s">
        <v>24</v>
      </c>
      <c r="K1541" t="s">
        <v>25</v>
      </c>
      <c r="L1541">
        <v>1</v>
      </c>
      <c r="M1541" s="2">
        <v>60</v>
      </c>
      <c r="N1541" t="s">
        <v>26</v>
      </c>
      <c r="O1541" s="3">
        <v>0</v>
      </c>
      <c r="P1541" s="3">
        <v>3</v>
      </c>
      <c r="Q1541" s="2">
        <v>57</v>
      </c>
      <c r="R1541" t="s">
        <v>66</v>
      </c>
      <c r="S1541" t="s">
        <v>35</v>
      </c>
      <c r="T1541" t="s">
        <v>51</v>
      </c>
      <c r="U1541" t="s">
        <v>30</v>
      </c>
    </row>
    <row r="1542" spans="1:21" x14ac:dyDescent="0.35">
      <c r="A1542" t="s">
        <v>1621</v>
      </c>
      <c r="B1542" s="1">
        <v>46222</v>
      </c>
      <c r="C1542" t="str">
        <f>TEXT(tblData[[#This Row],[Rental Date]],"mmm")</f>
        <v>Jul</v>
      </c>
      <c r="D1542" t="str">
        <f>TEXT(tblData[[#This Row],[Rental Date]],"mmmm")</f>
        <v>July</v>
      </c>
      <c r="E1542" t="s">
        <v>68</v>
      </c>
      <c r="F1542" t="str">
        <f>TEXT(WEEKNUM(tblData[[#This Row],[Rental Date]]),"00")</f>
        <v>30</v>
      </c>
      <c r="G1542" s="1">
        <f>EOMONTH(tblData[[#This Row],[Rental Date]],0)</f>
        <v>46234</v>
      </c>
      <c r="H1542" t="s">
        <v>749</v>
      </c>
      <c r="I1542" t="s">
        <v>48</v>
      </c>
      <c r="J1542" t="s">
        <v>78</v>
      </c>
      <c r="K1542" t="s">
        <v>25</v>
      </c>
      <c r="L1542">
        <v>1</v>
      </c>
      <c r="M1542" s="2">
        <v>50.4</v>
      </c>
      <c r="N1542" t="s">
        <v>75</v>
      </c>
      <c r="O1542" s="3">
        <v>12</v>
      </c>
      <c r="P1542" s="3">
        <v>0</v>
      </c>
      <c r="Q1542" s="2">
        <v>62.4</v>
      </c>
      <c r="R1542" t="s">
        <v>94</v>
      </c>
      <c r="S1542" t="s">
        <v>46</v>
      </c>
      <c r="T1542" t="s">
        <v>29</v>
      </c>
      <c r="U1542" t="s">
        <v>30</v>
      </c>
    </row>
    <row r="1543" spans="1:21" x14ac:dyDescent="0.35">
      <c r="A1543" t="s">
        <v>1622</v>
      </c>
      <c r="B1543" s="1">
        <v>46222</v>
      </c>
      <c r="C1543" t="str">
        <f>TEXT(tblData[[#This Row],[Rental Date]],"mmm")</f>
        <v>Jul</v>
      </c>
      <c r="D1543" t="str">
        <f>TEXT(tblData[[#This Row],[Rental Date]],"mmmm")</f>
        <v>July</v>
      </c>
      <c r="E1543" t="s">
        <v>68</v>
      </c>
      <c r="F1543" t="str">
        <f>TEXT(WEEKNUM(tblData[[#This Row],[Rental Date]]),"00")</f>
        <v>30</v>
      </c>
      <c r="G1543" s="1">
        <f>EOMONTH(tblData[[#This Row],[Rental Date]],0)</f>
        <v>46234</v>
      </c>
      <c r="H1543" t="s">
        <v>749</v>
      </c>
      <c r="I1543" t="s">
        <v>48</v>
      </c>
      <c r="J1543" t="s">
        <v>111</v>
      </c>
      <c r="K1543" t="s">
        <v>25</v>
      </c>
      <c r="L1543">
        <v>1</v>
      </c>
      <c r="M1543" s="2">
        <v>26.4</v>
      </c>
      <c r="N1543" t="s">
        <v>26</v>
      </c>
      <c r="O1543" s="3">
        <v>0</v>
      </c>
      <c r="P1543" s="3">
        <v>0</v>
      </c>
      <c r="Q1543" s="2">
        <v>26.4</v>
      </c>
      <c r="R1543" t="s">
        <v>27</v>
      </c>
      <c r="S1543" t="s">
        <v>28</v>
      </c>
      <c r="T1543" t="s">
        <v>51</v>
      </c>
      <c r="U1543" t="s">
        <v>30</v>
      </c>
    </row>
    <row r="1544" spans="1:21" x14ac:dyDescent="0.35">
      <c r="A1544" t="s">
        <v>1623</v>
      </c>
      <c r="B1544" s="1">
        <v>46222</v>
      </c>
      <c r="C1544" t="str">
        <f>TEXT(tblData[[#This Row],[Rental Date]],"mmm")</f>
        <v>Jul</v>
      </c>
      <c r="D1544" t="str">
        <f>TEXT(tblData[[#This Row],[Rental Date]],"mmmm")</f>
        <v>July</v>
      </c>
      <c r="E1544" t="s">
        <v>68</v>
      </c>
      <c r="F1544" t="str">
        <f>TEXT(WEEKNUM(tblData[[#This Row],[Rental Date]]),"00")</f>
        <v>30</v>
      </c>
      <c r="G1544" s="1">
        <f>EOMONTH(tblData[[#This Row],[Rental Date]],0)</f>
        <v>46234</v>
      </c>
      <c r="H1544" t="s">
        <v>749</v>
      </c>
      <c r="I1544" t="s">
        <v>23</v>
      </c>
      <c r="J1544" t="s">
        <v>49</v>
      </c>
      <c r="K1544" t="s">
        <v>25</v>
      </c>
      <c r="L1544">
        <v>1</v>
      </c>
      <c r="M1544" s="2">
        <v>43.2</v>
      </c>
      <c r="N1544" t="s">
        <v>26</v>
      </c>
      <c r="O1544" s="3">
        <v>0</v>
      </c>
      <c r="P1544" s="3">
        <v>0</v>
      </c>
      <c r="Q1544" s="2">
        <v>43.2</v>
      </c>
      <c r="R1544" t="s">
        <v>76</v>
      </c>
      <c r="S1544" t="s">
        <v>28</v>
      </c>
      <c r="T1544" t="s">
        <v>29</v>
      </c>
      <c r="U1544" t="s">
        <v>30</v>
      </c>
    </row>
    <row r="1545" spans="1:21" x14ac:dyDescent="0.35">
      <c r="A1545" t="s">
        <v>1624</v>
      </c>
      <c r="B1545" s="1">
        <v>46222</v>
      </c>
      <c r="C1545" t="str">
        <f>TEXT(tblData[[#This Row],[Rental Date]],"mmm")</f>
        <v>Jul</v>
      </c>
      <c r="D1545" t="str">
        <f>TEXT(tblData[[#This Row],[Rental Date]],"mmmm")</f>
        <v>July</v>
      </c>
      <c r="E1545" t="s">
        <v>68</v>
      </c>
      <c r="F1545" t="str">
        <f>TEXT(WEEKNUM(tblData[[#This Row],[Rental Date]]),"00")</f>
        <v>30</v>
      </c>
      <c r="G1545" s="1">
        <f>EOMONTH(tblData[[#This Row],[Rental Date]],0)</f>
        <v>46234</v>
      </c>
      <c r="H1545" t="s">
        <v>749</v>
      </c>
      <c r="I1545" t="s">
        <v>39</v>
      </c>
      <c r="J1545" t="s">
        <v>33</v>
      </c>
      <c r="K1545" t="s">
        <v>25</v>
      </c>
      <c r="L1545">
        <v>1</v>
      </c>
      <c r="M1545" s="2">
        <v>45.6</v>
      </c>
      <c r="N1545" t="s">
        <v>41</v>
      </c>
      <c r="O1545" s="3">
        <v>5</v>
      </c>
      <c r="P1545" s="3">
        <v>0</v>
      </c>
      <c r="Q1545" s="2">
        <v>50.6</v>
      </c>
      <c r="R1545" t="s">
        <v>71</v>
      </c>
      <c r="S1545" t="s">
        <v>50</v>
      </c>
      <c r="T1545" t="s">
        <v>51</v>
      </c>
      <c r="U1545" t="s">
        <v>30</v>
      </c>
    </row>
    <row r="1546" spans="1:21" x14ac:dyDescent="0.35">
      <c r="A1546" t="s">
        <v>1625</v>
      </c>
      <c r="B1546" s="1">
        <v>46222</v>
      </c>
      <c r="C1546" t="str">
        <f>TEXT(tblData[[#This Row],[Rental Date]],"mmm")</f>
        <v>Jul</v>
      </c>
      <c r="D1546" t="str">
        <f>TEXT(tblData[[#This Row],[Rental Date]],"mmmm")</f>
        <v>July</v>
      </c>
      <c r="E1546" t="s">
        <v>68</v>
      </c>
      <c r="F1546" t="str">
        <f>TEXT(WEEKNUM(tblData[[#This Row],[Rental Date]]),"00")</f>
        <v>30</v>
      </c>
      <c r="G1546" s="1">
        <f>EOMONTH(tblData[[#This Row],[Rental Date]],0)</f>
        <v>46234</v>
      </c>
      <c r="H1546" t="s">
        <v>749</v>
      </c>
      <c r="I1546" t="s">
        <v>48</v>
      </c>
      <c r="J1546" t="s">
        <v>49</v>
      </c>
      <c r="K1546" t="s">
        <v>25</v>
      </c>
      <c r="L1546">
        <v>1</v>
      </c>
      <c r="M1546" s="2">
        <v>43.2</v>
      </c>
      <c r="N1546" t="s">
        <v>87</v>
      </c>
      <c r="O1546" s="3">
        <v>10</v>
      </c>
      <c r="P1546" s="3">
        <v>0</v>
      </c>
      <c r="Q1546" s="2">
        <v>53.2</v>
      </c>
      <c r="R1546" t="s">
        <v>62</v>
      </c>
      <c r="S1546" t="s">
        <v>28</v>
      </c>
      <c r="T1546" t="s">
        <v>51</v>
      </c>
      <c r="U1546" t="s">
        <v>30</v>
      </c>
    </row>
    <row r="1547" spans="1:21" x14ac:dyDescent="0.35">
      <c r="A1547" t="s">
        <v>1626</v>
      </c>
      <c r="B1547" s="1">
        <v>46222</v>
      </c>
      <c r="C1547" t="str">
        <f>TEXT(tblData[[#This Row],[Rental Date]],"mmm")</f>
        <v>Jul</v>
      </c>
      <c r="D1547" t="str">
        <f>TEXT(tblData[[#This Row],[Rental Date]],"mmmm")</f>
        <v>July</v>
      </c>
      <c r="E1547" t="s">
        <v>68</v>
      </c>
      <c r="F1547" t="str">
        <f>TEXT(WEEKNUM(tblData[[#This Row],[Rental Date]]),"00")</f>
        <v>30</v>
      </c>
      <c r="G1547" s="1">
        <f>EOMONTH(tblData[[#This Row],[Rental Date]],0)</f>
        <v>46234</v>
      </c>
      <c r="H1547" t="s">
        <v>749</v>
      </c>
      <c r="I1547" t="s">
        <v>32</v>
      </c>
      <c r="J1547" t="s">
        <v>138</v>
      </c>
      <c r="K1547" t="s">
        <v>60</v>
      </c>
      <c r="L1547">
        <v>1</v>
      </c>
      <c r="M1547" s="2">
        <v>36</v>
      </c>
      <c r="N1547" t="s">
        <v>41</v>
      </c>
      <c r="O1547" s="3">
        <v>5</v>
      </c>
      <c r="P1547" s="3">
        <v>2.0499999999999998</v>
      </c>
      <c r="Q1547" s="2">
        <v>38.950000000000003</v>
      </c>
      <c r="R1547" t="s">
        <v>94</v>
      </c>
      <c r="S1547" t="s">
        <v>35</v>
      </c>
      <c r="T1547" t="s">
        <v>63</v>
      </c>
      <c r="U1547" t="s">
        <v>58</v>
      </c>
    </row>
    <row r="1548" spans="1:21" x14ac:dyDescent="0.35">
      <c r="A1548" t="s">
        <v>1627</v>
      </c>
      <c r="B1548" s="1">
        <v>46222</v>
      </c>
      <c r="C1548" t="str">
        <f>TEXT(tblData[[#This Row],[Rental Date]],"mmm")</f>
        <v>Jul</v>
      </c>
      <c r="D1548" t="str">
        <f>TEXT(tblData[[#This Row],[Rental Date]],"mmmm")</f>
        <v>July</v>
      </c>
      <c r="E1548" t="s">
        <v>68</v>
      </c>
      <c r="F1548" t="str">
        <f>TEXT(WEEKNUM(tblData[[#This Row],[Rental Date]]),"00")</f>
        <v>30</v>
      </c>
      <c r="G1548" s="1">
        <f>EOMONTH(tblData[[#This Row],[Rental Date]],0)</f>
        <v>46234</v>
      </c>
      <c r="H1548" t="s">
        <v>749</v>
      </c>
      <c r="I1548" t="s">
        <v>53</v>
      </c>
      <c r="J1548" t="s">
        <v>127</v>
      </c>
      <c r="K1548" t="s">
        <v>25</v>
      </c>
      <c r="L1548">
        <v>1</v>
      </c>
      <c r="M1548" s="2">
        <v>19.2</v>
      </c>
      <c r="N1548" t="s">
        <v>41</v>
      </c>
      <c r="O1548" s="3">
        <v>5</v>
      </c>
      <c r="P1548" s="3">
        <v>2.42</v>
      </c>
      <c r="Q1548" s="2">
        <v>21.78</v>
      </c>
      <c r="R1548" t="s">
        <v>45</v>
      </c>
      <c r="S1548" t="s">
        <v>46</v>
      </c>
      <c r="T1548" t="s">
        <v>90</v>
      </c>
      <c r="U1548" t="s">
        <v>30</v>
      </c>
    </row>
    <row r="1549" spans="1:21" x14ac:dyDescent="0.35">
      <c r="A1549" t="s">
        <v>1628</v>
      </c>
      <c r="B1549" s="1">
        <v>46222</v>
      </c>
      <c r="C1549" t="str">
        <f>TEXT(tblData[[#This Row],[Rental Date]],"mmm")</f>
        <v>Jul</v>
      </c>
      <c r="D1549" t="str">
        <f>TEXT(tblData[[#This Row],[Rental Date]],"mmmm")</f>
        <v>July</v>
      </c>
      <c r="E1549" t="s">
        <v>68</v>
      </c>
      <c r="F1549" t="str">
        <f>TEXT(WEEKNUM(tblData[[#This Row],[Rental Date]]),"00")</f>
        <v>30</v>
      </c>
      <c r="G1549" s="1">
        <f>EOMONTH(tblData[[#This Row],[Rental Date]],0)</f>
        <v>46234</v>
      </c>
      <c r="H1549" t="s">
        <v>749</v>
      </c>
      <c r="I1549" t="s">
        <v>48</v>
      </c>
      <c r="J1549" t="s">
        <v>49</v>
      </c>
      <c r="K1549" t="s">
        <v>60</v>
      </c>
      <c r="L1549">
        <v>1</v>
      </c>
      <c r="M1549" s="2">
        <v>26.4</v>
      </c>
      <c r="N1549" t="s">
        <v>89</v>
      </c>
      <c r="O1549" s="3">
        <v>6</v>
      </c>
      <c r="P1549" s="3">
        <v>0</v>
      </c>
      <c r="Q1549" s="2">
        <v>32.4</v>
      </c>
      <c r="R1549" t="s">
        <v>66</v>
      </c>
      <c r="S1549" t="s">
        <v>50</v>
      </c>
      <c r="T1549" t="s">
        <v>51</v>
      </c>
      <c r="U1549" t="s">
        <v>30</v>
      </c>
    </row>
    <row r="1550" spans="1:21" x14ac:dyDescent="0.35">
      <c r="A1550" t="s">
        <v>1629</v>
      </c>
      <c r="B1550" s="1">
        <v>46222</v>
      </c>
      <c r="C1550" t="str">
        <f>TEXT(tblData[[#This Row],[Rental Date]],"mmm")</f>
        <v>Jul</v>
      </c>
      <c r="D1550" t="str">
        <f>TEXT(tblData[[#This Row],[Rental Date]],"mmmm")</f>
        <v>July</v>
      </c>
      <c r="E1550" t="s">
        <v>68</v>
      </c>
      <c r="F1550" t="str">
        <f>TEXT(WEEKNUM(tblData[[#This Row],[Rental Date]]),"00")</f>
        <v>30</v>
      </c>
      <c r="G1550" s="1">
        <f>EOMONTH(tblData[[#This Row],[Rental Date]],0)</f>
        <v>46234</v>
      </c>
      <c r="H1550" t="s">
        <v>749</v>
      </c>
      <c r="I1550" t="s">
        <v>39</v>
      </c>
      <c r="J1550" t="s">
        <v>138</v>
      </c>
      <c r="K1550" t="s">
        <v>92</v>
      </c>
      <c r="L1550">
        <v>1</v>
      </c>
      <c r="M1550" s="2">
        <v>124.8</v>
      </c>
      <c r="N1550" t="s">
        <v>70</v>
      </c>
      <c r="O1550" s="3">
        <v>7</v>
      </c>
      <c r="P1550" s="3">
        <v>0</v>
      </c>
      <c r="Q1550" s="2">
        <v>131.80000000000001</v>
      </c>
      <c r="R1550" t="s">
        <v>42</v>
      </c>
      <c r="S1550" t="s">
        <v>35</v>
      </c>
      <c r="T1550" t="s">
        <v>63</v>
      </c>
      <c r="U1550" t="s">
        <v>30</v>
      </c>
    </row>
    <row r="1551" spans="1:21" x14ac:dyDescent="0.35">
      <c r="A1551" t="s">
        <v>1630</v>
      </c>
      <c r="B1551" s="1">
        <v>46222</v>
      </c>
      <c r="C1551" t="str">
        <f>TEXT(tblData[[#This Row],[Rental Date]],"mmm")</f>
        <v>Jul</v>
      </c>
      <c r="D1551" t="str">
        <f>TEXT(tblData[[#This Row],[Rental Date]],"mmmm")</f>
        <v>July</v>
      </c>
      <c r="E1551" t="s">
        <v>68</v>
      </c>
      <c r="F1551" t="str">
        <f>TEXT(WEEKNUM(tblData[[#This Row],[Rental Date]]),"00")</f>
        <v>30</v>
      </c>
      <c r="G1551" s="1">
        <f>EOMONTH(tblData[[#This Row],[Rental Date]],0)</f>
        <v>46234</v>
      </c>
      <c r="H1551" t="s">
        <v>749</v>
      </c>
      <c r="I1551" t="s">
        <v>48</v>
      </c>
      <c r="J1551" t="s">
        <v>44</v>
      </c>
      <c r="K1551" t="s">
        <v>60</v>
      </c>
      <c r="L1551">
        <v>1</v>
      </c>
      <c r="M1551" s="2">
        <v>40.799999999999997</v>
      </c>
      <c r="N1551" t="s">
        <v>26</v>
      </c>
      <c r="O1551" s="3">
        <v>0</v>
      </c>
      <c r="P1551" s="3">
        <v>0</v>
      </c>
      <c r="Q1551" s="2">
        <v>40.799999999999997</v>
      </c>
      <c r="R1551" t="s">
        <v>57</v>
      </c>
      <c r="S1551" t="s">
        <v>35</v>
      </c>
      <c r="T1551" t="s">
        <v>29</v>
      </c>
      <c r="U1551" t="s">
        <v>30</v>
      </c>
    </row>
    <row r="1552" spans="1:21" x14ac:dyDescent="0.35">
      <c r="A1552" t="s">
        <v>1631</v>
      </c>
      <c r="B1552" s="1">
        <v>46222</v>
      </c>
      <c r="C1552" t="str">
        <f>TEXT(tblData[[#This Row],[Rental Date]],"mmm")</f>
        <v>Jul</v>
      </c>
      <c r="D1552" t="str">
        <f>TEXT(tblData[[#This Row],[Rental Date]],"mmmm")</f>
        <v>July</v>
      </c>
      <c r="E1552" t="s">
        <v>68</v>
      </c>
      <c r="F1552" t="str">
        <f>TEXT(WEEKNUM(tblData[[#This Row],[Rental Date]]),"00")</f>
        <v>30</v>
      </c>
      <c r="G1552" s="1">
        <f>EOMONTH(tblData[[#This Row],[Rental Date]],0)</f>
        <v>46234</v>
      </c>
      <c r="H1552" t="s">
        <v>749</v>
      </c>
      <c r="I1552" t="s">
        <v>48</v>
      </c>
      <c r="J1552" t="s">
        <v>78</v>
      </c>
      <c r="K1552" t="s">
        <v>25</v>
      </c>
      <c r="L1552">
        <v>1</v>
      </c>
      <c r="M1552" s="2">
        <v>50.4</v>
      </c>
      <c r="N1552" t="s">
        <v>75</v>
      </c>
      <c r="O1552" s="3">
        <v>12</v>
      </c>
      <c r="P1552" s="3">
        <v>0</v>
      </c>
      <c r="Q1552" s="2">
        <v>62.4</v>
      </c>
      <c r="R1552" t="s">
        <v>76</v>
      </c>
      <c r="S1552" t="s">
        <v>50</v>
      </c>
      <c r="T1552" t="s">
        <v>90</v>
      </c>
      <c r="U1552" t="s">
        <v>30</v>
      </c>
    </row>
    <row r="1553" spans="1:21" x14ac:dyDescent="0.35">
      <c r="A1553" t="s">
        <v>1632</v>
      </c>
      <c r="B1553" s="1">
        <v>46222</v>
      </c>
      <c r="C1553" t="str">
        <f>TEXT(tblData[[#This Row],[Rental Date]],"mmm")</f>
        <v>Jul</v>
      </c>
      <c r="D1553" t="str">
        <f>TEXT(tblData[[#This Row],[Rental Date]],"mmmm")</f>
        <v>July</v>
      </c>
      <c r="E1553" t="s">
        <v>68</v>
      </c>
      <c r="F1553" t="str">
        <f>TEXT(WEEKNUM(tblData[[#This Row],[Rental Date]]),"00")</f>
        <v>30</v>
      </c>
      <c r="G1553" s="1">
        <f>EOMONTH(tblData[[#This Row],[Rental Date]],0)</f>
        <v>46234</v>
      </c>
      <c r="H1553" t="s">
        <v>749</v>
      </c>
      <c r="I1553" t="s">
        <v>39</v>
      </c>
      <c r="J1553" t="s">
        <v>111</v>
      </c>
      <c r="K1553" t="s">
        <v>60</v>
      </c>
      <c r="L1553">
        <v>1</v>
      </c>
      <c r="M1553" s="2">
        <v>16.8</v>
      </c>
      <c r="N1553" t="s">
        <v>61</v>
      </c>
      <c r="O1553" s="3">
        <v>8</v>
      </c>
      <c r="P1553" s="3">
        <v>0</v>
      </c>
      <c r="Q1553" s="2">
        <v>24.8</v>
      </c>
      <c r="R1553" t="s">
        <v>94</v>
      </c>
      <c r="S1553" t="s">
        <v>35</v>
      </c>
      <c r="T1553" t="s">
        <v>29</v>
      </c>
      <c r="U1553" t="s">
        <v>79</v>
      </c>
    </row>
    <row r="1554" spans="1:21" x14ac:dyDescent="0.35">
      <c r="A1554" t="s">
        <v>1633</v>
      </c>
      <c r="B1554" s="1">
        <v>46222</v>
      </c>
      <c r="C1554" t="str">
        <f>TEXT(tblData[[#This Row],[Rental Date]],"mmm")</f>
        <v>Jul</v>
      </c>
      <c r="D1554" t="str">
        <f>TEXT(tblData[[#This Row],[Rental Date]],"mmmm")</f>
        <v>July</v>
      </c>
      <c r="E1554" t="s">
        <v>68</v>
      </c>
      <c r="F1554" t="str">
        <f>TEXT(WEEKNUM(tblData[[#This Row],[Rental Date]]),"00")</f>
        <v>30</v>
      </c>
      <c r="G1554" s="1">
        <f>EOMONTH(tblData[[#This Row],[Rental Date]],0)</f>
        <v>46234</v>
      </c>
      <c r="H1554" t="s">
        <v>749</v>
      </c>
      <c r="I1554" t="s">
        <v>32</v>
      </c>
      <c r="J1554" t="s">
        <v>44</v>
      </c>
      <c r="K1554" t="s">
        <v>25</v>
      </c>
      <c r="L1554">
        <v>1</v>
      </c>
      <c r="M1554" s="2">
        <v>62.4</v>
      </c>
      <c r="N1554" t="s">
        <v>41</v>
      </c>
      <c r="O1554" s="3">
        <v>5</v>
      </c>
      <c r="P1554" s="3">
        <v>6.74</v>
      </c>
      <c r="Q1554" s="2">
        <v>60.66</v>
      </c>
      <c r="R1554" t="s">
        <v>66</v>
      </c>
      <c r="S1554" t="s">
        <v>50</v>
      </c>
      <c r="T1554" t="s">
        <v>51</v>
      </c>
      <c r="U1554" t="s">
        <v>30</v>
      </c>
    </row>
    <row r="1555" spans="1:21" x14ac:dyDescent="0.35">
      <c r="A1555" t="s">
        <v>1634</v>
      </c>
      <c r="B1555" s="1">
        <v>46222</v>
      </c>
      <c r="C1555" t="str">
        <f>TEXT(tblData[[#This Row],[Rental Date]],"mmm")</f>
        <v>Jul</v>
      </c>
      <c r="D1555" t="str">
        <f>TEXT(tblData[[#This Row],[Rental Date]],"mmmm")</f>
        <v>July</v>
      </c>
      <c r="E1555" t="s">
        <v>68</v>
      </c>
      <c r="F1555" t="str">
        <f>TEXT(WEEKNUM(tblData[[#This Row],[Rental Date]]),"00")</f>
        <v>30</v>
      </c>
      <c r="G1555" s="1">
        <f>EOMONTH(tblData[[#This Row],[Rental Date]],0)</f>
        <v>46234</v>
      </c>
      <c r="H1555" t="s">
        <v>749</v>
      </c>
      <c r="I1555" t="s">
        <v>23</v>
      </c>
      <c r="J1555" t="s">
        <v>78</v>
      </c>
      <c r="K1555" t="s">
        <v>25</v>
      </c>
      <c r="L1555">
        <v>1</v>
      </c>
      <c r="M1555" s="2">
        <v>50.4</v>
      </c>
      <c r="N1555" t="s">
        <v>87</v>
      </c>
      <c r="O1555" s="3">
        <v>10</v>
      </c>
      <c r="P1555" s="3">
        <v>0</v>
      </c>
      <c r="Q1555" s="2">
        <v>60.4</v>
      </c>
      <c r="R1555" t="s">
        <v>57</v>
      </c>
      <c r="S1555" t="s">
        <v>28</v>
      </c>
      <c r="T1555" t="s">
        <v>29</v>
      </c>
      <c r="U1555" t="s">
        <v>36</v>
      </c>
    </row>
    <row r="1556" spans="1:21" x14ac:dyDescent="0.35">
      <c r="A1556" t="s">
        <v>1635</v>
      </c>
      <c r="B1556" s="1">
        <v>46222</v>
      </c>
      <c r="C1556" t="str">
        <f>TEXT(tblData[[#This Row],[Rental Date]],"mmm")</f>
        <v>Jul</v>
      </c>
      <c r="D1556" t="str">
        <f>TEXT(tblData[[#This Row],[Rental Date]],"mmmm")</f>
        <v>July</v>
      </c>
      <c r="E1556" t="s">
        <v>68</v>
      </c>
      <c r="F1556" t="str">
        <f>TEXT(WEEKNUM(tblData[[#This Row],[Rental Date]]),"00")</f>
        <v>30</v>
      </c>
      <c r="G1556" s="1">
        <f>EOMONTH(tblData[[#This Row],[Rental Date]],0)</f>
        <v>46234</v>
      </c>
      <c r="H1556" t="s">
        <v>749</v>
      </c>
      <c r="I1556" t="s">
        <v>48</v>
      </c>
      <c r="J1556" t="s">
        <v>44</v>
      </c>
      <c r="K1556" t="s">
        <v>40</v>
      </c>
      <c r="L1556">
        <v>1</v>
      </c>
      <c r="M1556" s="2">
        <v>93.6</v>
      </c>
      <c r="N1556" t="s">
        <v>26</v>
      </c>
      <c r="O1556" s="3">
        <v>0</v>
      </c>
      <c r="P1556" s="3">
        <v>0</v>
      </c>
      <c r="Q1556" s="2">
        <v>93.6</v>
      </c>
      <c r="R1556" t="s">
        <v>66</v>
      </c>
      <c r="S1556" t="s">
        <v>54</v>
      </c>
      <c r="T1556" t="s">
        <v>90</v>
      </c>
      <c r="U1556" t="s">
        <v>30</v>
      </c>
    </row>
    <row r="1557" spans="1:21" x14ac:dyDescent="0.35">
      <c r="A1557" t="s">
        <v>1636</v>
      </c>
      <c r="B1557" s="1">
        <v>46222</v>
      </c>
      <c r="C1557" t="str">
        <f>TEXT(tblData[[#This Row],[Rental Date]],"mmm")</f>
        <v>Jul</v>
      </c>
      <c r="D1557" t="str">
        <f>TEXT(tblData[[#This Row],[Rental Date]],"mmmm")</f>
        <v>July</v>
      </c>
      <c r="E1557" t="s">
        <v>68</v>
      </c>
      <c r="F1557" t="str">
        <f>TEXT(WEEKNUM(tblData[[#This Row],[Rental Date]]),"00")</f>
        <v>30</v>
      </c>
      <c r="G1557" s="1">
        <f>EOMONTH(tblData[[#This Row],[Rental Date]],0)</f>
        <v>46234</v>
      </c>
      <c r="H1557" t="s">
        <v>749</v>
      </c>
      <c r="I1557" t="s">
        <v>32</v>
      </c>
      <c r="J1557" t="s">
        <v>33</v>
      </c>
      <c r="K1557" t="s">
        <v>25</v>
      </c>
      <c r="L1557">
        <v>1</v>
      </c>
      <c r="M1557" s="2">
        <v>45.6</v>
      </c>
      <c r="N1557" t="s">
        <v>70</v>
      </c>
      <c r="O1557" s="3">
        <v>7</v>
      </c>
      <c r="P1557" s="3">
        <v>5.26</v>
      </c>
      <c r="Q1557" s="2">
        <v>47.34</v>
      </c>
      <c r="R1557" t="s">
        <v>34</v>
      </c>
      <c r="S1557" t="s">
        <v>54</v>
      </c>
      <c r="T1557" t="s">
        <v>90</v>
      </c>
      <c r="U1557" t="s">
        <v>30</v>
      </c>
    </row>
    <row r="1558" spans="1:21" x14ac:dyDescent="0.35">
      <c r="A1558" t="s">
        <v>1637</v>
      </c>
      <c r="B1558" s="1">
        <v>46222</v>
      </c>
      <c r="C1558" t="str">
        <f>TEXT(tblData[[#This Row],[Rental Date]],"mmm")</f>
        <v>Jul</v>
      </c>
      <c r="D1558" t="str">
        <f>TEXT(tblData[[#This Row],[Rental Date]],"mmmm")</f>
        <v>July</v>
      </c>
      <c r="E1558" t="s">
        <v>68</v>
      </c>
      <c r="F1558" t="str">
        <f>TEXT(WEEKNUM(tblData[[#This Row],[Rental Date]]),"00")</f>
        <v>30</v>
      </c>
      <c r="G1558" s="1">
        <f>EOMONTH(tblData[[#This Row],[Rental Date]],0)</f>
        <v>46234</v>
      </c>
      <c r="H1558" t="s">
        <v>749</v>
      </c>
      <c r="I1558" t="s">
        <v>39</v>
      </c>
      <c r="J1558" t="s">
        <v>24</v>
      </c>
      <c r="K1558" t="s">
        <v>60</v>
      </c>
      <c r="L1558">
        <v>1</v>
      </c>
      <c r="M1558" s="2">
        <v>38.4</v>
      </c>
      <c r="N1558" t="s">
        <v>87</v>
      </c>
      <c r="O1558" s="3">
        <v>10</v>
      </c>
      <c r="P1558" s="3">
        <v>0</v>
      </c>
      <c r="Q1558" s="2">
        <v>48.4</v>
      </c>
      <c r="R1558" t="s">
        <v>45</v>
      </c>
      <c r="S1558" t="s">
        <v>35</v>
      </c>
      <c r="T1558" t="s">
        <v>29</v>
      </c>
      <c r="U1558" t="s">
        <v>30</v>
      </c>
    </row>
    <row r="1559" spans="1:21" x14ac:dyDescent="0.35">
      <c r="A1559" t="s">
        <v>1638</v>
      </c>
      <c r="B1559" s="1">
        <v>46222</v>
      </c>
      <c r="C1559" t="str">
        <f>TEXT(tblData[[#This Row],[Rental Date]],"mmm")</f>
        <v>Jul</v>
      </c>
      <c r="D1559" t="str">
        <f>TEXT(tblData[[#This Row],[Rental Date]],"mmmm")</f>
        <v>July</v>
      </c>
      <c r="E1559" t="s">
        <v>68</v>
      </c>
      <c r="F1559" t="str">
        <f>TEXT(WEEKNUM(tblData[[#This Row],[Rental Date]]),"00")</f>
        <v>30</v>
      </c>
      <c r="G1559" s="1">
        <f>EOMONTH(tblData[[#This Row],[Rental Date]],0)</f>
        <v>46234</v>
      </c>
      <c r="H1559" t="s">
        <v>749</v>
      </c>
      <c r="I1559" t="s">
        <v>48</v>
      </c>
      <c r="J1559" t="s">
        <v>24</v>
      </c>
      <c r="K1559" t="s">
        <v>60</v>
      </c>
      <c r="L1559">
        <v>1</v>
      </c>
      <c r="M1559" s="2">
        <v>38.4</v>
      </c>
      <c r="N1559" t="s">
        <v>26</v>
      </c>
      <c r="O1559" s="3">
        <v>0</v>
      </c>
      <c r="P1559" s="3">
        <v>0</v>
      </c>
      <c r="Q1559" s="2">
        <v>38.4</v>
      </c>
      <c r="R1559" t="s">
        <v>66</v>
      </c>
      <c r="S1559" t="s">
        <v>46</v>
      </c>
      <c r="T1559" t="s">
        <v>83</v>
      </c>
      <c r="U1559" t="s">
        <v>30</v>
      </c>
    </row>
    <row r="1560" spans="1:21" x14ac:dyDescent="0.35">
      <c r="A1560" t="s">
        <v>1639</v>
      </c>
      <c r="B1560" s="1">
        <v>46222</v>
      </c>
      <c r="C1560" t="str">
        <f>TEXT(tblData[[#This Row],[Rental Date]],"mmm")</f>
        <v>Jul</v>
      </c>
      <c r="D1560" t="str">
        <f>TEXT(tblData[[#This Row],[Rental Date]],"mmmm")</f>
        <v>July</v>
      </c>
      <c r="E1560" t="s">
        <v>68</v>
      </c>
      <c r="F1560" t="str">
        <f>TEXT(WEEKNUM(tblData[[#This Row],[Rental Date]]),"00")</f>
        <v>30</v>
      </c>
      <c r="G1560" s="1">
        <f>EOMONTH(tblData[[#This Row],[Rental Date]],0)</f>
        <v>46234</v>
      </c>
      <c r="H1560" t="s">
        <v>749</v>
      </c>
      <c r="I1560" t="s">
        <v>39</v>
      </c>
      <c r="J1560" t="s">
        <v>78</v>
      </c>
      <c r="K1560" t="s">
        <v>60</v>
      </c>
      <c r="L1560">
        <v>1</v>
      </c>
      <c r="M1560" s="2">
        <v>31.2</v>
      </c>
      <c r="N1560" t="s">
        <v>61</v>
      </c>
      <c r="O1560" s="3">
        <v>8</v>
      </c>
      <c r="P1560" s="3">
        <v>0</v>
      </c>
      <c r="Q1560" s="2">
        <v>39.200000000000003</v>
      </c>
      <c r="R1560" t="s">
        <v>45</v>
      </c>
      <c r="S1560" t="s">
        <v>50</v>
      </c>
      <c r="T1560" t="s">
        <v>51</v>
      </c>
      <c r="U1560" t="s">
        <v>30</v>
      </c>
    </row>
    <row r="1561" spans="1:21" x14ac:dyDescent="0.35">
      <c r="A1561" t="s">
        <v>1640</v>
      </c>
      <c r="B1561" s="1">
        <v>46223</v>
      </c>
      <c r="C1561" t="str">
        <f>TEXT(tblData[[#This Row],[Rental Date]],"mmm")</f>
        <v>Jul</v>
      </c>
      <c r="D1561" t="str">
        <f>TEXT(tblData[[#This Row],[Rental Date]],"mmmm")</f>
        <v>July</v>
      </c>
      <c r="E1561" t="s">
        <v>74</v>
      </c>
      <c r="F1561" t="str">
        <f>TEXT(WEEKNUM(tblData[[#This Row],[Rental Date]]),"00")</f>
        <v>30</v>
      </c>
      <c r="G1561" s="1">
        <f>EOMONTH(tblData[[#This Row],[Rental Date]],0)</f>
        <v>46234</v>
      </c>
      <c r="H1561" t="s">
        <v>749</v>
      </c>
      <c r="I1561" t="s">
        <v>23</v>
      </c>
      <c r="J1561" t="s">
        <v>33</v>
      </c>
      <c r="K1561" t="s">
        <v>40</v>
      </c>
      <c r="L1561">
        <v>1</v>
      </c>
      <c r="M1561" s="2">
        <v>64.959999999999994</v>
      </c>
      <c r="N1561" t="s">
        <v>26</v>
      </c>
      <c r="O1561" s="3">
        <v>0</v>
      </c>
      <c r="P1561" s="3">
        <v>0</v>
      </c>
      <c r="Q1561" s="2">
        <v>64.959999999999994</v>
      </c>
      <c r="R1561" t="s">
        <v>45</v>
      </c>
      <c r="S1561" t="s">
        <v>46</v>
      </c>
      <c r="T1561" t="s">
        <v>29</v>
      </c>
      <c r="U1561" t="s">
        <v>30</v>
      </c>
    </row>
    <row r="1562" spans="1:21" x14ac:dyDescent="0.35">
      <c r="A1562" t="s">
        <v>1641</v>
      </c>
      <c r="B1562" s="1">
        <v>46223</v>
      </c>
      <c r="C1562" t="str">
        <f>TEXT(tblData[[#This Row],[Rental Date]],"mmm")</f>
        <v>Jul</v>
      </c>
      <c r="D1562" t="str">
        <f>TEXT(tblData[[#This Row],[Rental Date]],"mmmm")</f>
        <v>July</v>
      </c>
      <c r="E1562" t="s">
        <v>74</v>
      </c>
      <c r="F1562" t="str">
        <f>TEXT(WEEKNUM(tblData[[#This Row],[Rental Date]]),"00")</f>
        <v>30</v>
      </c>
      <c r="G1562" s="1">
        <f>EOMONTH(tblData[[#This Row],[Rental Date]],0)</f>
        <v>46234</v>
      </c>
      <c r="H1562" t="s">
        <v>749</v>
      </c>
      <c r="I1562" t="s">
        <v>39</v>
      </c>
      <c r="J1562" t="s">
        <v>49</v>
      </c>
      <c r="K1562" t="s">
        <v>25</v>
      </c>
      <c r="L1562">
        <v>1</v>
      </c>
      <c r="M1562" s="2">
        <v>40.32</v>
      </c>
      <c r="N1562" t="s">
        <v>26</v>
      </c>
      <c r="O1562" s="3">
        <v>0</v>
      </c>
      <c r="P1562" s="3">
        <v>2.02</v>
      </c>
      <c r="Q1562" s="2">
        <v>38.299999999999997</v>
      </c>
      <c r="R1562" t="s">
        <v>45</v>
      </c>
      <c r="S1562" t="s">
        <v>54</v>
      </c>
      <c r="T1562" t="s">
        <v>51</v>
      </c>
      <c r="U1562" t="s">
        <v>30</v>
      </c>
    </row>
    <row r="1563" spans="1:21" x14ac:dyDescent="0.35">
      <c r="A1563" t="s">
        <v>1642</v>
      </c>
      <c r="B1563" s="1">
        <v>46223</v>
      </c>
      <c r="C1563" t="str">
        <f>TEXT(tblData[[#This Row],[Rental Date]],"mmm")</f>
        <v>Jul</v>
      </c>
      <c r="D1563" t="str">
        <f>TEXT(tblData[[#This Row],[Rental Date]],"mmmm")</f>
        <v>July</v>
      </c>
      <c r="E1563" t="s">
        <v>74</v>
      </c>
      <c r="F1563" t="str">
        <f>TEXT(WEEKNUM(tblData[[#This Row],[Rental Date]]),"00")</f>
        <v>30</v>
      </c>
      <c r="G1563" s="1">
        <f>EOMONTH(tblData[[#This Row],[Rental Date]],0)</f>
        <v>46234</v>
      </c>
      <c r="H1563" t="s">
        <v>749</v>
      </c>
      <c r="I1563" t="s">
        <v>39</v>
      </c>
      <c r="J1563" t="s">
        <v>49</v>
      </c>
      <c r="K1563" t="s">
        <v>60</v>
      </c>
      <c r="L1563">
        <v>1</v>
      </c>
      <c r="M1563" s="2">
        <v>24.64</v>
      </c>
      <c r="N1563" t="s">
        <v>41</v>
      </c>
      <c r="O1563" s="3">
        <v>5</v>
      </c>
      <c r="P1563" s="3">
        <v>0</v>
      </c>
      <c r="Q1563" s="2">
        <v>29.64</v>
      </c>
      <c r="R1563" t="s">
        <v>71</v>
      </c>
      <c r="S1563" t="s">
        <v>35</v>
      </c>
      <c r="T1563" t="s">
        <v>29</v>
      </c>
      <c r="U1563" t="s">
        <v>30</v>
      </c>
    </row>
    <row r="1564" spans="1:21" x14ac:dyDescent="0.35">
      <c r="A1564" t="s">
        <v>1643</v>
      </c>
      <c r="B1564" s="1">
        <v>46223</v>
      </c>
      <c r="C1564" t="str">
        <f>TEXT(tblData[[#This Row],[Rental Date]],"mmm")</f>
        <v>Jul</v>
      </c>
      <c r="D1564" t="str">
        <f>TEXT(tblData[[#This Row],[Rental Date]],"mmmm")</f>
        <v>July</v>
      </c>
      <c r="E1564" t="s">
        <v>74</v>
      </c>
      <c r="F1564" t="str">
        <f>TEXT(WEEKNUM(tblData[[#This Row],[Rental Date]]),"00")</f>
        <v>30</v>
      </c>
      <c r="G1564" s="1">
        <f>EOMONTH(tblData[[#This Row],[Rental Date]],0)</f>
        <v>46234</v>
      </c>
      <c r="H1564" t="s">
        <v>749</v>
      </c>
      <c r="I1564" t="s">
        <v>39</v>
      </c>
      <c r="J1564" t="s">
        <v>49</v>
      </c>
      <c r="K1564" t="s">
        <v>60</v>
      </c>
      <c r="L1564">
        <v>1</v>
      </c>
      <c r="M1564" s="2">
        <v>24.64</v>
      </c>
      <c r="N1564" t="s">
        <v>26</v>
      </c>
      <c r="O1564" s="3">
        <v>0</v>
      </c>
      <c r="P1564" s="3">
        <v>0</v>
      </c>
      <c r="Q1564" s="2">
        <v>24.64</v>
      </c>
      <c r="R1564" t="s">
        <v>94</v>
      </c>
      <c r="S1564" t="s">
        <v>50</v>
      </c>
      <c r="T1564" t="s">
        <v>29</v>
      </c>
      <c r="U1564" t="s">
        <v>30</v>
      </c>
    </row>
    <row r="1565" spans="1:21" x14ac:dyDescent="0.35">
      <c r="A1565" t="s">
        <v>1644</v>
      </c>
      <c r="B1565" s="1">
        <v>46223</v>
      </c>
      <c r="C1565" t="str">
        <f>TEXT(tblData[[#This Row],[Rental Date]],"mmm")</f>
        <v>Jul</v>
      </c>
      <c r="D1565" t="str">
        <f>TEXT(tblData[[#This Row],[Rental Date]],"mmmm")</f>
        <v>July</v>
      </c>
      <c r="E1565" t="s">
        <v>74</v>
      </c>
      <c r="F1565" t="str">
        <f>TEXT(WEEKNUM(tblData[[#This Row],[Rental Date]]),"00")</f>
        <v>30</v>
      </c>
      <c r="G1565" s="1">
        <f>EOMONTH(tblData[[#This Row],[Rental Date]],0)</f>
        <v>46234</v>
      </c>
      <c r="H1565" t="s">
        <v>749</v>
      </c>
      <c r="I1565" t="s">
        <v>23</v>
      </c>
      <c r="J1565" t="s">
        <v>33</v>
      </c>
      <c r="K1565" t="s">
        <v>25</v>
      </c>
      <c r="L1565">
        <v>1</v>
      </c>
      <c r="M1565" s="2">
        <v>42.56</v>
      </c>
      <c r="N1565" t="s">
        <v>70</v>
      </c>
      <c r="O1565" s="3">
        <v>7</v>
      </c>
      <c r="P1565" s="3">
        <v>0</v>
      </c>
      <c r="Q1565" s="2">
        <v>49.56</v>
      </c>
      <c r="R1565" t="s">
        <v>66</v>
      </c>
      <c r="S1565" t="s">
        <v>50</v>
      </c>
      <c r="T1565" t="s">
        <v>51</v>
      </c>
      <c r="U1565" t="s">
        <v>58</v>
      </c>
    </row>
    <row r="1566" spans="1:21" x14ac:dyDescent="0.35">
      <c r="A1566" t="s">
        <v>1645</v>
      </c>
      <c r="B1566" s="1">
        <v>46223</v>
      </c>
      <c r="C1566" t="str">
        <f>TEXT(tblData[[#This Row],[Rental Date]],"mmm")</f>
        <v>Jul</v>
      </c>
      <c r="D1566" t="str">
        <f>TEXT(tblData[[#This Row],[Rental Date]],"mmmm")</f>
        <v>July</v>
      </c>
      <c r="E1566" t="s">
        <v>74</v>
      </c>
      <c r="F1566" t="str">
        <f>TEXT(WEEKNUM(tblData[[#This Row],[Rental Date]]),"00")</f>
        <v>30</v>
      </c>
      <c r="G1566" s="1">
        <f>EOMONTH(tblData[[#This Row],[Rental Date]],0)</f>
        <v>46234</v>
      </c>
      <c r="H1566" t="s">
        <v>749</v>
      </c>
      <c r="I1566" t="s">
        <v>53</v>
      </c>
      <c r="J1566" t="s">
        <v>33</v>
      </c>
      <c r="K1566" t="s">
        <v>60</v>
      </c>
      <c r="L1566">
        <v>1</v>
      </c>
      <c r="M1566" s="2">
        <v>26.88</v>
      </c>
      <c r="N1566" t="s">
        <v>89</v>
      </c>
      <c r="O1566" s="3">
        <v>6</v>
      </c>
      <c r="P1566" s="3">
        <v>3.29</v>
      </c>
      <c r="Q1566" s="2">
        <v>29.59</v>
      </c>
      <c r="R1566" t="s">
        <v>71</v>
      </c>
      <c r="S1566" t="s">
        <v>50</v>
      </c>
      <c r="T1566" t="s">
        <v>29</v>
      </c>
      <c r="U1566" t="s">
        <v>30</v>
      </c>
    </row>
    <row r="1567" spans="1:21" x14ac:dyDescent="0.35">
      <c r="A1567" t="s">
        <v>1646</v>
      </c>
      <c r="B1567" s="1">
        <v>46223</v>
      </c>
      <c r="C1567" t="str">
        <f>TEXT(tblData[[#This Row],[Rental Date]],"mmm")</f>
        <v>Jul</v>
      </c>
      <c r="D1567" t="str">
        <f>TEXT(tblData[[#This Row],[Rental Date]],"mmmm")</f>
        <v>July</v>
      </c>
      <c r="E1567" t="s">
        <v>74</v>
      </c>
      <c r="F1567" t="str">
        <f>TEXT(WEEKNUM(tblData[[#This Row],[Rental Date]]),"00")</f>
        <v>30</v>
      </c>
      <c r="G1567" s="1">
        <f>EOMONTH(tblData[[#This Row],[Rental Date]],0)</f>
        <v>46234</v>
      </c>
      <c r="H1567" t="s">
        <v>749</v>
      </c>
      <c r="I1567" t="s">
        <v>48</v>
      </c>
      <c r="J1567" t="s">
        <v>33</v>
      </c>
      <c r="K1567" t="s">
        <v>25</v>
      </c>
      <c r="L1567">
        <v>1</v>
      </c>
      <c r="M1567" s="2">
        <v>42.56</v>
      </c>
      <c r="N1567" t="s">
        <v>26</v>
      </c>
      <c r="O1567" s="3">
        <v>0</v>
      </c>
      <c r="P1567" s="3">
        <v>0</v>
      </c>
      <c r="Q1567" s="2">
        <v>42.56</v>
      </c>
      <c r="R1567" t="s">
        <v>42</v>
      </c>
      <c r="S1567" t="s">
        <v>54</v>
      </c>
      <c r="T1567" t="s">
        <v>29</v>
      </c>
      <c r="U1567" t="s">
        <v>30</v>
      </c>
    </row>
    <row r="1568" spans="1:21" x14ac:dyDescent="0.35">
      <c r="A1568" t="s">
        <v>1647</v>
      </c>
      <c r="B1568" s="1">
        <v>46223</v>
      </c>
      <c r="C1568" t="str">
        <f>TEXT(tblData[[#This Row],[Rental Date]],"mmm")</f>
        <v>Jul</v>
      </c>
      <c r="D1568" t="str">
        <f>TEXT(tblData[[#This Row],[Rental Date]],"mmmm")</f>
        <v>July</v>
      </c>
      <c r="E1568" t="s">
        <v>74</v>
      </c>
      <c r="F1568" t="str">
        <f>TEXT(WEEKNUM(tblData[[#This Row],[Rental Date]]),"00")</f>
        <v>30</v>
      </c>
      <c r="G1568" s="1">
        <f>EOMONTH(tblData[[#This Row],[Rental Date]],0)</f>
        <v>46234</v>
      </c>
      <c r="H1568" t="s">
        <v>749</v>
      </c>
      <c r="I1568" t="s">
        <v>39</v>
      </c>
      <c r="J1568" t="s">
        <v>65</v>
      </c>
      <c r="K1568" t="s">
        <v>25</v>
      </c>
      <c r="L1568">
        <v>1</v>
      </c>
      <c r="M1568" s="2">
        <v>20.16</v>
      </c>
      <c r="N1568" t="s">
        <v>26</v>
      </c>
      <c r="O1568" s="3">
        <v>0</v>
      </c>
      <c r="P1568" s="3">
        <v>0</v>
      </c>
      <c r="Q1568" s="2">
        <v>20.16</v>
      </c>
      <c r="R1568" t="s">
        <v>34</v>
      </c>
      <c r="S1568" t="s">
        <v>50</v>
      </c>
      <c r="T1568" t="s">
        <v>29</v>
      </c>
      <c r="U1568" t="s">
        <v>30</v>
      </c>
    </row>
    <row r="1569" spans="1:21" x14ac:dyDescent="0.35">
      <c r="A1569" t="s">
        <v>1648</v>
      </c>
      <c r="B1569" s="1">
        <v>46223</v>
      </c>
      <c r="C1569" t="str">
        <f>TEXT(tblData[[#This Row],[Rental Date]],"mmm")</f>
        <v>Jul</v>
      </c>
      <c r="D1569" t="str">
        <f>TEXT(tblData[[#This Row],[Rental Date]],"mmmm")</f>
        <v>July</v>
      </c>
      <c r="E1569" t="s">
        <v>74</v>
      </c>
      <c r="F1569" t="str">
        <f>TEXT(WEEKNUM(tblData[[#This Row],[Rental Date]]),"00")</f>
        <v>30</v>
      </c>
      <c r="G1569" s="1">
        <f>EOMONTH(tblData[[#This Row],[Rental Date]],0)</f>
        <v>46234</v>
      </c>
      <c r="H1569" t="s">
        <v>749</v>
      </c>
      <c r="I1569" t="s">
        <v>48</v>
      </c>
      <c r="J1569" t="s">
        <v>111</v>
      </c>
      <c r="K1569" t="s">
        <v>25</v>
      </c>
      <c r="L1569">
        <v>1</v>
      </c>
      <c r="M1569" s="2">
        <v>24.64</v>
      </c>
      <c r="N1569" t="s">
        <v>26</v>
      </c>
      <c r="O1569" s="3">
        <v>0</v>
      </c>
      <c r="P1569" s="3">
        <v>0</v>
      </c>
      <c r="Q1569" s="2">
        <v>24.64</v>
      </c>
      <c r="R1569" t="s">
        <v>34</v>
      </c>
      <c r="S1569" t="s">
        <v>54</v>
      </c>
      <c r="T1569" t="s">
        <v>29</v>
      </c>
      <c r="U1569" t="s">
        <v>30</v>
      </c>
    </row>
    <row r="1570" spans="1:21" x14ac:dyDescent="0.35">
      <c r="A1570" t="s">
        <v>1649</v>
      </c>
      <c r="B1570" s="1">
        <v>46223</v>
      </c>
      <c r="C1570" t="str">
        <f>TEXT(tblData[[#This Row],[Rental Date]],"mmm")</f>
        <v>Jul</v>
      </c>
      <c r="D1570" t="str">
        <f>TEXT(tblData[[#This Row],[Rental Date]],"mmmm")</f>
        <v>July</v>
      </c>
      <c r="E1570" t="s">
        <v>74</v>
      </c>
      <c r="F1570" t="str">
        <f>TEXT(WEEKNUM(tblData[[#This Row],[Rental Date]]),"00")</f>
        <v>30</v>
      </c>
      <c r="G1570" s="1">
        <f>EOMONTH(tblData[[#This Row],[Rental Date]],0)</f>
        <v>46234</v>
      </c>
      <c r="H1570" t="s">
        <v>749</v>
      </c>
      <c r="I1570" t="s">
        <v>32</v>
      </c>
      <c r="J1570" t="s">
        <v>78</v>
      </c>
      <c r="K1570" t="s">
        <v>40</v>
      </c>
      <c r="L1570">
        <v>1</v>
      </c>
      <c r="M1570" s="2">
        <v>69.44</v>
      </c>
      <c r="N1570" t="s">
        <v>75</v>
      </c>
      <c r="O1570" s="3">
        <v>12</v>
      </c>
      <c r="P1570" s="3">
        <v>4.07</v>
      </c>
      <c r="Q1570" s="2">
        <v>77.37</v>
      </c>
      <c r="R1570" t="s">
        <v>76</v>
      </c>
      <c r="S1570" t="s">
        <v>28</v>
      </c>
      <c r="T1570" t="s">
        <v>29</v>
      </c>
      <c r="U1570" t="s">
        <v>30</v>
      </c>
    </row>
    <row r="1571" spans="1:21" x14ac:dyDescent="0.35">
      <c r="A1571" t="s">
        <v>1650</v>
      </c>
      <c r="B1571" s="1">
        <v>46223</v>
      </c>
      <c r="C1571" t="str">
        <f>TEXT(tblData[[#This Row],[Rental Date]],"mmm")</f>
        <v>Jul</v>
      </c>
      <c r="D1571" t="str">
        <f>TEXT(tblData[[#This Row],[Rental Date]],"mmmm")</f>
        <v>July</v>
      </c>
      <c r="E1571" t="s">
        <v>74</v>
      </c>
      <c r="F1571" t="str">
        <f>TEXT(WEEKNUM(tblData[[#This Row],[Rental Date]]),"00")</f>
        <v>30</v>
      </c>
      <c r="G1571" s="1">
        <f>EOMONTH(tblData[[#This Row],[Rental Date]],0)</f>
        <v>46234</v>
      </c>
      <c r="H1571" t="s">
        <v>749</v>
      </c>
      <c r="I1571" t="s">
        <v>48</v>
      </c>
      <c r="J1571" t="s">
        <v>138</v>
      </c>
      <c r="K1571" t="s">
        <v>25</v>
      </c>
      <c r="L1571">
        <v>1</v>
      </c>
      <c r="M1571" s="2">
        <v>53.76</v>
      </c>
      <c r="N1571" t="s">
        <v>89</v>
      </c>
      <c r="O1571" s="3">
        <v>6</v>
      </c>
      <c r="P1571" s="3">
        <v>0</v>
      </c>
      <c r="Q1571" s="2">
        <v>59.76</v>
      </c>
      <c r="R1571" t="s">
        <v>45</v>
      </c>
      <c r="S1571" t="s">
        <v>50</v>
      </c>
      <c r="T1571" t="s">
        <v>29</v>
      </c>
      <c r="U1571" t="s">
        <v>58</v>
      </c>
    </row>
    <row r="1572" spans="1:21" x14ac:dyDescent="0.35">
      <c r="A1572" t="s">
        <v>1651</v>
      </c>
      <c r="B1572" s="1">
        <v>46223</v>
      </c>
      <c r="C1572" t="str">
        <f>TEXT(tblData[[#This Row],[Rental Date]],"mmm")</f>
        <v>Jul</v>
      </c>
      <c r="D1572" t="str">
        <f>TEXT(tblData[[#This Row],[Rental Date]],"mmmm")</f>
        <v>July</v>
      </c>
      <c r="E1572" t="s">
        <v>74</v>
      </c>
      <c r="F1572" t="str">
        <f>TEXT(WEEKNUM(tblData[[#This Row],[Rental Date]]),"00")</f>
        <v>30</v>
      </c>
      <c r="G1572" s="1">
        <f>EOMONTH(tblData[[#This Row],[Rental Date]],0)</f>
        <v>46234</v>
      </c>
      <c r="H1572" t="s">
        <v>749</v>
      </c>
      <c r="I1572" t="s">
        <v>39</v>
      </c>
      <c r="J1572" t="s">
        <v>33</v>
      </c>
      <c r="K1572" t="s">
        <v>40</v>
      </c>
      <c r="L1572">
        <v>1</v>
      </c>
      <c r="M1572" s="2">
        <v>64.959999999999994</v>
      </c>
      <c r="N1572" t="s">
        <v>87</v>
      </c>
      <c r="O1572" s="3">
        <v>10</v>
      </c>
      <c r="P1572" s="3">
        <v>0</v>
      </c>
      <c r="Q1572" s="2">
        <v>74.959999999999994</v>
      </c>
      <c r="R1572" t="s">
        <v>62</v>
      </c>
      <c r="S1572" t="s">
        <v>35</v>
      </c>
      <c r="T1572" t="s">
        <v>29</v>
      </c>
      <c r="U1572" t="s">
        <v>30</v>
      </c>
    </row>
    <row r="1573" spans="1:21" x14ac:dyDescent="0.35">
      <c r="A1573" t="s">
        <v>1652</v>
      </c>
      <c r="B1573" s="1">
        <v>46223</v>
      </c>
      <c r="C1573" t="str">
        <f>TEXT(tblData[[#This Row],[Rental Date]],"mmm")</f>
        <v>Jul</v>
      </c>
      <c r="D1573" t="str">
        <f>TEXT(tblData[[#This Row],[Rental Date]],"mmmm")</f>
        <v>July</v>
      </c>
      <c r="E1573" t="s">
        <v>74</v>
      </c>
      <c r="F1573" t="str">
        <f>TEXT(WEEKNUM(tblData[[#This Row],[Rental Date]]),"00")</f>
        <v>30</v>
      </c>
      <c r="G1573" s="1">
        <f>EOMONTH(tblData[[#This Row],[Rental Date]],0)</f>
        <v>46234</v>
      </c>
      <c r="H1573" t="s">
        <v>749</v>
      </c>
      <c r="I1573" t="s">
        <v>39</v>
      </c>
      <c r="J1573" t="s">
        <v>24</v>
      </c>
      <c r="K1573" t="s">
        <v>92</v>
      </c>
      <c r="L1573">
        <v>1</v>
      </c>
      <c r="M1573" s="2">
        <v>123.2</v>
      </c>
      <c r="N1573" t="s">
        <v>70</v>
      </c>
      <c r="O1573" s="3">
        <v>7</v>
      </c>
      <c r="P1573" s="3">
        <v>0</v>
      </c>
      <c r="Q1573" s="2">
        <v>130.19999999999999</v>
      </c>
      <c r="R1573" t="s">
        <v>57</v>
      </c>
      <c r="S1573" t="s">
        <v>46</v>
      </c>
      <c r="T1573" t="s">
        <v>29</v>
      </c>
      <c r="U1573" t="s">
        <v>58</v>
      </c>
    </row>
    <row r="1574" spans="1:21" x14ac:dyDescent="0.35">
      <c r="A1574" t="s">
        <v>1653</v>
      </c>
      <c r="B1574" s="1">
        <v>46223</v>
      </c>
      <c r="C1574" t="str">
        <f>TEXT(tblData[[#This Row],[Rental Date]],"mmm")</f>
        <v>Jul</v>
      </c>
      <c r="D1574" t="str">
        <f>TEXT(tblData[[#This Row],[Rental Date]],"mmmm")</f>
        <v>July</v>
      </c>
      <c r="E1574" t="s">
        <v>74</v>
      </c>
      <c r="F1574" t="str">
        <f>TEXT(WEEKNUM(tblData[[#This Row],[Rental Date]]),"00")</f>
        <v>30</v>
      </c>
      <c r="G1574" s="1">
        <f>EOMONTH(tblData[[#This Row],[Rental Date]],0)</f>
        <v>46234</v>
      </c>
      <c r="H1574" t="s">
        <v>749</v>
      </c>
      <c r="I1574" t="s">
        <v>32</v>
      </c>
      <c r="J1574" t="s">
        <v>127</v>
      </c>
      <c r="K1574" t="s">
        <v>25</v>
      </c>
      <c r="L1574">
        <v>1</v>
      </c>
      <c r="M1574" s="2">
        <v>17.920000000000002</v>
      </c>
      <c r="N1574" t="s">
        <v>89</v>
      </c>
      <c r="O1574" s="3">
        <v>6</v>
      </c>
      <c r="P1574" s="3">
        <v>2.39</v>
      </c>
      <c r="Q1574" s="2">
        <v>21.53</v>
      </c>
      <c r="R1574" t="s">
        <v>27</v>
      </c>
      <c r="S1574" t="s">
        <v>28</v>
      </c>
      <c r="T1574" t="s">
        <v>29</v>
      </c>
      <c r="U1574" t="s">
        <v>30</v>
      </c>
    </row>
    <row r="1575" spans="1:21" x14ac:dyDescent="0.35">
      <c r="A1575" t="s">
        <v>1654</v>
      </c>
      <c r="B1575" s="1">
        <v>46223</v>
      </c>
      <c r="C1575" t="str">
        <f>TEXT(tblData[[#This Row],[Rental Date]],"mmm")</f>
        <v>Jul</v>
      </c>
      <c r="D1575" t="str">
        <f>TEXT(tblData[[#This Row],[Rental Date]],"mmmm")</f>
        <v>July</v>
      </c>
      <c r="E1575" t="s">
        <v>74</v>
      </c>
      <c r="F1575" t="str">
        <f>TEXT(WEEKNUM(tblData[[#This Row],[Rental Date]]),"00")</f>
        <v>30</v>
      </c>
      <c r="G1575" s="1">
        <f>EOMONTH(tblData[[#This Row],[Rental Date]],0)</f>
        <v>46234</v>
      </c>
      <c r="H1575" t="s">
        <v>749</v>
      </c>
      <c r="I1575" t="s">
        <v>23</v>
      </c>
      <c r="J1575" t="s">
        <v>78</v>
      </c>
      <c r="K1575" t="s">
        <v>92</v>
      </c>
      <c r="L1575">
        <v>1</v>
      </c>
      <c r="M1575" s="2">
        <v>98.56</v>
      </c>
      <c r="N1575" t="s">
        <v>26</v>
      </c>
      <c r="O1575" s="3">
        <v>0</v>
      </c>
      <c r="P1575" s="3">
        <v>0</v>
      </c>
      <c r="Q1575" s="2">
        <v>98.56</v>
      </c>
      <c r="R1575" t="s">
        <v>76</v>
      </c>
      <c r="S1575" t="s">
        <v>46</v>
      </c>
      <c r="T1575" t="s">
        <v>29</v>
      </c>
      <c r="U1575" t="s">
        <v>36</v>
      </c>
    </row>
    <row r="1576" spans="1:21" x14ac:dyDescent="0.35">
      <c r="A1576" t="s">
        <v>1655</v>
      </c>
      <c r="B1576" s="1">
        <v>46224</v>
      </c>
      <c r="C1576" t="str">
        <f>TEXT(tblData[[#This Row],[Rental Date]],"mmm")</f>
        <v>Jul</v>
      </c>
      <c r="D1576" t="str">
        <f>TEXT(tblData[[#This Row],[Rental Date]],"mmmm")</f>
        <v>July</v>
      </c>
      <c r="E1576" t="s">
        <v>102</v>
      </c>
      <c r="F1576" t="str">
        <f>TEXT(WEEKNUM(tblData[[#This Row],[Rental Date]]),"00")</f>
        <v>30</v>
      </c>
      <c r="G1576" s="1">
        <f>EOMONTH(tblData[[#This Row],[Rental Date]],0)</f>
        <v>46234</v>
      </c>
      <c r="H1576" t="s">
        <v>749</v>
      </c>
      <c r="I1576" t="s">
        <v>39</v>
      </c>
      <c r="J1576" t="s">
        <v>33</v>
      </c>
      <c r="K1576" t="s">
        <v>92</v>
      </c>
      <c r="L1576">
        <v>1</v>
      </c>
      <c r="M1576" s="2">
        <v>94.08</v>
      </c>
      <c r="N1576" t="s">
        <v>75</v>
      </c>
      <c r="O1576" s="3">
        <v>12</v>
      </c>
      <c r="P1576" s="3">
        <v>0</v>
      </c>
      <c r="Q1576" s="2">
        <v>106.08</v>
      </c>
      <c r="R1576" t="s">
        <v>62</v>
      </c>
      <c r="S1576" t="s">
        <v>35</v>
      </c>
      <c r="T1576" t="s">
        <v>29</v>
      </c>
      <c r="U1576" t="s">
        <v>30</v>
      </c>
    </row>
    <row r="1577" spans="1:21" x14ac:dyDescent="0.35">
      <c r="A1577" t="s">
        <v>1656</v>
      </c>
      <c r="B1577" s="1">
        <v>46224</v>
      </c>
      <c r="C1577" t="str">
        <f>TEXT(tblData[[#This Row],[Rental Date]],"mmm")</f>
        <v>Jul</v>
      </c>
      <c r="D1577" t="str">
        <f>TEXT(tblData[[#This Row],[Rental Date]],"mmmm")</f>
        <v>July</v>
      </c>
      <c r="E1577" t="s">
        <v>102</v>
      </c>
      <c r="F1577" t="str">
        <f>TEXT(WEEKNUM(tblData[[#This Row],[Rental Date]]),"00")</f>
        <v>30</v>
      </c>
      <c r="G1577" s="1">
        <f>EOMONTH(tblData[[#This Row],[Rental Date]],0)</f>
        <v>46234</v>
      </c>
      <c r="H1577" t="s">
        <v>749</v>
      </c>
      <c r="I1577" t="s">
        <v>32</v>
      </c>
      <c r="J1577" t="s">
        <v>49</v>
      </c>
      <c r="K1577" t="s">
        <v>40</v>
      </c>
      <c r="L1577">
        <v>1</v>
      </c>
      <c r="M1577" s="2">
        <v>60.48</v>
      </c>
      <c r="N1577" t="s">
        <v>26</v>
      </c>
      <c r="O1577" s="3">
        <v>0</v>
      </c>
      <c r="P1577" s="3">
        <v>6.05</v>
      </c>
      <c r="Q1577" s="2">
        <v>54.43</v>
      </c>
      <c r="R1577" t="s">
        <v>94</v>
      </c>
      <c r="S1577" t="s">
        <v>35</v>
      </c>
      <c r="T1577" t="s">
        <v>51</v>
      </c>
      <c r="U1577" t="s">
        <v>58</v>
      </c>
    </row>
    <row r="1578" spans="1:21" x14ac:dyDescent="0.35">
      <c r="A1578" t="s">
        <v>1657</v>
      </c>
      <c r="B1578" s="1">
        <v>46224</v>
      </c>
      <c r="C1578" t="str">
        <f>TEXT(tblData[[#This Row],[Rental Date]],"mmm")</f>
        <v>Jul</v>
      </c>
      <c r="D1578" t="str">
        <f>TEXT(tblData[[#This Row],[Rental Date]],"mmmm")</f>
        <v>July</v>
      </c>
      <c r="E1578" t="s">
        <v>102</v>
      </c>
      <c r="F1578" t="str">
        <f>TEXT(WEEKNUM(tblData[[#This Row],[Rental Date]]),"00")</f>
        <v>30</v>
      </c>
      <c r="G1578" s="1">
        <f>EOMONTH(tblData[[#This Row],[Rental Date]],0)</f>
        <v>46234</v>
      </c>
      <c r="H1578" t="s">
        <v>749</v>
      </c>
      <c r="I1578" t="s">
        <v>23</v>
      </c>
      <c r="J1578" t="s">
        <v>24</v>
      </c>
      <c r="K1578" t="s">
        <v>60</v>
      </c>
      <c r="L1578">
        <v>1</v>
      </c>
      <c r="M1578" s="2">
        <v>35.840000000000003</v>
      </c>
      <c r="N1578" t="s">
        <v>26</v>
      </c>
      <c r="O1578" s="3">
        <v>0</v>
      </c>
      <c r="P1578" s="3">
        <v>0</v>
      </c>
      <c r="Q1578" s="2">
        <v>35.840000000000003</v>
      </c>
      <c r="R1578" t="s">
        <v>62</v>
      </c>
      <c r="S1578" t="s">
        <v>35</v>
      </c>
      <c r="T1578" t="s">
        <v>63</v>
      </c>
      <c r="U1578" t="s">
        <v>30</v>
      </c>
    </row>
    <row r="1579" spans="1:21" x14ac:dyDescent="0.35">
      <c r="A1579" t="s">
        <v>1658</v>
      </c>
      <c r="B1579" s="1">
        <v>46224</v>
      </c>
      <c r="C1579" t="str">
        <f>TEXT(tblData[[#This Row],[Rental Date]],"mmm")</f>
        <v>Jul</v>
      </c>
      <c r="D1579" t="str">
        <f>TEXT(tblData[[#This Row],[Rental Date]],"mmmm")</f>
        <v>July</v>
      </c>
      <c r="E1579" t="s">
        <v>102</v>
      </c>
      <c r="F1579" t="str">
        <f>TEXT(WEEKNUM(tblData[[#This Row],[Rental Date]]),"00")</f>
        <v>30</v>
      </c>
      <c r="G1579" s="1">
        <f>EOMONTH(tblData[[#This Row],[Rental Date]],0)</f>
        <v>46234</v>
      </c>
      <c r="H1579" t="s">
        <v>749</v>
      </c>
      <c r="I1579" t="s">
        <v>48</v>
      </c>
      <c r="J1579" t="s">
        <v>138</v>
      </c>
      <c r="K1579" t="s">
        <v>40</v>
      </c>
      <c r="L1579">
        <v>1</v>
      </c>
      <c r="M1579" s="2">
        <v>80.64</v>
      </c>
      <c r="N1579" t="s">
        <v>89</v>
      </c>
      <c r="O1579" s="3">
        <v>6</v>
      </c>
      <c r="P1579" s="3">
        <v>0</v>
      </c>
      <c r="Q1579" s="2">
        <v>86.64</v>
      </c>
      <c r="R1579" t="s">
        <v>62</v>
      </c>
      <c r="S1579" t="s">
        <v>35</v>
      </c>
      <c r="T1579" t="s">
        <v>63</v>
      </c>
      <c r="U1579" t="s">
        <v>30</v>
      </c>
    </row>
    <row r="1580" spans="1:21" x14ac:dyDescent="0.35">
      <c r="A1580" t="s">
        <v>1659</v>
      </c>
      <c r="B1580" s="1">
        <v>46224</v>
      </c>
      <c r="C1580" t="str">
        <f>TEXT(tblData[[#This Row],[Rental Date]],"mmm")</f>
        <v>Jul</v>
      </c>
      <c r="D1580" t="str">
        <f>TEXT(tblData[[#This Row],[Rental Date]],"mmmm")</f>
        <v>July</v>
      </c>
      <c r="E1580" t="s">
        <v>102</v>
      </c>
      <c r="F1580" t="str">
        <f>TEXT(WEEKNUM(tblData[[#This Row],[Rental Date]]),"00")</f>
        <v>30</v>
      </c>
      <c r="G1580" s="1">
        <f>EOMONTH(tblData[[#This Row],[Rental Date]],0)</f>
        <v>46234</v>
      </c>
      <c r="H1580" t="s">
        <v>749</v>
      </c>
      <c r="I1580" t="s">
        <v>39</v>
      </c>
      <c r="J1580" t="s">
        <v>111</v>
      </c>
      <c r="K1580" t="s">
        <v>60</v>
      </c>
      <c r="L1580">
        <v>1</v>
      </c>
      <c r="M1580" s="2">
        <v>15.68</v>
      </c>
      <c r="N1580" t="s">
        <v>75</v>
      </c>
      <c r="O1580" s="3">
        <v>12</v>
      </c>
      <c r="P1580" s="3">
        <v>0</v>
      </c>
      <c r="Q1580" s="2">
        <v>27.68</v>
      </c>
      <c r="R1580" t="s">
        <v>76</v>
      </c>
      <c r="S1580" t="s">
        <v>50</v>
      </c>
      <c r="T1580" t="s">
        <v>51</v>
      </c>
      <c r="U1580" t="s">
        <v>30</v>
      </c>
    </row>
    <row r="1581" spans="1:21" x14ac:dyDescent="0.35">
      <c r="A1581" t="s">
        <v>1660</v>
      </c>
      <c r="B1581" s="1">
        <v>46224</v>
      </c>
      <c r="C1581" t="str">
        <f>TEXT(tblData[[#This Row],[Rental Date]],"mmm")</f>
        <v>Jul</v>
      </c>
      <c r="D1581" t="str">
        <f>TEXT(tblData[[#This Row],[Rental Date]],"mmmm")</f>
        <v>July</v>
      </c>
      <c r="E1581" t="s">
        <v>102</v>
      </c>
      <c r="F1581" t="str">
        <f>TEXT(WEEKNUM(tblData[[#This Row],[Rental Date]]),"00")</f>
        <v>30</v>
      </c>
      <c r="G1581" s="1">
        <f>EOMONTH(tblData[[#This Row],[Rental Date]],0)</f>
        <v>46234</v>
      </c>
      <c r="H1581" t="s">
        <v>749</v>
      </c>
      <c r="I1581" t="s">
        <v>48</v>
      </c>
      <c r="J1581" t="s">
        <v>111</v>
      </c>
      <c r="K1581" t="s">
        <v>40</v>
      </c>
      <c r="L1581">
        <v>1</v>
      </c>
      <c r="M1581" s="2">
        <v>38.08</v>
      </c>
      <c r="N1581" t="s">
        <v>41</v>
      </c>
      <c r="O1581" s="3">
        <v>5</v>
      </c>
      <c r="P1581" s="3">
        <v>0</v>
      </c>
      <c r="Q1581" s="2">
        <v>43.08</v>
      </c>
      <c r="R1581" t="s">
        <v>42</v>
      </c>
      <c r="S1581" t="s">
        <v>54</v>
      </c>
      <c r="T1581" t="s">
        <v>51</v>
      </c>
      <c r="U1581" t="s">
        <v>30</v>
      </c>
    </row>
    <row r="1582" spans="1:21" x14ac:dyDescent="0.35">
      <c r="A1582" t="s">
        <v>1661</v>
      </c>
      <c r="B1582" s="1">
        <v>46224</v>
      </c>
      <c r="C1582" t="str">
        <f>TEXT(tblData[[#This Row],[Rental Date]],"mmm")</f>
        <v>Jul</v>
      </c>
      <c r="D1582" t="str">
        <f>TEXT(tblData[[#This Row],[Rental Date]],"mmmm")</f>
        <v>July</v>
      </c>
      <c r="E1582" t="s">
        <v>102</v>
      </c>
      <c r="F1582" t="str">
        <f>TEXT(WEEKNUM(tblData[[#This Row],[Rental Date]]),"00")</f>
        <v>30</v>
      </c>
      <c r="G1582" s="1">
        <f>EOMONTH(tblData[[#This Row],[Rental Date]],0)</f>
        <v>46234</v>
      </c>
      <c r="H1582" t="s">
        <v>749</v>
      </c>
      <c r="I1582" t="s">
        <v>48</v>
      </c>
      <c r="J1582" t="s">
        <v>86</v>
      </c>
      <c r="K1582" t="s">
        <v>25</v>
      </c>
      <c r="L1582">
        <v>1</v>
      </c>
      <c r="M1582" s="2">
        <v>64.959999999999994</v>
      </c>
      <c r="N1582" t="s">
        <v>26</v>
      </c>
      <c r="O1582" s="3">
        <v>0</v>
      </c>
      <c r="P1582" s="3">
        <v>0</v>
      </c>
      <c r="Q1582" s="2">
        <v>64.959999999999994</v>
      </c>
      <c r="R1582" t="s">
        <v>71</v>
      </c>
      <c r="S1582" t="s">
        <v>54</v>
      </c>
      <c r="T1582" t="s">
        <v>90</v>
      </c>
      <c r="U1582" t="s">
        <v>30</v>
      </c>
    </row>
    <row r="1583" spans="1:21" x14ac:dyDescent="0.35">
      <c r="A1583" t="s">
        <v>1662</v>
      </c>
      <c r="B1583" s="1">
        <v>46224</v>
      </c>
      <c r="C1583" t="str">
        <f>TEXT(tblData[[#This Row],[Rental Date]],"mmm")</f>
        <v>Jul</v>
      </c>
      <c r="D1583" t="str">
        <f>TEXT(tblData[[#This Row],[Rental Date]],"mmmm")</f>
        <v>July</v>
      </c>
      <c r="E1583" t="s">
        <v>102</v>
      </c>
      <c r="F1583" t="str">
        <f>TEXT(WEEKNUM(tblData[[#This Row],[Rental Date]]),"00")</f>
        <v>30</v>
      </c>
      <c r="G1583" s="1">
        <f>EOMONTH(tblData[[#This Row],[Rental Date]],0)</f>
        <v>46234</v>
      </c>
      <c r="H1583" t="s">
        <v>749</v>
      </c>
      <c r="I1583" t="s">
        <v>32</v>
      </c>
      <c r="J1583" t="s">
        <v>49</v>
      </c>
      <c r="K1583" t="s">
        <v>40</v>
      </c>
      <c r="L1583">
        <v>1</v>
      </c>
      <c r="M1583" s="2">
        <v>60.48</v>
      </c>
      <c r="N1583" t="s">
        <v>70</v>
      </c>
      <c r="O1583" s="3">
        <v>7</v>
      </c>
      <c r="P1583" s="3">
        <v>0</v>
      </c>
      <c r="Q1583" s="2">
        <v>67.48</v>
      </c>
      <c r="R1583" t="s">
        <v>71</v>
      </c>
      <c r="S1583" t="s">
        <v>50</v>
      </c>
      <c r="T1583" t="s">
        <v>29</v>
      </c>
      <c r="U1583" t="s">
        <v>58</v>
      </c>
    </row>
    <row r="1584" spans="1:21" x14ac:dyDescent="0.35">
      <c r="A1584" t="s">
        <v>1663</v>
      </c>
      <c r="B1584" s="1">
        <v>46224</v>
      </c>
      <c r="C1584" t="str">
        <f>TEXT(tblData[[#This Row],[Rental Date]],"mmm")</f>
        <v>Jul</v>
      </c>
      <c r="D1584" t="str">
        <f>TEXT(tblData[[#This Row],[Rental Date]],"mmmm")</f>
        <v>July</v>
      </c>
      <c r="E1584" t="s">
        <v>102</v>
      </c>
      <c r="F1584" t="str">
        <f>TEXT(WEEKNUM(tblData[[#This Row],[Rental Date]]),"00")</f>
        <v>30</v>
      </c>
      <c r="G1584" s="1">
        <f>EOMONTH(tblData[[#This Row],[Rental Date]],0)</f>
        <v>46234</v>
      </c>
      <c r="H1584" t="s">
        <v>749</v>
      </c>
      <c r="I1584" t="s">
        <v>48</v>
      </c>
      <c r="J1584" t="s">
        <v>65</v>
      </c>
      <c r="K1584" t="s">
        <v>60</v>
      </c>
      <c r="L1584">
        <v>1</v>
      </c>
      <c r="M1584" s="2">
        <v>13.44</v>
      </c>
      <c r="N1584" t="s">
        <v>26</v>
      </c>
      <c r="O1584" s="3">
        <v>0</v>
      </c>
      <c r="P1584" s="3">
        <v>0</v>
      </c>
      <c r="Q1584" s="2">
        <v>13.44</v>
      </c>
      <c r="R1584" t="s">
        <v>34</v>
      </c>
      <c r="S1584" t="s">
        <v>50</v>
      </c>
      <c r="T1584" t="s">
        <v>29</v>
      </c>
      <c r="U1584" t="s">
        <v>30</v>
      </c>
    </row>
    <row r="1585" spans="1:21" x14ac:dyDescent="0.35">
      <c r="A1585" t="s">
        <v>1664</v>
      </c>
      <c r="B1585" s="1">
        <v>46224</v>
      </c>
      <c r="C1585" t="str">
        <f>TEXT(tblData[[#This Row],[Rental Date]],"mmm")</f>
        <v>Jul</v>
      </c>
      <c r="D1585" t="str">
        <f>TEXT(tblData[[#This Row],[Rental Date]],"mmmm")</f>
        <v>July</v>
      </c>
      <c r="E1585" t="s">
        <v>102</v>
      </c>
      <c r="F1585" t="str">
        <f>TEXT(WEEKNUM(tblData[[#This Row],[Rental Date]]),"00")</f>
        <v>30</v>
      </c>
      <c r="G1585" s="1">
        <f>EOMONTH(tblData[[#This Row],[Rental Date]],0)</f>
        <v>46234</v>
      </c>
      <c r="H1585" t="s">
        <v>749</v>
      </c>
      <c r="I1585" t="s">
        <v>48</v>
      </c>
      <c r="J1585" t="s">
        <v>33</v>
      </c>
      <c r="K1585" t="s">
        <v>92</v>
      </c>
      <c r="L1585">
        <v>1</v>
      </c>
      <c r="M1585" s="2">
        <v>94.08</v>
      </c>
      <c r="N1585" t="s">
        <v>87</v>
      </c>
      <c r="O1585" s="3">
        <v>10</v>
      </c>
      <c r="P1585" s="3">
        <v>0</v>
      </c>
      <c r="Q1585" s="2">
        <v>104.08</v>
      </c>
      <c r="R1585" t="s">
        <v>94</v>
      </c>
      <c r="S1585" t="s">
        <v>28</v>
      </c>
      <c r="T1585" t="s">
        <v>51</v>
      </c>
      <c r="U1585" t="s">
        <v>58</v>
      </c>
    </row>
    <row r="1586" spans="1:21" x14ac:dyDescent="0.35">
      <c r="A1586" t="s">
        <v>1665</v>
      </c>
      <c r="B1586" s="1">
        <v>46224</v>
      </c>
      <c r="C1586" t="str">
        <f>TEXT(tblData[[#This Row],[Rental Date]],"mmm")</f>
        <v>Jul</v>
      </c>
      <c r="D1586" t="str">
        <f>TEXT(tblData[[#This Row],[Rental Date]],"mmmm")</f>
        <v>July</v>
      </c>
      <c r="E1586" t="s">
        <v>102</v>
      </c>
      <c r="F1586" t="str">
        <f>TEXT(WEEKNUM(tblData[[#This Row],[Rental Date]]),"00")</f>
        <v>30</v>
      </c>
      <c r="G1586" s="1">
        <f>EOMONTH(tblData[[#This Row],[Rental Date]],0)</f>
        <v>46234</v>
      </c>
      <c r="H1586" t="s">
        <v>749</v>
      </c>
      <c r="I1586" t="s">
        <v>48</v>
      </c>
      <c r="J1586" t="s">
        <v>44</v>
      </c>
      <c r="K1586" t="s">
        <v>40</v>
      </c>
      <c r="L1586">
        <v>1</v>
      </c>
      <c r="M1586" s="2">
        <v>87.36</v>
      </c>
      <c r="N1586" t="s">
        <v>89</v>
      </c>
      <c r="O1586" s="3">
        <v>6</v>
      </c>
      <c r="P1586" s="3">
        <v>0</v>
      </c>
      <c r="Q1586" s="2">
        <v>93.36</v>
      </c>
      <c r="R1586" t="s">
        <v>45</v>
      </c>
      <c r="S1586" t="s">
        <v>50</v>
      </c>
      <c r="T1586" t="s">
        <v>29</v>
      </c>
      <c r="U1586" t="s">
        <v>30</v>
      </c>
    </row>
    <row r="1587" spans="1:21" x14ac:dyDescent="0.35">
      <c r="A1587" t="s">
        <v>1666</v>
      </c>
      <c r="B1587" s="1">
        <v>46224</v>
      </c>
      <c r="C1587" t="str">
        <f>TEXT(tblData[[#This Row],[Rental Date]],"mmm")</f>
        <v>Jul</v>
      </c>
      <c r="D1587" t="str">
        <f>TEXT(tblData[[#This Row],[Rental Date]],"mmmm")</f>
        <v>July</v>
      </c>
      <c r="E1587" t="s">
        <v>102</v>
      </c>
      <c r="F1587" t="str">
        <f>TEXT(WEEKNUM(tblData[[#This Row],[Rental Date]]),"00")</f>
        <v>30</v>
      </c>
      <c r="G1587" s="1">
        <f>EOMONTH(tblData[[#This Row],[Rental Date]],0)</f>
        <v>46234</v>
      </c>
      <c r="H1587" t="s">
        <v>749</v>
      </c>
      <c r="I1587" t="s">
        <v>48</v>
      </c>
      <c r="J1587" t="s">
        <v>78</v>
      </c>
      <c r="K1587" t="s">
        <v>25</v>
      </c>
      <c r="L1587">
        <v>1</v>
      </c>
      <c r="M1587" s="2">
        <v>47.04</v>
      </c>
      <c r="N1587" t="s">
        <v>41</v>
      </c>
      <c r="O1587" s="3">
        <v>5</v>
      </c>
      <c r="P1587" s="3">
        <v>0</v>
      </c>
      <c r="Q1587" s="2">
        <v>52.04</v>
      </c>
      <c r="R1587" t="s">
        <v>45</v>
      </c>
      <c r="S1587" t="s">
        <v>50</v>
      </c>
      <c r="T1587" t="s">
        <v>51</v>
      </c>
      <c r="U1587" t="s">
        <v>30</v>
      </c>
    </row>
    <row r="1588" spans="1:21" x14ac:dyDescent="0.35">
      <c r="A1588" t="s">
        <v>1667</v>
      </c>
      <c r="B1588" s="1">
        <v>46224</v>
      </c>
      <c r="C1588" t="str">
        <f>TEXT(tblData[[#This Row],[Rental Date]],"mmm")</f>
        <v>Jul</v>
      </c>
      <c r="D1588" t="str">
        <f>TEXT(tblData[[#This Row],[Rental Date]],"mmmm")</f>
        <v>July</v>
      </c>
      <c r="E1588" t="s">
        <v>102</v>
      </c>
      <c r="F1588" t="str">
        <f>TEXT(WEEKNUM(tblData[[#This Row],[Rental Date]]),"00")</f>
        <v>30</v>
      </c>
      <c r="G1588" s="1">
        <f>EOMONTH(tblData[[#This Row],[Rental Date]],0)</f>
        <v>46234</v>
      </c>
      <c r="H1588" t="s">
        <v>749</v>
      </c>
      <c r="I1588" t="s">
        <v>48</v>
      </c>
      <c r="J1588" t="s">
        <v>127</v>
      </c>
      <c r="K1588" t="s">
        <v>60</v>
      </c>
      <c r="L1588">
        <v>1</v>
      </c>
      <c r="M1588" s="2">
        <v>11.2</v>
      </c>
      <c r="N1588" t="s">
        <v>75</v>
      </c>
      <c r="O1588" s="3">
        <v>12</v>
      </c>
      <c r="P1588" s="3">
        <v>0</v>
      </c>
      <c r="Q1588" s="2">
        <v>23.2</v>
      </c>
      <c r="R1588" t="s">
        <v>76</v>
      </c>
      <c r="S1588" t="s">
        <v>28</v>
      </c>
      <c r="T1588" t="s">
        <v>29</v>
      </c>
      <c r="U1588" t="s">
        <v>30</v>
      </c>
    </row>
    <row r="1589" spans="1:21" x14ac:dyDescent="0.35">
      <c r="A1589" t="s">
        <v>1668</v>
      </c>
      <c r="B1589" s="1">
        <v>46224</v>
      </c>
      <c r="C1589" t="str">
        <f>TEXT(tblData[[#This Row],[Rental Date]],"mmm")</f>
        <v>Jul</v>
      </c>
      <c r="D1589" t="str">
        <f>TEXT(tblData[[#This Row],[Rental Date]],"mmmm")</f>
        <v>July</v>
      </c>
      <c r="E1589" t="s">
        <v>102</v>
      </c>
      <c r="F1589" t="str">
        <f>TEXT(WEEKNUM(tblData[[#This Row],[Rental Date]]),"00")</f>
        <v>30</v>
      </c>
      <c r="G1589" s="1">
        <f>EOMONTH(tblData[[#This Row],[Rental Date]],0)</f>
        <v>46234</v>
      </c>
      <c r="H1589" t="s">
        <v>749</v>
      </c>
      <c r="I1589" t="s">
        <v>39</v>
      </c>
      <c r="J1589" t="s">
        <v>33</v>
      </c>
      <c r="K1589" t="s">
        <v>25</v>
      </c>
      <c r="L1589">
        <v>1</v>
      </c>
      <c r="M1589" s="2">
        <v>42.56</v>
      </c>
      <c r="N1589" t="s">
        <v>26</v>
      </c>
      <c r="O1589" s="3">
        <v>0</v>
      </c>
      <c r="P1589" s="3">
        <v>0</v>
      </c>
      <c r="Q1589" s="2">
        <v>42.56</v>
      </c>
      <c r="R1589" t="s">
        <v>62</v>
      </c>
      <c r="S1589" t="s">
        <v>28</v>
      </c>
      <c r="T1589" t="s">
        <v>29</v>
      </c>
      <c r="U1589" t="s">
        <v>30</v>
      </c>
    </row>
    <row r="1590" spans="1:21" x14ac:dyDescent="0.35">
      <c r="A1590" t="s">
        <v>1669</v>
      </c>
      <c r="B1590" s="1">
        <v>46224</v>
      </c>
      <c r="C1590" t="str">
        <f>TEXT(tblData[[#This Row],[Rental Date]],"mmm")</f>
        <v>Jul</v>
      </c>
      <c r="D1590" t="str">
        <f>TEXT(tblData[[#This Row],[Rental Date]],"mmmm")</f>
        <v>July</v>
      </c>
      <c r="E1590" t="s">
        <v>102</v>
      </c>
      <c r="F1590" t="str">
        <f>TEXT(WEEKNUM(tblData[[#This Row],[Rental Date]]),"00")</f>
        <v>30</v>
      </c>
      <c r="G1590" s="1">
        <f>EOMONTH(tblData[[#This Row],[Rental Date]],0)</f>
        <v>46234</v>
      </c>
      <c r="H1590" t="s">
        <v>749</v>
      </c>
      <c r="I1590" t="s">
        <v>48</v>
      </c>
      <c r="J1590" t="s">
        <v>33</v>
      </c>
      <c r="K1590" t="s">
        <v>92</v>
      </c>
      <c r="L1590">
        <v>1</v>
      </c>
      <c r="M1590" s="2">
        <v>94.08</v>
      </c>
      <c r="N1590" t="s">
        <v>89</v>
      </c>
      <c r="O1590" s="3">
        <v>6</v>
      </c>
      <c r="P1590" s="3">
        <v>0</v>
      </c>
      <c r="Q1590" s="2">
        <v>100.08</v>
      </c>
      <c r="R1590" t="s">
        <v>62</v>
      </c>
      <c r="S1590" t="s">
        <v>35</v>
      </c>
      <c r="T1590" t="s">
        <v>51</v>
      </c>
      <c r="U1590" t="s">
        <v>30</v>
      </c>
    </row>
    <row r="1591" spans="1:21" x14ac:dyDescent="0.35">
      <c r="A1591" t="s">
        <v>1670</v>
      </c>
      <c r="B1591" s="1">
        <v>46224</v>
      </c>
      <c r="C1591" t="str">
        <f>TEXT(tblData[[#This Row],[Rental Date]],"mmm")</f>
        <v>Jul</v>
      </c>
      <c r="D1591" t="str">
        <f>TEXT(tblData[[#This Row],[Rental Date]],"mmmm")</f>
        <v>July</v>
      </c>
      <c r="E1591" t="s">
        <v>102</v>
      </c>
      <c r="F1591" t="str">
        <f>TEXT(WEEKNUM(tblData[[#This Row],[Rental Date]]),"00")</f>
        <v>30</v>
      </c>
      <c r="G1591" s="1">
        <f>EOMONTH(tblData[[#This Row],[Rental Date]],0)</f>
        <v>46234</v>
      </c>
      <c r="H1591" t="s">
        <v>749</v>
      </c>
      <c r="I1591" t="s">
        <v>39</v>
      </c>
      <c r="J1591" t="s">
        <v>65</v>
      </c>
      <c r="K1591" t="s">
        <v>60</v>
      </c>
      <c r="L1591">
        <v>1</v>
      </c>
      <c r="M1591" s="2">
        <v>13.44</v>
      </c>
      <c r="N1591" t="s">
        <v>41</v>
      </c>
      <c r="O1591" s="3">
        <v>5</v>
      </c>
      <c r="P1591" s="3">
        <v>0</v>
      </c>
      <c r="Q1591" s="2">
        <v>18.440000000000001</v>
      </c>
      <c r="R1591" t="s">
        <v>76</v>
      </c>
      <c r="S1591" t="s">
        <v>50</v>
      </c>
      <c r="T1591" t="s">
        <v>29</v>
      </c>
      <c r="U1591" t="s">
        <v>30</v>
      </c>
    </row>
    <row r="1592" spans="1:21" x14ac:dyDescent="0.35">
      <c r="A1592" t="s">
        <v>1671</v>
      </c>
      <c r="B1592" s="1">
        <v>46224</v>
      </c>
      <c r="C1592" t="str">
        <f>TEXT(tblData[[#This Row],[Rental Date]],"mmm")</f>
        <v>Jul</v>
      </c>
      <c r="D1592" t="str">
        <f>TEXT(tblData[[#This Row],[Rental Date]],"mmmm")</f>
        <v>July</v>
      </c>
      <c r="E1592" t="s">
        <v>102</v>
      </c>
      <c r="F1592" t="str">
        <f>TEXT(WEEKNUM(tblData[[#This Row],[Rental Date]]),"00")</f>
        <v>30</v>
      </c>
      <c r="G1592" s="1">
        <f>EOMONTH(tblData[[#This Row],[Rental Date]],0)</f>
        <v>46234</v>
      </c>
      <c r="H1592" t="s">
        <v>749</v>
      </c>
      <c r="I1592" t="s">
        <v>39</v>
      </c>
      <c r="J1592" t="s">
        <v>127</v>
      </c>
      <c r="K1592" t="s">
        <v>92</v>
      </c>
      <c r="L1592">
        <v>1</v>
      </c>
      <c r="M1592" s="2">
        <v>38.08</v>
      </c>
      <c r="N1592" t="s">
        <v>89</v>
      </c>
      <c r="O1592" s="3">
        <v>6</v>
      </c>
      <c r="P1592" s="3">
        <v>0</v>
      </c>
      <c r="Q1592" s="2">
        <v>44.08</v>
      </c>
      <c r="R1592" t="s">
        <v>34</v>
      </c>
      <c r="S1592" t="s">
        <v>35</v>
      </c>
      <c r="T1592" t="s">
        <v>29</v>
      </c>
      <c r="U1592" t="s">
        <v>58</v>
      </c>
    </row>
    <row r="1593" spans="1:21" x14ac:dyDescent="0.35">
      <c r="A1593" t="s">
        <v>1672</v>
      </c>
      <c r="B1593" s="1">
        <v>46225</v>
      </c>
      <c r="C1593" t="str">
        <f>TEXT(tblData[[#This Row],[Rental Date]],"mmm")</f>
        <v>Jul</v>
      </c>
      <c r="D1593" t="str">
        <f>TEXT(tblData[[#This Row],[Rental Date]],"mmmm")</f>
        <v>July</v>
      </c>
      <c r="E1593" t="s">
        <v>109</v>
      </c>
      <c r="F1593" t="str">
        <f>TEXT(WEEKNUM(tblData[[#This Row],[Rental Date]]),"00")</f>
        <v>30</v>
      </c>
      <c r="G1593" s="1">
        <f>EOMONTH(tblData[[#This Row],[Rental Date]],0)</f>
        <v>46234</v>
      </c>
      <c r="H1593" t="s">
        <v>749</v>
      </c>
      <c r="I1593" t="s">
        <v>39</v>
      </c>
      <c r="J1593" t="s">
        <v>111</v>
      </c>
      <c r="K1593" t="s">
        <v>25</v>
      </c>
      <c r="L1593">
        <v>1</v>
      </c>
      <c r="M1593" s="2">
        <v>24.64</v>
      </c>
      <c r="N1593" t="s">
        <v>41</v>
      </c>
      <c r="O1593" s="3">
        <v>5</v>
      </c>
      <c r="P1593" s="3">
        <v>0</v>
      </c>
      <c r="Q1593" s="2">
        <v>29.64</v>
      </c>
      <c r="R1593" t="s">
        <v>76</v>
      </c>
      <c r="S1593" t="s">
        <v>54</v>
      </c>
      <c r="T1593" t="s">
        <v>63</v>
      </c>
      <c r="U1593" t="s">
        <v>30</v>
      </c>
    </row>
    <row r="1594" spans="1:21" x14ac:dyDescent="0.35">
      <c r="A1594" t="s">
        <v>1673</v>
      </c>
      <c r="B1594" s="1">
        <v>46225</v>
      </c>
      <c r="C1594" t="str">
        <f>TEXT(tblData[[#This Row],[Rental Date]],"mmm")</f>
        <v>Jul</v>
      </c>
      <c r="D1594" t="str">
        <f>TEXT(tblData[[#This Row],[Rental Date]],"mmmm")</f>
        <v>July</v>
      </c>
      <c r="E1594" t="s">
        <v>109</v>
      </c>
      <c r="F1594" t="str">
        <f>TEXT(WEEKNUM(tblData[[#This Row],[Rental Date]]),"00")</f>
        <v>30</v>
      </c>
      <c r="G1594" s="1">
        <f>EOMONTH(tblData[[#This Row],[Rental Date]],0)</f>
        <v>46234</v>
      </c>
      <c r="H1594" t="s">
        <v>749</v>
      </c>
      <c r="I1594" t="s">
        <v>32</v>
      </c>
      <c r="J1594" t="s">
        <v>44</v>
      </c>
      <c r="K1594" t="s">
        <v>40</v>
      </c>
      <c r="L1594">
        <v>1</v>
      </c>
      <c r="M1594" s="2">
        <v>87.36</v>
      </c>
      <c r="N1594" t="s">
        <v>41</v>
      </c>
      <c r="O1594" s="3">
        <v>5</v>
      </c>
      <c r="P1594" s="3">
        <v>0</v>
      </c>
      <c r="Q1594" s="2">
        <v>92.36</v>
      </c>
      <c r="R1594" t="s">
        <v>76</v>
      </c>
      <c r="S1594" t="s">
        <v>35</v>
      </c>
      <c r="T1594" t="s">
        <v>90</v>
      </c>
      <c r="U1594" t="s">
        <v>30</v>
      </c>
    </row>
    <row r="1595" spans="1:21" x14ac:dyDescent="0.35">
      <c r="A1595" t="s">
        <v>1674</v>
      </c>
      <c r="B1595" s="1">
        <v>46225</v>
      </c>
      <c r="C1595" t="str">
        <f>TEXT(tblData[[#This Row],[Rental Date]],"mmm")</f>
        <v>Jul</v>
      </c>
      <c r="D1595" t="str">
        <f>TEXT(tblData[[#This Row],[Rental Date]],"mmmm")</f>
        <v>July</v>
      </c>
      <c r="E1595" t="s">
        <v>109</v>
      </c>
      <c r="F1595" t="str">
        <f>TEXT(WEEKNUM(tblData[[#This Row],[Rental Date]]),"00")</f>
        <v>30</v>
      </c>
      <c r="G1595" s="1">
        <f>EOMONTH(tblData[[#This Row],[Rental Date]],0)</f>
        <v>46234</v>
      </c>
      <c r="H1595" t="s">
        <v>749</v>
      </c>
      <c r="I1595" t="s">
        <v>23</v>
      </c>
      <c r="J1595" t="s">
        <v>33</v>
      </c>
      <c r="K1595" t="s">
        <v>92</v>
      </c>
      <c r="L1595">
        <v>1</v>
      </c>
      <c r="M1595" s="2">
        <v>94.08</v>
      </c>
      <c r="N1595" t="s">
        <v>75</v>
      </c>
      <c r="O1595" s="3">
        <v>12</v>
      </c>
      <c r="P1595" s="3">
        <v>0</v>
      </c>
      <c r="Q1595" s="2">
        <v>106.08</v>
      </c>
      <c r="R1595" t="s">
        <v>66</v>
      </c>
      <c r="S1595" t="s">
        <v>35</v>
      </c>
      <c r="T1595" t="s">
        <v>29</v>
      </c>
      <c r="U1595" t="s">
        <v>30</v>
      </c>
    </row>
    <row r="1596" spans="1:21" x14ac:dyDescent="0.35">
      <c r="A1596" t="s">
        <v>1675</v>
      </c>
      <c r="B1596" s="1">
        <v>46225</v>
      </c>
      <c r="C1596" t="str">
        <f>TEXT(tblData[[#This Row],[Rental Date]],"mmm")</f>
        <v>Jul</v>
      </c>
      <c r="D1596" t="str">
        <f>TEXT(tblData[[#This Row],[Rental Date]],"mmmm")</f>
        <v>July</v>
      </c>
      <c r="E1596" t="s">
        <v>109</v>
      </c>
      <c r="F1596" t="str">
        <f>TEXT(WEEKNUM(tblData[[#This Row],[Rental Date]]),"00")</f>
        <v>30</v>
      </c>
      <c r="G1596" s="1">
        <f>EOMONTH(tblData[[#This Row],[Rental Date]],0)</f>
        <v>46234</v>
      </c>
      <c r="H1596" t="s">
        <v>749</v>
      </c>
      <c r="I1596" t="s">
        <v>48</v>
      </c>
      <c r="J1596" t="s">
        <v>138</v>
      </c>
      <c r="K1596" t="s">
        <v>92</v>
      </c>
      <c r="L1596">
        <v>1</v>
      </c>
      <c r="M1596" s="2">
        <v>116.48</v>
      </c>
      <c r="N1596" t="s">
        <v>26</v>
      </c>
      <c r="O1596" s="3">
        <v>0</v>
      </c>
      <c r="P1596" s="3">
        <v>0</v>
      </c>
      <c r="Q1596" s="2">
        <v>116.48</v>
      </c>
      <c r="R1596" t="s">
        <v>76</v>
      </c>
      <c r="S1596" t="s">
        <v>46</v>
      </c>
      <c r="T1596" t="s">
        <v>90</v>
      </c>
      <c r="U1596" t="s">
        <v>30</v>
      </c>
    </row>
    <row r="1597" spans="1:21" x14ac:dyDescent="0.35">
      <c r="A1597" t="s">
        <v>1676</v>
      </c>
      <c r="B1597" s="1">
        <v>46225</v>
      </c>
      <c r="C1597" t="str">
        <f>TEXT(tblData[[#This Row],[Rental Date]],"mmm")</f>
        <v>Jul</v>
      </c>
      <c r="D1597" t="str">
        <f>TEXT(tblData[[#This Row],[Rental Date]],"mmmm")</f>
        <v>July</v>
      </c>
      <c r="E1597" t="s">
        <v>109</v>
      </c>
      <c r="F1597" t="str">
        <f>TEXT(WEEKNUM(tblData[[#This Row],[Rental Date]]),"00")</f>
        <v>30</v>
      </c>
      <c r="G1597" s="1">
        <f>EOMONTH(tblData[[#This Row],[Rental Date]],0)</f>
        <v>46234</v>
      </c>
      <c r="H1597" t="s">
        <v>749</v>
      </c>
      <c r="I1597" t="s">
        <v>39</v>
      </c>
      <c r="J1597" t="s">
        <v>65</v>
      </c>
      <c r="K1597" t="s">
        <v>40</v>
      </c>
      <c r="L1597">
        <v>1</v>
      </c>
      <c r="M1597" s="2">
        <v>31.36</v>
      </c>
      <c r="N1597" t="s">
        <v>26</v>
      </c>
      <c r="O1597" s="3">
        <v>0</v>
      </c>
      <c r="P1597" s="3">
        <v>0</v>
      </c>
      <c r="Q1597" s="2">
        <v>31.36</v>
      </c>
      <c r="R1597" t="s">
        <v>94</v>
      </c>
      <c r="S1597" t="s">
        <v>54</v>
      </c>
      <c r="T1597" t="s">
        <v>29</v>
      </c>
      <c r="U1597" t="s">
        <v>79</v>
      </c>
    </row>
    <row r="1598" spans="1:21" x14ac:dyDescent="0.35">
      <c r="A1598" t="s">
        <v>1677</v>
      </c>
      <c r="B1598" s="1">
        <v>46225</v>
      </c>
      <c r="C1598" t="str">
        <f>TEXT(tblData[[#This Row],[Rental Date]],"mmm")</f>
        <v>Jul</v>
      </c>
      <c r="D1598" t="str">
        <f>TEXT(tblData[[#This Row],[Rental Date]],"mmmm")</f>
        <v>July</v>
      </c>
      <c r="E1598" t="s">
        <v>109</v>
      </c>
      <c r="F1598" t="str">
        <f>TEXT(WEEKNUM(tblData[[#This Row],[Rental Date]]),"00")</f>
        <v>30</v>
      </c>
      <c r="G1598" s="1">
        <f>EOMONTH(tblData[[#This Row],[Rental Date]],0)</f>
        <v>46234</v>
      </c>
      <c r="H1598" t="s">
        <v>749</v>
      </c>
      <c r="I1598" t="s">
        <v>23</v>
      </c>
      <c r="J1598" t="s">
        <v>78</v>
      </c>
      <c r="K1598" t="s">
        <v>40</v>
      </c>
      <c r="L1598">
        <v>1</v>
      </c>
      <c r="M1598" s="2">
        <v>69.44</v>
      </c>
      <c r="N1598" t="s">
        <v>87</v>
      </c>
      <c r="O1598" s="3">
        <v>10</v>
      </c>
      <c r="P1598" s="3">
        <v>0</v>
      </c>
      <c r="Q1598" s="2">
        <v>79.44</v>
      </c>
      <c r="R1598" t="s">
        <v>34</v>
      </c>
      <c r="S1598" t="s">
        <v>28</v>
      </c>
      <c r="T1598" t="s">
        <v>51</v>
      </c>
      <c r="U1598" t="s">
        <v>30</v>
      </c>
    </row>
    <row r="1599" spans="1:21" x14ac:dyDescent="0.35">
      <c r="A1599" t="s">
        <v>1678</v>
      </c>
      <c r="B1599" s="1">
        <v>46225</v>
      </c>
      <c r="C1599" t="str">
        <f>TEXT(tblData[[#This Row],[Rental Date]],"mmm")</f>
        <v>Jul</v>
      </c>
      <c r="D1599" t="str">
        <f>TEXT(tblData[[#This Row],[Rental Date]],"mmmm")</f>
        <v>July</v>
      </c>
      <c r="E1599" t="s">
        <v>109</v>
      </c>
      <c r="F1599" t="str">
        <f>TEXT(WEEKNUM(tblData[[#This Row],[Rental Date]]),"00")</f>
        <v>30</v>
      </c>
      <c r="G1599" s="1">
        <f>EOMONTH(tblData[[#This Row],[Rental Date]],0)</f>
        <v>46234</v>
      </c>
      <c r="H1599" t="s">
        <v>749</v>
      </c>
      <c r="I1599" t="s">
        <v>48</v>
      </c>
      <c r="J1599" t="s">
        <v>78</v>
      </c>
      <c r="K1599" t="s">
        <v>60</v>
      </c>
      <c r="L1599">
        <v>1</v>
      </c>
      <c r="M1599" s="2">
        <v>29.12</v>
      </c>
      <c r="N1599" t="s">
        <v>61</v>
      </c>
      <c r="O1599" s="3">
        <v>8</v>
      </c>
      <c r="P1599" s="3">
        <v>0</v>
      </c>
      <c r="Q1599" s="2">
        <v>37.119999999999997</v>
      </c>
      <c r="R1599" t="s">
        <v>62</v>
      </c>
      <c r="S1599" t="s">
        <v>54</v>
      </c>
      <c r="T1599" t="s">
        <v>29</v>
      </c>
      <c r="U1599" t="s">
        <v>30</v>
      </c>
    </row>
    <row r="1600" spans="1:21" x14ac:dyDescent="0.35">
      <c r="A1600" t="s">
        <v>1679</v>
      </c>
      <c r="B1600" s="1">
        <v>46225</v>
      </c>
      <c r="C1600" t="str">
        <f>TEXT(tblData[[#This Row],[Rental Date]],"mmm")</f>
        <v>Jul</v>
      </c>
      <c r="D1600" t="str">
        <f>TEXT(tblData[[#This Row],[Rental Date]],"mmmm")</f>
        <v>July</v>
      </c>
      <c r="E1600" t="s">
        <v>109</v>
      </c>
      <c r="F1600" t="str">
        <f>TEXT(WEEKNUM(tblData[[#This Row],[Rental Date]]),"00")</f>
        <v>30</v>
      </c>
      <c r="G1600" s="1">
        <f>EOMONTH(tblData[[#This Row],[Rental Date]],0)</f>
        <v>46234</v>
      </c>
      <c r="H1600" t="s">
        <v>749</v>
      </c>
      <c r="I1600" t="s">
        <v>23</v>
      </c>
      <c r="J1600" t="s">
        <v>44</v>
      </c>
      <c r="K1600" t="s">
        <v>60</v>
      </c>
      <c r="L1600">
        <v>1</v>
      </c>
      <c r="M1600" s="2">
        <v>38.08</v>
      </c>
      <c r="N1600" t="s">
        <v>26</v>
      </c>
      <c r="O1600" s="3">
        <v>0</v>
      </c>
      <c r="P1600" s="3">
        <v>0</v>
      </c>
      <c r="Q1600" s="2">
        <v>38.08</v>
      </c>
      <c r="R1600" t="s">
        <v>62</v>
      </c>
      <c r="S1600" t="s">
        <v>28</v>
      </c>
      <c r="T1600" t="s">
        <v>29</v>
      </c>
      <c r="U1600" t="s">
        <v>79</v>
      </c>
    </row>
    <row r="1601" spans="1:21" x14ac:dyDescent="0.35">
      <c r="A1601" t="s">
        <v>1680</v>
      </c>
      <c r="B1601" s="1">
        <v>46225</v>
      </c>
      <c r="C1601" t="str">
        <f>TEXT(tblData[[#This Row],[Rental Date]],"mmm")</f>
        <v>Jul</v>
      </c>
      <c r="D1601" t="str">
        <f>TEXT(tblData[[#This Row],[Rental Date]],"mmmm")</f>
        <v>July</v>
      </c>
      <c r="E1601" t="s">
        <v>109</v>
      </c>
      <c r="F1601" t="str">
        <f>TEXT(WEEKNUM(tblData[[#This Row],[Rental Date]]),"00")</f>
        <v>30</v>
      </c>
      <c r="G1601" s="1">
        <f>EOMONTH(tblData[[#This Row],[Rental Date]],0)</f>
        <v>46234</v>
      </c>
      <c r="H1601" t="s">
        <v>749</v>
      </c>
      <c r="I1601" t="s">
        <v>39</v>
      </c>
      <c r="J1601" t="s">
        <v>86</v>
      </c>
      <c r="K1601" t="s">
        <v>25</v>
      </c>
      <c r="L1601">
        <v>1</v>
      </c>
      <c r="M1601" s="2">
        <v>64.959999999999994</v>
      </c>
      <c r="N1601" t="s">
        <v>41</v>
      </c>
      <c r="O1601" s="3">
        <v>5</v>
      </c>
      <c r="P1601" s="3">
        <v>0</v>
      </c>
      <c r="Q1601" s="2">
        <v>69.959999999999994</v>
      </c>
      <c r="R1601" t="s">
        <v>62</v>
      </c>
      <c r="S1601" t="s">
        <v>50</v>
      </c>
      <c r="T1601" t="s">
        <v>29</v>
      </c>
      <c r="U1601" t="s">
        <v>30</v>
      </c>
    </row>
    <row r="1602" spans="1:21" x14ac:dyDescent="0.35">
      <c r="A1602" t="s">
        <v>1681</v>
      </c>
      <c r="B1602" s="1">
        <v>46225</v>
      </c>
      <c r="C1602" t="str">
        <f>TEXT(tblData[[#This Row],[Rental Date]],"mmm")</f>
        <v>Jul</v>
      </c>
      <c r="D1602" t="str">
        <f>TEXT(tblData[[#This Row],[Rental Date]],"mmmm")</f>
        <v>July</v>
      </c>
      <c r="E1602" t="s">
        <v>109</v>
      </c>
      <c r="F1602" t="str">
        <f>TEXT(WEEKNUM(tblData[[#This Row],[Rental Date]]),"00")</f>
        <v>30</v>
      </c>
      <c r="G1602" s="1">
        <f>EOMONTH(tblData[[#This Row],[Rental Date]],0)</f>
        <v>46234</v>
      </c>
      <c r="H1602" t="s">
        <v>749</v>
      </c>
      <c r="I1602" t="s">
        <v>39</v>
      </c>
      <c r="J1602" t="s">
        <v>33</v>
      </c>
      <c r="K1602" t="s">
        <v>60</v>
      </c>
      <c r="L1602">
        <v>1</v>
      </c>
      <c r="M1602" s="2">
        <v>26.88</v>
      </c>
      <c r="N1602" t="s">
        <v>87</v>
      </c>
      <c r="O1602" s="3">
        <v>10</v>
      </c>
      <c r="P1602" s="3">
        <v>0</v>
      </c>
      <c r="Q1602" s="2">
        <v>36.880000000000003</v>
      </c>
      <c r="R1602" t="s">
        <v>57</v>
      </c>
      <c r="S1602" t="s">
        <v>50</v>
      </c>
      <c r="T1602" t="s">
        <v>29</v>
      </c>
      <c r="U1602" t="s">
        <v>30</v>
      </c>
    </row>
    <row r="1603" spans="1:21" x14ac:dyDescent="0.35">
      <c r="A1603" t="s">
        <v>1682</v>
      </c>
      <c r="B1603" s="1">
        <v>46225</v>
      </c>
      <c r="C1603" t="str">
        <f>TEXT(tblData[[#This Row],[Rental Date]],"mmm")</f>
        <v>Jul</v>
      </c>
      <c r="D1603" t="str">
        <f>TEXT(tblData[[#This Row],[Rental Date]],"mmmm")</f>
        <v>July</v>
      </c>
      <c r="E1603" t="s">
        <v>109</v>
      </c>
      <c r="F1603" t="str">
        <f>TEXT(WEEKNUM(tblData[[#This Row],[Rental Date]]),"00")</f>
        <v>30</v>
      </c>
      <c r="G1603" s="1">
        <f>EOMONTH(tblData[[#This Row],[Rental Date]],0)</f>
        <v>46234</v>
      </c>
      <c r="H1603" t="s">
        <v>749</v>
      </c>
      <c r="I1603" t="s">
        <v>39</v>
      </c>
      <c r="J1603" t="s">
        <v>44</v>
      </c>
      <c r="K1603" t="s">
        <v>25</v>
      </c>
      <c r="L1603">
        <v>1</v>
      </c>
      <c r="M1603" s="2">
        <v>58.24</v>
      </c>
      <c r="N1603" t="s">
        <v>26</v>
      </c>
      <c r="O1603" s="3">
        <v>0</v>
      </c>
      <c r="P1603" s="3">
        <v>0</v>
      </c>
      <c r="Q1603" s="2">
        <v>58.24</v>
      </c>
      <c r="R1603" t="s">
        <v>62</v>
      </c>
      <c r="S1603" t="s">
        <v>35</v>
      </c>
      <c r="T1603" t="s">
        <v>29</v>
      </c>
      <c r="U1603" t="s">
        <v>30</v>
      </c>
    </row>
    <row r="1604" spans="1:21" x14ac:dyDescent="0.35">
      <c r="A1604" t="s">
        <v>1683</v>
      </c>
      <c r="B1604" s="1">
        <v>46225</v>
      </c>
      <c r="C1604" t="str">
        <f>TEXT(tblData[[#This Row],[Rental Date]],"mmm")</f>
        <v>Jul</v>
      </c>
      <c r="D1604" t="str">
        <f>TEXT(tblData[[#This Row],[Rental Date]],"mmmm")</f>
        <v>July</v>
      </c>
      <c r="E1604" t="s">
        <v>109</v>
      </c>
      <c r="F1604" t="str">
        <f>TEXT(WEEKNUM(tblData[[#This Row],[Rental Date]]),"00")</f>
        <v>30</v>
      </c>
      <c r="G1604" s="1">
        <f>EOMONTH(tblData[[#This Row],[Rental Date]],0)</f>
        <v>46234</v>
      </c>
      <c r="H1604" t="s">
        <v>749</v>
      </c>
      <c r="I1604" t="s">
        <v>48</v>
      </c>
      <c r="J1604" t="s">
        <v>127</v>
      </c>
      <c r="K1604" t="s">
        <v>60</v>
      </c>
      <c r="L1604">
        <v>1</v>
      </c>
      <c r="M1604" s="2">
        <v>11.2</v>
      </c>
      <c r="N1604" t="s">
        <v>89</v>
      </c>
      <c r="O1604" s="3">
        <v>6</v>
      </c>
      <c r="P1604" s="3">
        <v>0</v>
      </c>
      <c r="Q1604" s="2">
        <v>17.2</v>
      </c>
      <c r="R1604" t="s">
        <v>66</v>
      </c>
      <c r="S1604" t="s">
        <v>50</v>
      </c>
      <c r="T1604" t="s">
        <v>29</v>
      </c>
      <c r="U1604" t="s">
        <v>30</v>
      </c>
    </row>
    <row r="1605" spans="1:21" x14ac:dyDescent="0.35">
      <c r="A1605" t="s">
        <v>1684</v>
      </c>
      <c r="B1605" s="1">
        <v>46225</v>
      </c>
      <c r="C1605" t="str">
        <f>TEXT(tblData[[#This Row],[Rental Date]],"mmm")</f>
        <v>Jul</v>
      </c>
      <c r="D1605" t="str">
        <f>TEXT(tblData[[#This Row],[Rental Date]],"mmmm")</f>
        <v>July</v>
      </c>
      <c r="E1605" t="s">
        <v>109</v>
      </c>
      <c r="F1605" t="str">
        <f>TEXT(WEEKNUM(tblData[[#This Row],[Rental Date]]),"00")</f>
        <v>30</v>
      </c>
      <c r="G1605" s="1">
        <f>EOMONTH(tblData[[#This Row],[Rental Date]],0)</f>
        <v>46234</v>
      </c>
      <c r="H1605" t="s">
        <v>749</v>
      </c>
      <c r="I1605" t="s">
        <v>48</v>
      </c>
      <c r="J1605" t="s">
        <v>111</v>
      </c>
      <c r="K1605" t="s">
        <v>25</v>
      </c>
      <c r="L1605">
        <v>1</v>
      </c>
      <c r="M1605" s="2">
        <v>24.64</v>
      </c>
      <c r="N1605" t="s">
        <v>41</v>
      </c>
      <c r="O1605" s="3">
        <v>5</v>
      </c>
      <c r="P1605" s="3">
        <v>0</v>
      </c>
      <c r="Q1605" s="2">
        <v>29.64</v>
      </c>
      <c r="R1605" t="s">
        <v>42</v>
      </c>
      <c r="S1605" t="s">
        <v>28</v>
      </c>
      <c r="T1605" t="s">
        <v>51</v>
      </c>
      <c r="U1605" t="s">
        <v>30</v>
      </c>
    </row>
    <row r="1606" spans="1:21" x14ac:dyDescent="0.35">
      <c r="A1606" t="s">
        <v>1685</v>
      </c>
      <c r="B1606" s="1">
        <v>46225</v>
      </c>
      <c r="C1606" t="str">
        <f>TEXT(tblData[[#This Row],[Rental Date]],"mmm")</f>
        <v>Jul</v>
      </c>
      <c r="D1606" t="str">
        <f>TEXT(tblData[[#This Row],[Rental Date]],"mmmm")</f>
        <v>July</v>
      </c>
      <c r="E1606" t="s">
        <v>109</v>
      </c>
      <c r="F1606" t="str">
        <f>TEXT(WEEKNUM(tblData[[#This Row],[Rental Date]]),"00")</f>
        <v>30</v>
      </c>
      <c r="G1606" s="1">
        <f>EOMONTH(tblData[[#This Row],[Rental Date]],0)</f>
        <v>46234</v>
      </c>
      <c r="H1606" t="s">
        <v>749</v>
      </c>
      <c r="I1606" t="s">
        <v>48</v>
      </c>
      <c r="J1606" t="s">
        <v>24</v>
      </c>
      <c r="K1606" t="s">
        <v>60</v>
      </c>
      <c r="L1606">
        <v>1</v>
      </c>
      <c r="M1606" s="2">
        <v>35.840000000000003</v>
      </c>
      <c r="N1606" t="s">
        <v>87</v>
      </c>
      <c r="O1606" s="3">
        <v>10</v>
      </c>
      <c r="P1606" s="3">
        <v>0</v>
      </c>
      <c r="Q1606" s="2">
        <v>45.84</v>
      </c>
      <c r="R1606" t="s">
        <v>76</v>
      </c>
      <c r="S1606" t="s">
        <v>28</v>
      </c>
      <c r="T1606" t="s">
        <v>90</v>
      </c>
      <c r="U1606" t="s">
        <v>30</v>
      </c>
    </row>
    <row r="1607" spans="1:21" x14ac:dyDescent="0.35">
      <c r="A1607" t="s">
        <v>1686</v>
      </c>
      <c r="B1607" s="1">
        <v>46226</v>
      </c>
      <c r="C1607" t="str">
        <f>TEXT(tblData[[#This Row],[Rental Date]],"mmm")</f>
        <v>Jul</v>
      </c>
      <c r="D1607" t="str">
        <f>TEXT(tblData[[#This Row],[Rental Date]],"mmmm")</f>
        <v>July</v>
      </c>
      <c r="E1607" t="s">
        <v>21</v>
      </c>
      <c r="F1607" t="str">
        <f>TEXT(WEEKNUM(tblData[[#This Row],[Rental Date]]),"00")</f>
        <v>30</v>
      </c>
      <c r="G1607" s="1">
        <f>EOMONTH(tblData[[#This Row],[Rental Date]],0)</f>
        <v>46234</v>
      </c>
      <c r="H1607" t="s">
        <v>749</v>
      </c>
      <c r="I1607" t="s">
        <v>23</v>
      </c>
      <c r="J1607" t="s">
        <v>78</v>
      </c>
      <c r="K1607" t="s">
        <v>25</v>
      </c>
      <c r="L1607">
        <v>1</v>
      </c>
      <c r="M1607" s="2">
        <v>47.04</v>
      </c>
      <c r="N1607" t="s">
        <v>87</v>
      </c>
      <c r="O1607" s="3">
        <v>10</v>
      </c>
      <c r="P1607" s="3">
        <v>0</v>
      </c>
      <c r="Q1607" s="2">
        <v>57.04</v>
      </c>
      <c r="R1607" t="s">
        <v>62</v>
      </c>
      <c r="S1607" t="s">
        <v>46</v>
      </c>
      <c r="T1607" t="s">
        <v>51</v>
      </c>
      <c r="U1607" t="s">
        <v>58</v>
      </c>
    </row>
    <row r="1608" spans="1:21" x14ac:dyDescent="0.35">
      <c r="A1608" t="s">
        <v>1687</v>
      </c>
      <c r="B1608" s="1">
        <v>46226</v>
      </c>
      <c r="C1608" t="str">
        <f>TEXT(tblData[[#This Row],[Rental Date]],"mmm")</f>
        <v>Jul</v>
      </c>
      <c r="D1608" t="str">
        <f>TEXT(tblData[[#This Row],[Rental Date]],"mmmm")</f>
        <v>July</v>
      </c>
      <c r="E1608" t="s">
        <v>21</v>
      </c>
      <c r="F1608" t="str">
        <f>TEXT(WEEKNUM(tblData[[#This Row],[Rental Date]]),"00")</f>
        <v>30</v>
      </c>
      <c r="G1608" s="1">
        <f>EOMONTH(tblData[[#This Row],[Rental Date]],0)</f>
        <v>46234</v>
      </c>
      <c r="H1608" t="s">
        <v>749</v>
      </c>
      <c r="I1608" t="s">
        <v>39</v>
      </c>
      <c r="J1608" t="s">
        <v>33</v>
      </c>
      <c r="K1608" t="s">
        <v>60</v>
      </c>
      <c r="L1608">
        <v>1</v>
      </c>
      <c r="M1608" s="2">
        <v>26.88</v>
      </c>
      <c r="N1608" t="s">
        <v>26</v>
      </c>
      <c r="O1608" s="3">
        <v>0</v>
      </c>
      <c r="P1608" s="3">
        <v>0</v>
      </c>
      <c r="Q1608" s="2">
        <v>26.88</v>
      </c>
      <c r="R1608" t="s">
        <v>57</v>
      </c>
      <c r="S1608" t="s">
        <v>35</v>
      </c>
      <c r="T1608" t="s">
        <v>29</v>
      </c>
      <c r="U1608" t="s">
        <v>30</v>
      </c>
    </row>
    <row r="1609" spans="1:21" x14ac:dyDescent="0.35">
      <c r="A1609" t="s">
        <v>1688</v>
      </c>
      <c r="B1609" s="1">
        <v>46226</v>
      </c>
      <c r="C1609" t="str">
        <f>TEXT(tblData[[#This Row],[Rental Date]],"mmm")</f>
        <v>Jul</v>
      </c>
      <c r="D1609" t="str">
        <f>TEXT(tblData[[#This Row],[Rental Date]],"mmmm")</f>
        <v>July</v>
      </c>
      <c r="E1609" t="s">
        <v>21</v>
      </c>
      <c r="F1609" t="str">
        <f>TEXT(WEEKNUM(tblData[[#This Row],[Rental Date]]),"00")</f>
        <v>30</v>
      </c>
      <c r="G1609" s="1">
        <f>EOMONTH(tblData[[#This Row],[Rental Date]],0)</f>
        <v>46234</v>
      </c>
      <c r="H1609" t="s">
        <v>749</v>
      </c>
      <c r="I1609" t="s">
        <v>39</v>
      </c>
      <c r="J1609" t="s">
        <v>49</v>
      </c>
      <c r="K1609" t="s">
        <v>25</v>
      </c>
      <c r="L1609">
        <v>1</v>
      </c>
      <c r="M1609" s="2">
        <v>40.32</v>
      </c>
      <c r="N1609" t="s">
        <v>89</v>
      </c>
      <c r="O1609" s="3">
        <v>6</v>
      </c>
      <c r="P1609" s="3">
        <v>0</v>
      </c>
      <c r="Q1609" s="2">
        <v>46.32</v>
      </c>
      <c r="R1609" t="s">
        <v>57</v>
      </c>
      <c r="S1609" t="s">
        <v>46</v>
      </c>
      <c r="T1609" t="s">
        <v>29</v>
      </c>
      <c r="U1609" t="s">
        <v>58</v>
      </c>
    </row>
    <row r="1610" spans="1:21" x14ac:dyDescent="0.35">
      <c r="A1610" t="s">
        <v>1689</v>
      </c>
      <c r="B1610" s="1">
        <v>46226</v>
      </c>
      <c r="C1610" t="str">
        <f>TEXT(tblData[[#This Row],[Rental Date]],"mmm")</f>
        <v>Jul</v>
      </c>
      <c r="D1610" t="str">
        <f>TEXT(tblData[[#This Row],[Rental Date]],"mmmm")</f>
        <v>July</v>
      </c>
      <c r="E1610" t="s">
        <v>21</v>
      </c>
      <c r="F1610" t="str">
        <f>TEXT(WEEKNUM(tblData[[#This Row],[Rental Date]]),"00")</f>
        <v>30</v>
      </c>
      <c r="G1610" s="1">
        <f>EOMONTH(tblData[[#This Row],[Rental Date]],0)</f>
        <v>46234</v>
      </c>
      <c r="H1610" t="s">
        <v>749</v>
      </c>
      <c r="I1610" t="s">
        <v>48</v>
      </c>
      <c r="J1610" t="s">
        <v>33</v>
      </c>
      <c r="K1610" t="s">
        <v>40</v>
      </c>
      <c r="L1610">
        <v>1</v>
      </c>
      <c r="M1610" s="2">
        <v>64.959999999999994</v>
      </c>
      <c r="N1610" t="s">
        <v>26</v>
      </c>
      <c r="O1610" s="3">
        <v>0</v>
      </c>
      <c r="P1610" s="3">
        <v>0</v>
      </c>
      <c r="Q1610" s="2">
        <v>64.959999999999994</v>
      </c>
      <c r="R1610" t="s">
        <v>94</v>
      </c>
      <c r="S1610" t="s">
        <v>35</v>
      </c>
      <c r="T1610" t="s">
        <v>29</v>
      </c>
      <c r="U1610" t="s">
        <v>30</v>
      </c>
    </row>
    <row r="1611" spans="1:21" x14ac:dyDescent="0.35">
      <c r="A1611" t="s">
        <v>1690</v>
      </c>
      <c r="B1611" s="1">
        <v>46226</v>
      </c>
      <c r="C1611" t="str">
        <f>TEXT(tblData[[#This Row],[Rental Date]],"mmm")</f>
        <v>Jul</v>
      </c>
      <c r="D1611" t="str">
        <f>TEXT(tblData[[#This Row],[Rental Date]],"mmmm")</f>
        <v>July</v>
      </c>
      <c r="E1611" t="s">
        <v>21</v>
      </c>
      <c r="F1611" t="str">
        <f>TEXT(WEEKNUM(tblData[[#This Row],[Rental Date]]),"00")</f>
        <v>30</v>
      </c>
      <c r="G1611" s="1">
        <f>EOMONTH(tblData[[#This Row],[Rental Date]],0)</f>
        <v>46234</v>
      </c>
      <c r="H1611" t="s">
        <v>749</v>
      </c>
      <c r="I1611" t="s">
        <v>32</v>
      </c>
      <c r="J1611" t="s">
        <v>65</v>
      </c>
      <c r="K1611" t="s">
        <v>25</v>
      </c>
      <c r="L1611">
        <v>1</v>
      </c>
      <c r="M1611" s="2">
        <v>20.16</v>
      </c>
      <c r="N1611" t="s">
        <v>89</v>
      </c>
      <c r="O1611" s="3">
        <v>6</v>
      </c>
      <c r="P1611" s="3">
        <v>0</v>
      </c>
      <c r="Q1611" s="2">
        <v>26.16</v>
      </c>
      <c r="R1611" t="s">
        <v>62</v>
      </c>
      <c r="S1611" t="s">
        <v>35</v>
      </c>
      <c r="T1611" t="s">
        <v>29</v>
      </c>
      <c r="U1611" t="s">
        <v>30</v>
      </c>
    </row>
    <row r="1612" spans="1:21" x14ac:dyDescent="0.35">
      <c r="A1612" t="s">
        <v>1691</v>
      </c>
      <c r="B1612" s="1">
        <v>46226</v>
      </c>
      <c r="C1612" t="str">
        <f>TEXT(tblData[[#This Row],[Rental Date]],"mmm")</f>
        <v>Jul</v>
      </c>
      <c r="D1612" t="str">
        <f>TEXT(tblData[[#This Row],[Rental Date]],"mmmm")</f>
        <v>July</v>
      </c>
      <c r="E1612" t="s">
        <v>21</v>
      </c>
      <c r="F1612" t="str">
        <f>TEXT(WEEKNUM(tblData[[#This Row],[Rental Date]]),"00")</f>
        <v>30</v>
      </c>
      <c r="G1612" s="1">
        <f>EOMONTH(tblData[[#This Row],[Rental Date]],0)</f>
        <v>46234</v>
      </c>
      <c r="H1612" t="s">
        <v>749</v>
      </c>
      <c r="I1612" t="s">
        <v>32</v>
      </c>
      <c r="J1612" t="s">
        <v>44</v>
      </c>
      <c r="K1612" t="s">
        <v>60</v>
      </c>
      <c r="L1612">
        <v>1</v>
      </c>
      <c r="M1612" s="2">
        <v>38.08</v>
      </c>
      <c r="N1612" t="s">
        <v>26</v>
      </c>
      <c r="O1612" s="3">
        <v>0</v>
      </c>
      <c r="P1612" s="3">
        <v>3.81</v>
      </c>
      <c r="Q1612" s="2">
        <v>34.270000000000003</v>
      </c>
      <c r="R1612" t="s">
        <v>45</v>
      </c>
      <c r="S1612" t="s">
        <v>54</v>
      </c>
      <c r="T1612" t="s">
        <v>29</v>
      </c>
      <c r="U1612" t="s">
        <v>58</v>
      </c>
    </row>
    <row r="1613" spans="1:21" x14ac:dyDescent="0.35">
      <c r="A1613" t="s">
        <v>1692</v>
      </c>
      <c r="B1613" s="1">
        <v>46226</v>
      </c>
      <c r="C1613" t="str">
        <f>TEXT(tblData[[#This Row],[Rental Date]],"mmm")</f>
        <v>Jul</v>
      </c>
      <c r="D1613" t="str">
        <f>TEXT(tblData[[#This Row],[Rental Date]],"mmmm")</f>
        <v>July</v>
      </c>
      <c r="E1613" t="s">
        <v>21</v>
      </c>
      <c r="F1613" t="str">
        <f>TEXT(WEEKNUM(tblData[[#This Row],[Rental Date]]),"00")</f>
        <v>30</v>
      </c>
      <c r="G1613" s="1">
        <f>EOMONTH(tblData[[#This Row],[Rental Date]],0)</f>
        <v>46234</v>
      </c>
      <c r="H1613" t="s">
        <v>749</v>
      </c>
      <c r="I1613" t="s">
        <v>39</v>
      </c>
      <c r="J1613" t="s">
        <v>49</v>
      </c>
      <c r="K1613" t="s">
        <v>40</v>
      </c>
      <c r="L1613">
        <v>1</v>
      </c>
      <c r="M1613" s="2">
        <v>60.48</v>
      </c>
      <c r="N1613" t="s">
        <v>26</v>
      </c>
      <c r="O1613" s="3">
        <v>0</v>
      </c>
      <c r="P1613" s="3">
        <v>0</v>
      </c>
      <c r="Q1613" s="2">
        <v>60.48</v>
      </c>
      <c r="R1613" t="s">
        <v>57</v>
      </c>
      <c r="S1613" t="s">
        <v>46</v>
      </c>
      <c r="T1613" t="s">
        <v>51</v>
      </c>
      <c r="U1613" t="s">
        <v>30</v>
      </c>
    </row>
    <row r="1614" spans="1:21" x14ac:dyDescent="0.35">
      <c r="A1614" t="s">
        <v>1693</v>
      </c>
      <c r="B1614" s="1">
        <v>46226</v>
      </c>
      <c r="C1614" t="str">
        <f>TEXT(tblData[[#This Row],[Rental Date]],"mmm")</f>
        <v>Jul</v>
      </c>
      <c r="D1614" t="str">
        <f>TEXT(tblData[[#This Row],[Rental Date]],"mmmm")</f>
        <v>July</v>
      </c>
      <c r="E1614" t="s">
        <v>21</v>
      </c>
      <c r="F1614" t="str">
        <f>TEXT(WEEKNUM(tblData[[#This Row],[Rental Date]]),"00")</f>
        <v>30</v>
      </c>
      <c r="G1614" s="1">
        <f>EOMONTH(tblData[[#This Row],[Rental Date]],0)</f>
        <v>46234</v>
      </c>
      <c r="H1614" t="s">
        <v>749</v>
      </c>
      <c r="I1614" t="s">
        <v>48</v>
      </c>
      <c r="J1614" t="s">
        <v>78</v>
      </c>
      <c r="K1614" t="s">
        <v>60</v>
      </c>
      <c r="L1614">
        <v>1</v>
      </c>
      <c r="M1614" s="2">
        <v>29.12</v>
      </c>
      <c r="N1614" t="s">
        <v>70</v>
      </c>
      <c r="O1614" s="3">
        <v>7</v>
      </c>
      <c r="P1614" s="3">
        <v>0</v>
      </c>
      <c r="Q1614" s="2">
        <v>36.119999999999997</v>
      </c>
      <c r="R1614" t="s">
        <v>76</v>
      </c>
      <c r="S1614" t="s">
        <v>46</v>
      </c>
      <c r="T1614" t="s">
        <v>63</v>
      </c>
      <c r="U1614" t="s">
        <v>58</v>
      </c>
    </row>
    <row r="1615" spans="1:21" x14ac:dyDescent="0.35">
      <c r="A1615" t="s">
        <v>1694</v>
      </c>
      <c r="B1615" s="1">
        <v>46226</v>
      </c>
      <c r="C1615" t="str">
        <f>TEXT(tblData[[#This Row],[Rental Date]],"mmm")</f>
        <v>Jul</v>
      </c>
      <c r="D1615" t="str">
        <f>TEXT(tblData[[#This Row],[Rental Date]],"mmmm")</f>
        <v>July</v>
      </c>
      <c r="E1615" t="s">
        <v>21</v>
      </c>
      <c r="F1615" t="str">
        <f>TEXT(WEEKNUM(tblData[[#This Row],[Rental Date]]),"00")</f>
        <v>30</v>
      </c>
      <c r="G1615" s="1">
        <f>EOMONTH(tblData[[#This Row],[Rental Date]],0)</f>
        <v>46234</v>
      </c>
      <c r="H1615" t="s">
        <v>749</v>
      </c>
      <c r="I1615" t="s">
        <v>39</v>
      </c>
      <c r="J1615" t="s">
        <v>33</v>
      </c>
      <c r="K1615" t="s">
        <v>25</v>
      </c>
      <c r="L1615">
        <v>1</v>
      </c>
      <c r="M1615" s="2">
        <v>42.56</v>
      </c>
      <c r="N1615" t="s">
        <v>26</v>
      </c>
      <c r="O1615" s="3">
        <v>0</v>
      </c>
      <c r="P1615" s="3">
        <v>0</v>
      </c>
      <c r="Q1615" s="2">
        <v>42.56</v>
      </c>
      <c r="R1615" t="s">
        <v>42</v>
      </c>
      <c r="S1615" t="s">
        <v>35</v>
      </c>
      <c r="T1615" t="s">
        <v>51</v>
      </c>
      <c r="U1615" t="s">
        <v>30</v>
      </c>
    </row>
    <row r="1616" spans="1:21" x14ac:dyDescent="0.35">
      <c r="A1616" t="s">
        <v>1695</v>
      </c>
      <c r="B1616" s="1">
        <v>46226</v>
      </c>
      <c r="C1616" t="str">
        <f>TEXT(tblData[[#This Row],[Rental Date]],"mmm")</f>
        <v>Jul</v>
      </c>
      <c r="D1616" t="str">
        <f>TEXT(tblData[[#This Row],[Rental Date]],"mmmm")</f>
        <v>July</v>
      </c>
      <c r="E1616" t="s">
        <v>21</v>
      </c>
      <c r="F1616" t="str">
        <f>TEXT(WEEKNUM(tblData[[#This Row],[Rental Date]]),"00")</f>
        <v>30</v>
      </c>
      <c r="G1616" s="1">
        <f>EOMONTH(tblData[[#This Row],[Rental Date]],0)</f>
        <v>46234</v>
      </c>
      <c r="H1616" t="s">
        <v>749</v>
      </c>
      <c r="I1616" t="s">
        <v>23</v>
      </c>
      <c r="J1616" t="s">
        <v>24</v>
      </c>
      <c r="K1616" t="s">
        <v>60</v>
      </c>
      <c r="L1616">
        <v>1</v>
      </c>
      <c r="M1616" s="2">
        <v>35.840000000000003</v>
      </c>
      <c r="N1616" t="s">
        <v>87</v>
      </c>
      <c r="O1616" s="3">
        <v>10</v>
      </c>
      <c r="P1616" s="3">
        <v>0</v>
      </c>
      <c r="Q1616" s="2">
        <v>45.84</v>
      </c>
      <c r="R1616" t="s">
        <v>71</v>
      </c>
      <c r="S1616" t="s">
        <v>35</v>
      </c>
      <c r="T1616" t="s">
        <v>29</v>
      </c>
      <c r="U1616" t="s">
        <v>30</v>
      </c>
    </row>
    <row r="1617" spans="1:21" x14ac:dyDescent="0.35">
      <c r="A1617" t="s">
        <v>1696</v>
      </c>
      <c r="B1617" s="1">
        <v>46226</v>
      </c>
      <c r="C1617" t="str">
        <f>TEXT(tblData[[#This Row],[Rental Date]],"mmm")</f>
        <v>Jul</v>
      </c>
      <c r="D1617" t="str">
        <f>TEXT(tblData[[#This Row],[Rental Date]],"mmmm")</f>
        <v>July</v>
      </c>
      <c r="E1617" t="s">
        <v>21</v>
      </c>
      <c r="F1617" t="str">
        <f>TEXT(WEEKNUM(tblData[[#This Row],[Rental Date]]),"00")</f>
        <v>30</v>
      </c>
      <c r="G1617" s="1">
        <f>EOMONTH(tblData[[#This Row],[Rental Date]],0)</f>
        <v>46234</v>
      </c>
      <c r="H1617" t="s">
        <v>749</v>
      </c>
      <c r="I1617" t="s">
        <v>23</v>
      </c>
      <c r="J1617" t="s">
        <v>127</v>
      </c>
      <c r="K1617" t="s">
        <v>60</v>
      </c>
      <c r="L1617">
        <v>1</v>
      </c>
      <c r="M1617" s="2">
        <v>11.2</v>
      </c>
      <c r="N1617" t="s">
        <v>41</v>
      </c>
      <c r="O1617" s="3">
        <v>5</v>
      </c>
      <c r="P1617" s="3">
        <v>0</v>
      </c>
      <c r="Q1617" s="2">
        <v>16.2</v>
      </c>
      <c r="R1617" t="s">
        <v>94</v>
      </c>
      <c r="S1617" t="s">
        <v>50</v>
      </c>
      <c r="T1617" t="s">
        <v>63</v>
      </c>
      <c r="U1617" t="s">
        <v>30</v>
      </c>
    </row>
    <row r="1618" spans="1:21" x14ac:dyDescent="0.35">
      <c r="A1618" t="s">
        <v>1697</v>
      </c>
      <c r="B1618" s="1">
        <v>46226</v>
      </c>
      <c r="C1618" t="str">
        <f>TEXT(tblData[[#This Row],[Rental Date]],"mmm")</f>
        <v>Jul</v>
      </c>
      <c r="D1618" t="str">
        <f>TEXT(tblData[[#This Row],[Rental Date]],"mmmm")</f>
        <v>July</v>
      </c>
      <c r="E1618" t="s">
        <v>21</v>
      </c>
      <c r="F1618" t="str">
        <f>TEXT(WEEKNUM(tblData[[#This Row],[Rental Date]]),"00")</f>
        <v>30</v>
      </c>
      <c r="G1618" s="1">
        <f>EOMONTH(tblData[[#This Row],[Rental Date]],0)</f>
        <v>46234</v>
      </c>
      <c r="H1618" t="s">
        <v>749</v>
      </c>
      <c r="I1618" t="s">
        <v>23</v>
      </c>
      <c r="J1618" t="s">
        <v>24</v>
      </c>
      <c r="K1618" t="s">
        <v>40</v>
      </c>
      <c r="L1618">
        <v>1</v>
      </c>
      <c r="M1618" s="2">
        <v>85.12</v>
      </c>
      <c r="N1618" t="s">
        <v>89</v>
      </c>
      <c r="O1618" s="3">
        <v>6</v>
      </c>
      <c r="P1618" s="3">
        <v>0</v>
      </c>
      <c r="Q1618" s="2">
        <v>91.12</v>
      </c>
      <c r="R1618" t="s">
        <v>71</v>
      </c>
      <c r="S1618" t="s">
        <v>50</v>
      </c>
      <c r="T1618" t="s">
        <v>29</v>
      </c>
      <c r="U1618" t="s">
        <v>30</v>
      </c>
    </row>
    <row r="1619" spans="1:21" x14ac:dyDescent="0.35">
      <c r="A1619" t="s">
        <v>1698</v>
      </c>
      <c r="B1619" s="1">
        <v>46226</v>
      </c>
      <c r="C1619" t="str">
        <f>TEXT(tblData[[#This Row],[Rental Date]],"mmm")</f>
        <v>Jul</v>
      </c>
      <c r="D1619" t="str">
        <f>TEXT(tblData[[#This Row],[Rental Date]],"mmmm")</f>
        <v>July</v>
      </c>
      <c r="E1619" t="s">
        <v>21</v>
      </c>
      <c r="F1619" t="str">
        <f>TEXT(WEEKNUM(tblData[[#This Row],[Rental Date]]),"00")</f>
        <v>30</v>
      </c>
      <c r="G1619" s="1">
        <f>EOMONTH(tblData[[#This Row],[Rental Date]],0)</f>
        <v>46234</v>
      </c>
      <c r="H1619" t="s">
        <v>749</v>
      </c>
      <c r="I1619" t="s">
        <v>23</v>
      </c>
      <c r="J1619" t="s">
        <v>78</v>
      </c>
      <c r="K1619" t="s">
        <v>25</v>
      </c>
      <c r="L1619">
        <v>1</v>
      </c>
      <c r="M1619" s="2">
        <v>47.04</v>
      </c>
      <c r="N1619" t="s">
        <v>87</v>
      </c>
      <c r="O1619" s="3">
        <v>10</v>
      </c>
      <c r="P1619" s="3">
        <v>0</v>
      </c>
      <c r="Q1619" s="2">
        <v>57.04</v>
      </c>
      <c r="R1619" t="s">
        <v>42</v>
      </c>
      <c r="S1619" t="s">
        <v>54</v>
      </c>
      <c r="T1619" t="s">
        <v>29</v>
      </c>
      <c r="U1619" t="s">
        <v>30</v>
      </c>
    </row>
    <row r="1620" spans="1:21" x14ac:dyDescent="0.35">
      <c r="A1620" t="s">
        <v>1699</v>
      </c>
      <c r="B1620" s="1">
        <v>46226</v>
      </c>
      <c r="C1620" t="str">
        <f>TEXT(tblData[[#This Row],[Rental Date]],"mmm")</f>
        <v>Jul</v>
      </c>
      <c r="D1620" t="str">
        <f>TEXT(tblData[[#This Row],[Rental Date]],"mmmm")</f>
        <v>July</v>
      </c>
      <c r="E1620" t="s">
        <v>21</v>
      </c>
      <c r="F1620" t="str">
        <f>TEXT(WEEKNUM(tblData[[#This Row],[Rental Date]]),"00")</f>
        <v>30</v>
      </c>
      <c r="G1620" s="1">
        <f>EOMONTH(tblData[[#This Row],[Rental Date]],0)</f>
        <v>46234</v>
      </c>
      <c r="H1620" t="s">
        <v>749</v>
      </c>
      <c r="I1620" t="s">
        <v>23</v>
      </c>
      <c r="J1620" t="s">
        <v>78</v>
      </c>
      <c r="K1620" t="s">
        <v>25</v>
      </c>
      <c r="L1620">
        <v>1</v>
      </c>
      <c r="M1620" s="2">
        <v>47.04</v>
      </c>
      <c r="N1620" t="s">
        <v>61</v>
      </c>
      <c r="O1620" s="3">
        <v>8</v>
      </c>
      <c r="P1620" s="3">
        <v>0</v>
      </c>
      <c r="Q1620" s="2">
        <v>55.04</v>
      </c>
      <c r="R1620" t="s">
        <v>66</v>
      </c>
      <c r="S1620" t="s">
        <v>54</v>
      </c>
      <c r="T1620" t="s">
        <v>51</v>
      </c>
      <c r="U1620" t="s">
        <v>58</v>
      </c>
    </row>
    <row r="1621" spans="1:21" x14ac:dyDescent="0.35">
      <c r="A1621" t="s">
        <v>1700</v>
      </c>
      <c r="B1621" s="1">
        <v>46226</v>
      </c>
      <c r="C1621" t="str">
        <f>TEXT(tblData[[#This Row],[Rental Date]],"mmm")</f>
        <v>Jul</v>
      </c>
      <c r="D1621" t="str">
        <f>TEXT(tblData[[#This Row],[Rental Date]],"mmmm")</f>
        <v>July</v>
      </c>
      <c r="E1621" t="s">
        <v>21</v>
      </c>
      <c r="F1621" t="str">
        <f>TEXT(WEEKNUM(tblData[[#This Row],[Rental Date]]),"00")</f>
        <v>30</v>
      </c>
      <c r="G1621" s="1">
        <f>EOMONTH(tblData[[#This Row],[Rental Date]],0)</f>
        <v>46234</v>
      </c>
      <c r="H1621" t="s">
        <v>749</v>
      </c>
      <c r="I1621" t="s">
        <v>39</v>
      </c>
      <c r="J1621" t="s">
        <v>49</v>
      </c>
      <c r="K1621" t="s">
        <v>60</v>
      </c>
      <c r="L1621">
        <v>1</v>
      </c>
      <c r="M1621" s="2">
        <v>24.64</v>
      </c>
      <c r="N1621" t="s">
        <v>26</v>
      </c>
      <c r="O1621" s="3">
        <v>0</v>
      </c>
      <c r="P1621" s="3">
        <v>0</v>
      </c>
      <c r="Q1621" s="2">
        <v>24.64</v>
      </c>
      <c r="R1621" t="s">
        <v>42</v>
      </c>
      <c r="S1621" t="s">
        <v>50</v>
      </c>
      <c r="T1621" t="s">
        <v>51</v>
      </c>
      <c r="U1621" t="s">
        <v>30</v>
      </c>
    </row>
    <row r="1622" spans="1:21" x14ac:dyDescent="0.35">
      <c r="A1622" t="s">
        <v>1701</v>
      </c>
      <c r="B1622" s="1">
        <v>46226</v>
      </c>
      <c r="C1622" t="str">
        <f>TEXT(tblData[[#This Row],[Rental Date]],"mmm")</f>
        <v>Jul</v>
      </c>
      <c r="D1622" t="str">
        <f>TEXT(tblData[[#This Row],[Rental Date]],"mmmm")</f>
        <v>July</v>
      </c>
      <c r="E1622" t="s">
        <v>21</v>
      </c>
      <c r="F1622" t="str">
        <f>TEXT(WEEKNUM(tblData[[#This Row],[Rental Date]]),"00")</f>
        <v>30</v>
      </c>
      <c r="G1622" s="1">
        <f>EOMONTH(tblData[[#This Row],[Rental Date]],0)</f>
        <v>46234</v>
      </c>
      <c r="H1622" t="s">
        <v>749</v>
      </c>
      <c r="I1622" t="s">
        <v>32</v>
      </c>
      <c r="J1622" t="s">
        <v>78</v>
      </c>
      <c r="K1622" t="s">
        <v>25</v>
      </c>
      <c r="L1622">
        <v>1</v>
      </c>
      <c r="M1622" s="2">
        <v>47.04</v>
      </c>
      <c r="N1622" t="s">
        <v>87</v>
      </c>
      <c r="O1622" s="3">
        <v>10</v>
      </c>
      <c r="P1622" s="3">
        <v>5.7</v>
      </c>
      <c r="Q1622" s="2">
        <v>51.34</v>
      </c>
      <c r="R1622" t="s">
        <v>62</v>
      </c>
      <c r="S1622" t="s">
        <v>50</v>
      </c>
      <c r="T1622" t="s">
        <v>29</v>
      </c>
      <c r="U1622" t="s">
        <v>30</v>
      </c>
    </row>
    <row r="1623" spans="1:21" x14ac:dyDescent="0.35">
      <c r="A1623" t="s">
        <v>1702</v>
      </c>
      <c r="B1623" s="1">
        <v>46226</v>
      </c>
      <c r="C1623" t="str">
        <f>TEXT(tblData[[#This Row],[Rental Date]],"mmm")</f>
        <v>Jul</v>
      </c>
      <c r="D1623" t="str">
        <f>TEXT(tblData[[#This Row],[Rental Date]],"mmmm")</f>
        <v>July</v>
      </c>
      <c r="E1623" t="s">
        <v>21</v>
      </c>
      <c r="F1623" t="str">
        <f>TEXT(WEEKNUM(tblData[[#This Row],[Rental Date]]),"00")</f>
        <v>30</v>
      </c>
      <c r="G1623" s="1">
        <f>EOMONTH(tblData[[#This Row],[Rental Date]],0)</f>
        <v>46234</v>
      </c>
      <c r="H1623" t="s">
        <v>749</v>
      </c>
      <c r="I1623" t="s">
        <v>48</v>
      </c>
      <c r="J1623" t="s">
        <v>78</v>
      </c>
      <c r="K1623" t="s">
        <v>60</v>
      </c>
      <c r="L1623">
        <v>1</v>
      </c>
      <c r="M1623" s="2">
        <v>29.12</v>
      </c>
      <c r="N1623" t="s">
        <v>26</v>
      </c>
      <c r="O1623" s="3">
        <v>0</v>
      </c>
      <c r="P1623" s="3">
        <v>0</v>
      </c>
      <c r="Q1623" s="2">
        <v>29.12</v>
      </c>
      <c r="R1623" t="s">
        <v>57</v>
      </c>
      <c r="S1623" t="s">
        <v>46</v>
      </c>
      <c r="T1623" t="s">
        <v>29</v>
      </c>
      <c r="U1623" t="s">
        <v>79</v>
      </c>
    </row>
    <row r="1624" spans="1:21" x14ac:dyDescent="0.35">
      <c r="A1624" t="s">
        <v>1703</v>
      </c>
      <c r="B1624" s="1">
        <v>46226</v>
      </c>
      <c r="C1624" t="str">
        <f>TEXT(tblData[[#This Row],[Rental Date]],"mmm")</f>
        <v>Jul</v>
      </c>
      <c r="D1624" t="str">
        <f>TEXT(tblData[[#This Row],[Rental Date]],"mmmm")</f>
        <v>July</v>
      </c>
      <c r="E1624" t="s">
        <v>21</v>
      </c>
      <c r="F1624" t="str">
        <f>TEXT(WEEKNUM(tblData[[#This Row],[Rental Date]]),"00")</f>
        <v>30</v>
      </c>
      <c r="G1624" s="1">
        <f>EOMONTH(tblData[[#This Row],[Rental Date]],0)</f>
        <v>46234</v>
      </c>
      <c r="H1624" t="s">
        <v>749</v>
      </c>
      <c r="I1624" t="s">
        <v>48</v>
      </c>
      <c r="J1624" t="s">
        <v>33</v>
      </c>
      <c r="K1624" t="s">
        <v>60</v>
      </c>
      <c r="L1624">
        <v>1</v>
      </c>
      <c r="M1624" s="2">
        <v>26.88</v>
      </c>
      <c r="N1624" t="s">
        <v>70</v>
      </c>
      <c r="O1624" s="3">
        <v>7</v>
      </c>
      <c r="P1624" s="3">
        <v>0</v>
      </c>
      <c r="Q1624" s="2">
        <v>33.880000000000003</v>
      </c>
      <c r="R1624" t="s">
        <v>76</v>
      </c>
      <c r="S1624" t="s">
        <v>50</v>
      </c>
      <c r="T1624" t="s">
        <v>63</v>
      </c>
      <c r="U1624" t="s">
        <v>30</v>
      </c>
    </row>
    <row r="1625" spans="1:21" x14ac:dyDescent="0.35">
      <c r="A1625" t="s">
        <v>1704</v>
      </c>
      <c r="B1625" s="1">
        <v>46227</v>
      </c>
      <c r="C1625" t="str">
        <f>TEXT(tblData[[#This Row],[Rental Date]],"mmm")</f>
        <v>Jul</v>
      </c>
      <c r="D1625" t="str">
        <f>TEXT(tblData[[#This Row],[Rental Date]],"mmmm")</f>
        <v>July</v>
      </c>
      <c r="E1625" t="s">
        <v>38</v>
      </c>
      <c r="F1625" t="str">
        <f>TEXT(WEEKNUM(tblData[[#This Row],[Rental Date]]),"00")</f>
        <v>30</v>
      </c>
      <c r="G1625" s="1">
        <f>EOMONTH(tblData[[#This Row],[Rental Date]],0)</f>
        <v>46234</v>
      </c>
      <c r="H1625" t="s">
        <v>749</v>
      </c>
      <c r="I1625" t="s">
        <v>39</v>
      </c>
      <c r="J1625" t="s">
        <v>127</v>
      </c>
      <c r="K1625" t="s">
        <v>92</v>
      </c>
      <c r="L1625">
        <v>1</v>
      </c>
      <c r="M1625" s="2">
        <v>38.08</v>
      </c>
      <c r="N1625" t="s">
        <v>41</v>
      </c>
      <c r="O1625" s="3">
        <v>5</v>
      </c>
      <c r="P1625" s="3">
        <v>0</v>
      </c>
      <c r="Q1625" s="2">
        <v>43.08</v>
      </c>
      <c r="R1625" t="s">
        <v>76</v>
      </c>
      <c r="S1625" t="s">
        <v>35</v>
      </c>
      <c r="T1625" t="s">
        <v>29</v>
      </c>
      <c r="U1625" t="s">
        <v>30</v>
      </c>
    </row>
    <row r="1626" spans="1:21" x14ac:dyDescent="0.35">
      <c r="A1626" t="s">
        <v>1705</v>
      </c>
      <c r="B1626" s="1">
        <v>46227</v>
      </c>
      <c r="C1626" t="str">
        <f>TEXT(tblData[[#This Row],[Rental Date]],"mmm")</f>
        <v>Jul</v>
      </c>
      <c r="D1626" t="str">
        <f>TEXT(tblData[[#This Row],[Rental Date]],"mmmm")</f>
        <v>July</v>
      </c>
      <c r="E1626" t="s">
        <v>38</v>
      </c>
      <c r="F1626" t="str">
        <f>TEXT(WEEKNUM(tblData[[#This Row],[Rental Date]]),"00")</f>
        <v>30</v>
      </c>
      <c r="G1626" s="1">
        <f>EOMONTH(tblData[[#This Row],[Rental Date]],0)</f>
        <v>46234</v>
      </c>
      <c r="H1626" t="s">
        <v>749</v>
      </c>
      <c r="I1626" t="s">
        <v>23</v>
      </c>
      <c r="J1626" t="s">
        <v>127</v>
      </c>
      <c r="K1626" t="s">
        <v>60</v>
      </c>
      <c r="L1626">
        <v>1</v>
      </c>
      <c r="M1626" s="2">
        <v>11.2</v>
      </c>
      <c r="N1626" t="s">
        <v>26</v>
      </c>
      <c r="O1626" s="3">
        <v>0</v>
      </c>
      <c r="P1626" s="3">
        <v>0</v>
      </c>
      <c r="Q1626" s="2">
        <v>11.2</v>
      </c>
      <c r="R1626" t="s">
        <v>57</v>
      </c>
      <c r="S1626" t="s">
        <v>54</v>
      </c>
      <c r="T1626" t="s">
        <v>51</v>
      </c>
      <c r="U1626" t="s">
        <v>58</v>
      </c>
    </row>
    <row r="1627" spans="1:21" x14ac:dyDescent="0.35">
      <c r="A1627" t="s">
        <v>1706</v>
      </c>
      <c r="B1627" s="1">
        <v>46227</v>
      </c>
      <c r="C1627" t="str">
        <f>TEXT(tblData[[#This Row],[Rental Date]],"mmm")</f>
        <v>Jul</v>
      </c>
      <c r="D1627" t="str">
        <f>TEXT(tblData[[#This Row],[Rental Date]],"mmmm")</f>
        <v>July</v>
      </c>
      <c r="E1627" t="s">
        <v>38</v>
      </c>
      <c r="F1627" t="str">
        <f>TEXT(WEEKNUM(tblData[[#This Row],[Rental Date]]),"00")</f>
        <v>30</v>
      </c>
      <c r="G1627" s="1">
        <f>EOMONTH(tblData[[#This Row],[Rental Date]],0)</f>
        <v>46234</v>
      </c>
      <c r="H1627" t="s">
        <v>749</v>
      </c>
      <c r="I1627" t="s">
        <v>48</v>
      </c>
      <c r="J1627" t="s">
        <v>33</v>
      </c>
      <c r="K1627" t="s">
        <v>40</v>
      </c>
      <c r="L1627">
        <v>1</v>
      </c>
      <c r="M1627" s="2">
        <v>64.959999999999994</v>
      </c>
      <c r="N1627" t="s">
        <v>41</v>
      </c>
      <c r="O1627" s="3">
        <v>5</v>
      </c>
      <c r="P1627" s="3">
        <v>3.5</v>
      </c>
      <c r="Q1627" s="2">
        <v>66.459999999999994</v>
      </c>
      <c r="R1627" t="s">
        <v>71</v>
      </c>
      <c r="S1627" t="s">
        <v>46</v>
      </c>
      <c r="T1627" t="s">
        <v>51</v>
      </c>
      <c r="U1627" t="s">
        <v>30</v>
      </c>
    </row>
    <row r="1628" spans="1:21" x14ac:dyDescent="0.35">
      <c r="A1628" t="s">
        <v>1707</v>
      </c>
      <c r="B1628" s="1">
        <v>46227</v>
      </c>
      <c r="C1628" t="str">
        <f>TEXT(tblData[[#This Row],[Rental Date]],"mmm")</f>
        <v>Jul</v>
      </c>
      <c r="D1628" t="str">
        <f>TEXT(tblData[[#This Row],[Rental Date]],"mmmm")</f>
        <v>July</v>
      </c>
      <c r="E1628" t="s">
        <v>38</v>
      </c>
      <c r="F1628" t="str">
        <f>TEXT(WEEKNUM(tblData[[#This Row],[Rental Date]]),"00")</f>
        <v>30</v>
      </c>
      <c r="G1628" s="1">
        <f>EOMONTH(tblData[[#This Row],[Rental Date]],0)</f>
        <v>46234</v>
      </c>
      <c r="H1628" t="s">
        <v>749</v>
      </c>
      <c r="I1628" t="s">
        <v>39</v>
      </c>
      <c r="J1628" t="s">
        <v>24</v>
      </c>
      <c r="K1628" t="s">
        <v>25</v>
      </c>
      <c r="L1628">
        <v>1</v>
      </c>
      <c r="M1628" s="2">
        <v>56</v>
      </c>
      <c r="N1628" t="s">
        <v>26</v>
      </c>
      <c r="O1628" s="3">
        <v>0</v>
      </c>
      <c r="P1628" s="3">
        <v>0</v>
      </c>
      <c r="Q1628" s="2">
        <v>56</v>
      </c>
      <c r="R1628" t="s">
        <v>62</v>
      </c>
      <c r="S1628" t="s">
        <v>50</v>
      </c>
      <c r="T1628" t="s">
        <v>29</v>
      </c>
      <c r="U1628" t="s">
        <v>58</v>
      </c>
    </row>
    <row r="1629" spans="1:21" x14ac:dyDescent="0.35">
      <c r="A1629" t="s">
        <v>1708</v>
      </c>
      <c r="B1629" s="1">
        <v>46227</v>
      </c>
      <c r="C1629" t="str">
        <f>TEXT(tblData[[#This Row],[Rental Date]],"mmm")</f>
        <v>Jul</v>
      </c>
      <c r="D1629" t="str">
        <f>TEXT(tblData[[#This Row],[Rental Date]],"mmmm")</f>
        <v>July</v>
      </c>
      <c r="E1629" t="s">
        <v>38</v>
      </c>
      <c r="F1629" t="str">
        <f>TEXT(WEEKNUM(tblData[[#This Row],[Rental Date]]),"00")</f>
        <v>30</v>
      </c>
      <c r="G1629" s="1">
        <f>EOMONTH(tblData[[#This Row],[Rental Date]],0)</f>
        <v>46234</v>
      </c>
      <c r="H1629" t="s">
        <v>749</v>
      </c>
      <c r="I1629" t="s">
        <v>32</v>
      </c>
      <c r="J1629" t="s">
        <v>78</v>
      </c>
      <c r="K1629" t="s">
        <v>25</v>
      </c>
      <c r="L1629">
        <v>1</v>
      </c>
      <c r="M1629" s="2">
        <v>47.04</v>
      </c>
      <c r="N1629" t="s">
        <v>26</v>
      </c>
      <c r="O1629" s="3">
        <v>0</v>
      </c>
      <c r="P1629" s="3">
        <v>4.7</v>
      </c>
      <c r="Q1629" s="2">
        <v>42.34</v>
      </c>
      <c r="R1629" t="s">
        <v>45</v>
      </c>
      <c r="S1629" t="s">
        <v>35</v>
      </c>
      <c r="T1629" t="s">
        <v>51</v>
      </c>
      <c r="U1629" t="s">
        <v>30</v>
      </c>
    </row>
    <row r="1630" spans="1:21" x14ac:dyDescent="0.35">
      <c r="A1630" t="s">
        <v>1709</v>
      </c>
      <c r="B1630" s="1">
        <v>46227</v>
      </c>
      <c r="C1630" t="str">
        <f>TEXT(tblData[[#This Row],[Rental Date]],"mmm")</f>
        <v>Jul</v>
      </c>
      <c r="D1630" t="str">
        <f>TEXT(tblData[[#This Row],[Rental Date]],"mmmm")</f>
        <v>July</v>
      </c>
      <c r="E1630" t="s">
        <v>38</v>
      </c>
      <c r="F1630" t="str">
        <f>TEXT(WEEKNUM(tblData[[#This Row],[Rental Date]]),"00")</f>
        <v>30</v>
      </c>
      <c r="G1630" s="1">
        <f>EOMONTH(tblData[[#This Row],[Rental Date]],0)</f>
        <v>46234</v>
      </c>
      <c r="H1630" t="s">
        <v>749</v>
      </c>
      <c r="I1630" t="s">
        <v>23</v>
      </c>
      <c r="J1630" t="s">
        <v>127</v>
      </c>
      <c r="K1630" t="s">
        <v>60</v>
      </c>
      <c r="L1630">
        <v>1</v>
      </c>
      <c r="M1630" s="2">
        <v>11.2</v>
      </c>
      <c r="N1630" t="s">
        <v>61</v>
      </c>
      <c r="O1630" s="3">
        <v>8</v>
      </c>
      <c r="P1630" s="3">
        <v>0</v>
      </c>
      <c r="Q1630" s="2">
        <v>19.2</v>
      </c>
      <c r="R1630" t="s">
        <v>62</v>
      </c>
      <c r="S1630" t="s">
        <v>28</v>
      </c>
      <c r="T1630" t="s">
        <v>29</v>
      </c>
      <c r="U1630" t="s">
        <v>30</v>
      </c>
    </row>
    <row r="1631" spans="1:21" x14ac:dyDescent="0.35">
      <c r="A1631" t="s">
        <v>1710</v>
      </c>
      <c r="B1631" s="1">
        <v>46227</v>
      </c>
      <c r="C1631" t="str">
        <f>TEXT(tblData[[#This Row],[Rental Date]],"mmm")</f>
        <v>Jul</v>
      </c>
      <c r="D1631" t="str">
        <f>TEXT(tblData[[#This Row],[Rental Date]],"mmmm")</f>
        <v>July</v>
      </c>
      <c r="E1631" t="s">
        <v>38</v>
      </c>
      <c r="F1631" t="str">
        <f>TEXT(WEEKNUM(tblData[[#This Row],[Rental Date]]),"00")</f>
        <v>30</v>
      </c>
      <c r="G1631" s="1">
        <f>EOMONTH(tblData[[#This Row],[Rental Date]],0)</f>
        <v>46234</v>
      </c>
      <c r="H1631" t="s">
        <v>749</v>
      </c>
      <c r="I1631" t="s">
        <v>23</v>
      </c>
      <c r="J1631" t="s">
        <v>86</v>
      </c>
      <c r="K1631" t="s">
        <v>60</v>
      </c>
      <c r="L1631">
        <v>1</v>
      </c>
      <c r="M1631" s="2">
        <v>40.32</v>
      </c>
      <c r="N1631" t="s">
        <v>89</v>
      </c>
      <c r="O1631" s="3">
        <v>6</v>
      </c>
      <c r="P1631" s="3">
        <v>0</v>
      </c>
      <c r="Q1631" s="2">
        <v>46.32</v>
      </c>
      <c r="R1631" t="s">
        <v>71</v>
      </c>
      <c r="S1631" t="s">
        <v>28</v>
      </c>
      <c r="T1631" t="s">
        <v>29</v>
      </c>
      <c r="U1631" t="s">
        <v>79</v>
      </c>
    </row>
    <row r="1632" spans="1:21" x14ac:dyDescent="0.35">
      <c r="A1632" t="s">
        <v>1711</v>
      </c>
      <c r="B1632" s="1">
        <v>46227</v>
      </c>
      <c r="C1632" t="str">
        <f>TEXT(tblData[[#This Row],[Rental Date]],"mmm")</f>
        <v>Jul</v>
      </c>
      <c r="D1632" t="str">
        <f>TEXT(tblData[[#This Row],[Rental Date]],"mmmm")</f>
        <v>July</v>
      </c>
      <c r="E1632" t="s">
        <v>38</v>
      </c>
      <c r="F1632" t="str">
        <f>TEXT(WEEKNUM(tblData[[#This Row],[Rental Date]]),"00")</f>
        <v>30</v>
      </c>
      <c r="G1632" s="1">
        <f>EOMONTH(tblData[[#This Row],[Rental Date]],0)</f>
        <v>46234</v>
      </c>
      <c r="H1632" t="s">
        <v>749</v>
      </c>
      <c r="I1632" t="s">
        <v>39</v>
      </c>
      <c r="J1632" t="s">
        <v>49</v>
      </c>
      <c r="K1632" t="s">
        <v>60</v>
      </c>
      <c r="L1632">
        <v>1</v>
      </c>
      <c r="M1632" s="2">
        <v>24.64</v>
      </c>
      <c r="N1632" t="s">
        <v>26</v>
      </c>
      <c r="O1632" s="3">
        <v>0</v>
      </c>
      <c r="P1632" s="3">
        <v>0</v>
      </c>
      <c r="Q1632" s="2">
        <v>24.64</v>
      </c>
      <c r="R1632" t="s">
        <v>62</v>
      </c>
      <c r="S1632" t="s">
        <v>46</v>
      </c>
      <c r="T1632" t="s">
        <v>90</v>
      </c>
      <c r="U1632" t="s">
        <v>30</v>
      </c>
    </row>
    <row r="1633" spans="1:21" x14ac:dyDescent="0.35">
      <c r="A1633" t="s">
        <v>1712</v>
      </c>
      <c r="B1633" s="1">
        <v>46227</v>
      </c>
      <c r="C1633" t="str">
        <f>TEXT(tblData[[#This Row],[Rental Date]],"mmm")</f>
        <v>Jul</v>
      </c>
      <c r="D1633" t="str">
        <f>TEXT(tblData[[#This Row],[Rental Date]],"mmmm")</f>
        <v>July</v>
      </c>
      <c r="E1633" t="s">
        <v>38</v>
      </c>
      <c r="F1633" t="str">
        <f>TEXT(WEEKNUM(tblData[[#This Row],[Rental Date]]),"00")</f>
        <v>30</v>
      </c>
      <c r="G1633" s="1">
        <f>EOMONTH(tblData[[#This Row],[Rental Date]],0)</f>
        <v>46234</v>
      </c>
      <c r="H1633" t="s">
        <v>749</v>
      </c>
      <c r="I1633" t="s">
        <v>39</v>
      </c>
      <c r="J1633" t="s">
        <v>33</v>
      </c>
      <c r="K1633" t="s">
        <v>60</v>
      </c>
      <c r="L1633">
        <v>1</v>
      </c>
      <c r="M1633" s="2">
        <v>26.88</v>
      </c>
      <c r="N1633" t="s">
        <v>87</v>
      </c>
      <c r="O1633" s="3">
        <v>10</v>
      </c>
      <c r="P1633" s="3">
        <v>0</v>
      </c>
      <c r="Q1633" s="2">
        <v>36.880000000000003</v>
      </c>
      <c r="R1633" t="s">
        <v>94</v>
      </c>
      <c r="S1633" t="s">
        <v>54</v>
      </c>
      <c r="T1633" t="s">
        <v>51</v>
      </c>
      <c r="U1633" t="s">
        <v>30</v>
      </c>
    </row>
    <row r="1634" spans="1:21" x14ac:dyDescent="0.35">
      <c r="A1634" t="s">
        <v>1713</v>
      </c>
      <c r="B1634" s="1">
        <v>46227</v>
      </c>
      <c r="C1634" t="str">
        <f>TEXT(tblData[[#This Row],[Rental Date]],"mmm")</f>
        <v>Jul</v>
      </c>
      <c r="D1634" t="str">
        <f>TEXT(tblData[[#This Row],[Rental Date]],"mmmm")</f>
        <v>July</v>
      </c>
      <c r="E1634" t="s">
        <v>38</v>
      </c>
      <c r="F1634" t="str">
        <f>TEXT(WEEKNUM(tblData[[#This Row],[Rental Date]]),"00")</f>
        <v>30</v>
      </c>
      <c r="G1634" s="1">
        <f>EOMONTH(tblData[[#This Row],[Rental Date]],0)</f>
        <v>46234</v>
      </c>
      <c r="H1634" t="s">
        <v>749</v>
      </c>
      <c r="I1634" t="s">
        <v>23</v>
      </c>
      <c r="J1634" t="s">
        <v>24</v>
      </c>
      <c r="K1634" t="s">
        <v>25</v>
      </c>
      <c r="L1634">
        <v>1</v>
      </c>
      <c r="M1634" s="2">
        <v>56</v>
      </c>
      <c r="N1634" t="s">
        <v>75</v>
      </c>
      <c r="O1634" s="3">
        <v>12</v>
      </c>
      <c r="P1634" s="3">
        <v>0</v>
      </c>
      <c r="Q1634" s="2">
        <v>68</v>
      </c>
      <c r="R1634" t="s">
        <v>42</v>
      </c>
      <c r="S1634" t="s">
        <v>54</v>
      </c>
      <c r="T1634" t="s">
        <v>29</v>
      </c>
      <c r="U1634" t="s">
        <v>30</v>
      </c>
    </row>
    <row r="1635" spans="1:21" x14ac:dyDescent="0.35">
      <c r="A1635" t="s">
        <v>1714</v>
      </c>
      <c r="B1635" s="1">
        <v>46227</v>
      </c>
      <c r="C1635" t="str">
        <f>TEXT(tblData[[#This Row],[Rental Date]],"mmm")</f>
        <v>Jul</v>
      </c>
      <c r="D1635" t="str">
        <f>TEXT(tblData[[#This Row],[Rental Date]],"mmmm")</f>
        <v>July</v>
      </c>
      <c r="E1635" t="s">
        <v>38</v>
      </c>
      <c r="F1635" t="str">
        <f>TEXT(WEEKNUM(tblData[[#This Row],[Rental Date]]),"00")</f>
        <v>30</v>
      </c>
      <c r="G1635" s="1">
        <f>EOMONTH(tblData[[#This Row],[Rental Date]],0)</f>
        <v>46234</v>
      </c>
      <c r="H1635" t="s">
        <v>749</v>
      </c>
      <c r="I1635" t="s">
        <v>23</v>
      </c>
      <c r="J1635" t="s">
        <v>49</v>
      </c>
      <c r="K1635" t="s">
        <v>40</v>
      </c>
      <c r="L1635">
        <v>1</v>
      </c>
      <c r="M1635" s="2">
        <v>60.48</v>
      </c>
      <c r="N1635" t="s">
        <v>26</v>
      </c>
      <c r="O1635" s="3">
        <v>0</v>
      </c>
      <c r="P1635" s="3">
        <v>3.02</v>
      </c>
      <c r="Q1635" s="2">
        <v>57.46</v>
      </c>
      <c r="R1635" t="s">
        <v>66</v>
      </c>
      <c r="S1635" t="s">
        <v>54</v>
      </c>
      <c r="T1635" t="s">
        <v>83</v>
      </c>
      <c r="U1635" t="s">
        <v>30</v>
      </c>
    </row>
    <row r="1636" spans="1:21" x14ac:dyDescent="0.35">
      <c r="A1636" t="s">
        <v>1715</v>
      </c>
      <c r="B1636" s="1">
        <v>46227</v>
      </c>
      <c r="C1636" t="str">
        <f>TEXT(tblData[[#This Row],[Rental Date]],"mmm")</f>
        <v>Jul</v>
      </c>
      <c r="D1636" t="str">
        <f>TEXT(tblData[[#This Row],[Rental Date]],"mmmm")</f>
        <v>July</v>
      </c>
      <c r="E1636" t="s">
        <v>38</v>
      </c>
      <c r="F1636" t="str">
        <f>TEXT(WEEKNUM(tblData[[#This Row],[Rental Date]]),"00")</f>
        <v>30</v>
      </c>
      <c r="G1636" s="1">
        <f>EOMONTH(tblData[[#This Row],[Rental Date]],0)</f>
        <v>46234</v>
      </c>
      <c r="H1636" t="s">
        <v>749</v>
      </c>
      <c r="I1636" t="s">
        <v>48</v>
      </c>
      <c r="J1636" t="s">
        <v>49</v>
      </c>
      <c r="K1636" t="s">
        <v>60</v>
      </c>
      <c r="L1636">
        <v>1</v>
      </c>
      <c r="M1636" s="2">
        <v>24.64</v>
      </c>
      <c r="N1636" t="s">
        <v>26</v>
      </c>
      <c r="O1636" s="3">
        <v>0</v>
      </c>
      <c r="P1636" s="3">
        <v>1.23</v>
      </c>
      <c r="Q1636" s="2">
        <v>23.41</v>
      </c>
      <c r="R1636" t="s">
        <v>76</v>
      </c>
      <c r="S1636" t="s">
        <v>54</v>
      </c>
      <c r="T1636" t="s">
        <v>29</v>
      </c>
      <c r="U1636" t="s">
        <v>30</v>
      </c>
    </row>
    <row r="1637" spans="1:21" x14ac:dyDescent="0.35">
      <c r="A1637" t="s">
        <v>1716</v>
      </c>
      <c r="B1637" s="1">
        <v>46227</v>
      </c>
      <c r="C1637" t="str">
        <f>TEXT(tblData[[#This Row],[Rental Date]],"mmm")</f>
        <v>Jul</v>
      </c>
      <c r="D1637" t="str">
        <f>TEXT(tblData[[#This Row],[Rental Date]],"mmmm")</f>
        <v>July</v>
      </c>
      <c r="E1637" t="s">
        <v>38</v>
      </c>
      <c r="F1637" t="str">
        <f>TEXT(WEEKNUM(tblData[[#This Row],[Rental Date]]),"00")</f>
        <v>30</v>
      </c>
      <c r="G1637" s="1">
        <f>EOMONTH(tblData[[#This Row],[Rental Date]],0)</f>
        <v>46234</v>
      </c>
      <c r="H1637" t="s">
        <v>749</v>
      </c>
      <c r="I1637" t="s">
        <v>39</v>
      </c>
      <c r="J1637" t="s">
        <v>86</v>
      </c>
      <c r="K1637" t="s">
        <v>25</v>
      </c>
      <c r="L1637">
        <v>1</v>
      </c>
      <c r="M1637" s="2">
        <v>64.959999999999994</v>
      </c>
      <c r="N1637" t="s">
        <v>87</v>
      </c>
      <c r="O1637" s="3">
        <v>10</v>
      </c>
      <c r="P1637" s="3">
        <v>0</v>
      </c>
      <c r="Q1637" s="2">
        <v>74.959999999999994</v>
      </c>
      <c r="R1637" t="s">
        <v>66</v>
      </c>
      <c r="S1637" t="s">
        <v>28</v>
      </c>
      <c r="T1637" t="s">
        <v>29</v>
      </c>
      <c r="U1637" t="s">
        <v>30</v>
      </c>
    </row>
    <row r="1638" spans="1:21" x14ac:dyDescent="0.35">
      <c r="A1638" t="s">
        <v>1717</v>
      </c>
      <c r="B1638" s="1">
        <v>46227</v>
      </c>
      <c r="C1638" t="str">
        <f>TEXT(tblData[[#This Row],[Rental Date]],"mmm")</f>
        <v>Jul</v>
      </c>
      <c r="D1638" t="str">
        <f>TEXT(tblData[[#This Row],[Rental Date]],"mmmm")</f>
        <v>July</v>
      </c>
      <c r="E1638" t="s">
        <v>38</v>
      </c>
      <c r="F1638" t="str">
        <f>TEXT(WEEKNUM(tblData[[#This Row],[Rental Date]]),"00")</f>
        <v>30</v>
      </c>
      <c r="G1638" s="1">
        <f>EOMONTH(tblData[[#This Row],[Rental Date]],0)</f>
        <v>46234</v>
      </c>
      <c r="H1638" t="s">
        <v>749</v>
      </c>
      <c r="I1638" t="s">
        <v>39</v>
      </c>
      <c r="J1638" t="s">
        <v>33</v>
      </c>
      <c r="K1638" t="s">
        <v>40</v>
      </c>
      <c r="L1638">
        <v>1</v>
      </c>
      <c r="M1638" s="2">
        <v>64.959999999999994</v>
      </c>
      <c r="N1638" t="s">
        <v>41</v>
      </c>
      <c r="O1638" s="3">
        <v>5</v>
      </c>
      <c r="P1638" s="3">
        <v>0</v>
      </c>
      <c r="Q1638" s="2">
        <v>69.959999999999994</v>
      </c>
      <c r="R1638" t="s">
        <v>45</v>
      </c>
      <c r="S1638" t="s">
        <v>46</v>
      </c>
      <c r="T1638" t="s">
        <v>29</v>
      </c>
      <c r="U1638" t="s">
        <v>30</v>
      </c>
    </row>
    <row r="1639" spans="1:21" x14ac:dyDescent="0.35">
      <c r="A1639" t="s">
        <v>1718</v>
      </c>
      <c r="B1639" s="1">
        <v>46227</v>
      </c>
      <c r="C1639" t="str">
        <f>TEXT(tblData[[#This Row],[Rental Date]],"mmm")</f>
        <v>Jul</v>
      </c>
      <c r="D1639" t="str">
        <f>TEXT(tblData[[#This Row],[Rental Date]],"mmmm")</f>
        <v>July</v>
      </c>
      <c r="E1639" t="s">
        <v>38</v>
      </c>
      <c r="F1639" t="str">
        <f>TEXT(WEEKNUM(tblData[[#This Row],[Rental Date]]),"00")</f>
        <v>30</v>
      </c>
      <c r="G1639" s="1">
        <f>EOMONTH(tblData[[#This Row],[Rental Date]],0)</f>
        <v>46234</v>
      </c>
      <c r="H1639" t="s">
        <v>749</v>
      </c>
      <c r="I1639" t="s">
        <v>48</v>
      </c>
      <c r="J1639" t="s">
        <v>78</v>
      </c>
      <c r="K1639" t="s">
        <v>40</v>
      </c>
      <c r="L1639">
        <v>1</v>
      </c>
      <c r="M1639" s="2">
        <v>69.44</v>
      </c>
      <c r="N1639" t="s">
        <v>41</v>
      </c>
      <c r="O1639" s="3">
        <v>5</v>
      </c>
      <c r="P1639" s="3">
        <v>0</v>
      </c>
      <c r="Q1639" s="2">
        <v>74.44</v>
      </c>
      <c r="R1639" t="s">
        <v>34</v>
      </c>
      <c r="S1639" t="s">
        <v>50</v>
      </c>
      <c r="T1639" t="s">
        <v>29</v>
      </c>
      <c r="U1639" t="s">
        <v>30</v>
      </c>
    </row>
    <row r="1640" spans="1:21" x14ac:dyDescent="0.35">
      <c r="A1640" t="s">
        <v>1719</v>
      </c>
      <c r="B1640" s="1">
        <v>46227</v>
      </c>
      <c r="C1640" t="str">
        <f>TEXT(tblData[[#This Row],[Rental Date]],"mmm")</f>
        <v>Jul</v>
      </c>
      <c r="D1640" t="str">
        <f>TEXT(tblData[[#This Row],[Rental Date]],"mmmm")</f>
        <v>July</v>
      </c>
      <c r="E1640" t="s">
        <v>38</v>
      </c>
      <c r="F1640" t="str">
        <f>TEXT(WEEKNUM(tblData[[#This Row],[Rental Date]]),"00")</f>
        <v>30</v>
      </c>
      <c r="G1640" s="1">
        <f>EOMONTH(tblData[[#This Row],[Rental Date]],0)</f>
        <v>46234</v>
      </c>
      <c r="H1640" t="s">
        <v>749</v>
      </c>
      <c r="I1640" t="s">
        <v>23</v>
      </c>
      <c r="J1640" t="s">
        <v>78</v>
      </c>
      <c r="K1640" t="s">
        <v>25</v>
      </c>
      <c r="L1640">
        <v>1</v>
      </c>
      <c r="M1640" s="2">
        <v>47.04</v>
      </c>
      <c r="N1640" t="s">
        <v>75</v>
      </c>
      <c r="O1640" s="3">
        <v>12</v>
      </c>
      <c r="P1640" s="3">
        <v>0</v>
      </c>
      <c r="Q1640" s="2">
        <v>59.04</v>
      </c>
      <c r="R1640" t="s">
        <v>76</v>
      </c>
      <c r="S1640" t="s">
        <v>50</v>
      </c>
      <c r="T1640" t="s">
        <v>51</v>
      </c>
      <c r="U1640" t="s">
        <v>30</v>
      </c>
    </row>
    <row r="1641" spans="1:21" x14ac:dyDescent="0.35">
      <c r="A1641" t="s">
        <v>1720</v>
      </c>
      <c r="B1641" s="1">
        <v>46227</v>
      </c>
      <c r="C1641" t="str">
        <f>TEXT(tblData[[#This Row],[Rental Date]],"mmm")</f>
        <v>Jul</v>
      </c>
      <c r="D1641" t="str">
        <f>TEXT(tblData[[#This Row],[Rental Date]],"mmmm")</f>
        <v>July</v>
      </c>
      <c r="E1641" t="s">
        <v>38</v>
      </c>
      <c r="F1641" t="str">
        <f>TEXT(WEEKNUM(tblData[[#This Row],[Rental Date]]),"00")</f>
        <v>30</v>
      </c>
      <c r="G1641" s="1">
        <f>EOMONTH(tblData[[#This Row],[Rental Date]],0)</f>
        <v>46234</v>
      </c>
      <c r="H1641" t="s">
        <v>749</v>
      </c>
      <c r="I1641" t="s">
        <v>48</v>
      </c>
      <c r="J1641" t="s">
        <v>44</v>
      </c>
      <c r="K1641" t="s">
        <v>25</v>
      </c>
      <c r="L1641">
        <v>1</v>
      </c>
      <c r="M1641" s="2">
        <v>58.24</v>
      </c>
      <c r="N1641" t="s">
        <v>26</v>
      </c>
      <c r="O1641" s="3">
        <v>0</v>
      </c>
      <c r="P1641" s="3">
        <v>0</v>
      </c>
      <c r="Q1641" s="2">
        <v>58.24</v>
      </c>
      <c r="R1641" t="s">
        <v>66</v>
      </c>
      <c r="S1641" t="s">
        <v>54</v>
      </c>
      <c r="T1641" t="s">
        <v>83</v>
      </c>
      <c r="U1641" t="s">
        <v>30</v>
      </c>
    </row>
    <row r="1642" spans="1:21" x14ac:dyDescent="0.35">
      <c r="A1642" t="s">
        <v>1721</v>
      </c>
      <c r="B1642" s="1">
        <v>46227</v>
      </c>
      <c r="C1642" t="str">
        <f>TEXT(tblData[[#This Row],[Rental Date]],"mmm")</f>
        <v>Jul</v>
      </c>
      <c r="D1642" t="str">
        <f>TEXT(tblData[[#This Row],[Rental Date]],"mmmm")</f>
        <v>July</v>
      </c>
      <c r="E1642" t="s">
        <v>38</v>
      </c>
      <c r="F1642" t="str">
        <f>TEXT(WEEKNUM(tblData[[#This Row],[Rental Date]]),"00")</f>
        <v>30</v>
      </c>
      <c r="G1642" s="1">
        <f>EOMONTH(tblData[[#This Row],[Rental Date]],0)</f>
        <v>46234</v>
      </c>
      <c r="H1642" t="s">
        <v>749</v>
      </c>
      <c r="I1642" t="s">
        <v>39</v>
      </c>
      <c r="J1642" t="s">
        <v>78</v>
      </c>
      <c r="K1642" t="s">
        <v>60</v>
      </c>
      <c r="L1642">
        <v>1</v>
      </c>
      <c r="M1642" s="2">
        <v>29.12</v>
      </c>
      <c r="N1642" t="s">
        <v>26</v>
      </c>
      <c r="O1642" s="3">
        <v>0</v>
      </c>
      <c r="P1642" s="3">
        <v>0</v>
      </c>
      <c r="Q1642" s="2">
        <v>29.12</v>
      </c>
      <c r="R1642" t="s">
        <v>57</v>
      </c>
      <c r="S1642" t="s">
        <v>35</v>
      </c>
      <c r="T1642" t="s">
        <v>63</v>
      </c>
      <c r="U1642" t="s">
        <v>30</v>
      </c>
    </row>
    <row r="1643" spans="1:21" x14ac:dyDescent="0.35">
      <c r="A1643" t="s">
        <v>1722</v>
      </c>
      <c r="B1643" s="1">
        <v>46227</v>
      </c>
      <c r="C1643" t="str">
        <f>TEXT(tblData[[#This Row],[Rental Date]],"mmm")</f>
        <v>Jul</v>
      </c>
      <c r="D1643" t="str">
        <f>TEXT(tblData[[#This Row],[Rental Date]],"mmmm")</f>
        <v>July</v>
      </c>
      <c r="E1643" t="s">
        <v>38</v>
      </c>
      <c r="F1643" t="str">
        <f>TEXT(WEEKNUM(tblData[[#This Row],[Rental Date]]),"00")</f>
        <v>30</v>
      </c>
      <c r="G1643" s="1">
        <f>EOMONTH(tblData[[#This Row],[Rental Date]],0)</f>
        <v>46234</v>
      </c>
      <c r="H1643" t="s">
        <v>749</v>
      </c>
      <c r="I1643" t="s">
        <v>23</v>
      </c>
      <c r="J1643" t="s">
        <v>33</v>
      </c>
      <c r="K1643" t="s">
        <v>40</v>
      </c>
      <c r="L1643">
        <v>1</v>
      </c>
      <c r="M1643" s="2">
        <v>64.959999999999994</v>
      </c>
      <c r="N1643" t="s">
        <v>89</v>
      </c>
      <c r="O1643" s="3">
        <v>6</v>
      </c>
      <c r="P1643" s="3">
        <v>0</v>
      </c>
      <c r="Q1643" s="2">
        <v>70.959999999999994</v>
      </c>
      <c r="R1643" t="s">
        <v>94</v>
      </c>
      <c r="S1643" t="s">
        <v>28</v>
      </c>
      <c r="T1643" t="s">
        <v>29</v>
      </c>
      <c r="U1643" t="s">
        <v>30</v>
      </c>
    </row>
    <row r="1644" spans="1:21" x14ac:dyDescent="0.35">
      <c r="A1644" t="s">
        <v>1723</v>
      </c>
      <c r="B1644" s="1">
        <v>46227</v>
      </c>
      <c r="C1644" t="str">
        <f>TEXT(tblData[[#This Row],[Rental Date]],"mmm")</f>
        <v>Jul</v>
      </c>
      <c r="D1644" t="str">
        <f>TEXT(tblData[[#This Row],[Rental Date]],"mmmm")</f>
        <v>July</v>
      </c>
      <c r="E1644" t="s">
        <v>38</v>
      </c>
      <c r="F1644" t="str">
        <f>TEXT(WEEKNUM(tblData[[#This Row],[Rental Date]]),"00")</f>
        <v>30</v>
      </c>
      <c r="G1644" s="1">
        <f>EOMONTH(tblData[[#This Row],[Rental Date]],0)</f>
        <v>46234</v>
      </c>
      <c r="H1644" t="s">
        <v>749</v>
      </c>
      <c r="I1644" t="s">
        <v>39</v>
      </c>
      <c r="J1644" t="s">
        <v>65</v>
      </c>
      <c r="K1644" t="s">
        <v>92</v>
      </c>
      <c r="L1644">
        <v>1</v>
      </c>
      <c r="M1644" s="2">
        <v>44.8</v>
      </c>
      <c r="N1644" t="s">
        <v>26</v>
      </c>
      <c r="O1644" s="3">
        <v>0</v>
      </c>
      <c r="P1644" s="3">
        <v>0</v>
      </c>
      <c r="Q1644" s="2">
        <v>44.8</v>
      </c>
      <c r="R1644" t="s">
        <v>42</v>
      </c>
      <c r="S1644" t="s">
        <v>50</v>
      </c>
      <c r="T1644" t="s">
        <v>63</v>
      </c>
      <c r="U1644" t="s">
        <v>30</v>
      </c>
    </row>
    <row r="1645" spans="1:21" x14ac:dyDescent="0.35">
      <c r="A1645" t="s">
        <v>1724</v>
      </c>
      <c r="B1645" s="1">
        <v>46227</v>
      </c>
      <c r="C1645" t="str">
        <f>TEXT(tblData[[#This Row],[Rental Date]],"mmm")</f>
        <v>Jul</v>
      </c>
      <c r="D1645" t="str">
        <f>TEXT(tblData[[#This Row],[Rental Date]],"mmmm")</f>
        <v>July</v>
      </c>
      <c r="E1645" t="s">
        <v>38</v>
      </c>
      <c r="F1645" t="str">
        <f>TEXT(WEEKNUM(tblData[[#This Row],[Rental Date]]),"00")</f>
        <v>30</v>
      </c>
      <c r="G1645" s="1">
        <f>EOMONTH(tblData[[#This Row],[Rental Date]],0)</f>
        <v>46234</v>
      </c>
      <c r="H1645" t="s">
        <v>749</v>
      </c>
      <c r="I1645" t="s">
        <v>32</v>
      </c>
      <c r="J1645" t="s">
        <v>127</v>
      </c>
      <c r="K1645" t="s">
        <v>40</v>
      </c>
      <c r="L1645">
        <v>1</v>
      </c>
      <c r="M1645" s="2">
        <v>26.88</v>
      </c>
      <c r="N1645" t="s">
        <v>75</v>
      </c>
      <c r="O1645" s="3">
        <v>12</v>
      </c>
      <c r="P1645" s="3">
        <v>1.94</v>
      </c>
      <c r="Q1645" s="2">
        <v>36.94</v>
      </c>
      <c r="R1645" t="s">
        <v>66</v>
      </c>
      <c r="S1645" t="s">
        <v>28</v>
      </c>
      <c r="T1645" t="s">
        <v>90</v>
      </c>
      <c r="U1645" t="s">
        <v>30</v>
      </c>
    </row>
    <row r="1646" spans="1:21" x14ac:dyDescent="0.35">
      <c r="A1646" t="s">
        <v>1725</v>
      </c>
      <c r="B1646" s="1">
        <v>46227</v>
      </c>
      <c r="C1646" t="str">
        <f>TEXT(tblData[[#This Row],[Rental Date]],"mmm")</f>
        <v>Jul</v>
      </c>
      <c r="D1646" t="str">
        <f>TEXT(tblData[[#This Row],[Rental Date]],"mmmm")</f>
        <v>July</v>
      </c>
      <c r="E1646" t="s">
        <v>38</v>
      </c>
      <c r="F1646" t="str">
        <f>TEXT(WEEKNUM(tblData[[#This Row],[Rental Date]]),"00")</f>
        <v>30</v>
      </c>
      <c r="G1646" s="1">
        <f>EOMONTH(tblData[[#This Row],[Rental Date]],0)</f>
        <v>46234</v>
      </c>
      <c r="H1646" t="s">
        <v>749</v>
      </c>
      <c r="I1646" t="s">
        <v>48</v>
      </c>
      <c r="J1646" t="s">
        <v>49</v>
      </c>
      <c r="K1646" t="s">
        <v>92</v>
      </c>
      <c r="L1646">
        <v>1</v>
      </c>
      <c r="M1646" s="2">
        <v>85.12</v>
      </c>
      <c r="N1646" t="s">
        <v>26</v>
      </c>
      <c r="O1646" s="3">
        <v>0</v>
      </c>
      <c r="P1646" s="3">
        <v>0</v>
      </c>
      <c r="Q1646" s="2">
        <v>85.12</v>
      </c>
      <c r="R1646" t="s">
        <v>71</v>
      </c>
      <c r="S1646" t="s">
        <v>54</v>
      </c>
      <c r="T1646" t="s">
        <v>90</v>
      </c>
      <c r="U1646" t="s">
        <v>30</v>
      </c>
    </row>
    <row r="1647" spans="1:21" x14ac:dyDescent="0.35">
      <c r="A1647" t="s">
        <v>1726</v>
      </c>
      <c r="B1647" s="1">
        <v>46227</v>
      </c>
      <c r="C1647" t="str">
        <f>TEXT(tblData[[#This Row],[Rental Date]],"mmm")</f>
        <v>Jul</v>
      </c>
      <c r="D1647" t="str">
        <f>TEXT(tblData[[#This Row],[Rental Date]],"mmmm")</f>
        <v>July</v>
      </c>
      <c r="E1647" t="s">
        <v>38</v>
      </c>
      <c r="F1647" t="str">
        <f>TEXT(WEEKNUM(tblData[[#This Row],[Rental Date]]),"00")</f>
        <v>30</v>
      </c>
      <c r="G1647" s="1">
        <f>EOMONTH(tblData[[#This Row],[Rental Date]],0)</f>
        <v>46234</v>
      </c>
      <c r="H1647" t="s">
        <v>749</v>
      </c>
      <c r="I1647" t="s">
        <v>48</v>
      </c>
      <c r="J1647" t="s">
        <v>44</v>
      </c>
      <c r="K1647" t="s">
        <v>60</v>
      </c>
      <c r="L1647">
        <v>1</v>
      </c>
      <c r="M1647" s="2">
        <v>38.08</v>
      </c>
      <c r="N1647" t="s">
        <v>26</v>
      </c>
      <c r="O1647" s="3">
        <v>0</v>
      </c>
      <c r="P1647" s="3">
        <v>0</v>
      </c>
      <c r="Q1647" s="2">
        <v>38.08</v>
      </c>
      <c r="R1647" t="s">
        <v>42</v>
      </c>
      <c r="S1647" t="s">
        <v>35</v>
      </c>
      <c r="T1647" t="s">
        <v>51</v>
      </c>
      <c r="U1647" t="s">
        <v>79</v>
      </c>
    </row>
    <row r="1648" spans="1:21" x14ac:dyDescent="0.35">
      <c r="A1648" t="s">
        <v>1727</v>
      </c>
      <c r="B1648" s="1">
        <v>46227</v>
      </c>
      <c r="C1648" t="str">
        <f>TEXT(tblData[[#This Row],[Rental Date]],"mmm")</f>
        <v>Jul</v>
      </c>
      <c r="D1648" t="str">
        <f>TEXT(tblData[[#This Row],[Rental Date]],"mmmm")</f>
        <v>July</v>
      </c>
      <c r="E1648" t="s">
        <v>38</v>
      </c>
      <c r="F1648" t="str">
        <f>TEXT(WEEKNUM(tblData[[#This Row],[Rental Date]]),"00")</f>
        <v>30</v>
      </c>
      <c r="G1648" s="1">
        <f>EOMONTH(tblData[[#This Row],[Rental Date]],0)</f>
        <v>46234</v>
      </c>
      <c r="H1648" t="s">
        <v>749</v>
      </c>
      <c r="I1648" t="s">
        <v>48</v>
      </c>
      <c r="J1648" t="s">
        <v>24</v>
      </c>
      <c r="K1648" t="s">
        <v>92</v>
      </c>
      <c r="L1648">
        <v>1</v>
      </c>
      <c r="M1648" s="2">
        <v>123.2</v>
      </c>
      <c r="N1648" t="s">
        <v>26</v>
      </c>
      <c r="O1648" s="3">
        <v>0</v>
      </c>
      <c r="P1648" s="3">
        <v>0</v>
      </c>
      <c r="Q1648" s="2">
        <v>123.2</v>
      </c>
      <c r="R1648" t="s">
        <v>71</v>
      </c>
      <c r="S1648" t="s">
        <v>50</v>
      </c>
      <c r="T1648" t="s">
        <v>29</v>
      </c>
      <c r="U1648" t="s">
        <v>58</v>
      </c>
    </row>
    <row r="1649" spans="1:21" x14ac:dyDescent="0.35">
      <c r="A1649" t="s">
        <v>1728</v>
      </c>
      <c r="B1649" s="1">
        <v>46227</v>
      </c>
      <c r="C1649" t="str">
        <f>TEXT(tblData[[#This Row],[Rental Date]],"mmm")</f>
        <v>Jul</v>
      </c>
      <c r="D1649" t="str">
        <f>TEXT(tblData[[#This Row],[Rental Date]],"mmmm")</f>
        <v>July</v>
      </c>
      <c r="E1649" t="s">
        <v>38</v>
      </c>
      <c r="F1649" t="str">
        <f>TEXT(WEEKNUM(tblData[[#This Row],[Rental Date]]),"00")</f>
        <v>30</v>
      </c>
      <c r="G1649" s="1">
        <f>EOMONTH(tblData[[#This Row],[Rental Date]],0)</f>
        <v>46234</v>
      </c>
      <c r="H1649" t="s">
        <v>749</v>
      </c>
      <c r="I1649" t="s">
        <v>48</v>
      </c>
      <c r="J1649" t="s">
        <v>78</v>
      </c>
      <c r="K1649" t="s">
        <v>25</v>
      </c>
      <c r="L1649">
        <v>1</v>
      </c>
      <c r="M1649" s="2">
        <v>47.04</v>
      </c>
      <c r="N1649" t="s">
        <v>26</v>
      </c>
      <c r="O1649" s="3">
        <v>0</v>
      </c>
      <c r="P1649" s="3">
        <v>0</v>
      </c>
      <c r="Q1649" s="2">
        <v>47.04</v>
      </c>
      <c r="R1649" t="s">
        <v>66</v>
      </c>
      <c r="S1649" t="s">
        <v>35</v>
      </c>
      <c r="T1649" t="s">
        <v>29</v>
      </c>
      <c r="U1649" t="s">
        <v>36</v>
      </c>
    </row>
    <row r="1650" spans="1:21" x14ac:dyDescent="0.35">
      <c r="A1650" t="s">
        <v>1729</v>
      </c>
      <c r="B1650" s="1">
        <v>46227</v>
      </c>
      <c r="C1650" t="str">
        <f>TEXT(tblData[[#This Row],[Rental Date]],"mmm")</f>
        <v>Jul</v>
      </c>
      <c r="D1650" t="str">
        <f>TEXT(tblData[[#This Row],[Rental Date]],"mmmm")</f>
        <v>July</v>
      </c>
      <c r="E1650" t="s">
        <v>38</v>
      </c>
      <c r="F1650" t="str">
        <f>TEXT(WEEKNUM(tblData[[#This Row],[Rental Date]]),"00")</f>
        <v>30</v>
      </c>
      <c r="G1650" s="1">
        <f>EOMONTH(tblData[[#This Row],[Rental Date]],0)</f>
        <v>46234</v>
      </c>
      <c r="H1650" t="s">
        <v>749</v>
      </c>
      <c r="I1650" t="s">
        <v>23</v>
      </c>
      <c r="J1650" t="s">
        <v>33</v>
      </c>
      <c r="K1650" t="s">
        <v>25</v>
      </c>
      <c r="L1650">
        <v>1</v>
      </c>
      <c r="M1650" s="2">
        <v>42.56</v>
      </c>
      <c r="N1650" t="s">
        <v>70</v>
      </c>
      <c r="O1650" s="3">
        <v>7</v>
      </c>
      <c r="P1650" s="3">
        <v>0</v>
      </c>
      <c r="Q1650" s="2">
        <v>49.56</v>
      </c>
      <c r="R1650" t="s">
        <v>94</v>
      </c>
      <c r="S1650" t="s">
        <v>28</v>
      </c>
      <c r="T1650" t="s">
        <v>29</v>
      </c>
      <c r="U1650" t="s">
        <v>30</v>
      </c>
    </row>
    <row r="1651" spans="1:21" x14ac:dyDescent="0.35">
      <c r="A1651" t="s">
        <v>1730</v>
      </c>
      <c r="B1651" s="1">
        <v>46227</v>
      </c>
      <c r="C1651" t="str">
        <f>TEXT(tblData[[#This Row],[Rental Date]],"mmm")</f>
        <v>Jul</v>
      </c>
      <c r="D1651" t="str">
        <f>TEXT(tblData[[#This Row],[Rental Date]],"mmmm")</f>
        <v>July</v>
      </c>
      <c r="E1651" t="s">
        <v>38</v>
      </c>
      <c r="F1651" t="str">
        <f>TEXT(WEEKNUM(tblData[[#This Row],[Rental Date]]),"00")</f>
        <v>30</v>
      </c>
      <c r="G1651" s="1">
        <f>EOMONTH(tblData[[#This Row],[Rental Date]],0)</f>
        <v>46234</v>
      </c>
      <c r="H1651" t="s">
        <v>749</v>
      </c>
      <c r="I1651" t="s">
        <v>48</v>
      </c>
      <c r="J1651" t="s">
        <v>44</v>
      </c>
      <c r="K1651" t="s">
        <v>25</v>
      </c>
      <c r="L1651">
        <v>1</v>
      </c>
      <c r="M1651" s="2">
        <v>58.24</v>
      </c>
      <c r="N1651" t="s">
        <v>61</v>
      </c>
      <c r="O1651" s="3">
        <v>8</v>
      </c>
      <c r="P1651" s="3">
        <v>0</v>
      </c>
      <c r="Q1651" s="2">
        <v>66.239999999999995</v>
      </c>
      <c r="R1651" t="s">
        <v>94</v>
      </c>
      <c r="S1651" t="s">
        <v>35</v>
      </c>
      <c r="T1651" t="s">
        <v>29</v>
      </c>
      <c r="U1651" t="s">
        <v>30</v>
      </c>
    </row>
    <row r="1652" spans="1:21" x14ac:dyDescent="0.35">
      <c r="A1652" t="s">
        <v>1731</v>
      </c>
      <c r="B1652" s="1">
        <v>46227</v>
      </c>
      <c r="C1652" t="str">
        <f>TEXT(tblData[[#This Row],[Rental Date]],"mmm")</f>
        <v>Jul</v>
      </c>
      <c r="D1652" t="str">
        <f>TEXT(tblData[[#This Row],[Rental Date]],"mmmm")</f>
        <v>July</v>
      </c>
      <c r="E1652" t="s">
        <v>38</v>
      </c>
      <c r="F1652" t="str">
        <f>TEXT(WEEKNUM(tblData[[#This Row],[Rental Date]]),"00")</f>
        <v>30</v>
      </c>
      <c r="G1652" s="1">
        <f>EOMONTH(tblData[[#This Row],[Rental Date]],0)</f>
        <v>46234</v>
      </c>
      <c r="H1652" t="s">
        <v>749</v>
      </c>
      <c r="I1652" t="s">
        <v>48</v>
      </c>
      <c r="J1652" t="s">
        <v>44</v>
      </c>
      <c r="K1652" t="s">
        <v>40</v>
      </c>
      <c r="L1652">
        <v>1</v>
      </c>
      <c r="M1652" s="2">
        <v>87.36</v>
      </c>
      <c r="N1652" t="s">
        <v>89</v>
      </c>
      <c r="O1652" s="3">
        <v>6</v>
      </c>
      <c r="P1652" s="3">
        <v>0</v>
      </c>
      <c r="Q1652" s="2">
        <v>93.36</v>
      </c>
      <c r="R1652" t="s">
        <v>71</v>
      </c>
      <c r="S1652" t="s">
        <v>46</v>
      </c>
      <c r="T1652" t="s">
        <v>29</v>
      </c>
      <c r="U1652" t="s">
        <v>58</v>
      </c>
    </row>
    <row r="1653" spans="1:21" x14ac:dyDescent="0.35">
      <c r="A1653" t="s">
        <v>1732</v>
      </c>
      <c r="B1653" s="1">
        <v>46227</v>
      </c>
      <c r="C1653" t="str">
        <f>TEXT(tblData[[#This Row],[Rental Date]],"mmm")</f>
        <v>Jul</v>
      </c>
      <c r="D1653" t="str">
        <f>TEXT(tblData[[#This Row],[Rental Date]],"mmmm")</f>
        <v>July</v>
      </c>
      <c r="E1653" t="s">
        <v>38</v>
      </c>
      <c r="F1653" t="str">
        <f>TEXT(WEEKNUM(tblData[[#This Row],[Rental Date]]),"00")</f>
        <v>30</v>
      </c>
      <c r="G1653" s="1">
        <f>EOMONTH(tblData[[#This Row],[Rental Date]],0)</f>
        <v>46234</v>
      </c>
      <c r="H1653" t="s">
        <v>749</v>
      </c>
      <c r="I1653" t="s">
        <v>39</v>
      </c>
      <c r="J1653" t="s">
        <v>24</v>
      </c>
      <c r="K1653" t="s">
        <v>60</v>
      </c>
      <c r="L1653">
        <v>1</v>
      </c>
      <c r="M1653" s="2">
        <v>35.840000000000003</v>
      </c>
      <c r="N1653" t="s">
        <v>41</v>
      </c>
      <c r="O1653" s="3">
        <v>5</v>
      </c>
      <c r="P1653" s="3">
        <v>0</v>
      </c>
      <c r="Q1653" s="2">
        <v>40.840000000000003</v>
      </c>
      <c r="R1653" t="s">
        <v>42</v>
      </c>
      <c r="S1653" t="s">
        <v>28</v>
      </c>
      <c r="T1653" t="s">
        <v>90</v>
      </c>
      <c r="U1653" t="s">
        <v>30</v>
      </c>
    </row>
    <row r="1654" spans="1:21" x14ac:dyDescent="0.35">
      <c r="A1654" t="s">
        <v>1733</v>
      </c>
      <c r="B1654" s="1">
        <v>46227</v>
      </c>
      <c r="C1654" t="str">
        <f>TEXT(tblData[[#This Row],[Rental Date]],"mmm")</f>
        <v>Jul</v>
      </c>
      <c r="D1654" t="str">
        <f>TEXT(tblData[[#This Row],[Rental Date]],"mmmm")</f>
        <v>July</v>
      </c>
      <c r="E1654" t="s">
        <v>38</v>
      </c>
      <c r="F1654" t="str">
        <f>TEXT(WEEKNUM(tblData[[#This Row],[Rental Date]]),"00")</f>
        <v>30</v>
      </c>
      <c r="G1654" s="1">
        <f>EOMONTH(tblData[[#This Row],[Rental Date]],0)</f>
        <v>46234</v>
      </c>
      <c r="H1654" t="s">
        <v>749</v>
      </c>
      <c r="I1654" t="s">
        <v>39</v>
      </c>
      <c r="J1654" t="s">
        <v>33</v>
      </c>
      <c r="K1654" t="s">
        <v>25</v>
      </c>
      <c r="L1654">
        <v>1</v>
      </c>
      <c r="M1654" s="2">
        <v>42.56</v>
      </c>
      <c r="N1654" t="s">
        <v>26</v>
      </c>
      <c r="O1654" s="3">
        <v>0</v>
      </c>
      <c r="P1654" s="3">
        <v>0</v>
      </c>
      <c r="Q1654" s="2">
        <v>42.56</v>
      </c>
      <c r="R1654" t="s">
        <v>45</v>
      </c>
      <c r="S1654" t="s">
        <v>46</v>
      </c>
      <c r="T1654" t="s">
        <v>29</v>
      </c>
      <c r="U1654" t="s">
        <v>58</v>
      </c>
    </row>
    <row r="1655" spans="1:21" x14ac:dyDescent="0.35">
      <c r="A1655" t="s">
        <v>1734</v>
      </c>
      <c r="B1655" s="1">
        <v>46227</v>
      </c>
      <c r="C1655" t="str">
        <f>TEXT(tblData[[#This Row],[Rental Date]],"mmm")</f>
        <v>Jul</v>
      </c>
      <c r="D1655" t="str">
        <f>TEXT(tblData[[#This Row],[Rental Date]],"mmmm")</f>
        <v>July</v>
      </c>
      <c r="E1655" t="s">
        <v>38</v>
      </c>
      <c r="F1655" t="str">
        <f>TEXT(WEEKNUM(tblData[[#This Row],[Rental Date]]),"00")</f>
        <v>30</v>
      </c>
      <c r="G1655" s="1">
        <f>EOMONTH(tblData[[#This Row],[Rental Date]],0)</f>
        <v>46234</v>
      </c>
      <c r="H1655" t="s">
        <v>749</v>
      </c>
      <c r="I1655" t="s">
        <v>48</v>
      </c>
      <c r="J1655" t="s">
        <v>111</v>
      </c>
      <c r="K1655" t="s">
        <v>40</v>
      </c>
      <c r="L1655">
        <v>1</v>
      </c>
      <c r="M1655" s="2">
        <v>38.08</v>
      </c>
      <c r="N1655" t="s">
        <v>87</v>
      </c>
      <c r="O1655" s="3">
        <v>10</v>
      </c>
      <c r="P1655" s="3">
        <v>0</v>
      </c>
      <c r="Q1655" s="2">
        <v>48.08</v>
      </c>
      <c r="R1655" t="s">
        <v>42</v>
      </c>
      <c r="S1655" t="s">
        <v>28</v>
      </c>
      <c r="T1655" t="s">
        <v>90</v>
      </c>
      <c r="U1655" t="s">
        <v>30</v>
      </c>
    </row>
    <row r="1656" spans="1:21" x14ac:dyDescent="0.35">
      <c r="A1656" t="s">
        <v>1735</v>
      </c>
      <c r="B1656" s="1">
        <v>46227</v>
      </c>
      <c r="C1656" t="str">
        <f>TEXT(tblData[[#This Row],[Rental Date]],"mmm")</f>
        <v>Jul</v>
      </c>
      <c r="D1656" t="str">
        <f>TEXT(tblData[[#This Row],[Rental Date]],"mmmm")</f>
        <v>July</v>
      </c>
      <c r="E1656" t="s">
        <v>38</v>
      </c>
      <c r="F1656" t="str">
        <f>TEXT(WEEKNUM(tblData[[#This Row],[Rental Date]]),"00")</f>
        <v>30</v>
      </c>
      <c r="G1656" s="1">
        <f>EOMONTH(tblData[[#This Row],[Rental Date]],0)</f>
        <v>46234</v>
      </c>
      <c r="H1656" t="s">
        <v>749</v>
      </c>
      <c r="I1656" t="s">
        <v>39</v>
      </c>
      <c r="J1656" t="s">
        <v>111</v>
      </c>
      <c r="K1656" t="s">
        <v>60</v>
      </c>
      <c r="L1656">
        <v>1</v>
      </c>
      <c r="M1656" s="2">
        <v>15.68</v>
      </c>
      <c r="N1656" t="s">
        <v>41</v>
      </c>
      <c r="O1656" s="3">
        <v>5</v>
      </c>
      <c r="P1656" s="3">
        <v>0</v>
      </c>
      <c r="Q1656" s="2">
        <v>20.68</v>
      </c>
      <c r="R1656" t="s">
        <v>76</v>
      </c>
      <c r="S1656" t="s">
        <v>35</v>
      </c>
      <c r="T1656" t="s">
        <v>51</v>
      </c>
      <c r="U1656" t="s">
        <v>30</v>
      </c>
    </row>
    <row r="1657" spans="1:21" x14ac:dyDescent="0.35">
      <c r="A1657" t="s">
        <v>1736</v>
      </c>
      <c r="B1657" s="1">
        <v>46227</v>
      </c>
      <c r="C1657" t="str">
        <f>TEXT(tblData[[#This Row],[Rental Date]],"mmm")</f>
        <v>Jul</v>
      </c>
      <c r="D1657" t="str">
        <f>TEXT(tblData[[#This Row],[Rental Date]],"mmmm")</f>
        <v>July</v>
      </c>
      <c r="E1657" t="s">
        <v>38</v>
      </c>
      <c r="F1657" t="str">
        <f>TEXT(WEEKNUM(tblData[[#This Row],[Rental Date]]),"00")</f>
        <v>30</v>
      </c>
      <c r="G1657" s="1">
        <f>EOMONTH(tblData[[#This Row],[Rental Date]],0)</f>
        <v>46234</v>
      </c>
      <c r="H1657" t="s">
        <v>749</v>
      </c>
      <c r="I1657" t="s">
        <v>48</v>
      </c>
      <c r="J1657" t="s">
        <v>78</v>
      </c>
      <c r="K1657" t="s">
        <v>40</v>
      </c>
      <c r="L1657">
        <v>1</v>
      </c>
      <c r="M1657" s="2">
        <v>69.44</v>
      </c>
      <c r="N1657" t="s">
        <v>75</v>
      </c>
      <c r="O1657" s="3">
        <v>12</v>
      </c>
      <c r="P1657" s="3">
        <v>0</v>
      </c>
      <c r="Q1657" s="2">
        <v>81.44</v>
      </c>
      <c r="R1657" t="s">
        <v>57</v>
      </c>
      <c r="S1657" t="s">
        <v>54</v>
      </c>
      <c r="T1657" t="s">
        <v>29</v>
      </c>
      <c r="U1657" t="s">
        <v>30</v>
      </c>
    </row>
    <row r="1658" spans="1:21" x14ac:dyDescent="0.35">
      <c r="A1658" t="s">
        <v>1737</v>
      </c>
      <c r="B1658" s="1">
        <v>46228</v>
      </c>
      <c r="C1658" t="str">
        <f>TEXT(tblData[[#This Row],[Rental Date]],"mmm")</f>
        <v>Jul</v>
      </c>
      <c r="D1658" t="str">
        <f>TEXT(tblData[[#This Row],[Rental Date]],"mmmm")</f>
        <v>July</v>
      </c>
      <c r="E1658" t="s">
        <v>56</v>
      </c>
      <c r="F1658" t="str">
        <f>TEXT(WEEKNUM(tblData[[#This Row],[Rental Date]]),"00")</f>
        <v>30</v>
      </c>
      <c r="G1658" s="1">
        <f>EOMONTH(tblData[[#This Row],[Rental Date]],0)</f>
        <v>46234</v>
      </c>
      <c r="H1658" t="s">
        <v>749</v>
      </c>
      <c r="I1658" t="s">
        <v>48</v>
      </c>
      <c r="J1658" t="s">
        <v>44</v>
      </c>
      <c r="K1658" t="s">
        <v>25</v>
      </c>
      <c r="L1658">
        <v>1</v>
      </c>
      <c r="M1658" s="2">
        <v>62.4</v>
      </c>
      <c r="N1658" t="s">
        <v>75</v>
      </c>
      <c r="O1658" s="3">
        <v>12</v>
      </c>
      <c r="P1658" s="3">
        <v>0</v>
      </c>
      <c r="Q1658" s="2">
        <v>74.400000000000006</v>
      </c>
      <c r="R1658" t="s">
        <v>62</v>
      </c>
      <c r="S1658" t="s">
        <v>28</v>
      </c>
      <c r="T1658" t="s">
        <v>63</v>
      </c>
      <c r="U1658" t="s">
        <v>58</v>
      </c>
    </row>
    <row r="1659" spans="1:21" x14ac:dyDescent="0.35">
      <c r="A1659" t="s">
        <v>1738</v>
      </c>
      <c r="B1659" s="1">
        <v>46228</v>
      </c>
      <c r="C1659" t="str">
        <f>TEXT(tblData[[#This Row],[Rental Date]],"mmm")</f>
        <v>Jul</v>
      </c>
      <c r="D1659" t="str">
        <f>TEXT(tblData[[#This Row],[Rental Date]],"mmmm")</f>
        <v>July</v>
      </c>
      <c r="E1659" t="s">
        <v>56</v>
      </c>
      <c r="F1659" t="str">
        <f>TEXT(WEEKNUM(tblData[[#This Row],[Rental Date]]),"00")</f>
        <v>30</v>
      </c>
      <c r="G1659" s="1">
        <f>EOMONTH(tblData[[#This Row],[Rental Date]],0)</f>
        <v>46234</v>
      </c>
      <c r="H1659" t="s">
        <v>749</v>
      </c>
      <c r="I1659" t="s">
        <v>32</v>
      </c>
      <c r="J1659" t="s">
        <v>24</v>
      </c>
      <c r="K1659" t="s">
        <v>60</v>
      </c>
      <c r="L1659">
        <v>1</v>
      </c>
      <c r="M1659" s="2">
        <v>38.4</v>
      </c>
      <c r="N1659" t="s">
        <v>26</v>
      </c>
      <c r="O1659" s="3">
        <v>0</v>
      </c>
      <c r="P1659" s="3">
        <v>3.84</v>
      </c>
      <c r="Q1659" s="2">
        <v>34.56</v>
      </c>
      <c r="R1659" t="s">
        <v>42</v>
      </c>
      <c r="S1659" t="s">
        <v>35</v>
      </c>
      <c r="T1659" t="s">
        <v>29</v>
      </c>
      <c r="U1659" t="s">
        <v>79</v>
      </c>
    </row>
    <row r="1660" spans="1:21" x14ac:dyDescent="0.35">
      <c r="A1660" t="s">
        <v>1739</v>
      </c>
      <c r="B1660" s="1">
        <v>46228</v>
      </c>
      <c r="C1660" t="str">
        <f>TEXT(tblData[[#This Row],[Rental Date]],"mmm")</f>
        <v>Jul</v>
      </c>
      <c r="D1660" t="str">
        <f>TEXT(tblData[[#This Row],[Rental Date]],"mmmm")</f>
        <v>July</v>
      </c>
      <c r="E1660" t="s">
        <v>56</v>
      </c>
      <c r="F1660" t="str">
        <f>TEXT(WEEKNUM(tblData[[#This Row],[Rental Date]]),"00")</f>
        <v>30</v>
      </c>
      <c r="G1660" s="1">
        <f>EOMONTH(tblData[[#This Row],[Rental Date]],0)</f>
        <v>46234</v>
      </c>
      <c r="H1660" t="s">
        <v>749</v>
      </c>
      <c r="I1660" t="s">
        <v>23</v>
      </c>
      <c r="J1660" t="s">
        <v>78</v>
      </c>
      <c r="K1660" t="s">
        <v>40</v>
      </c>
      <c r="L1660">
        <v>1</v>
      </c>
      <c r="M1660" s="2">
        <v>74.400000000000006</v>
      </c>
      <c r="N1660" t="s">
        <v>26</v>
      </c>
      <c r="O1660" s="3">
        <v>0</v>
      </c>
      <c r="P1660" s="3">
        <v>0</v>
      </c>
      <c r="Q1660" s="2">
        <v>74.400000000000006</v>
      </c>
      <c r="R1660" t="s">
        <v>42</v>
      </c>
      <c r="S1660" t="s">
        <v>46</v>
      </c>
      <c r="T1660" t="s">
        <v>29</v>
      </c>
      <c r="U1660" t="s">
        <v>30</v>
      </c>
    </row>
    <row r="1661" spans="1:21" x14ac:dyDescent="0.35">
      <c r="A1661" t="s">
        <v>1740</v>
      </c>
      <c r="B1661" s="1">
        <v>46228</v>
      </c>
      <c r="C1661" t="str">
        <f>TEXT(tblData[[#This Row],[Rental Date]],"mmm")</f>
        <v>Jul</v>
      </c>
      <c r="D1661" t="str">
        <f>TEXT(tblData[[#This Row],[Rental Date]],"mmmm")</f>
        <v>July</v>
      </c>
      <c r="E1661" t="s">
        <v>56</v>
      </c>
      <c r="F1661" t="str">
        <f>TEXT(WEEKNUM(tblData[[#This Row],[Rental Date]]),"00")</f>
        <v>30</v>
      </c>
      <c r="G1661" s="1">
        <f>EOMONTH(tblData[[#This Row],[Rental Date]],0)</f>
        <v>46234</v>
      </c>
      <c r="H1661" t="s">
        <v>749</v>
      </c>
      <c r="I1661" t="s">
        <v>23</v>
      </c>
      <c r="J1661" t="s">
        <v>44</v>
      </c>
      <c r="K1661" t="s">
        <v>92</v>
      </c>
      <c r="L1661">
        <v>1</v>
      </c>
      <c r="M1661" s="2">
        <v>134.4</v>
      </c>
      <c r="N1661" t="s">
        <v>26</v>
      </c>
      <c r="O1661" s="3">
        <v>0</v>
      </c>
      <c r="P1661" s="3">
        <v>0</v>
      </c>
      <c r="Q1661" s="2">
        <v>134.4</v>
      </c>
      <c r="R1661" t="s">
        <v>71</v>
      </c>
      <c r="S1661" t="s">
        <v>50</v>
      </c>
      <c r="T1661" t="s">
        <v>63</v>
      </c>
      <c r="U1661" t="s">
        <v>30</v>
      </c>
    </row>
    <row r="1662" spans="1:21" x14ac:dyDescent="0.35">
      <c r="A1662" t="s">
        <v>1741</v>
      </c>
      <c r="B1662" s="1">
        <v>46228</v>
      </c>
      <c r="C1662" t="str">
        <f>TEXT(tblData[[#This Row],[Rental Date]],"mmm")</f>
        <v>Jul</v>
      </c>
      <c r="D1662" t="str">
        <f>TEXT(tblData[[#This Row],[Rental Date]],"mmmm")</f>
        <v>July</v>
      </c>
      <c r="E1662" t="s">
        <v>56</v>
      </c>
      <c r="F1662" t="str">
        <f>TEXT(WEEKNUM(tblData[[#This Row],[Rental Date]]),"00")</f>
        <v>30</v>
      </c>
      <c r="G1662" s="1">
        <f>EOMONTH(tblData[[#This Row],[Rental Date]],0)</f>
        <v>46234</v>
      </c>
      <c r="H1662" t="s">
        <v>749</v>
      </c>
      <c r="I1662" t="s">
        <v>48</v>
      </c>
      <c r="J1662" t="s">
        <v>78</v>
      </c>
      <c r="K1662" t="s">
        <v>60</v>
      </c>
      <c r="L1662">
        <v>1</v>
      </c>
      <c r="M1662" s="2">
        <v>31.2</v>
      </c>
      <c r="N1662" t="s">
        <v>26</v>
      </c>
      <c r="O1662" s="3">
        <v>0</v>
      </c>
      <c r="P1662" s="3">
        <v>0</v>
      </c>
      <c r="Q1662" s="2">
        <v>31.2</v>
      </c>
      <c r="R1662" t="s">
        <v>94</v>
      </c>
      <c r="S1662" t="s">
        <v>46</v>
      </c>
      <c r="T1662" t="s">
        <v>51</v>
      </c>
      <c r="U1662" t="s">
        <v>30</v>
      </c>
    </row>
    <row r="1663" spans="1:21" x14ac:dyDescent="0.35">
      <c r="A1663" t="s">
        <v>1742</v>
      </c>
      <c r="B1663" s="1">
        <v>46228</v>
      </c>
      <c r="C1663" t="str">
        <f>TEXT(tblData[[#This Row],[Rental Date]],"mmm")</f>
        <v>Jul</v>
      </c>
      <c r="D1663" t="str">
        <f>TEXT(tblData[[#This Row],[Rental Date]],"mmmm")</f>
        <v>July</v>
      </c>
      <c r="E1663" t="s">
        <v>56</v>
      </c>
      <c r="F1663" t="str">
        <f>TEXT(WEEKNUM(tblData[[#This Row],[Rental Date]]),"00")</f>
        <v>30</v>
      </c>
      <c r="G1663" s="1">
        <f>EOMONTH(tblData[[#This Row],[Rental Date]],0)</f>
        <v>46234</v>
      </c>
      <c r="H1663" t="s">
        <v>749</v>
      </c>
      <c r="I1663" t="s">
        <v>23</v>
      </c>
      <c r="J1663" t="s">
        <v>24</v>
      </c>
      <c r="K1663" t="s">
        <v>60</v>
      </c>
      <c r="L1663">
        <v>1</v>
      </c>
      <c r="M1663" s="2">
        <v>38.4</v>
      </c>
      <c r="N1663" t="s">
        <v>89</v>
      </c>
      <c r="O1663" s="3">
        <v>6</v>
      </c>
      <c r="P1663" s="3">
        <v>0</v>
      </c>
      <c r="Q1663" s="2">
        <v>44.4</v>
      </c>
      <c r="R1663" t="s">
        <v>42</v>
      </c>
      <c r="S1663" t="s">
        <v>46</v>
      </c>
      <c r="T1663" t="s">
        <v>29</v>
      </c>
      <c r="U1663" t="s">
        <v>30</v>
      </c>
    </row>
    <row r="1664" spans="1:21" x14ac:dyDescent="0.35">
      <c r="A1664" t="s">
        <v>1743</v>
      </c>
      <c r="B1664" s="1">
        <v>46228</v>
      </c>
      <c r="C1664" t="str">
        <f>TEXT(tblData[[#This Row],[Rental Date]],"mmm")</f>
        <v>Jul</v>
      </c>
      <c r="D1664" t="str">
        <f>TEXT(tblData[[#This Row],[Rental Date]],"mmmm")</f>
        <v>July</v>
      </c>
      <c r="E1664" t="s">
        <v>56</v>
      </c>
      <c r="F1664" t="str">
        <f>TEXT(WEEKNUM(tblData[[#This Row],[Rental Date]]),"00")</f>
        <v>30</v>
      </c>
      <c r="G1664" s="1">
        <f>EOMONTH(tblData[[#This Row],[Rental Date]],0)</f>
        <v>46234</v>
      </c>
      <c r="H1664" t="s">
        <v>749</v>
      </c>
      <c r="I1664" t="s">
        <v>32</v>
      </c>
      <c r="J1664" t="s">
        <v>127</v>
      </c>
      <c r="K1664" t="s">
        <v>25</v>
      </c>
      <c r="L1664">
        <v>1</v>
      </c>
      <c r="M1664" s="2">
        <v>19.2</v>
      </c>
      <c r="N1664" t="s">
        <v>41</v>
      </c>
      <c r="O1664" s="3">
        <v>5</v>
      </c>
      <c r="P1664" s="3">
        <v>0</v>
      </c>
      <c r="Q1664" s="2">
        <v>24.2</v>
      </c>
      <c r="R1664" t="s">
        <v>66</v>
      </c>
      <c r="S1664" t="s">
        <v>46</v>
      </c>
      <c r="T1664" t="s">
        <v>29</v>
      </c>
      <c r="U1664" t="s">
        <v>30</v>
      </c>
    </row>
    <row r="1665" spans="1:21" x14ac:dyDescent="0.35">
      <c r="A1665" t="s">
        <v>1744</v>
      </c>
      <c r="B1665" s="1">
        <v>46228</v>
      </c>
      <c r="C1665" t="str">
        <f>TEXT(tblData[[#This Row],[Rental Date]],"mmm")</f>
        <v>Jul</v>
      </c>
      <c r="D1665" t="str">
        <f>TEXT(tblData[[#This Row],[Rental Date]],"mmmm")</f>
        <v>July</v>
      </c>
      <c r="E1665" t="s">
        <v>56</v>
      </c>
      <c r="F1665" t="str">
        <f>TEXT(WEEKNUM(tblData[[#This Row],[Rental Date]]),"00")</f>
        <v>30</v>
      </c>
      <c r="G1665" s="1">
        <f>EOMONTH(tblData[[#This Row],[Rental Date]],0)</f>
        <v>46234</v>
      </c>
      <c r="H1665" t="s">
        <v>749</v>
      </c>
      <c r="I1665" t="s">
        <v>23</v>
      </c>
      <c r="J1665" t="s">
        <v>65</v>
      </c>
      <c r="K1665" t="s">
        <v>25</v>
      </c>
      <c r="L1665">
        <v>1</v>
      </c>
      <c r="M1665" s="2">
        <v>21.6</v>
      </c>
      <c r="N1665" t="s">
        <v>26</v>
      </c>
      <c r="O1665" s="3">
        <v>0</v>
      </c>
      <c r="P1665" s="3">
        <v>0</v>
      </c>
      <c r="Q1665" s="2">
        <v>21.6</v>
      </c>
      <c r="R1665" t="s">
        <v>34</v>
      </c>
      <c r="S1665" t="s">
        <v>35</v>
      </c>
      <c r="T1665" t="s">
        <v>29</v>
      </c>
      <c r="U1665" t="s">
        <v>58</v>
      </c>
    </row>
    <row r="1666" spans="1:21" x14ac:dyDescent="0.35">
      <c r="A1666" t="s">
        <v>1745</v>
      </c>
      <c r="B1666" s="1">
        <v>46228</v>
      </c>
      <c r="C1666" t="str">
        <f>TEXT(tblData[[#This Row],[Rental Date]],"mmm")</f>
        <v>Jul</v>
      </c>
      <c r="D1666" t="str">
        <f>TEXT(tblData[[#This Row],[Rental Date]],"mmmm")</f>
        <v>July</v>
      </c>
      <c r="E1666" t="s">
        <v>56</v>
      </c>
      <c r="F1666" t="str">
        <f>TEXT(WEEKNUM(tblData[[#This Row],[Rental Date]]),"00")</f>
        <v>30</v>
      </c>
      <c r="G1666" s="1">
        <f>EOMONTH(tblData[[#This Row],[Rental Date]],0)</f>
        <v>46234</v>
      </c>
      <c r="H1666" t="s">
        <v>749</v>
      </c>
      <c r="I1666" t="s">
        <v>23</v>
      </c>
      <c r="J1666" t="s">
        <v>111</v>
      </c>
      <c r="K1666" t="s">
        <v>40</v>
      </c>
      <c r="L1666">
        <v>1</v>
      </c>
      <c r="M1666" s="2">
        <v>40.799999999999997</v>
      </c>
      <c r="N1666" t="s">
        <v>26</v>
      </c>
      <c r="O1666" s="3">
        <v>0</v>
      </c>
      <c r="P1666" s="3">
        <v>0</v>
      </c>
      <c r="Q1666" s="2">
        <v>40.799999999999997</v>
      </c>
      <c r="R1666" t="s">
        <v>57</v>
      </c>
      <c r="S1666" t="s">
        <v>54</v>
      </c>
      <c r="T1666" t="s">
        <v>29</v>
      </c>
      <c r="U1666" t="s">
        <v>30</v>
      </c>
    </row>
    <row r="1667" spans="1:21" x14ac:dyDescent="0.35">
      <c r="A1667" t="s">
        <v>1746</v>
      </c>
      <c r="B1667" s="1">
        <v>46228</v>
      </c>
      <c r="C1667" t="str">
        <f>TEXT(tblData[[#This Row],[Rental Date]],"mmm")</f>
        <v>Jul</v>
      </c>
      <c r="D1667" t="str">
        <f>TEXT(tblData[[#This Row],[Rental Date]],"mmmm")</f>
        <v>July</v>
      </c>
      <c r="E1667" t="s">
        <v>56</v>
      </c>
      <c r="F1667" t="str">
        <f>TEXT(WEEKNUM(tblData[[#This Row],[Rental Date]]),"00")</f>
        <v>30</v>
      </c>
      <c r="G1667" s="1">
        <f>EOMONTH(tblData[[#This Row],[Rental Date]],0)</f>
        <v>46234</v>
      </c>
      <c r="H1667" t="s">
        <v>749</v>
      </c>
      <c r="I1667" t="s">
        <v>48</v>
      </c>
      <c r="J1667" t="s">
        <v>127</v>
      </c>
      <c r="K1667" t="s">
        <v>25</v>
      </c>
      <c r="L1667">
        <v>1</v>
      </c>
      <c r="M1667" s="2">
        <v>19.2</v>
      </c>
      <c r="N1667" t="s">
        <v>26</v>
      </c>
      <c r="O1667" s="3">
        <v>0</v>
      </c>
      <c r="P1667" s="3">
        <v>0</v>
      </c>
      <c r="Q1667" s="2">
        <v>19.2</v>
      </c>
      <c r="R1667" t="s">
        <v>62</v>
      </c>
      <c r="S1667" t="s">
        <v>46</v>
      </c>
      <c r="T1667" t="s">
        <v>29</v>
      </c>
      <c r="U1667" t="s">
        <v>30</v>
      </c>
    </row>
    <row r="1668" spans="1:21" x14ac:dyDescent="0.35">
      <c r="A1668" t="s">
        <v>1747</v>
      </c>
      <c r="B1668" s="1">
        <v>46228</v>
      </c>
      <c r="C1668" t="str">
        <f>TEXT(tblData[[#This Row],[Rental Date]],"mmm")</f>
        <v>Jul</v>
      </c>
      <c r="D1668" t="str">
        <f>TEXT(tblData[[#This Row],[Rental Date]],"mmmm")</f>
        <v>July</v>
      </c>
      <c r="E1668" t="s">
        <v>56</v>
      </c>
      <c r="F1668" t="str">
        <f>TEXT(WEEKNUM(tblData[[#This Row],[Rental Date]]),"00")</f>
        <v>30</v>
      </c>
      <c r="G1668" s="1">
        <f>EOMONTH(tblData[[#This Row],[Rental Date]],0)</f>
        <v>46234</v>
      </c>
      <c r="H1668" t="s">
        <v>749</v>
      </c>
      <c r="I1668" t="s">
        <v>23</v>
      </c>
      <c r="J1668" t="s">
        <v>127</v>
      </c>
      <c r="K1668" t="s">
        <v>40</v>
      </c>
      <c r="L1668">
        <v>1</v>
      </c>
      <c r="M1668" s="2">
        <v>28.8</v>
      </c>
      <c r="N1668" t="s">
        <v>87</v>
      </c>
      <c r="O1668" s="3">
        <v>10</v>
      </c>
      <c r="P1668" s="3">
        <v>0</v>
      </c>
      <c r="Q1668" s="2">
        <v>38.799999999999997</v>
      </c>
      <c r="R1668" t="s">
        <v>62</v>
      </c>
      <c r="S1668" t="s">
        <v>35</v>
      </c>
      <c r="T1668" t="s">
        <v>51</v>
      </c>
      <c r="U1668" t="s">
        <v>30</v>
      </c>
    </row>
    <row r="1669" spans="1:21" x14ac:dyDescent="0.35">
      <c r="A1669" t="s">
        <v>1748</v>
      </c>
      <c r="B1669" s="1">
        <v>46228</v>
      </c>
      <c r="C1669" t="str">
        <f>TEXT(tblData[[#This Row],[Rental Date]],"mmm")</f>
        <v>Jul</v>
      </c>
      <c r="D1669" t="str">
        <f>TEXT(tblData[[#This Row],[Rental Date]],"mmmm")</f>
        <v>July</v>
      </c>
      <c r="E1669" t="s">
        <v>56</v>
      </c>
      <c r="F1669" t="str">
        <f>TEXT(WEEKNUM(tblData[[#This Row],[Rental Date]]),"00")</f>
        <v>30</v>
      </c>
      <c r="G1669" s="1">
        <f>EOMONTH(tblData[[#This Row],[Rental Date]],0)</f>
        <v>46234</v>
      </c>
      <c r="H1669" t="s">
        <v>749</v>
      </c>
      <c r="I1669" t="s">
        <v>53</v>
      </c>
      <c r="J1669" t="s">
        <v>33</v>
      </c>
      <c r="K1669" t="s">
        <v>25</v>
      </c>
      <c r="L1669">
        <v>1</v>
      </c>
      <c r="M1669" s="2">
        <v>45.6</v>
      </c>
      <c r="N1669" t="s">
        <v>70</v>
      </c>
      <c r="O1669" s="3">
        <v>7</v>
      </c>
      <c r="P1669" s="3">
        <v>5.26</v>
      </c>
      <c r="Q1669" s="2">
        <v>47.34</v>
      </c>
      <c r="R1669" t="s">
        <v>27</v>
      </c>
      <c r="S1669" t="s">
        <v>50</v>
      </c>
      <c r="T1669" t="s">
        <v>51</v>
      </c>
      <c r="U1669" t="s">
        <v>30</v>
      </c>
    </row>
    <row r="1670" spans="1:21" x14ac:dyDescent="0.35">
      <c r="A1670" t="s">
        <v>1749</v>
      </c>
      <c r="B1670" s="1">
        <v>46228</v>
      </c>
      <c r="C1670" t="str">
        <f>TEXT(tblData[[#This Row],[Rental Date]],"mmm")</f>
        <v>Jul</v>
      </c>
      <c r="D1670" t="str">
        <f>TEXT(tblData[[#This Row],[Rental Date]],"mmmm")</f>
        <v>July</v>
      </c>
      <c r="E1670" t="s">
        <v>56</v>
      </c>
      <c r="F1670" t="str">
        <f>TEXT(WEEKNUM(tblData[[#This Row],[Rental Date]]),"00")</f>
        <v>30</v>
      </c>
      <c r="G1670" s="1">
        <f>EOMONTH(tblData[[#This Row],[Rental Date]],0)</f>
        <v>46234</v>
      </c>
      <c r="H1670" t="s">
        <v>749</v>
      </c>
      <c r="I1670" t="s">
        <v>32</v>
      </c>
      <c r="J1670" t="s">
        <v>33</v>
      </c>
      <c r="K1670" t="s">
        <v>60</v>
      </c>
      <c r="L1670">
        <v>1</v>
      </c>
      <c r="M1670" s="2">
        <v>28.8</v>
      </c>
      <c r="N1670" t="s">
        <v>41</v>
      </c>
      <c r="O1670" s="3">
        <v>5</v>
      </c>
      <c r="P1670" s="3">
        <v>3.38</v>
      </c>
      <c r="Q1670" s="2">
        <v>30.42</v>
      </c>
      <c r="R1670" t="s">
        <v>42</v>
      </c>
      <c r="S1670" t="s">
        <v>28</v>
      </c>
      <c r="T1670" t="s">
        <v>51</v>
      </c>
      <c r="U1670" t="s">
        <v>30</v>
      </c>
    </row>
    <row r="1671" spans="1:21" x14ac:dyDescent="0.35">
      <c r="A1671" t="s">
        <v>1750</v>
      </c>
      <c r="B1671" s="1">
        <v>46228</v>
      </c>
      <c r="C1671" t="str">
        <f>TEXT(tblData[[#This Row],[Rental Date]],"mmm")</f>
        <v>Jul</v>
      </c>
      <c r="D1671" t="str">
        <f>TEXT(tblData[[#This Row],[Rental Date]],"mmmm")</f>
        <v>July</v>
      </c>
      <c r="E1671" t="s">
        <v>56</v>
      </c>
      <c r="F1671" t="str">
        <f>TEXT(WEEKNUM(tblData[[#This Row],[Rental Date]]),"00")</f>
        <v>30</v>
      </c>
      <c r="G1671" s="1">
        <f>EOMONTH(tblData[[#This Row],[Rental Date]],0)</f>
        <v>46234</v>
      </c>
      <c r="H1671" t="s">
        <v>749</v>
      </c>
      <c r="I1671" t="s">
        <v>39</v>
      </c>
      <c r="J1671" t="s">
        <v>78</v>
      </c>
      <c r="K1671" t="s">
        <v>60</v>
      </c>
      <c r="L1671">
        <v>1</v>
      </c>
      <c r="M1671" s="2">
        <v>31.2</v>
      </c>
      <c r="N1671" t="s">
        <v>26</v>
      </c>
      <c r="O1671" s="3">
        <v>0</v>
      </c>
      <c r="P1671" s="3">
        <v>0</v>
      </c>
      <c r="Q1671" s="2">
        <v>31.2</v>
      </c>
      <c r="R1671" t="s">
        <v>66</v>
      </c>
      <c r="S1671" t="s">
        <v>46</v>
      </c>
      <c r="T1671" t="s">
        <v>83</v>
      </c>
      <c r="U1671" t="s">
        <v>36</v>
      </c>
    </row>
    <row r="1672" spans="1:21" x14ac:dyDescent="0.35">
      <c r="A1672" t="s">
        <v>1751</v>
      </c>
      <c r="B1672" s="1">
        <v>46228</v>
      </c>
      <c r="C1672" t="str">
        <f>TEXT(tblData[[#This Row],[Rental Date]],"mmm")</f>
        <v>Jul</v>
      </c>
      <c r="D1672" t="str">
        <f>TEXT(tblData[[#This Row],[Rental Date]],"mmmm")</f>
        <v>July</v>
      </c>
      <c r="E1672" t="s">
        <v>56</v>
      </c>
      <c r="F1672" t="str">
        <f>TEXT(WEEKNUM(tblData[[#This Row],[Rental Date]]),"00")</f>
        <v>30</v>
      </c>
      <c r="G1672" s="1">
        <f>EOMONTH(tblData[[#This Row],[Rental Date]],0)</f>
        <v>46234</v>
      </c>
      <c r="H1672" t="s">
        <v>749</v>
      </c>
      <c r="I1672" t="s">
        <v>23</v>
      </c>
      <c r="J1672" t="s">
        <v>33</v>
      </c>
      <c r="K1672" t="s">
        <v>60</v>
      </c>
      <c r="L1672">
        <v>1</v>
      </c>
      <c r="M1672" s="2">
        <v>28.8</v>
      </c>
      <c r="N1672" t="s">
        <v>26</v>
      </c>
      <c r="O1672" s="3">
        <v>0</v>
      </c>
      <c r="P1672" s="3">
        <v>0</v>
      </c>
      <c r="Q1672" s="2">
        <v>28.8</v>
      </c>
      <c r="R1672" t="s">
        <v>34</v>
      </c>
      <c r="S1672" t="s">
        <v>28</v>
      </c>
      <c r="T1672" t="s">
        <v>83</v>
      </c>
      <c r="U1672" t="s">
        <v>30</v>
      </c>
    </row>
    <row r="1673" spans="1:21" x14ac:dyDescent="0.35">
      <c r="A1673" t="s">
        <v>1752</v>
      </c>
      <c r="B1673" s="1">
        <v>46228</v>
      </c>
      <c r="C1673" t="str">
        <f>TEXT(tblData[[#This Row],[Rental Date]],"mmm")</f>
        <v>Jul</v>
      </c>
      <c r="D1673" t="str">
        <f>TEXT(tblData[[#This Row],[Rental Date]],"mmmm")</f>
        <v>July</v>
      </c>
      <c r="E1673" t="s">
        <v>56</v>
      </c>
      <c r="F1673" t="str">
        <f>TEXT(WEEKNUM(tblData[[#This Row],[Rental Date]]),"00")</f>
        <v>30</v>
      </c>
      <c r="G1673" s="1">
        <f>EOMONTH(tblData[[#This Row],[Rental Date]],0)</f>
        <v>46234</v>
      </c>
      <c r="H1673" t="s">
        <v>749</v>
      </c>
      <c r="I1673" t="s">
        <v>39</v>
      </c>
      <c r="J1673" t="s">
        <v>127</v>
      </c>
      <c r="K1673" t="s">
        <v>40</v>
      </c>
      <c r="L1673">
        <v>1</v>
      </c>
      <c r="M1673" s="2">
        <v>28.8</v>
      </c>
      <c r="N1673" t="s">
        <v>41</v>
      </c>
      <c r="O1673" s="3">
        <v>5</v>
      </c>
      <c r="P1673" s="3">
        <v>0</v>
      </c>
      <c r="Q1673" s="2">
        <v>33.799999999999997</v>
      </c>
      <c r="R1673" t="s">
        <v>76</v>
      </c>
      <c r="S1673" t="s">
        <v>46</v>
      </c>
      <c r="T1673" t="s">
        <v>29</v>
      </c>
      <c r="U1673" t="s">
        <v>79</v>
      </c>
    </row>
    <row r="1674" spans="1:21" x14ac:dyDescent="0.35">
      <c r="A1674" t="s">
        <v>1753</v>
      </c>
      <c r="B1674" s="1">
        <v>46228</v>
      </c>
      <c r="C1674" t="str">
        <f>TEXT(tblData[[#This Row],[Rental Date]],"mmm")</f>
        <v>Jul</v>
      </c>
      <c r="D1674" t="str">
        <f>TEXT(tblData[[#This Row],[Rental Date]],"mmmm")</f>
        <v>July</v>
      </c>
      <c r="E1674" t="s">
        <v>56</v>
      </c>
      <c r="F1674" t="str">
        <f>TEXT(WEEKNUM(tblData[[#This Row],[Rental Date]]),"00")</f>
        <v>30</v>
      </c>
      <c r="G1674" s="1">
        <f>EOMONTH(tblData[[#This Row],[Rental Date]],0)</f>
        <v>46234</v>
      </c>
      <c r="H1674" t="s">
        <v>749</v>
      </c>
      <c r="I1674" t="s">
        <v>32</v>
      </c>
      <c r="J1674" t="s">
        <v>78</v>
      </c>
      <c r="K1674" t="s">
        <v>25</v>
      </c>
      <c r="L1674">
        <v>1</v>
      </c>
      <c r="M1674" s="2">
        <v>50.4</v>
      </c>
      <c r="N1674" t="s">
        <v>89</v>
      </c>
      <c r="O1674" s="3">
        <v>6</v>
      </c>
      <c r="P1674" s="3">
        <v>2.82</v>
      </c>
      <c r="Q1674" s="2">
        <v>53.58</v>
      </c>
      <c r="R1674" t="s">
        <v>57</v>
      </c>
      <c r="S1674" t="s">
        <v>35</v>
      </c>
      <c r="T1674" t="s">
        <v>90</v>
      </c>
      <c r="U1674" t="s">
        <v>30</v>
      </c>
    </row>
    <row r="1675" spans="1:21" x14ac:dyDescent="0.35">
      <c r="A1675" t="s">
        <v>1754</v>
      </c>
      <c r="B1675" s="1">
        <v>46228</v>
      </c>
      <c r="C1675" t="str">
        <f>TEXT(tblData[[#This Row],[Rental Date]],"mmm")</f>
        <v>Jul</v>
      </c>
      <c r="D1675" t="str">
        <f>TEXT(tblData[[#This Row],[Rental Date]],"mmmm")</f>
        <v>July</v>
      </c>
      <c r="E1675" t="s">
        <v>56</v>
      </c>
      <c r="F1675" t="str">
        <f>TEXT(WEEKNUM(tblData[[#This Row],[Rental Date]]),"00")</f>
        <v>30</v>
      </c>
      <c r="G1675" s="1">
        <f>EOMONTH(tblData[[#This Row],[Rental Date]],0)</f>
        <v>46234</v>
      </c>
      <c r="H1675" t="s">
        <v>749</v>
      </c>
      <c r="I1675" t="s">
        <v>39</v>
      </c>
      <c r="J1675" t="s">
        <v>24</v>
      </c>
      <c r="K1675" t="s">
        <v>40</v>
      </c>
      <c r="L1675">
        <v>1</v>
      </c>
      <c r="M1675" s="2">
        <v>91.2</v>
      </c>
      <c r="N1675" t="s">
        <v>61</v>
      </c>
      <c r="O1675" s="3">
        <v>8</v>
      </c>
      <c r="P1675" s="3">
        <v>0</v>
      </c>
      <c r="Q1675" s="2">
        <v>99.2</v>
      </c>
      <c r="R1675" t="s">
        <v>76</v>
      </c>
      <c r="S1675" t="s">
        <v>50</v>
      </c>
      <c r="T1675" t="s">
        <v>29</v>
      </c>
      <c r="U1675" t="s">
        <v>30</v>
      </c>
    </row>
    <row r="1676" spans="1:21" x14ac:dyDescent="0.35">
      <c r="A1676" t="s">
        <v>1755</v>
      </c>
      <c r="B1676" s="1">
        <v>46228</v>
      </c>
      <c r="C1676" t="str">
        <f>TEXT(tblData[[#This Row],[Rental Date]],"mmm")</f>
        <v>Jul</v>
      </c>
      <c r="D1676" t="str">
        <f>TEXT(tblData[[#This Row],[Rental Date]],"mmmm")</f>
        <v>July</v>
      </c>
      <c r="E1676" t="s">
        <v>56</v>
      </c>
      <c r="F1676" t="str">
        <f>TEXT(WEEKNUM(tblData[[#This Row],[Rental Date]]),"00")</f>
        <v>30</v>
      </c>
      <c r="G1676" s="1">
        <f>EOMONTH(tblData[[#This Row],[Rental Date]],0)</f>
        <v>46234</v>
      </c>
      <c r="H1676" t="s">
        <v>749</v>
      </c>
      <c r="I1676" t="s">
        <v>32</v>
      </c>
      <c r="J1676" t="s">
        <v>65</v>
      </c>
      <c r="K1676" t="s">
        <v>60</v>
      </c>
      <c r="L1676">
        <v>1</v>
      </c>
      <c r="M1676" s="2">
        <v>14.4</v>
      </c>
      <c r="N1676" t="s">
        <v>26</v>
      </c>
      <c r="O1676" s="3">
        <v>0</v>
      </c>
      <c r="P1676" s="3">
        <v>1.44</v>
      </c>
      <c r="Q1676" s="2">
        <v>12.96</v>
      </c>
      <c r="R1676" t="s">
        <v>45</v>
      </c>
      <c r="S1676" t="s">
        <v>50</v>
      </c>
      <c r="T1676" t="s">
        <v>90</v>
      </c>
      <c r="U1676" t="s">
        <v>58</v>
      </c>
    </row>
    <row r="1677" spans="1:21" x14ac:dyDescent="0.35">
      <c r="A1677" t="s">
        <v>1756</v>
      </c>
      <c r="B1677" s="1">
        <v>46228</v>
      </c>
      <c r="C1677" t="str">
        <f>TEXT(tblData[[#This Row],[Rental Date]],"mmm")</f>
        <v>Jul</v>
      </c>
      <c r="D1677" t="str">
        <f>TEXT(tblData[[#This Row],[Rental Date]],"mmmm")</f>
        <v>July</v>
      </c>
      <c r="E1677" t="s">
        <v>56</v>
      </c>
      <c r="F1677" t="str">
        <f>TEXT(WEEKNUM(tblData[[#This Row],[Rental Date]]),"00")</f>
        <v>30</v>
      </c>
      <c r="G1677" s="1">
        <f>EOMONTH(tblData[[#This Row],[Rental Date]],0)</f>
        <v>46234</v>
      </c>
      <c r="H1677" t="s">
        <v>749</v>
      </c>
      <c r="I1677" t="s">
        <v>48</v>
      </c>
      <c r="J1677" t="s">
        <v>49</v>
      </c>
      <c r="K1677" t="s">
        <v>60</v>
      </c>
      <c r="L1677">
        <v>1</v>
      </c>
      <c r="M1677" s="2">
        <v>26.4</v>
      </c>
      <c r="N1677" t="s">
        <v>41</v>
      </c>
      <c r="O1677" s="3">
        <v>5</v>
      </c>
      <c r="P1677" s="3">
        <v>0</v>
      </c>
      <c r="Q1677" s="2">
        <v>31.4</v>
      </c>
      <c r="R1677" t="s">
        <v>94</v>
      </c>
      <c r="S1677" t="s">
        <v>54</v>
      </c>
      <c r="T1677" t="s">
        <v>51</v>
      </c>
      <c r="U1677" t="s">
        <v>30</v>
      </c>
    </row>
    <row r="1678" spans="1:21" x14ac:dyDescent="0.35">
      <c r="A1678" t="s">
        <v>1757</v>
      </c>
      <c r="B1678" s="1">
        <v>46228</v>
      </c>
      <c r="C1678" t="str">
        <f>TEXT(tblData[[#This Row],[Rental Date]],"mmm")</f>
        <v>Jul</v>
      </c>
      <c r="D1678" t="str">
        <f>TEXT(tblData[[#This Row],[Rental Date]],"mmmm")</f>
        <v>July</v>
      </c>
      <c r="E1678" t="s">
        <v>56</v>
      </c>
      <c r="F1678" t="str">
        <f>TEXT(WEEKNUM(tblData[[#This Row],[Rental Date]]),"00")</f>
        <v>30</v>
      </c>
      <c r="G1678" s="1">
        <f>EOMONTH(tblData[[#This Row],[Rental Date]],0)</f>
        <v>46234</v>
      </c>
      <c r="H1678" t="s">
        <v>749</v>
      </c>
      <c r="I1678" t="s">
        <v>39</v>
      </c>
      <c r="J1678" t="s">
        <v>44</v>
      </c>
      <c r="K1678" t="s">
        <v>25</v>
      </c>
      <c r="L1678">
        <v>1</v>
      </c>
      <c r="M1678" s="2">
        <v>62.4</v>
      </c>
      <c r="N1678" t="s">
        <v>41</v>
      </c>
      <c r="O1678" s="3">
        <v>5</v>
      </c>
      <c r="P1678" s="3">
        <v>0</v>
      </c>
      <c r="Q1678" s="2">
        <v>67.400000000000006</v>
      </c>
      <c r="R1678" t="s">
        <v>94</v>
      </c>
      <c r="S1678" t="s">
        <v>28</v>
      </c>
      <c r="T1678" t="s">
        <v>63</v>
      </c>
      <c r="U1678" t="s">
        <v>58</v>
      </c>
    </row>
    <row r="1679" spans="1:21" x14ac:dyDescent="0.35">
      <c r="A1679" t="s">
        <v>1758</v>
      </c>
      <c r="B1679" s="1">
        <v>46228</v>
      </c>
      <c r="C1679" t="str">
        <f>TEXT(tblData[[#This Row],[Rental Date]],"mmm")</f>
        <v>Jul</v>
      </c>
      <c r="D1679" t="str">
        <f>TEXT(tblData[[#This Row],[Rental Date]],"mmmm")</f>
        <v>July</v>
      </c>
      <c r="E1679" t="s">
        <v>56</v>
      </c>
      <c r="F1679" t="str">
        <f>TEXT(WEEKNUM(tblData[[#This Row],[Rental Date]]),"00")</f>
        <v>30</v>
      </c>
      <c r="G1679" s="1">
        <f>EOMONTH(tblData[[#This Row],[Rental Date]],0)</f>
        <v>46234</v>
      </c>
      <c r="H1679" t="s">
        <v>749</v>
      </c>
      <c r="I1679" t="s">
        <v>39</v>
      </c>
      <c r="J1679" t="s">
        <v>33</v>
      </c>
      <c r="K1679" t="s">
        <v>60</v>
      </c>
      <c r="L1679">
        <v>1</v>
      </c>
      <c r="M1679" s="2">
        <v>28.8</v>
      </c>
      <c r="N1679" t="s">
        <v>61</v>
      </c>
      <c r="O1679" s="3">
        <v>8</v>
      </c>
      <c r="P1679" s="3">
        <v>0</v>
      </c>
      <c r="Q1679" s="2">
        <v>36.799999999999997</v>
      </c>
      <c r="R1679" t="s">
        <v>76</v>
      </c>
      <c r="S1679" t="s">
        <v>28</v>
      </c>
      <c r="T1679" t="s">
        <v>29</v>
      </c>
      <c r="U1679" t="s">
        <v>79</v>
      </c>
    </row>
    <row r="1680" spans="1:21" x14ac:dyDescent="0.35">
      <c r="A1680" t="s">
        <v>1759</v>
      </c>
      <c r="B1680" s="1">
        <v>46228</v>
      </c>
      <c r="C1680" t="str">
        <f>TEXT(tblData[[#This Row],[Rental Date]],"mmm")</f>
        <v>Jul</v>
      </c>
      <c r="D1680" t="str">
        <f>TEXT(tblData[[#This Row],[Rental Date]],"mmmm")</f>
        <v>July</v>
      </c>
      <c r="E1680" t="s">
        <v>56</v>
      </c>
      <c r="F1680" t="str">
        <f>TEXT(WEEKNUM(tblData[[#This Row],[Rental Date]]),"00")</f>
        <v>30</v>
      </c>
      <c r="G1680" s="1">
        <f>EOMONTH(tblData[[#This Row],[Rental Date]],0)</f>
        <v>46234</v>
      </c>
      <c r="H1680" t="s">
        <v>749</v>
      </c>
      <c r="I1680" t="s">
        <v>23</v>
      </c>
      <c r="J1680" t="s">
        <v>44</v>
      </c>
      <c r="K1680" t="s">
        <v>60</v>
      </c>
      <c r="L1680">
        <v>1</v>
      </c>
      <c r="M1680" s="2">
        <v>40.799999999999997</v>
      </c>
      <c r="N1680" t="s">
        <v>41</v>
      </c>
      <c r="O1680" s="3">
        <v>5</v>
      </c>
      <c r="P1680" s="3">
        <v>0</v>
      </c>
      <c r="Q1680" s="2">
        <v>45.8</v>
      </c>
      <c r="R1680" t="s">
        <v>45</v>
      </c>
      <c r="S1680" t="s">
        <v>50</v>
      </c>
      <c r="T1680" t="s">
        <v>90</v>
      </c>
      <c r="U1680" t="s">
        <v>30</v>
      </c>
    </row>
    <row r="1681" spans="1:21" x14ac:dyDescent="0.35">
      <c r="A1681" t="s">
        <v>1760</v>
      </c>
      <c r="B1681" s="1">
        <v>46228</v>
      </c>
      <c r="C1681" t="str">
        <f>TEXT(tblData[[#This Row],[Rental Date]],"mmm")</f>
        <v>Jul</v>
      </c>
      <c r="D1681" t="str">
        <f>TEXT(tblData[[#This Row],[Rental Date]],"mmmm")</f>
        <v>July</v>
      </c>
      <c r="E1681" t="s">
        <v>56</v>
      </c>
      <c r="F1681" t="str">
        <f>TEXT(WEEKNUM(tblData[[#This Row],[Rental Date]]),"00")</f>
        <v>30</v>
      </c>
      <c r="G1681" s="1">
        <f>EOMONTH(tblData[[#This Row],[Rental Date]],0)</f>
        <v>46234</v>
      </c>
      <c r="H1681" t="s">
        <v>749</v>
      </c>
      <c r="I1681" t="s">
        <v>48</v>
      </c>
      <c r="J1681" t="s">
        <v>111</v>
      </c>
      <c r="K1681" t="s">
        <v>25</v>
      </c>
      <c r="L1681">
        <v>1</v>
      </c>
      <c r="M1681" s="2">
        <v>26.4</v>
      </c>
      <c r="N1681" t="s">
        <v>26</v>
      </c>
      <c r="O1681" s="3">
        <v>0</v>
      </c>
      <c r="P1681" s="3">
        <v>0</v>
      </c>
      <c r="Q1681" s="2">
        <v>26.4</v>
      </c>
      <c r="R1681" t="s">
        <v>94</v>
      </c>
      <c r="S1681" t="s">
        <v>46</v>
      </c>
      <c r="T1681" t="s">
        <v>29</v>
      </c>
      <c r="U1681" t="s">
        <v>58</v>
      </c>
    </row>
    <row r="1682" spans="1:21" x14ac:dyDescent="0.35">
      <c r="A1682" t="s">
        <v>1761</v>
      </c>
      <c r="B1682" s="1">
        <v>46228</v>
      </c>
      <c r="C1682" t="str">
        <f>TEXT(tblData[[#This Row],[Rental Date]],"mmm")</f>
        <v>Jul</v>
      </c>
      <c r="D1682" t="str">
        <f>TEXT(tblData[[#This Row],[Rental Date]],"mmmm")</f>
        <v>July</v>
      </c>
      <c r="E1682" t="s">
        <v>56</v>
      </c>
      <c r="F1682" t="str">
        <f>TEXT(WEEKNUM(tblData[[#This Row],[Rental Date]]),"00")</f>
        <v>30</v>
      </c>
      <c r="G1682" s="1">
        <f>EOMONTH(tblData[[#This Row],[Rental Date]],0)</f>
        <v>46234</v>
      </c>
      <c r="H1682" t="s">
        <v>749</v>
      </c>
      <c r="I1682" t="s">
        <v>48</v>
      </c>
      <c r="J1682" t="s">
        <v>138</v>
      </c>
      <c r="K1682" t="s">
        <v>60</v>
      </c>
      <c r="L1682">
        <v>1</v>
      </c>
      <c r="M1682" s="2">
        <v>36</v>
      </c>
      <c r="N1682" t="s">
        <v>70</v>
      </c>
      <c r="O1682" s="3">
        <v>7</v>
      </c>
      <c r="P1682" s="3">
        <v>0</v>
      </c>
      <c r="Q1682" s="2">
        <v>43</v>
      </c>
      <c r="R1682" t="s">
        <v>62</v>
      </c>
      <c r="S1682" t="s">
        <v>54</v>
      </c>
      <c r="T1682" t="s">
        <v>29</v>
      </c>
      <c r="U1682" t="s">
        <v>30</v>
      </c>
    </row>
    <row r="1683" spans="1:21" x14ac:dyDescent="0.35">
      <c r="A1683" t="s">
        <v>1762</v>
      </c>
      <c r="B1683" s="1">
        <v>46228</v>
      </c>
      <c r="C1683" t="str">
        <f>TEXT(tblData[[#This Row],[Rental Date]],"mmm")</f>
        <v>Jul</v>
      </c>
      <c r="D1683" t="str">
        <f>TEXT(tblData[[#This Row],[Rental Date]],"mmmm")</f>
        <v>July</v>
      </c>
      <c r="E1683" t="s">
        <v>56</v>
      </c>
      <c r="F1683" t="str">
        <f>TEXT(WEEKNUM(tblData[[#This Row],[Rental Date]]),"00")</f>
        <v>30</v>
      </c>
      <c r="G1683" s="1">
        <f>EOMONTH(tblData[[#This Row],[Rental Date]],0)</f>
        <v>46234</v>
      </c>
      <c r="H1683" t="s">
        <v>749</v>
      </c>
      <c r="I1683" t="s">
        <v>32</v>
      </c>
      <c r="J1683" t="s">
        <v>33</v>
      </c>
      <c r="K1683" t="s">
        <v>60</v>
      </c>
      <c r="L1683">
        <v>1</v>
      </c>
      <c r="M1683" s="2">
        <v>28.8</v>
      </c>
      <c r="N1683" t="s">
        <v>89</v>
      </c>
      <c r="O1683" s="3">
        <v>6</v>
      </c>
      <c r="P1683" s="3">
        <v>3.48</v>
      </c>
      <c r="Q1683" s="2">
        <v>31.32</v>
      </c>
      <c r="R1683" t="s">
        <v>42</v>
      </c>
      <c r="S1683" t="s">
        <v>50</v>
      </c>
      <c r="T1683" t="s">
        <v>29</v>
      </c>
      <c r="U1683" t="s">
        <v>30</v>
      </c>
    </row>
    <row r="1684" spans="1:21" x14ac:dyDescent="0.35">
      <c r="A1684" t="s">
        <v>1763</v>
      </c>
      <c r="B1684" s="1">
        <v>46228</v>
      </c>
      <c r="C1684" t="str">
        <f>TEXT(tblData[[#This Row],[Rental Date]],"mmm")</f>
        <v>Jul</v>
      </c>
      <c r="D1684" t="str">
        <f>TEXT(tblData[[#This Row],[Rental Date]],"mmmm")</f>
        <v>July</v>
      </c>
      <c r="E1684" t="s">
        <v>56</v>
      </c>
      <c r="F1684" t="str">
        <f>TEXT(WEEKNUM(tblData[[#This Row],[Rental Date]]),"00")</f>
        <v>30</v>
      </c>
      <c r="G1684" s="1">
        <f>EOMONTH(tblData[[#This Row],[Rental Date]],0)</f>
        <v>46234</v>
      </c>
      <c r="H1684" t="s">
        <v>749</v>
      </c>
      <c r="I1684" t="s">
        <v>39</v>
      </c>
      <c r="J1684" t="s">
        <v>49</v>
      </c>
      <c r="K1684" t="s">
        <v>25</v>
      </c>
      <c r="L1684">
        <v>1</v>
      </c>
      <c r="M1684" s="2">
        <v>43.2</v>
      </c>
      <c r="N1684" t="s">
        <v>89</v>
      </c>
      <c r="O1684" s="3">
        <v>6</v>
      </c>
      <c r="P1684" s="3">
        <v>0</v>
      </c>
      <c r="Q1684" s="2">
        <v>49.2</v>
      </c>
      <c r="R1684" t="s">
        <v>57</v>
      </c>
      <c r="S1684" t="s">
        <v>54</v>
      </c>
      <c r="T1684" t="s">
        <v>90</v>
      </c>
      <c r="U1684" t="s">
        <v>30</v>
      </c>
    </row>
    <row r="1685" spans="1:21" x14ac:dyDescent="0.35">
      <c r="A1685" t="s">
        <v>1764</v>
      </c>
      <c r="B1685" s="1">
        <v>46228</v>
      </c>
      <c r="C1685" t="str">
        <f>TEXT(tblData[[#This Row],[Rental Date]],"mmm")</f>
        <v>Jul</v>
      </c>
      <c r="D1685" t="str">
        <f>TEXT(tblData[[#This Row],[Rental Date]],"mmmm")</f>
        <v>July</v>
      </c>
      <c r="E1685" t="s">
        <v>56</v>
      </c>
      <c r="F1685" t="str">
        <f>TEXT(WEEKNUM(tblData[[#This Row],[Rental Date]]),"00")</f>
        <v>30</v>
      </c>
      <c r="G1685" s="1">
        <f>EOMONTH(tblData[[#This Row],[Rental Date]],0)</f>
        <v>46234</v>
      </c>
      <c r="H1685" t="s">
        <v>749</v>
      </c>
      <c r="I1685" t="s">
        <v>48</v>
      </c>
      <c r="J1685" t="s">
        <v>65</v>
      </c>
      <c r="K1685" t="s">
        <v>92</v>
      </c>
      <c r="L1685">
        <v>1</v>
      </c>
      <c r="M1685" s="2">
        <v>48</v>
      </c>
      <c r="N1685" t="s">
        <v>26</v>
      </c>
      <c r="O1685" s="3">
        <v>0</v>
      </c>
      <c r="P1685" s="3">
        <v>0</v>
      </c>
      <c r="Q1685" s="2">
        <v>48</v>
      </c>
      <c r="R1685" t="s">
        <v>71</v>
      </c>
      <c r="S1685" t="s">
        <v>54</v>
      </c>
      <c r="T1685" t="s">
        <v>90</v>
      </c>
      <c r="U1685" t="s">
        <v>30</v>
      </c>
    </row>
    <row r="1686" spans="1:21" x14ac:dyDescent="0.35">
      <c r="A1686" t="s">
        <v>1765</v>
      </c>
      <c r="B1686" s="1">
        <v>46228</v>
      </c>
      <c r="C1686" t="str">
        <f>TEXT(tblData[[#This Row],[Rental Date]],"mmm")</f>
        <v>Jul</v>
      </c>
      <c r="D1686" t="str">
        <f>TEXT(tblData[[#This Row],[Rental Date]],"mmmm")</f>
        <v>July</v>
      </c>
      <c r="E1686" t="s">
        <v>56</v>
      </c>
      <c r="F1686" t="str">
        <f>TEXT(WEEKNUM(tblData[[#This Row],[Rental Date]]),"00")</f>
        <v>30</v>
      </c>
      <c r="G1686" s="1">
        <f>EOMONTH(tblData[[#This Row],[Rental Date]],0)</f>
        <v>46234</v>
      </c>
      <c r="H1686" t="s">
        <v>749</v>
      </c>
      <c r="I1686" t="s">
        <v>39</v>
      </c>
      <c r="J1686" t="s">
        <v>127</v>
      </c>
      <c r="K1686" t="s">
        <v>25</v>
      </c>
      <c r="L1686">
        <v>1</v>
      </c>
      <c r="M1686" s="2">
        <v>19.2</v>
      </c>
      <c r="N1686" t="s">
        <v>89</v>
      </c>
      <c r="O1686" s="3">
        <v>6</v>
      </c>
      <c r="P1686" s="3">
        <v>0</v>
      </c>
      <c r="Q1686" s="2">
        <v>25.2</v>
      </c>
      <c r="R1686" t="s">
        <v>27</v>
      </c>
      <c r="S1686" t="s">
        <v>46</v>
      </c>
      <c r="T1686" t="s">
        <v>90</v>
      </c>
      <c r="U1686" t="s">
        <v>30</v>
      </c>
    </row>
    <row r="1687" spans="1:21" x14ac:dyDescent="0.35">
      <c r="A1687" t="s">
        <v>1766</v>
      </c>
      <c r="B1687" s="1">
        <v>46228</v>
      </c>
      <c r="C1687" t="str">
        <f>TEXT(tblData[[#This Row],[Rental Date]],"mmm")</f>
        <v>Jul</v>
      </c>
      <c r="D1687" t="str">
        <f>TEXT(tblData[[#This Row],[Rental Date]],"mmmm")</f>
        <v>July</v>
      </c>
      <c r="E1687" t="s">
        <v>56</v>
      </c>
      <c r="F1687" t="str">
        <f>TEXT(WEEKNUM(tblData[[#This Row],[Rental Date]]),"00")</f>
        <v>30</v>
      </c>
      <c r="G1687" s="1">
        <f>EOMONTH(tblData[[#This Row],[Rental Date]],0)</f>
        <v>46234</v>
      </c>
      <c r="H1687" t="s">
        <v>749</v>
      </c>
      <c r="I1687" t="s">
        <v>48</v>
      </c>
      <c r="J1687" t="s">
        <v>24</v>
      </c>
      <c r="K1687" t="s">
        <v>40</v>
      </c>
      <c r="L1687">
        <v>1</v>
      </c>
      <c r="M1687" s="2">
        <v>91.2</v>
      </c>
      <c r="N1687" t="s">
        <v>26</v>
      </c>
      <c r="O1687" s="3">
        <v>0</v>
      </c>
      <c r="P1687" s="3">
        <v>0</v>
      </c>
      <c r="Q1687" s="2">
        <v>91.2</v>
      </c>
      <c r="R1687" t="s">
        <v>71</v>
      </c>
      <c r="S1687" t="s">
        <v>28</v>
      </c>
      <c r="T1687" t="s">
        <v>29</v>
      </c>
      <c r="U1687" t="s">
        <v>30</v>
      </c>
    </row>
    <row r="1688" spans="1:21" x14ac:dyDescent="0.35">
      <c r="A1688" t="s">
        <v>1767</v>
      </c>
      <c r="B1688" s="1">
        <v>46229</v>
      </c>
      <c r="C1688" t="str">
        <f>TEXT(tblData[[#This Row],[Rental Date]],"mmm")</f>
        <v>Jul</v>
      </c>
      <c r="D1688" t="str">
        <f>TEXT(tblData[[#This Row],[Rental Date]],"mmmm")</f>
        <v>July</v>
      </c>
      <c r="E1688" t="s">
        <v>68</v>
      </c>
      <c r="F1688" t="str">
        <f>TEXT(WEEKNUM(tblData[[#This Row],[Rental Date]]),"00")</f>
        <v>31</v>
      </c>
      <c r="G1688" s="1">
        <f>EOMONTH(tblData[[#This Row],[Rental Date]],0)</f>
        <v>46234</v>
      </c>
      <c r="H1688" t="s">
        <v>749</v>
      </c>
      <c r="I1688" t="s">
        <v>39</v>
      </c>
      <c r="J1688" t="s">
        <v>78</v>
      </c>
      <c r="K1688" t="s">
        <v>40</v>
      </c>
      <c r="L1688">
        <v>1</v>
      </c>
      <c r="M1688" s="2">
        <v>74.400000000000006</v>
      </c>
      <c r="N1688" t="s">
        <v>26</v>
      </c>
      <c r="O1688" s="3">
        <v>0</v>
      </c>
      <c r="P1688" s="3">
        <v>0</v>
      </c>
      <c r="Q1688" s="2">
        <v>74.400000000000006</v>
      </c>
      <c r="R1688" t="s">
        <v>57</v>
      </c>
      <c r="S1688" t="s">
        <v>46</v>
      </c>
      <c r="T1688" t="s">
        <v>29</v>
      </c>
      <c r="U1688" t="s">
        <v>30</v>
      </c>
    </row>
    <row r="1689" spans="1:21" x14ac:dyDescent="0.35">
      <c r="A1689" t="s">
        <v>1768</v>
      </c>
      <c r="B1689" s="1">
        <v>46229</v>
      </c>
      <c r="C1689" t="str">
        <f>TEXT(tblData[[#This Row],[Rental Date]],"mmm")</f>
        <v>Jul</v>
      </c>
      <c r="D1689" t="str">
        <f>TEXT(tblData[[#This Row],[Rental Date]],"mmmm")</f>
        <v>July</v>
      </c>
      <c r="E1689" t="s">
        <v>68</v>
      </c>
      <c r="F1689" t="str">
        <f>TEXT(WEEKNUM(tblData[[#This Row],[Rental Date]]),"00")</f>
        <v>31</v>
      </c>
      <c r="G1689" s="1">
        <f>EOMONTH(tblData[[#This Row],[Rental Date]],0)</f>
        <v>46234</v>
      </c>
      <c r="H1689" t="s">
        <v>749</v>
      </c>
      <c r="I1689" t="s">
        <v>39</v>
      </c>
      <c r="J1689" t="s">
        <v>138</v>
      </c>
      <c r="K1689" t="s">
        <v>40</v>
      </c>
      <c r="L1689">
        <v>1</v>
      </c>
      <c r="M1689" s="2">
        <v>86.4</v>
      </c>
      <c r="N1689" t="s">
        <v>26</v>
      </c>
      <c r="O1689" s="3">
        <v>0</v>
      </c>
      <c r="P1689" s="3">
        <v>0</v>
      </c>
      <c r="Q1689" s="2">
        <v>86.4</v>
      </c>
      <c r="R1689" t="s">
        <v>34</v>
      </c>
      <c r="S1689" t="s">
        <v>54</v>
      </c>
      <c r="T1689" t="s">
        <v>63</v>
      </c>
      <c r="U1689" t="s">
        <v>30</v>
      </c>
    </row>
    <row r="1690" spans="1:21" x14ac:dyDescent="0.35">
      <c r="A1690" t="s">
        <v>1769</v>
      </c>
      <c r="B1690" s="1">
        <v>46229</v>
      </c>
      <c r="C1690" t="str">
        <f>TEXT(tblData[[#This Row],[Rental Date]],"mmm")</f>
        <v>Jul</v>
      </c>
      <c r="D1690" t="str">
        <f>TEXT(tblData[[#This Row],[Rental Date]],"mmmm")</f>
        <v>July</v>
      </c>
      <c r="E1690" t="s">
        <v>68</v>
      </c>
      <c r="F1690" t="str">
        <f>TEXT(WEEKNUM(tblData[[#This Row],[Rental Date]]),"00")</f>
        <v>31</v>
      </c>
      <c r="G1690" s="1">
        <f>EOMONTH(tblData[[#This Row],[Rental Date]],0)</f>
        <v>46234</v>
      </c>
      <c r="H1690" t="s">
        <v>749</v>
      </c>
      <c r="I1690" t="s">
        <v>48</v>
      </c>
      <c r="J1690" t="s">
        <v>33</v>
      </c>
      <c r="K1690" t="s">
        <v>60</v>
      </c>
      <c r="L1690">
        <v>1</v>
      </c>
      <c r="M1690" s="2">
        <v>28.8</v>
      </c>
      <c r="N1690" t="s">
        <v>70</v>
      </c>
      <c r="O1690" s="3">
        <v>7</v>
      </c>
      <c r="P1690" s="3">
        <v>0</v>
      </c>
      <c r="Q1690" s="2">
        <v>35.799999999999997</v>
      </c>
      <c r="R1690" t="s">
        <v>45</v>
      </c>
      <c r="S1690" t="s">
        <v>50</v>
      </c>
      <c r="T1690" t="s">
        <v>51</v>
      </c>
      <c r="U1690" t="s">
        <v>30</v>
      </c>
    </row>
    <row r="1691" spans="1:21" x14ac:dyDescent="0.35">
      <c r="A1691" t="s">
        <v>1770</v>
      </c>
      <c r="B1691" s="1">
        <v>46229</v>
      </c>
      <c r="C1691" t="str">
        <f>TEXT(tblData[[#This Row],[Rental Date]],"mmm")</f>
        <v>Jul</v>
      </c>
      <c r="D1691" t="str">
        <f>TEXT(tblData[[#This Row],[Rental Date]],"mmmm")</f>
        <v>July</v>
      </c>
      <c r="E1691" t="s">
        <v>68</v>
      </c>
      <c r="F1691" t="str">
        <f>TEXT(WEEKNUM(tblData[[#This Row],[Rental Date]]),"00")</f>
        <v>31</v>
      </c>
      <c r="G1691" s="1">
        <f>EOMONTH(tblData[[#This Row],[Rental Date]],0)</f>
        <v>46234</v>
      </c>
      <c r="H1691" t="s">
        <v>749</v>
      </c>
      <c r="I1691" t="s">
        <v>39</v>
      </c>
      <c r="J1691" t="s">
        <v>78</v>
      </c>
      <c r="K1691" t="s">
        <v>25</v>
      </c>
      <c r="L1691">
        <v>1</v>
      </c>
      <c r="M1691" s="2">
        <v>50.4</v>
      </c>
      <c r="N1691" t="s">
        <v>75</v>
      </c>
      <c r="O1691" s="3">
        <v>12</v>
      </c>
      <c r="P1691" s="3">
        <v>0</v>
      </c>
      <c r="Q1691" s="2">
        <v>62.4</v>
      </c>
      <c r="R1691" t="s">
        <v>62</v>
      </c>
      <c r="S1691" t="s">
        <v>46</v>
      </c>
      <c r="T1691" t="s">
        <v>29</v>
      </c>
      <c r="U1691" t="s">
        <v>30</v>
      </c>
    </row>
    <row r="1692" spans="1:21" x14ac:dyDescent="0.35">
      <c r="A1692" t="s">
        <v>1771</v>
      </c>
      <c r="B1692" s="1">
        <v>46229</v>
      </c>
      <c r="C1692" t="str">
        <f>TEXT(tblData[[#This Row],[Rental Date]],"mmm")</f>
        <v>Jul</v>
      </c>
      <c r="D1692" t="str">
        <f>TEXT(tblData[[#This Row],[Rental Date]],"mmmm")</f>
        <v>July</v>
      </c>
      <c r="E1692" t="s">
        <v>68</v>
      </c>
      <c r="F1692" t="str">
        <f>TEXT(WEEKNUM(tblData[[#This Row],[Rental Date]]),"00")</f>
        <v>31</v>
      </c>
      <c r="G1692" s="1">
        <f>EOMONTH(tblData[[#This Row],[Rental Date]],0)</f>
        <v>46234</v>
      </c>
      <c r="H1692" t="s">
        <v>749</v>
      </c>
      <c r="I1692" t="s">
        <v>32</v>
      </c>
      <c r="J1692" t="s">
        <v>111</v>
      </c>
      <c r="K1692" t="s">
        <v>60</v>
      </c>
      <c r="L1692">
        <v>1</v>
      </c>
      <c r="M1692" s="2">
        <v>16.8</v>
      </c>
      <c r="N1692" t="s">
        <v>26</v>
      </c>
      <c r="O1692" s="3">
        <v>0</v>
      </c>
      <c r="P1692" s="3">
        <v>0.84</v>
      </c>
      <c r="Q1692" s="2">
        <v>15.96</v>
      </c>
      <c r="R1692" t="s">
        <v>45</v>
      </c>
      <c r="S1692" t="s">
        <v>28</v>
      </c>
      <c r="T1692" t="s">
        <v>51</v>
      </c>
      <c r="U1692" t="s">
        <v>30</v>
      </c>
    </row>
    <row r="1693" spans="1:21" x14ac:dyDescent="0.35">
      <c r="A1693" t="s">
        <v>1772</v>
      </c>
      <c r="B1693" s="1">
        <v>46229</v>
      </c>
      <c r="C1693" t="str">
        <f>TEXT(tblData[[#This Row],[Rental Date]],"mmm")</f>
        <v>Jul</v>
      </c>
      <c r="D1693" t="str">
        <f>TEXT(tblData[[#This Row],[Rental Date]],"mmmm")</f>
        <v>July</v>
      </c>
      <c r="E1693" t="s">
        <v>68</v>
      </c>
      <c r="F1693" t="str">
        <f>TEXT(WEEKNUM(tblData[[#This Row],[Rental Date]]),"00")</f>
        <v>31</v>
      </c>
      <c r="G1693" s="1">
        <f>EOMONTH(tblData[[#This Row],[Rental Date]],0)</f>
        <v>46234</v>
      </c>
      <c r="H1693" t="s">
        <v>749</v>
      </c>
      <c r="I1693" t="s">
        <v>53</v>
      </c>
      <c r="J1693" t="s">
        <v>33</v>
      </c>
      <c r="K1693" t="s">
        <v>40</v>
      </c>
      <c r="L1693">
        <v>1</v>
      </c>
      <c r="M1693" s="2">
        <v>69.599999999999994</v>
      </c>
      <c r="N1693" t="s">
        <v>89</v>
      </c>
      <c r="O1693" s="3">
        <v>6</v>
      </c>
      <c r="P1693" s="3">
        <v>7.56</v>
      </c>
      <c r="Q1693" s="2">
        <v>68.040000000000006</v>
      </c>
      <c r="R1693" t="s">
        <v>66</v>
      </c>
      <c r="S1693" t="s">
        <v>54</v>
      </c>
      <c r="T1693" t="s">
        <v>29</v>
      </c>
      <c r="U1693" t="s">
        <v>58</v>
      </c>
    </row>
    <row r="1694" spans="1:21" x14ac:dyDescent="0.35">
      <c r="A1694" t="s">
        <v>1773</v>
      </c>
      <c r="B1694" s="1">
        <v>46229</v>
      </c>
      <c r="C1694" t="str">
        <f>TEXT(tblData[[#This Row],[Rental Date]],"mmm")</f>
        <v>Jul</v>
      </c>
      <c r="D1694" t="str">
        <f>TEXT(tblData[[#This Row],[Rental Date]],"mmmm")</f>
        <v>July</v>
      </c>
      <c r="E1694" t="s">
        <v>68</v>
      </c>
      <c r="F1694" t="str">
        <f>TEXT(WEEKNUM(tblData[[#This Row],[Rental Date]]),"00")</f>
        <v>31</v>
      </c>
      <c r="G1694" s="1">
        <f>EOMONTH(tblData[[#This Row],[Rental Date]],0)</f>
        <v>46234</v>
      </c>
      <c r="H1694" t="s">
        <v>749</v>
      </c>
      <c r="I1694" t="s">
        <v>39</v>
      </c>
      <c r="J1694" t="s">
        <v>49</v>
      </c>
      <c r="K1694" t="s">
        <v>25</v>
      </c>
      <c r="L1694">
        <v>1</v>
      </c>
      <c r="M1694" s="2">
        <v>43.2</v>
      </c>
      <c r="N1694" t="s">
        <v>26</v>
      </c>
      <c r="O1694" s="3">
        <v>0</v>
      </c>
      <c r="P1694" s="3">
        <v>0</v>
      </c>
      <c r="Q1694" s="2">
        <v>43.2</v>
      </c>
      <c r="R1694" t="s">
        <v>62</v>
      </c>
      <c r="S1694" t="s">
        <v>28</v>
      </c>
      <c r="T1694" t="s">
        <v>51</v>
      </c>
      <c r="U1694" t="s">
        <v>30</v>
      </c>
    </row>
    <row r="1695" spans="1:21" x14ac:dyDescent="0.35">
      <c r="A1695" t="s">
        <v>1774</v>
      </c>
      <c r="B1695" s="1">
        <v>46229</v>
      </c>
      <c r="C1695" t="str">
        <f>TEXT(tblData[[#This Row],[Rental Date]],"mmm")</f>
        <v>Jul</v>
      </c>
      <c r="D1695" t="str">
        <f>TEXT(tblData[[#This Row],[Rental Date]],"mmmm")</f>
        <v>July</v>
      </c>
      <c r="E1695" t="s">
        <v>68</v>
      </c>
      <c r="F1695" t="str">
        <f>TEXT(WEEKNUM(tblData[[#This Row],[Rental Date]]),"00")</f>
        <v>31</v>
      </c>
      <c r="G1695" s="1">
        <f>EOMONTH(tblData[[#This Row],[Rental Date]],0)</f>
        <v>46234</v>
      </c>
      <c r="H1695" t="s">
        <v>749</v>
      </c>
      <c r="I1695" t="s">
        <v>48</v>
      </c>
      <c r="J1695" t="s">
        <v>33</v>
      </c>
      <c r="K1695" t="s">
        <v>25</v>
      </c>
      <c r="L1695">
        <v>1</v>
      </c>
      <c r="M1695" s="2">
        <v>45.6</v>
      </c>
      <c r="N1695" t="s">
        <v>26</v>
      </c>
      <c r="O1695" s="3">
        <v>0</v>
      </c>
      <c r="P1695" s="3">
        <v>0</v>
      </c>
      <c r="Q1695" s="2">
        <v>45.6</v>
      </c>
      <c r="R1695" t="s">
        <v>57</v>
      </c>
      <c r="S1695" t="s">
        <v>28</v>
      </c>
      <c r="T1695" t="s">
        <v>29</v>
      </c>
      <c r="U1695" t="s">
        <v>30</v>
      </c>
    </row>
    <row r="1696" spans="1:21" x14ac:dyDescent="0.35">
      <c r="A1696" t="s">
        <v>1775</v>
      </c>
      <c r="B1696" s="1">
        <v>46229</v>
      </c>
      <c r="C1696" t="str">
        <f>TEXT(tblData[[#This Row],[Rental Date]],"mmm")</f>
        <v>Jul</v>
      </c>
      <c r="D1696" t="str">
        <f>TEXT(tblData[[#This Row],[Rental Date]],"mmmm")</f>
        <v>July</v>
      </c>
      <c r="E1696" t="s">
        <v>68</v>
      </c>
      <c r="F1696" t="str">
        <f>TEXT(WEEKNUM(tblData[[#This Row],[Rental Date]]),"00")</f>
        <v>31</v>
      </c>
      <c r="G1696" s="1">
        <f>EOMONTH(tblData[[#This Row],[Rental Date]],0)</f>
        <v>46234</v>
      </c>
      <c r="H1696" t="s">
        <v>749</v>
      </c>
      <c r="I1696" t="s">
        <v>39</v>
      </c>
      <c r="J1696" t="s">
        <v>44</v>
      </c>
      <c r="K1696" t="s">
        <v>60</v>
      </c>
      <c r="L1696">
        <v>1</v>
      </c>
      <c r="M1696" s="2">
        <v>40.799999999999997</v>
      </c>
      <c r="N1696" t="s">
        <v>87</v>
      </c>
      <c r="O1696" s="3">
        <v>10</v>
      </c>
      <c r="P1696" s="3">
        <v>0</v>
      </c>
      <c r="Q1696" s="2">
        <v>50.8</v>
      </c>
      <c r="R1696" t="s">
        <v>71</v>
      </c>
      <c r="S1696" t="s">
        <v>50</v>
      </c>
      <c r="T1696" t="s">
        <v>29</v>
      </c>
      <c r="U1696" t="s">
        <v>79</v>
      </c>
    </row>
    <row r="1697" spans="1:21" x14ac:dyDescent="0.35">
      <c r="A1697" t="s">
        <v>1776</v>
      </c>
      <c r="B1697" s="1">
        <v>46229</v>
      </c>
      <c r="C1697" t="str">
        <f>TEXT(tblData[[#This Row],[Rental Date]],"mmm")</f>
        <v>Jul</v>
      </c>
      <c r="D1697" t="str">
        <f>TEXT(tblData[[#This Row],[Rental Date]],"mmmm")</f>
        <v>July</v>
      </c>
      <c r="E1697" t="s">
        <v>68</v>
      </c>
      <c r="F1697" t="str">
        <f>TEXT(WEEKNUM(tblData[[#This Row],[Rental Date]]),"00")</f>
        <v>31</v>
      </c>
      <c r="G1697" s="1">
        <f>EOMONTH(tblData[[#This Row],[Rental Date]],0)</f>
        <v>46234</v>
      </c>
      <c r="H1697" t="s">
        <v>749</v>
      </c>
      <c r="I1697" t="s">
        <v>48</v>
      </c>
      <c r="J1697" t="s">
        <v>78</v>
      </c>
      <c r="K1697" t="s">
        <v>25</v>
      </c>
      <c r="L1697">
        <v>1</v>
      </c>
      <c r="M1697" s="2">
        <v>50.4</v>
      </c>
      <c r="N1697" t="s">
        <v>26</v>
      </c>
      <c r="O1697" s="3">
        <v>0</v>
      </c>
      <c r="P1697" s="3">
        <v>0</v>
      </c>
      <c r="Q1697" s="2">
        <v>50.4</v>
      </c>
      <c r="R1697" t="s">
        <v>66</v>
      </c>
      <c r="S1697" t="s">
        <v>28</v>
      </c>
      <c r="T1697" t="s">
        <v>63</v>
      </c>
      <c r="U1697" t="s">
        <v>30</v>
      </c>
    </row>
    <row r="1698" spans="1:21" x14ac:dyDescent="0.35">
      <c r="A1698" t="s">
        <v>1777</v>
      </c>
      <c r="B1698" s="1">
        <v>46229</v>
      </c>
      <c r="C1698" t="str">
        <f>TEXT(tblData[[#This Row],[Rental Date]],"mmm")</f>
        <v>Jul</v>
      </c>
      <c r="D1698" t="str">
        <f>TEXT(tblData[[#This Row],[Rental Date]],"mmmm")</f>
        <v>July</v>
      </c>
      <c r="E1698" t="s">
        <v>68</v>
      </c>
      <c r="F1698" t="str">
        <f>TEXT(WEEKNUM(tblData[[#This Row],[Rental Date]]),"00")</f>
        <v>31</v>
      </c>
      <c r="G1698" s="1">
        <f>EOMONTH(tblData[[#This Row],[Rental Date]],0)</f>
        <v>46234</v>
      </c>
      <c r="H1698" t="s">
        <v>749</v>
      </c>
      <c r="I1698" t="s">
        <v>32</v>
      </c>
      <c r="J1698" t="s">
        <v>44</v>
      </c>
      <c r="K1698" t="s">
        <v>60</v>
      </c>
      <c r="L1698">
        <v>1</v>
      </c>
      <c r="M1698" s="2">
        <v>40.799999999999997</v>
      </c>
      <c r="N1698" t="s">
        <v>89</v>
      </c>
      <c r="O1698" s="3">
        <v>6</v>
      </c>
      <c r="P1698" s="3">
        <v>2.34</v>
      </c>
      <c r="Q1698" s="2">
        <v>44.46</v>
      </c>
      <c r="R1698" t="s">
        <v>34</v>
      </c>
      <c r="S1698" t="s">
        <v>50</v>
      </c>
      <c r="T1698" t="s">
        <v>51</v>
      </c>
      <c r="U1698" t="s">
        <v>30</v>
      </c>
    </row>
    <row r="1699" spans="1:21" x14ac:dyDescent="0.35">
      <c r="A1699" t="s">
        <v>1778</v>
      </c>
      <c r="B1699" s="1">
        <v>46229</v>
      </c>
      <c r="C1699" t="str">
        <f>TEXT(tblData[[#This Row],[Rental Date]],"mmm")</f>
        <v>Jul</v>
      </c>
      <c r="D1699" t="str">
        <f>TEXT(tblData[[#This Row],[Rental Date]],"mmmm")</f>
        <v>July</v>
      </c>
      <c r="E1699" t="s">
        <v>68</v>
      </c>
      <c r="F1699" t="str">
        <f>TEXT(WEEKNUM(tblData[[#This Row],[Rental Date]]),"00")</f>
        <v>31</v>
      </c>
      <c r="G1699" s="1">
        <f>EOMONTH(tblData[[#This Row],[Rental Date]],0)</f>
        <v>46234</v>
      </c>
      <c r="H1699" t="s">
        <v>749</v>
      </c>
      <c r="I1699" t="s">
        <v>32</v>
      </c>
      <c r="J1699" t="s">
        <v>44</v>
      </c>
      <c r="K1699" t="s">
        <v>40</v>
      </c>
      <c r="L1699">
        <v>1</v>
      </c>
      <c r="M1699" s="2">
        <v>93.6</v>
      </c>
      <c r="N1699" t="s">
        <v>26</v>
      </c>
      <c r="O1699" s="3">
        <v>0</v>
      </c>
      <c r="P1699" s="3">
        <v>4.68</v>
      </c>
      <c r="Q1699" s="2">
        <v>88.92</v>
      </c>
      <c r="R1699" t="s">
        <v>45</v>
      </c>
      <c r="S1699" t="s">
        <v>50</v>
      </c>
      <c r="T1699" t="s">
        <v>90</v>
      </c>
      <c r="U1699" t="s">
        <v>58</v>
      </c>
    </row>
    <row r="1700" spans="1:21" x14ac:dyDescent="0.35">
      <c r="A1700" t="s">
        <v>1779</v>
      </c>
      <c r="B1700" s="1">
        <v>46229</v>
      </c>
      <c r="C1700" t="str">
        <f>TEXT(tblData[[#This Row],[Rental Date]],"mmm")</f>
        <v>Jul</v>
      </c>
      <c r="D1700" t="str">
        <f>TEXT(tblData[[#This Row],[Rental Date]],"mmmm")</f>
        <v>July</v>
      </c>
      <c r="E1700" t="s">
        <v>68</v>
      </c>
      <c r="F1700" t="str">
        <f>TEXT(WEEKNUM(tblData[[#This Row],[Rental Date]]),"00")</f>
        <v>31</v>
      </c>
      <c r="G1700" s="1">
        <f>EOMONTH(tblData[[#This Row],[Rental Date]],0)</f>
        <v>46234</v>
      </c>
      <c r="H1700" t="s">
        <v>749</v>
      </c>
      <c r="I1700" t="s">
        <v>23</v>
      </c>
      <c r="J1700" t="s">
        <v>44</v>
      </c>
      <c r="K1700" t="s">
        <v>25</v>
      </c>
      <c r="L1700">
        <v>1</v>
      </c>
      <c r="M1700" s="2">
        <v>62.4</v>
      </c>
      <c r="N1700" t="s">
        <v>41</v>
      </c>
      <c r="O1700" s="3">
        <v>5</v>
      </c>
      <c r="P1700" s="3">
        <v>0</v>
      </c>
      <c r="Q1700" s="2">
        <v>67.400000000000006</v>
      </c>
      <c r="R1700" t="s">
        <v>57</v>
      </c>
      <c r="S1700" t="s">
        <v>35</v>
      </c>
      <c r="T1700" t="s">
        <v>51</v>
      </c>
      <c r="U1700" t="s">
        <v>30</v>
      </c>
    </row>
    <row r="1701" spans="1:21" x14ac:dyDescent="0.35">
      <c r="A1701" t="s">
        <v>1780</v>
      </c>
      <c r="B1701" s="1">
        <v>46229</v>
      </c>
      <c r="C1701" t="str">
        <f>TEXT(tblData[[#This Row],[Rental Date]],"mmm")</f>
        <v>Jul</v>
      </c>
      <c r="D1701" t="str">
        <f>TEXT(tblData[[#This Row],[Rental Date]],"mmmm")</f>
        <v>July</v>
      </c>
      <c r="E1701" t="s">
        <v>68</v>
      </c>
      <c r="F1701" t="str">
        <f>TEXT(WEEKNUM(tblData[[#This Row],[Rental Date]]),"00")</f>
        <v>31</v>
      </c>
      <c r="G1701" s="1">
        <f>EOMONTH(tblData[[#This Row],[Rental Date]],0)</f>
        <v>46234</v>
      </c>
      <c r="H1701" t="s">
        <v>749</v>
      </c>
      <c r="I1701" t="s">
        <v>23</v>
      </c>
      <c r="J1701" t="s">
        <v>33</v>
      </c>
      <c r="K1701" t="s">
        <v>40</v>
      </c>
      <c r="L1701">
        <v>1</v>
      </c>
      <c r="M1701" s="2">
        <v>69.599999999999994</v>
      </c>
      <c r="N1701" t="s">
        <v>26</v>
      </c>
      <c r="O1701" s="3">
        <v>0</v>
      </c>
      <c r="P1701" s="3">
        <v>0</v>
      </c>
      <c r="Q1701" s="2">
        <v>69.599999999999994</v>
      </c>
      <c r="R1701" t="s">
        <v>27</v>
      </c>
      <c r="S1701" t="s">
        <v>50</v>
      </c>
      <c r="T1701" t="s">
        <v>51</v>
      </c>
      <c r="U1701" t="s">
        <v>79</v>
      </c>
    </row>
    <row r="1702" spans="1:21" x14ac:dyDescent="0.35">
      <c r="A1702" t="s">
        <v>1781</v>
      </c>
      <c r="B1702" s="1">
        <v>46229</v>
      </c>
      <c r="C1702" t="str">
        <f>TEXT(tblData[[#This Row],[Rental Date]],"mmm")</f>
        <v>Jul</v>
      </c>
      <c r="D1702" t="str">
        <f>TEXT(tblData[[#This Row],[Rental Date]],"mmmm")</f>
        <v>July</v>
      </c>
      <c r="E1702" t="s">
        <v>68</v>
      </c>
      <c r="F1702" t="str">
        <f>TEXT(WEEKNUM(tblData[[#This Row],[Rental Date]]),"00")</f>
        <v>31</v>
      </c>
      <c r="G1702" s="1">
        <f>EOMONTH(tblData[[#This Row],[Rental Date]],0)</f>
        <v>46234</v>
      </c>
      <c r="H1702" t="s">
        <v>749</v>
      </c>
      <c r="I1702" t="s">
        <v>53</v>
      </c>
      <c r="J1702" t="s">
        <v>33</v>
      </c>
      <c r="K1702" t="s">
        <v>60</v>
      </c>
      <c r="L1702">
        <v>1</v>
      </c>
      <c r="M1702" s="2">
        <v>28.8</v>
      </c>
      <c r="N1702" t="s">
        <v>70</v>
      </c>
      <c r="O1702" s="3">
        <v>7</v>
      </c>
      <c r="P1702" s="3">
        <v>5.37</v>
      </c>
      <c r="Q1702" s="2">
        <v>30.43</v>
      </c>
      <c r="R1702" t="s">
        <v>57</v>
      </c>
      <c r="S1702" t="s">
        <v>46</v>
      </c>
      <c r="T1702" t="s">
        <v>29</v>
      </c>
      <c r="U1702" t="s">
        <v>30</v>
      </c>
    </row>
    <row r="1703" spans="1:21" x14ac:dyDescent="0.35">
      <c r="A1703" t="s">
        <v>1782</v>
      </c>
      <c r="B1703" s="1">
        <v>46229</v>
      </c>
      <c r="C1703" t="str">
        <f>TEXT(tblData[[#This Row],[Rental Date]],"mmm")</f>
        <v>Jul</v>
      </c>
      <c r="D1703" t="str">
        <f>TEXT(tblData[[#This Row],[Rental Date]],"mmmm")</f>
        <v>July</v>
      </c>
      <c r="E1703" t="s">
        <v>68</v>
      </c>
      <c r="F1703" t="str">
        <f>TEXT(WEEKNUM(tblData[[#This Row],[Rental Date]]),"00")</f>
        <v>31</v>
      </c>
      <c r="G1703" s="1">
        <f>EOMONTH(tblData[[#This Row],[Rental Date]],0)</f>
        <v>46234</v>
      </c>
      <c r="H1703" t="s">
        <v>749</v>
      </c>
      <c r="I1703" t="s">
        <v>32</v>
      </c>
      <c r="J1703" t="s">
        <v>33</v>
      </c>
      <c r="K1703" t="s">
        <v>60</v>
      </c>
      <c r="L1703">
        <v>1</v>
      </c>
      <c r="M1703" s="2">
        <v>28.8</v>
      </c>
      <c r="N1703" t="s">
        <v>89</v>
      </c>
      <c r="O1703" s="3">
        <v>6</v>
      </c>
      <c r="P1703" s="3">
        <v>0</v>
      </c>
      <c r="Q1703" s="2">
        <v>34.799999999999997</v>
      </c>
      <c r="R1703" t="s">
        <v>45</v>
      </c>
      <c r="S1703" t="s">
        <v>54</v>
      </c>
      <c r="T1703" t="s">
        <v>29</v>
      </c>
      <c r="U1703" t="s">
        <v>30</v>
      </c>
    </row>
    <row r="1704" spans="1:21" x14ac:dyDescent="0.35">
      <c r="A1704" t="s">
        <v>1783</v>
      </c>
      <c r="B1704" s="1">
        <v>46229</v>
      </c>
      <c r="C1704" t="str">
        <f>TEXT(tblData[[#This Row],[Rental Date]],"mmm")</f>
        <v>Jul</v>
      </c>
      <c r="D1704" t="str">
        <f>TEXT(tblData[[#This Row],[Rental Date]],"mmmm")</f>
        <v>July</v>
      </c>
      <c r="E1704" t="s">
        <v>68</v>
      </c>
      <c r="F1704" t="str">
        <f>TEXT(WEEKNUM(tblData[[#This Row],[Rental Date]]),"00")</f>
        <v>31</v>
      </c>
      <c r="G1704" s="1">
        <f>EOMONTH(tblData[[#This Row],[Rental Date]],0)</f>
        <v>46234</v>
      </c>
      <c r="H1704" t="s">
        <v>749</v>
      </c>
      <c r="I1704" t="s">
        <v>48</v>
      </c>
      <c r="J1704" t="s">
        <v>49</v>
      </c>
      <c r="K1704" t="s">
        <v>40</v>
      </c>
      <c r="L1704">
        <v>1</v>
      </c>
      <c r="M1704" s="2">
        <v>64.8</v>
      </c>
      <c r="N1704" t="s">
        <v>26</v>
      </c>
      <c r="O1704" s="3">
        <v>0</v>
      </c>
      <c r="P1704" s="3">
        <v>3.24</v>
      </c>
      <c r="Q1704" s="2">
        <v>61.56</v>
      </c>
      <c r="R1704" t="s">
        <v>45</v>
      </c>
      <c r="S1704" t="s">
        <v>54</v>
      </c>
      <c r="T1704" t="s">
        <v>90</v>
      </c>
      <c r="U1704" t="s">
        <v>30</v>
      </c>
    </row>
    <row r="1705" spans="1:21" x14ac:dyDescent="0.35">
      <c r="A1705" t="s">
        <v>1784</v>
      </c>
      <c r="B1705" s="1">
        <v>46229</v>
      </c>
      <c r="C1705" t="str">
        <f>TEXT(tblData[[#This Row],[Rental Date]],"mmm")</f>
        <v>Jul</v>
      </c>
      <c r="D1705" t="str">
        <f>TEXT(tblData[[#This Row],[Rental Date]],"mmmm")</f>
        <v>July</v>
      </c>
      <c r="E1705" t="s">
        <v>68</v>
      </c>
      <c r="F1705" t="str">
        <f>TEXT(WEEKNUM(tblData[[#This Row],[Rental Date]]),"00")</f>
        <v>31</v>
      </c>
      <c r="G1705" s="1">
        <f>EOMONTH(tblData[[#This Row],[Rental Date]],0)</f>
        <v>46234</v>
      </c>
      <c r="H1705" t="s">
        <v>749</v>
      </c>
      <c r="I1705" t="s">
        <v>48</v>
      </c>
      <c r="J1705" t="s">
        <v>33</v>
      </c>
      <c r="K1705" t="s">
        <v>40</v>
      </c>
      <c r="L1705">
        <v>1</v>
      </c>
      <c r="M1705" s="2">
        <v>69.599999999999994</v>
      </c>
      <c r="N1705" t="s">
        <v>26</v>
      </c>
      <c r="O1705" s="3">
        <v>0</v>
      </c>
      <c r="P1705" s="3">
        <v>3.48</v>
      </c>
      <c r="Q1705" s="2">
        <v>66.12</v>
      </c>
      <c r="R1705" t="s">
        <v>66</v>
      </c>
      <c r="S1705" t="s">
        <v>28</v>
      </c>
      <c r="T1705" t="s">
        <v>29</v>
      </c>
      <c r="U1705" t="s">
        <v>58</v>
      </c>
    </row>
    <row r="1706" spans="1:21" x14ac:dyDescent="0.35">
      <c r="A1706" t="s">
        <v>1785</v>
      </c>
      <c r="B1706" s="1">
        <v>46229</v>
      </c>
      <c r="C1706" t="str">
        <f>TEXT(tblData[[#This Row],[Rental Date]],"mmm")</f>
        <v>Jul</v>
      </c>
      <c r="D1706" t="str">
        <f>TEXT(tblData[[#This Row],[Rental Date]],"mmmm")</f>
        <v>July</v>
      </c>
      <c r="E1706" t="s">
        <v>68</v>
      </c>
      <c r="F1706" t="str">
        <f>TEXT(WEEKNUM(tblData[[#This Row],[Rental Date]]),"00")</f>
        <v>31</v>
      </c>
      <c r="G1706" s="1">
        <f>EOMONTH(tblData[[#This Row],[Rental Date]],0)</f>
        <v>46234</v>
      </c>
      <c r="H1706" t="s">
        <v>749</v>
      </c>
      <c r="I1706" t="s">
        <v>39</v>
      </c>
      <c r="J1706" t="s">
        <v>44</v>
      </c>
      <c r="K1706" t="s">
        <v>40</v>
      </c>
      <c r="L1706">
        <v>1</v>
      </c>
      <c r="M1706" s="2">
        <v>93.6</v>
      </c>
      <c r="N1706" t="s">
        <v>26</v>
      </c>
      <c r="O1706" s="3">
        <v>0</v>
      </c>
      <c r="P1706" s="3">
        <v>0</v>
      </c>
      <c r="Q1706" s="2">
        <v>93.6</v>
      </c>
      <c r="R1706" t="s">
        <v>76</v>
      </c>
      <c r="S1706" t="s">
        <v>54</v>
      </c>
      <c r="T1706" t="s">
        <v>29</v>
      </c>
      <c r="U1706" t="s">
        <v>30</v>
      </c>
    </row>
    <row r="1707" spans="1:21" x14ac:dyDescent="0.35">
      <c r="A1707" t="s">
        <v>1786</v>
      </c>
      <c r="B1707" s="1">
        <v>46229</v>
      </c>
      <c r="C1707" t="str">
        <f>TEXT(tblData[[#This Row],[Rental Date]],"mmm")</f>
        <v>Jul</v>
      </c>
      <c r="D1707" t="str">
        <f>TEXT(tblData[[#This Row],[Rental Date]],"mmmm")</f>
        <v>July</v>
      </c>
      <c r="E1707" t="s">
        <v>68</v>
      </c>
      <c r="F1707" t="str">
        <f>TEXT(WEEKNUM(tblData[[#This Row],[Rental Date]]),"00")</f>
        <v>31</v>
      </c>
      <c r="G1707" s="1">
        <f>EOMONTH(tblData[[#This Row],[Rental Date]],0)</f>
        <v>46234</v>
      </c>
      <c r="H1707" t="s">
        <v>749</v>
      </c>
      <c r="I1707" t="s">
        <v>53</v>
      </c>
      <c r="J1707" t="s">
        <v>49</v>
      </c>
      <c r="K1707" t="s">
        <v>40</v>
      </c>
      <c r="L1707">
        <v>1</v>
      </c>
      <c r="M1707" s="2">
        <v>64.8</v>
      </c>
      <c r="N1707" t="s">
        <v>89</v>
      </c>
      <c r="O1707" s="3">
        <v>6</v>
      </c>
      <c r="P1707" s="3">
        <v>10.62</v>
      </c>
      <c r="Q1707" s="2">
        <v>60.18</v>
      </c>
      <c r="R1707" t="s">
        <v>66</v>
      </c>
      <c r="S1707" t="s">
        <v>35</v>
      </c>
      <c r="T1707" t="s">
        <v>90</v>
      </c>
      <c r="U1707" t="s">
        <v>30</v>
      </c>
    </row>
    <row r="1708" spans="1:21" x14ac:dyDescent="0.35">
      <c r="A1708" t="s">
        <v>1787</v>
      </c>
      <c r="B1708" s="1">
        <v>46229</v>
      </c>
      <c r="C1708" t="str">
        <f>TEXT(tblData[[#This Row],[Rental Date]],"mmm")</f>
        <v>Jul</v>
      </c>
      <c r="D1708" t="str">
        <f>TEXT(tblData[[#This Row],[Rental Date]],"mmmm")</f>
        <v>July</v>
      </c>
      <c r="E1708" t="s">
        <v>68</v>
      </c>
      <c r="F1708" t="str">
        <f>TEXT(WEEKNUM(tblData[[#This Row],[Rental Date]]),"00")</f>
        <v>31</v>
      </c>
      <c r="G1708" s="1">
        <f>EOMONTH(tblData[[#This Row],[Rental Date]],0)</f>
        <v>46234</v>
      </c>
      <c r="H1708" t="s">
        <v>749</v>
      </c>
      <c r="I1708" t="s">
        <v>39</v>
      </c>
      <c r="J1708" t="s">
        <v>127</v>
      </c>
      <c r="K1708" t="s">
        <v>60</v>
      </c>
      <c r="L1708">
        <v>1</v>
      </c>
      <c r="M1708" s="2">
        <v>12</v>
      </c>
      <c r="N1708" t="s">
        <v>26</v>
      </c>
      <c r="O1708" s="3">
        <v>0</v>
      </c>
      <c r="P1708" s="3">
        <v>0</v>
      </c>
      <c r="Q1708" s="2">
        <v>12</v>
      </c>
      <c r="R1708" t="s">
        <v>45</v>
      </c>
      <c r="S1708" t="s">
        <v>54</v>
      </c>
      <c r="T1708" t="s">
        <v>29</v>
      </c>
      <c r="U1708" t="s">
        <v>30</v>
      </c>
    </row>
    <row r="1709" spans="1:21" x14ac:dyDescent="0.35">
      <c r="A1709" t="s">
        <v>1788</v>
      </c>
      <c r="B1709" s="1">
        <v>46229</v>
      </c>
      <c r="C1709" t="str">
        <f>TEXT(tblData[[#This Row],[Rental Date]],"mmm")</f>
        <v>Jul</v>
      </c>
      <c r="D1709" t="str">
        <f>TEXT(tblData[[#This Row],[Rental Date]],"mmmm")</f>
        <v>July</v>
      </c>
      <c r="E1709" t="s">
        <v>68</v>
      </c>
      <c r="F1709" t="str">
        <f>TEXT(WEEKNUM(tblData[[#This Row],[Rental Date]]),"00")</f>
        <v>31</v>
      </c>
      <c r="G1709" s="1">
        <f>EOMONTH(tblData[[#This Row],[Rental Date]],0)</f>
        <v>46234</v>
      </c>
      <c r="H1709" t="s">
        <v>749</v>
      </c>
      <c r="I1709" t="s">
        <v>48</v>
      </c>
      <c r="J1709" t="s">
        <v>24</v>
      </c>
      <c r="K1709" t="s">
        <v>25</v>
      </c>
      <c r="L1709">
        <v>1</v>
      </c>
      <c r="M1709" s="2">
        <v>60</v>
      </c>
      <c r="N1709" t="s">
        <v>26</v>
      </c>
      <c r="O1709" s="3">
        <v>0</v>
      </c>
      <c r="P1709" s="3">
        <v>0</v>
      </c>
      <c r="Q1709" s="2">
        <v>60</v>
      </c>
      <c r="R1709" t="s">
        <v>57</v>
      </c>
      <c r="S1709" t="s">
        <v>54</v>
      </c>
      <c r="T1709" t="s">
        <v>29</v>
      </c>
      <c r="U1709" t="s">
        <v>30</v>
      </c>
    </row>
    <row r="1710" spans="1:21" x14ac:dyDescent="0.35">
      <c r="A1710" t="s">
        <v>1789</v>
      </c>
      <c r="B1710" s="1">
        <v>46229</v>
      </c>
      <c r="C1710" t="str">
        <f>TEXT(tblData[[#This Row],[Rental Date]],"mmm")</f>
        <v>Jul</v>
      </c>
      <c r="D1710" t="str">
        <f>TEXT(tblData[[#This Row],[Rental Date]],"mmmm")</f>
        <v>July</v>
      </c>
      <c r="E1710" t="s">
        <v>68</v>
      </c>
      <c r="F1710" t="str">
        <f>TEXT(WEEKNUM(tblData[[#This Row],[Rental Date]]),"00")</f>
        <v>31</v>
      </c>
      <c r="G1710" s="1">
        <f>EOMONTH(tblData[[#This Row],[Rental Date]],0)</f>
        <v>46234</v>
      </c>
      <c r="H1710" t="s">
        <v>749</v>
      </c>
      <c r="I1710" t="s">
        <v>48</v>
      </c>
      <c r="J1710" t="s">
        <v>33</v>
      </c>
      <c r="K1710" t="s">
        <v>40</v>
      </c>
      <c r="L1710">
        <v>1</v>
      </c>
      <c r="M1710" s="2">
        <v>69.599999999999994</v>
      </c>
      <c r="N1710" t="s">
        <v>26</v>
      </c>
      <c r="O1710" s="3">
        <v>0</v>
      </c>
      <c r="P1710" s="3">
        <v>0</v>
      </c>
      <c r="Q1710" s="2">
        <v>69.599999999999994</v>
      </c>
      <c r="R1710" t="s">
        <v>94</v>
      </c>
      <c r="S1710" t="s">
        <v>35</v>
      </c>
      <c r="T1710" t="s">
        <v>29</v>
      </c>
      <c r="U1710" t="s">
        <v>30</v>
      </c>
    </row>
    <row r="1711" spans="1:21" x14ac:dyDescent="0.35">
      <c r="A1711" t="s">
        <v>1790</v>
      </c>
      <c r="B1711" s="1">
        <v>46229</v>
      </c>
      <c r="C1711" t="str">
        <f>TEXT(tblData[[#This Row],[Rental Date]],"mmm")</f>
        <v>Jul</v>
      </c>
      <c r="D1711" t="str">
        <f>TEXT(tblData[[#This Row],[Rental Date]],"mmmm")</f>
        <v>July</v>
      </c>
      <c r="E1711" t="s">
        <v>68</v>
      </c>
      <c r="F1711" t="str">
        <f>TEXT(WEEKNUM(tblData[[#This Row],[Rental Date]]),"00")</f>
        <v>31</v>
      </c>
      <c r="G1711" s="1">
        <f>EOMONTH(tblData[[#This Row],[Rental Date]],0)</f>
        <v>46234</v>
      </c>
      <c r="H1711" t="s">
        <v>749</v>
      </c>
      <c r="I1711" t="s">
        <v>39</v>
      </c>
      <c r="J1711" t="s">
        <v>78</v>
      </c>
      <c r="K1711" t="s">
        <v>25</v>
      </c>
      <c r="L1711">
        <v>1</v>
      </c>
      <c r="M1711" s="2">
        <v>50.4</v>
      </c>
      <c r="N1711" t="s">
        <v>41</v>
      </c>
      <c r="O1711" s="3">
        <v>5</v>
      </c>
      <c r="P1711" s="3">
        <v>0</v>
      </c>
      <c r="Q1711" s="2">
        <v>55.4</v>
      </c>
      <c r="R1711" t="s">
        <v>94</v>
      </c>
      <c r="S1711" t="s">
        <v>50</v>
      </c>
      <c r="T1711" t="s">
        <v>90</v>
      </c>
      <c r="U1711" t="s">
        <v>30</v>
      </c>
    </row>
    <row r="1712" spans="1:21" x14ac:dyDescent="0.35">
      <c r="A1712" t="s">
        <v>1791</v>
      </c>
      <c r="B1712" s="1">
        <v>46229</v>
      </c>
      <c r="C1712" t="str">
        <f>TEXT(tblData[[#This Row],[Rental Date]],"mmm")</f>
        <v>Jul</v>
      </c>
      <c r="D1712" t="str">
        <f>TEXT(tblData[[#This Row],[Rental Date]],"mmmm")</f>
        <v>July</v>
      </c>
      <c r="E1712" t="s">
        <v>68</v>
      </c>
      <c r="F1712" t="str">
        <f>TEXT(WEEKNUM(tblData[[#This Row],[Rental Date]]),"00")</f>
        <v>31</v>
      </c>
      <c r="G1712" s="1">
        <f>EOMONTH(tblData[[#This Row],[Rental Date]],0)</f>
        <v>46234</v>
      </c>
      <c r="H1712" t="s">
        <v>749</v>
      </c>
      <c r="I1712" t="s">
        <v>23</v>
      </c>
      <c r="J1712" t="s">
        <v>65</v>
      </c>
      <c r="K1712" t="s">
        <v>92</v>
      </c>
      <c r="L1712">
        <v>1</v>
      </c>
      <c r="M1712" s="2">
        <v>48</v>
      </c>
      <c r="N1712" t="s">
        <v>41</v>
      </c>
      <c r="O1712" s="3">
        <v>5</v>
      </c>
      <c r="P1712" s="3">
        <v>0</v>
      </c>
      <c r="Q1712" s="2">
        <v>53</v>
      </c>
      <c r="R1712" t="s">
        <v>34</v>
      </c>
      <c r="S1712" t="s">
        <v>28</v>
      </c>
      <c r="T1712" t="s">
        <v>29</v>
      </c>
      <c r="U1712" t="s">
        <v>30</v>
      </c>
    </row>
    <row r="1713" spans="1:21" x14ac:dyDescent="0.35">
      <c r="A1713" t="s">
        <v>1792</v>
      </c>
      <c r="B1713" s="1">
        <v>46229</v>
      </c>
      <c r="C1713" t="str">
        <f>TEXT(tblData[[#This Row],[Rental Date]],"mmm")</f>
        <v>Jul</v>
      </c>
      <c r="D1713" t="str">
        <f>TEXT(tblData[[#This Row],[Rental Date]],"mmmm")</f>
        <v>July</v>
      </c>
      <c r="E1713" t="s">
        <v>68</v>
      </c>
      <c r="F1713" t="str">
        <f>TEXT(WEEKNUM(tblData[[#This Row],[Rental Date]]),"00")</f>
        <v>31</v>
      </c>
      <c r="G1713" s="1">
        <f>EOMONTH(tblData[[#This Row],[Rental Date]],0)</f>
        <v>46234</v>
      </c>
      <c r="H1713" t="s">
        <v>749</v>
      </c>
      <c r="I1713" t="s">
        <v>23</v>
      </c>
      <c r="J1713" t="s">
        <v>33</v>
      </c>
      <c r="K1713" t="s">
        <v>40</v>
      </c>
      <c r="L1713">
        <v>1</v>
      </c>
      <c r="M1713" s="2">
        <v>69.599999999999994</v>
      </c>
      <c r="N1713" t="s">
        <v>41</v>
      </c>
      <c r="O1713" s="3">
        <v>5</v>
      </c>
      <c r="P1713" s="3">
        <v>0</v>
      </c>
      <c r="Q1713" s="2">
        <v>74.599999999999994</v>
      </c>
      <c r="R1713" t="s">
        <v>42</v>
      </c>
      <c r="S1713" t="s">
        <v>28</v>
      </c>
      <c r="T1713" t="s">
        <v>29</v>
      </c>
      <c r="U1713" t="s">
        <v>30</v>
      </c>
    </row>
    <row r="1714" spans="1:21" x14ac:dyDescent="0.35">
      <c r="A1714" t="s">
        <v>1793</v>
      </c>
      <c r="B1714" s="1">
        <v>46230</v>
      </c>
      <c r="C1714" t="str">
        <f>TEXT(tblData[[#This Row],[Rental Date]],"mmm")</f>
        <v>Jul</v>
      </c>
      <c r="D1714" t="str">
        <f>TEXT(tblData[[#This Row],[Rental Date]],"mmmm")</f>
        <v>July</v>
      </c>
      <c r="E1714" t="s">
        <v>74</v>
      </c>
      <c r="F1714" t="str">
        <f>TEXT(WEEKNUM(tblData[[#This Row],[Rental Date]]),"00")</f>
        <v>31</v>
      </c>
      <c r="G1714" s="1">
        <f>EOMONTH(tblData[[#This Row],[Rental Date]],0)</f>
        <v>46234</v>
      </c>
      <c r="H1714" t="s">
        <v>749</v>
      </c>
      <c r="I1714" t="s">
        <v>23</v>
      </c>
      <c r="J1714" t="s">
        <v>127</v>
      </c>
      <c r="K1714" t="s">
        <v>60</v>
      </c>
      <c r="L1714">
        <v>1</v>
      </c>
      <c r="M1714" s="2">
        <v>11.2</v>
      </c>
      <c r="N1714" t="s">
        <v>26</v>
      </c>
      <c r="O1714" s="3">
        <v>0</v>
      </c>
      <c r="P1714" s="3">
        <v>0</v>
      </c>
      <c r="Q1714" s="2">
        <v>11.2</v>
      </c>
      <c r="R1714" t="s">
        <v>71</v>
      </c>
      <c r="S1714" t="s">
        <v>28</v>
      </c>
      <c r="T1714" t="s">
        <v>90</v>
      </c>
      <c r="U1714" t="s">
        <v>30</v>
      </c>
    </row>
    <row r="1715" spans="1:21" x14ac:dyDescent="0.35">
      <c r="A1715" t="s">
        <v>1794</v>
      </c>
      <c r="B1715" s="1">
        <v>46230</v>
      </c>
      <c r="C1715" t="str">
        <f>TEXT(tblData[[#This Row],[Rental Date]],"mmm")</f>
        <v>Jul</v>
      </c>
      <c r="D1715" t="str">
        <f>TEXT(tblData[[#This Row],[Rental Date]],"mmmm")</f>
        <v>July</v>
      </c>
      <c r="E1715" t="s">
        <v>74</v>
      </c>
      <c r="F1715" t="str">
        <f>TEXT(WEEKNUM(tblData[[#This Row],[Rental Date]]),"00")</f>
        <v>31</v>
      </c>
      <c r="G1715" s="1">
        <f>EOMONTH(tblData[[#This Row],[Rental Date]],0)</f>
        <v>46234</v>
      </c>
      <c r="H1715" t="s">
        <v>749</v>
      </c>
      <c r="I1715" t="s">
        <v>48</v>
      </c>
      <c r="J1715" t="s">
        <v>138</v>
      </c>
      <c r="K1715" t="s">
        <v>25</v>
      </c>
      <c r="L1715">
        <v>1</v>
      </c>
      <c r="M1715" s="2">
        <v>53.76</v>
      </c>
      <c r="N1715" t="s">
        <v>26</v>
      </c>
      <c r="O1715" s="3">
        <v>0</v>
      </c>
      <c r="P1715" s="3">
        <v>0</v>
      </c>
      <c r="Q1715" s="2">
        <v>53.76</v>
      </c>
      <c r="R1715" t="s">
        <v>71</v>
      </c>
      <c r="S1715" t="s">
        <v>46</v>
      </c>
      <c r="T1715" t="s">
        <v>29</v>
      </c>
      <c r="U1715" t="s">
        <v>30</v>
      </c>
    </row>
    <row r="1716" spans="1:21" x14ac:dyDescent="0.35">
      <c r="A1716" t="s">
        <v>1795</v>
      </c>
      <c r="B1716" s="1">
        <v>46230</v>
      </c>
      <c r="C1716" t="str">
        <f>TEXT(tblData[[#This Row],[Rental Date]],"mmm")</f>
        <v>Jul</v>
      </c>
      <c r="D1716" t="str">
        <f>TEXT(tblData[[#This Row],[Rental Date]],"mmmm")</f>
        <v>July</v>
      </c>
      <c r="E1716" t="s">
        <v>74</v>
      </c>
      <c r="F1716" t="str">
        <f>TEXT(WEEKNUM(tblData[[#This Row],[Rental Date]]),"00")</f>
        <v>31</v>
      </c>
      <c r="G1716" s="1">
        <f>EOMONTH(tblData[[#This Row],[Rental Date]],0)</f>
        <v>46234</v>
      </c>
      <c r="H1716" t="s">
        <v>749</v>
      </c>
      <c r="I1716" t="s">
        <v>48</v>
      </c>
      <c r="J1716" t="s">
        <v>127</v>
      </c>
      <c r="K1716" t="s">
        <v>25</v>
      </c>
      <c r="L1716">
        <v>1</v>
      </c>
      <c r="M1716" s="2">
        <v>17.920000000000002</v>
      </c>
      <c r="N1716" t="s">
        <v>26</v>
      </c>
      <c r="O1716" s="3">
        <v>0</v>
      </c>
      <c r="P1716" s="3">
        <v>0</v>
      </c>
      <c r="Q1716" s="2">
        <v>17.920000000000002</v>
      </c>
      <c r="R1716" t="s">
        <v>94</v>
      </c>
      <c r="S1716" t="s">
        <v>35</v>
      </c>
      <c r="T1716" t="s">
        <v>29</v>
      </c>
      <c r="U1716" t="s">
        <v>58</v>
      </c>
    </row>
    <row r="1717" spans="1:21" x14ac:dyDescent="0.35">
      <c r="A1717" t="s">
        <v>1796</v>
      </c>
      <c r="B1717" s="1">
        <v>46230</v>
      </c>
      <c r="C1717" t="str">
        <f>TEXT(tblData[[#This Row],[Rental Date]],"mmm")</f>
        <v>Jul</v>
      </c>
      <c r="D1717" t="str">
        <f>TEXT(tblData[[#This Row],[Rental Date]],"mmmm")</f>
        <v>July</v>
      </c>
      <c r="E1717" t="s">
        <v>74</v>
      </c>
      <c r="F1717" t="str">
        <f>TEXT(WEEKNUM(tblData[[#This Row],[Rental Date]]),"00")</f>
        <v>31</v>
      </c>
      <c r="G1717" s="1">
        <f>EOMONTH(tblData[[#This Row],[Rental Date]],0)</f>
        <v>46234</v>
      </c>
      <c r="H1717" t="s">
        <v>749</v>
      </c>
      <c r="I1717" t="s">
        <v>48</v>
      </c>
      <c r="J1717" t="s">
        <v>44</v>
      </c>
      <c r="K1717" t="s">
        <v>60</v>
      </c>
      <c r="L1717">
        <v>1</v>
      </c>
      <c r="M1717" s="2">
        <v>38.08</v>
      </c>
      <c r="N1717" t="s">
        <v>26</v>
      </c>
      <c r="O1717" s="3">
        <v>0</v>
      </c>
      <c r="P1717" s="3">
        <v>0</v>
      </c>
      <c r="Q1717" s="2">
        <v>38.08</v>
      </c>
      <c r="R1717" t="s">
        <v>76</v>
      </c>
      <c r="S1717" t="s">
        <v>54</v>
      </c>
      <c r="T1717" t="s">
        <v>63</v>
      </c>
      <c r="U1717" t="s">
        <v>30</v>
      </c>
    </row>
    <row r="1718" spans="1:21" x14ac:dyDescent="0.35">
      <c r="A1718" t="s">
        <v>1797</v>
      </c>
      <c r="B1718" s="1">
        <v>46230</v>
      </c>
      <c r="C1718" t="str">
        <f>TEXT(tblData[[#This Row],[Rental Date]],"mmm")</f>
        <v>Jul</v>
      </c>
      <c r="D1718" t="str">
        <f>TEXT(tblData[[#This Row],[Rental Date]],"mmmm")</f>
        <v>July</v>
      </c>
      <c r="E1718" t="s">
        <v>74</v>
      </c>
      <c r="F1718" t="str">
        <f>TEXT(WEEKNUM(tblData[[#This Row],[Rental Date]]),"00")</f>
        <v>31</v>
      </c>
      <c r="G1718" s="1">
        <f>EOMONTH(tblData[[#This Row],[Rental Date]],0)</f>
        <v>46234</v>
      </c>
      <c r="H1718" t="s">
        <v>749</v>
      </c>
      <c r="I1718" t="s">
        <v>39</v>
      </c>
      <c r="J1718" t="s">
        <v>138</v>
      </c>
      <c r="K1718" t="s">
        <v>25</v>
      </c>
      <c r="L1718">
        <v>1</v>
      </c>
      <c r="M1718" s="2">
        <v>53.76</v>
      </c>
      <c r="N1718" t="s">
        <v>61</v>
      </c>
      <c r="O1718" s="3">
        <v>8</v>
      </c>
      <c r="P1718" s="3">
        <v>0</v>
      </c>
      <c r="Q1718" s="2">
        <v>61.76</v>
      </c>
      <c r="R1718" t="s">
        <v>94</v>
      </c>
      <c r="S1718" t="s">
        <v>28</v>
      </c>
      <c r="T1718" t="s">
        <v>29</v>
      </c>
      <c r="U1718" t="s">
        <v>30</v>
      </c>
    </row>
    <row r="1719" spans="1:21" x14ac:dyDescent="0.35">
      <c r="A1719" t="s">
        <v>1798</v>
      </c>
      <c r="B1719" s="1">
        <v>46230</v>
      </c>
      <c r="C1719" t="str">
        <f>TEXT(tblData[[#This Row],[Rental Date]],"mmm")</f>
        <v>Jul</v>
      </c>
      <c r="D1719" t="str">
        <f>TEXT(tblData[[#This Row],[Rental Date]],"mmmm")</f>
        <v>July</v>
      </c>
      <c r="E1719" t="s">
        <v>74</v>
      </c>
      <c r="F1719" t="str">
        <f>TEXT(WEEKNUM(tblData[[#This Row],[Rental Date]]),"00")</f>
        <v>31</v>
      </c>
      <c r="G1719" s="1">
        <f>EOMONTH(tblData[[#This Row],[Rental Date]],0)</f>
        <v>46234</v>
      </c>
      <c r="H1719" t="s">
        <v>749</v>
      </c>
      <c r="I1719" t="s">
        <v>48</v>
      </c>
      <c r="J1719" t="s">
        <v>33</v>
      </c>
      <c r="K1719" t="s">
        <v>25</v>
      </c>
      <c r="L1719">
        <v>1</v>
      </c>
      <c r="M1719" s="2">
        <v>42.56</v>
      </c>
      <c r="N1719" t="s">
        <v>26</v>
      </c>
      <c r="O1719" s="3">
        <v>0</v>
      </c>
      <c r="P1719" s="3">
        <v>0</v>
      </c>
      <c r="Q1719" s="2">
        <v>42.56</v>
      </c>
      <c r="R1719" t="s">
        <v>66</v>
      </c>
      <c r="S1719" t="s">
        <v>50</v>
      </c>
      <c r="T1719" t="s">
        <v>51</v>
      </c>
      <c r="U1719" t="s">
        <v>30</v>
      </c>
    </row>
    <row r="1720" spans="1:21" x14ac:dyDescent="0.35">
      <c r="A1720" t="s">
        <v>1799</v>
      </c>
      <c r="B1720" s="1">
        <v>46230</v>
      </c>
      <c r="C1720" t="str">
        <f>TEXT(tblData[[#This Row],[Rental Date]],"mmm")</f>
        <v>Jul</v>
      </c>
      <c r="D1720" t="str">
        <f>TEXT(tblData[[#This Row],[Rental Date]],"mmmm")</f>
        <v>July</v>
      </c>
      <c r="E1720" t="s">
        <v>74</v>
      </c>
      <c r="F1720" t="str">
        <f>TEXT(WEEKNUM(tblData[[#This Row],[Rental Date]]),"00")</f>
        <v>31</v>
      </c>
      <c r="G1720" s="1">
        <f>EOMONTH(tblData[[#This Row],[Rental Date]],0)</f>
        <v>46234</v>
      </c>
      <c r="H1720" t="s">
        <v>749</v>
      </c>
      <c r="I1720" t="s">
        <v>48</v>
      </c>
      <c r="J1720" t="s">
        <v>78</v>
      </c>
      <c r="K1720" t="s">
        <v>60</v>
      </c>
      <c r="L1720">
        <v>1</v>
      </c>
      <c r="M1720" s="2">
        <v>29.12</v>
      </c>
      <c r="N1720" t="s">
        <v>41</v>
      </c>
      <c r="O1720" s="3">
        <v>5</v>
      </c>
      <c r="P1720" s="3">
        <v>0</v>
      </c>
      <c r="Q1720" s="2">
        <v>34.119999999999997</v>
      </c>
      <c r="R1720" t="s">
        <v>57</v>
      </c>
      <c r="S1720" t="s">
        <v>46</v>
      </c>
      <c r="T1720" t="s">
        <v>51</v>
      </c>
      <c r="U1720" t="s">
        <v>30</v>
      </c>
    </row>
    <row r="1721" spans="1:21" x14ac:dyDescent="0.35">
      <c r="A1721" t="s">
        <v>1800</v>
      </c>
      <c r="B1721" s="1">
        <v>46230</v>
      </c>
      <c r="C1721" t="str">
        <f>TEXT(tblData[[#This Row],[Rental Date]],"mmm")</f>
        <v>Jul</v>
      </c>
      <c r="D1721" t="str">
        <f>TEXT(tblData[[#This Row],[Rental Date]],"mmmm")</f>
        <v>July</v>
      </c>
      <c r="E1721" t="s">
        <v>74</v>
      </c>
      <c r="F1721" t="str">
        <f>TEXT(WEEKNUM(tblData[[#This Row],[Rental Date]]),"00")</f>
        <v>31</v>
      </c>
      <c r="G1721" s="1">
        <f>EOMONTH(tblData[[#This Row],[Rental Date]],0)</f>
        <v>46234</v>
      </c>
      <c r="H1721" t="s">
        <v>749</v>
      </c>
      <c r="I1721" t="s">
        <v>23</v>
      </c>
      <c r="J1721" t="s">
        <v>127</v>
      </c>
      <c r="K1721" t="s">
        <v>40</v>
      </c>
      <c r="L1721">
        <v>1</v>
      </c>
      <c r="M1721" s="2">
        <v>26.88</v>
      </c>
      <c r="N1721" t="s">
        <v>61</v>
      </c>
      <c r="O1721" s="3">
        <v>8</v>
      </c>
      <c r="P1721" s="3">
        <v>0</v>
      </c>
      <c r="Q1721" s="2">
        <v>34.880000000000003</v>
      </c>
      <c r="R1721" t="s">
        <v>62</v>
      </c>
      <c r="S1721" t="s">
        <v>54</v>
      </c>
      <c r="T1721" t="s">
        <v>63</v>
      </c>
      <c r="U1721" t="s">
        <v>79</v>
      </c>
    </row>
    <row r="1722" spans="1:21" x14ac:dyDescent="0.35">
      <c r="A1722" t="s">
        <v>1801</v>
      </c>
      <c r="B1722" s="1">
        <v>46230</v>
      </c>
      <c r="C1722" t="str">
        <f>TEXT(tblData[[#This Row],[Rental Date]],"mmm")</f>
        <v>Jul</v>
      </c>
      <c r="D1722" t="str">
        <f>TEXT(tblData[[#This Row],[Rental Date]],"mmmm")</f>
        <v>July</v>
      </c>
      <c r="E1722" t="s">
        <v>74</v>
      </c>
      <c r="F1722" t="str">
        <f>TEXT(WEEKNUM(tblData[[#This Row],[Rental Date]]),"00")</f>
        <v>31</v>
      </c>
      <c r="G1722" s="1">
        <f>EOMONTH(tblData[[#This Row],[Rental Date]],0)</f>
        <v>46234</v>
      </c>
      <c r="H1722" t="s">
        <v>749</v>
      </c>
      <c r="I1722" t="s">
        <v>48</v>
      </c>
      <c r="J1722" t="s">
        <v>111</v>
      </c>
      <c r="K1722" t="s">
        <v>60</v>
      </c>
      <c r="L1722">
        <v>1</v>
      </c>
      <c r="M1722" s="2">
        <v>15.68</v>
      </c>
      <c r="N1722" t="s">
        <v>26</v>
      </c>
      <c r="O1722" s="3">
        <v>0</v>
      </c>
      <c r="P1722" s="3">
        <v>0</v>
      </c>
      <c r="Q1722" s="2">
        <v>15.68</v>
      </c>
      <c r="R1722" t="s">
        <v>27</v>
      </c>
      <c r="S1722" t="s">
        <v>54</v>
      </c>
      <c r="T1722" t="s">
        <v>90</v>
      </c>
      <c r="U1722" t="s">
        <v>30</v>
      </c>
    </row>
    <row r="1723" spans="1:21" x14ac:dyDescent="0.35">
      <c r="A1723" t="s">
        <v>1802</v>
      </c>
      <c r="B1723" s="1">
        <v>46230</v>
      </c>
      <c r="C1723" t="str">
        <f>TEXT(tblData[[#This Row],[Rental Date]],"mmm")</f>
        <v>Jul</v>
      </c>
      <c r="D1723" t="str">
        <f>TEXT(tblData[[#This Row],[Rental Date]],"mmmm")</f>
        <v>July</v>
      </c>
      <c r="E1723" t="s">
        <v>74</v>
      </c>
      <c r="F1723" t="str">
        <f>TEXT(WEEKNUM(tblData[[#This Row],[Rental Date]]),"00")</f>
        <v>31</v>
      </c>
      <c r="G1723" s="1">
        <f>EOMONTH(tblData[[#This Row],[Rental Date]],0)</f>
        <v>46234</v>
      </c>
      <c r="H1723" t="s">
        <v>749</v>
      </c>
      <c r="I1723" t="s">
        <v>23</v>
      </c>
      <c r="J1723" t="s">
        <v>24</v>
      </c>
      <c r="K1723" t="s">
        <v>25</v>
      </c>
      <c r="L1723">
        <v>1</v>
      </c>
      <c r="M1723" s="2">
        <v>56</v>
      </c>
      <c r="N1723" t="s">
        <v>26</v>
      </c>
      <c r="O1723" s="3">
        <v>0</v>
      </c>
      <c r="P1723" s="3">
        <v>0</v>
      </c>
      <c r="Q1723" s="2">
        <v>56</v>
      </c>
      <c r="R1723" t="s">
        <v>76</v>
      </c>
      <c r="S1723" t="s">
        <v>54</v>
      </c>
      <c r="T1723" t="s">
        <v>29</v>
      </c>
      <c r="U1723" t="s">
        <v>30</v>
      </c>
    </row>
    <row r="1724" spans="1:21" x14ac:dyDescent="0.35">
      <c r="A1724" t="s">
        <v>1803</v>
      </c>
      <c r="B1724" s="1">
        <v>46230</v>
      </c>
      <c r="C1724" t="str">
        <f>TEXT(tblData[[#This Row],[Rental Date]],"mmm")</f>
        <v>Jul</v>
      </c>
      <c r="D1724" t="str">
        <f>TEXT(tblData[[#This Row],[Rental Date]],"mmmm")</f>
        <v>July</v>
      </c>
      <c r="E1724" t="s">
        <v>74</v>
      </c>
      <c r="F1724" t="str">
        <f>TEXT(WEEKNUM(tblData[[#This Row],[Rental Date]]),"00")</f>
        <v>31</v>
      </c>
      <c r="G1724" s="1">
        <f>EOMONTH(tblData[[#This Row],[Rental Date]],0)</f>
        <v>46234</v>
      </c>
      <c r="H1724" t="s">
        <v>749</v>
      </c>
      <c r="I1724" t="s">
        <v>39</v>
      </c>
      <c r="J1724" t="s">
        <v>33</v>
      </c>
      <c r="K1724" t="s">
        <v>40</v>
      </c>
      <c r="L1724">
        <v>1</v>
      </c>
      <c r="M1724" s="2">
        <v>64.959999999999994</v>
      </c>
      <c r="N1724" t="s">
        <v>87</v>
      </c>
      <c r="O1724" s="3">
        <v>10</v>
      </c>
      <c r="P1724" s="3">
        <v>0</v>
      </c>
      <c r="Q1724" s="2">
        <v>74.959999999999994</v>
      </c>
      <c r="R1724" t="s">
        <v>62</v>
      </c>
      <c r="S1724" t="s">
        <v>28</v>
      </c>
      <c r="T1724" t="s">
        <v>51</v>
      </c>
      <c r="U1724" t="s">
        <v>30</v>
      </c>
    </row>
    <row r="1725" spans="1:21" x14ac:dyDescent="0.35">
      <c r="A1725" t="s">
        <v>1804</v>
      </c>
      <c r="B1725" s="1">
        <v>46230</v>
      </c>
      <c r="C1725" t="str">
        <f>TEXT(tblData[[#This Row],[Rental Date]],"mmm")</f>
        <v>Jul</v>
      </c>
      <c r="D1725" t="str">
        <f>TEXT(tblData[[#This Row],[Rental Date]],"mmmm")</f>
        <v>July</v>
      </c>
      <c r="E1725" t="s">
        <v>74</v>
      </c>
      <c r="F1725" t="str">
        <f>TEXT(WEEKNUM(tblData[[#This Row],[Rental Date]]),"00")</f>
        <v>31</v>
      </c>
      <c r="G1725" s="1">
        <f>EOMONTH(tblData[[#This Row],[Rental Date]],0)</f>
        <v>46234</v>
      </c>
      <c r="H1725" t="s">
        <v>749</v>
      </c>
      <c r="I1725" t="s">
        <v>23</v>
      </c>
      <c r="J1725" t="s">
        <v>86</v>
      </c>
      <c r="K1725" t="s">
        <v>25</v>
      </c>
      <c r="L1725">
        <v>1</v>
      </c>
      <c r="M1725" s="2">
        <v>64.959999999999994</v>
      </c>
      <c r="N1725" t="s">
        <v>26</v>
      </c>
      <c r="O1725" s="3">
        <v>0</v>
      </c>
      <c r="P1725" s="3">
        <v>0</v>
      </c>
      <c r="Q1725" s="2">
        <v>64.959999999999994</v>
      </c>
      <c r="R1725" t="s">
        <v>42</v>
      </c>
      <c r="S1725" t="s">
        <v>35</v>
      </c>
      <c r="T1725" t="s">
        <v>29</v>
      </c>
      <c r="U1725" t="s">
        <v>30</v>
      </c>
    </row>
    <row r="1726" spans="1:21" x14ac:dyDescent="0.35">
      <c r="A1726" t="s">
        <v>1805</v>
      </c>
      <c r="B1726" s="1">
        <v>46230</v>
      </c>
      <c r="C1726" t="str">
        <f>TEXT(tblData[[#This Row],[Rental Date]],"mmm")</f>
        <v>Jul</v>
      </c>
      <c r="D1726" t="str">
        <f>TEXT(tblData[[#This Row],[Rental Date]],"mmmm")</f>
        <v>July</v>
      </c>
      <c r="E1726" t="s">
        <v>74</v>
      </c>
      <c r="F1726" t="str">
        <f>TEXT(WEEKNUM(tblData[[#This Row],[Rental Date]]),"00")</f>
        <v>31</v>
      </c>
      <c r="G1726" s="1">
        <f>EOMONTH(tblData[[#This Row],[Rental Date]],0)</f>
        <v>46234</v>
      </c>
      <c r="H1726" t="s">
        <v>749</v>
      </c>
      <c r="I1726" t="s">
        <v>23</v>
      </c>
      <c r="J1726" t="s">
        <v>33</v>
      </c>
      <c r="K1726" t="s">
        <v>92</v>
      </c>
      <c r="L1726">
        <v>1</v>
      </c>
      <c r="M1726" s="2">
        <v>94.08</v>
      </c>
      <c r="N1726" t="s">
        <v>26</v>
      </c>
      <c r="O1726" s="3">
        <v>0</v>
      </c>
      <c r="P1726" s="3">
        <v>0</v>
      </c>
      <c r="Q1726" s="2">
        <v>94.08</v>
      </c>
      <c r="R1726" t="s">
        <v>42</v>
      </c>
      <c r="S1726" t="s">
        <v>28</v>
      </c>
      <c r="T1726" t="s">
        <v>90</v>
      </c>
      <c r="U1726" t="s">
        <v>30</v>
      </c>
    </row>
    <row r="1727" spans="1:21" x14ac:dyDescent="0.35">
      <c r="A1727" t="s">
        <v>1806</v>
      </c>
      <c r="B1727" s="1">
        <v>46230</v>
      </c>
      <c r="C1727" t="str">
        <f>TEXT(tblData[[#This Row],[Rental Date]],"mmm")</f>
        <v>Jul</v>
      </c>
      <c r="D1727" t="str">
        <f>TEXT(tblData[[#This Row],[Rental Date]],"mmmm")</f>
        <v>July</v>
      </c>
      <c r="E1727" t="s">
        <v>74</v>
      </c>
      <c r="F1727" t="str">
        <f>TEXT(WEEKNUM(tblData[[#This Row],[Rental Date]]),"00")</f>
        <v>31</v>
      </c>
      <c r="G1727" s="1">
        <f>EOMONTH(tblData[[#This Row],[Rental Date]],0)</f>
        <v>46234</v>
      </c>
      <c r="H1727" t="s">
        <v>749</v>
      </c>
      <c r="I1727" t="s">
        <v>48</v>
      </c>
      <c r="J1727" t="s">
        <v>33</v>
      </c>
      <c r="K1727" t="s">
        <v>60</v>
      </c>
      <c r="L1727">
        <v>1</v>
      </c>
      <c r="M1727" s="2">
        <v>26.88</v>
      </c>
      <c r="N1727" t="s">
        <v>26</v>
      </c>
      <c r="O1727" s="3">
        <v>0</v>
      </c>
      <c r="P1727" s="3">
        <v>0</v>
      </c>
      <c r="Q1727" s="2">
        <v>26.88</v>
      </c>
      <c r="R1727" t="s">
        <v>66</v>
      </c>
      <c r="S1727" t="s">
        <v>46</v>
      </c>
      <c r="T1727" t="s">
        <v>29</v>
      </c>
      <c r="U1727" t="s">
        <v>30</v>
      </c>
    </row>
    <row r="1728" spans="1:21" x14ac:dyDescent="0.35">
      <c r="A1728" t="s">
        <v>1807</v>
      </c>
      <c r="B1728" s="1">
        <v>46230</v>
      </c>
      <c r="C1728" t="str">
        <f>TEXT(tblData[[#This Row],[Rental Date]],"mmm")</f>
        <v>Jul</v>
      </c>
      <c r="D1728" t="str">
        <f>TEXT(tblData[[#This Row],[Rental Date]],"mmmm")</f>
        <v>July</v>
      </c>
      <c r="E1728" t="s">
        <v>74</v>
      </c>
      <c r="F1728" t="str">
        <f>TEXT(WEEKNUM(tblData[[#This Row],[Rental Date]]),"00")</f>
        <v>31</v>
      </c>
      <c r="G1728" s="1">
        <f>EOMONTH(tblData[[#This Row],[Rental Date]],0)</f>
        <v>46234</v>
      </c>
      <c r="H1728" t="s">
        <v>749</v>
      </c>
      <c r="I1728" t="s">
        <v>39</v>
      </c>
      <c r="J1728" t="s">
        <v>127</v>
      </c>
      <c r="K1728" t="s">
        <v>60</v>
      </c>
      <c r="L1728">
        <v>1</v>
      </c>
      <c r="M1728" s="2">
        <v>11.2</v>
      </c>
      <c r="N1728" t="s">
        <v>89</v>
      </c>
      <c r="O1728" s="3">
        <v>6</v>
      </c>
      <c r="P1728" s="3">
        <v>0</v>
      </c>
      <c r="Q1728" s="2">
        <v>17.2</v>
      </c>
      <c r="R1728" t="s">
        <v>94</v>
      </c>
      <c r="S1728" t="s">
        <v>50</v>
      </c>
      <c r="T1728" t="s">
        <v>29</v>
      </c>
      <c r="U1728" t="s">
        <v>79</v>
      </c>
    </row>
    <row r="1729" spans="1:21" x14ac:dyDescent="0.35">
      <c r="A1729" t="s">
        <v>1808</v>
      </c>
      <c r="B1729" s="1">
        <v>46230</v>
      </c>
      <c r="C1729" t="str">
        <f>TEXT(tblData[[#This Row],[Rental Date]],"mmm")</f>
        <v>Jul</v>
      </c>
      <c r="D1729" t="str">
        <f>TEXT(tblData[[#This Row],[Rental Date]],"mmmm")</f>
        <v>July</v>
      </c>
      <c r="E1729" t="s">
        <v>74</v>
      </c>
      <c r="F1729" t="str">
        <f>TEXT(WEEKNUM(tblData[[#This Row],[Rental Date]]),"00")</f>
        <v>31</v>
      </c>
      <c r="G1729" s="1">
        <f>EOMONTH(tblData[[#This Row],[Rental Date]],0)</f>
        <v>46234</v>
      </c>
      <c r="H1729" t="s">
        <v>749</v>
      </c>
      <c r="I1729" t="s">
        <v>32</v>
      </c>
      <c r="J1729" t="s">
        <v>49</v>
      </c>
      <c r="K1729" t="s">
        <v>25</v>
      </c>
      <c r="L1729">
        <v>1</v>
      </c>
      <c r="M1729" s="2">
        <v>40.32</v>
      </c>
      <c r="N1729" t="s">
        <v>87</v>
      </c>
      <c r="O1729" s="3">
        <v>10</v>
      </c>
      <c r="P1729" s="3">
        <v>2.52</v>
      </c>
      <c r="Q1729" s="2">
        <v>47.8</v>
      </c>
      <c r="R1729" t="s">
        <v>27</v>
      </c>
      <c r="S1729" t="s">
        <v>54</v>
      </c>
      <c r="T1729" t="s">
        <v>29</v>
      </c>
      <c r="U1729" t="s">
        <v>30</v>
      </c>
    </row>
    <row r="1730" spans="1:21" x14ac:dyDescent="0.35">
      <c r="A1730" t="s">
        <v>1809</v>
      </c>
      <c r="B1730" s="1">
        <v>46230</v>
      </c>
      <c r="C1730" t="str">
        <f>TEXT(tblData[[#This Row],[Rental Date]],"mmm")</f>
        <v>Jul</v>
      </c>
      <c r="D1730" t="str">
        <f>TEXT(tblData[[#This Row],[Rental Date]],"mmmm")</f>
        <v>July</v>
      </c>
      <c r="E1730" t="s">
        <v>74</v>
      </c>
      <c r="F1730" t="str">
        <f>TEXT(WEEKNUM(tblData[[#This Row],[Rental Date]]),"00")</f>
        <v>31</v>
      </c>
      <c r="G1730" s="1">
        <f>EOMONTH(tblData[[#This Row],[Rental Date]],0)</f>
        <v>46234</v>
      </c>
      <c r="H1730" t="s">
        <v>749</v>
      </c>
      <c r="I1730" t="s">
        <v>48</v>
      </c>
      <c r="J1730" t="s">
        <v>49</v>
      </c>
      <c r="K1730" t="s">
        <v>60</v>
      </c>
      <c r="L1730">
        <v>1</v>
      </c>
      <c r="M1730" s="2">
        <v>24.64</v>
      </c>
      <c r="N1730" t="s">
        <v>26</v>
      </c>
      <c r="O1730" s="3">
        <v>0</v>
      </c>
      <c r="P1730" s="3">
        <v>0</v>
      </c>
      <c r="Q1730" s="2">
        <v>24.64</v>
      </c>
      <c r="R1730" t="s">
        <v>34</v>
      </c>
      <c r="S1730" t="s">
        <v>28</v>
      </c>
      <c r="T1730" t="s">
        <v>29</v>
      </c>
      <c r="U1730" t="s">
        <v>30</v>
      </c>
    </row>
    <row r="1731" spans="1:21" x14ac:dyDescent="0.35">
      <c r="A1731" t="s">
        <v>1810</v>
      </c>
      <c r="B1731" s="1">
        <v>46231</v>
      </c>
      <c r="C1731" t="str">
        <f>TEXT(tblData[[#This Row],[Rental Date]],"mmm")</f>
        <v>Jul</v>
      </c>
      <c r="D1731" t="str">
        <f>TEXT(tblData[[#This Row],[Rental Date]],"mmmm")</f>
        <v>July</v>
      </c>
      <c r="E1731" t="s">
        <v>102</v>
      </c>
      <c r="F1731" t="str">
        <f>TEXT(WEEKNUM(tblData[[#This Row],[Rental Date]]),"00")</f>
        <v>31</v>
      </c>
      <c r="G1731" s="1">
        <f>EOMONTH(tblData[[#This Row],[Rental Date]],0)</f>
        <v>46234</v>
      </c>
      <c r="H1731" t="s">
        <v>749</v>
      </c>
      <c r="I1731" t="s">
        <v>39</v>
      </c>
      <c r="J1731" t="s">
        <v>24</v>
      </c>
      <c r="K1731" t="s">
        <v>40</v>
      </c>
      <c r="L1731">
        <v>1</v>
      </c>
      <c r="M1731" s="2">
        <v>85.12</v>
      </c>
      <c r="N1731" t="s">
        <v>26</v>
      </c>
      <c r="O1731" s="3">
        <v>0</v>
      </c>
      <c r="P1731" s="3">
        <v>0</v>
      </c>
      <c r="Q1731" s="2">
        <v>85.12</v>
      </c>
      <c r="R1731" t="s">
        <v>42</v>
      </c>
      <c r="S1731" t="s">
        <v>54</v>
      </c>
      <c r="T1731" t="s">
        <v>63</v>
      </c>
      <c r="U1731" t="s">
        <v>30</v>
      </c>
    </row>
    <row r="1732" spans="1:21" x14ac:dyDescent="0.35">
      <c r="A1732" t="s">
        <v>1811</v>
      </c>
      <c r="B1732" s="1">
        <v>46231</v>
      </c>
      <c r="C1732" t="str">
        <f>TEXT(tblData[[#This Row],[Rental Date]],"mmm")</f>
        <v>Jul</v>
      </c>
      <c r="D1732" t="str">
        <f>TEXT(tblData[[#This Row],[Rental Date]],"mmmm")</f>
        <v>July</v>
      </c>
      <c r="E1732" t="s">
        <v>102</v>
      </c>
      <c r="F1732" t="str">
        <f>TEXT(WEEKNUM(tblData[[#This Row],[Rental Date]]),"00")</f>
        <v>31</v>
      </c>
      <c r="G1732" s="1">
        <f>EOMONTH(tblData[[#This Row],[Rental Date]],0)</f>
        <v>46234</v>
      </c>
      <c r="H1732" t="s">
        <v>749</v>
      </c>
      <c r="I1732" t="s">
        <v>48</v>
      </c>
      <c r="J1732" t="s">
        <v>49</v>
      </c>
      <c r="K1732" t="s">
        <v>60</v>
      </c>
      <c r="L1732">
        <v>1</v>
      </c>
      <c r="M1732" s="2">
        <v>24.64</v>
      </c>
      <c r="N1732" t="s">
        <v>87</v>
      </c>
      <c r="O1732" s="3">
        <v>10</v>
      </c>
      <c r="P1732" s="3">
        <v>0</v>
      </c>
      <c r="Q1732" s="2">
        <v>34.64</v>
      </c>
      <c r="R1732" t="s">
        <v>62</v>
      </c>
      <c r="S1732" t="s">
        <v>46</v>
      </c>
      <c r="T1732" t="s">
        <v>29</v>
      </c>
      <c r="U1732" t="s">
        <v>30</v>
      </c>
    </row>
    <row r="1733" spans="1:21" x14ac:dyDescent="0.35">
      <c r="A1733" t="s">
        <v>1812</v>
      </c>
      <c r="B1733" s="1">
        <v>46231</v>
      </c>
      <c r="C1733" t="str">
        <f>TEXT(tblData[[#This Row],[Rental Date]],"mmm")</f>
        <v>Jul</v>
      </c>
      <c r="D1733" t="str">
        <f>TEXT(tblData[[#This Row],[Rental Date]],"mmmm")</f>
        <v>July</v>
      </c>
      <c r="E1733" t="s">
        <v>102</v>
      </c>
      <c r="F1733" t="str">
        <f>TEXT(WEEKNUM(tblData[[#This Row],[Rental Date]]),"00")</f>
        <v>31</v>
      </c>
      <c r="G1733" s="1">
        <f>EOMONTH(tblData[[#This Row],[Rental Date]],0)</f>
        <v>46234</v>
      </c>
      <c r="H1733" t="s">
        <v>749</v>
      </c>
      <c r="I1733" t="s">
        <v>39</v>
      </c>
      <c r="J1733" t="s">
        <v>138</v>
      </c>
      <c r="K1733" t="s">
        <v>25</v>
      </c>
      <c r="L1733">
        <v>1</v>
      </c>
      <c r="M1733" s="2">
        <v>53.76</v>
      </c>
      <c r="N1733" t="s">
        <v>87</v>
      </c>
      <c r="O1733" s="3">
        <v>10</v>
      </c>
      <c r="P1733" s="3">
        <v>0</v>
      </c>
      <c r="Q1733" s="2">
        <v>63.76</v>
      </c>
      <c r="R1733" t="s">
        <v>57</v>
      </c>
      <c r="S1733" t="s">
        <v>35</v>
      </c>
      <c r="T1733" t="s">
        <v>51</v>
      </c>
      <c r="U1733" t="s">
        <v>58</v>
      </c>
    </row>
    <row r="1734" spans="1:21" x14ac:dyDescent="0.35">
      <c r="A1734" t="s">
        <v>1813</v>
      </c>
      <c r="B1734" s="1">
        <v>46231</v>
      </c>
      <c r="C1734" t="str">
        <f>TEXT(tblData[[#This Row],[Rental Date]],"mmm")</f>
        <v>Jul</v>
      </c>
      <c r="D1734" t="str">
        <f>TEXT(tblData[[#This Row],[Rental Date]],"mmmm")</f>
        <v>July</v>
      </c>
      <c r="E1734" t="s">
        <v>102</v>
      </c>
      <c r="F1734" t="str">
        <f>TEXT(WEEKNUM(tblData[[#This Row],[Rental Date]]),"00")</f>
        <v>31</v>
      </c>
      <c r="G1734" s="1">
        <f>EOMONTH(tblData[[#This Row],[Rental Date]],0)</f>
        <v>46234</v>
      </c>
      <c r="H1734" t="s">
        <v>749</v>
      </c>
      <c r="I1734" t="s">
        <v>48</v>
      </c>
      <c r="J1734" t="s">
        <v>44</v>
      </c>
      <c r="K1734" t="s">
        <v>60</v>
      </c>
      <c r="L1734">
        <v>1</v>
      </c>
      <c r="M1734" s="2">
        <v>38.08</v>
      </c>
      <c r="N1734" t="s">
        <v>87</v>
      </c>
      <c r="O1734" s="3">
        <v>10</v>
      </c>
      <c r="P1734" s="3">
        <v>0</v>
      </c>
      <c r="Q1734" s="2">
        <v>48.08</v>
      </c>
      <c r="R1734" t="s">
        <v>45</v>
      </c>
      <c r="S1734" t="s">
        <v>50</v>
      </c>
      <c r="T1734" t="s">
        <v>51</v>
      </c>
      <c r="U1734" t="s">
        <v>30</v>
      </c>
    </row>
    <row r="1735" spans="1:21" x14ac:dyDescent="0.35">
      <c r="A1735" t="s">
        <v>1814</v>
      </c>
      <c r="B1735" s="1">
        <v>46231</v>
      </c>
      <c r="C1735" t="str">
        <f>TEXT(tblData[[#This Row],[Rental Date]],"mmm")</f>
        <v>Jul</v>
      </c>
      <c r="D1735" t="str">
        <f>TEXT(tblData[[#This Row],[Rental Date]],"mmmm")</f>
        <v>July</v>
      </c>
      <c r="E1735" t="s">
        <v>102</v>
      </c>
      <c r="F1735" t="str">
        <f>TEXT(WEEKNUM(tblData[[#This Row],[Rental Date]]),"00")</f>
        <v>31</v>
      </c>
      <c r="G1735" s="1">
        <f>EOMONTH(tblData[[#This Row],[Rental Date]],0)</f>
        <v>46234</v>
      </c>
      <c r="H1735" t="s">
        <v>749</v>
      </c>
      <c r="I1735" t="s">
        <v>39</v>
      </c>
      <c r="J1735" t="s">
        <v>24</v>
      </c>
      <c r="K1735" t="s">
        <v>60</v>
      </c>
      <c r="L1735">
        <v>1</v>
      </c>
      <c r="M1735" s="2">
        <v>35.840000000000003</v>
      </c>
      <c r="N1735" t="s">
        <v>61</v>
      </c>
      <c r="O1735" s="3">
        <v>8</v>
      </c>
      <c r="P1735" s="3">
        <v>2.19</v>
      </c>
      <c r="Q1735" s="2">
        <v>41.65</v>
      </c>
      <c r="R1735" t="s">
        <v>94</v>
      </c>
      <c r="S1735" t="s">
        <v>54</v>
      </c>
      <c r="T1735" t="s">
        <v>63</v>
      </c>
      <c r="U1735" t="s">
        <v>30</v>
      </c>
    </row>
    <row r="1736" spans="1:21" x14ac:dyDescent="0.35">
      <c r="A1736" t="s">
        <v>1815</v>
      </c>
      <c r="B1736" s="1">
        <v>46231</v>
      </c>
      <c r="C1736" t="str">
        <f>TEXT(tblData[[#This Row],[Rental Date]],"mmm")</f>
        <v>Jul</v>
      </c>
      <c r="D1736" t="str">
        <f>TEXT(tblData[[#This Row],[Rental Date]],"mmmm")</f>
        <v>July</v>
      </c>
      <c r="E1736" t="s">
        <v>102</v>
      </c>
      <c r="F1736" t="str">
        <f>TEXT(WEEKNUM(tblData[[#This Row],[Rental Date]]),"00")</f>
        <v>31</v>
      </c>
      <c r="G1736" s="1">
        <f>EOMONTH(tblData[[#This Row],[Rental Date]],0)</f>
        <v>46234</v>
      </c>
      <c r="H1736" t="s">
        <v>749</v>
      </c>
      <c r="I1736" t="s">
        <v>48</v>
      </c>
      <c r="J1736" t="s">
        <v>33</v>
      </c>
      <c r="K1736" t="s">
        <v>40</v>
      </c>
      <c r="L1736">
        <v>1</v>
      </c>
      <c r="M1736" s="2">
        <v>64.959999999999994</v>
      </c>
      <c r="N1736" t="s">
        <v>61</v>
      </c>
      <c r="O1736" s="3">
        <v>8</v>
      </c>
      <c r="P1736" s="3">
        <v>0</v>
      </c>
      <c r="Q1736" s="2">
        <v>72.959999999999994</v>
      </c>
      <c r="R1736" t="s">
        <v>45</v>
      </c>
      <c r="S1736" t="s">
        <v>46</v>
      </c>
      <c r="T1736" t="s">
        <v>29</v>
      </c>
      <c r="U1736" t="s">
        <v>30</v>
      </c>
    </row>
    <row r="1737" spans="1:21" x14ac:dyDescent="0.35">
      <c r="A1737" t="s">
        <v>1816</v>
      </c>
      <c r="B1737" s="1">
        <v>46231</v>
      </c>
      <c r="C1737" t="str">
        <f>TEXT(tblData[[#This Row],[Rental Date]],"mmm")</f>
        <v>Jul</v>
      </c>
      <c r="D1737" t="str">
        <f>TEXT(tblData[[#This Row],[Rental Date]],"mmmm")</f>
        <v>July</v>
      </c>
      <c r="E1737" t="s">
        <v>102</v>
      </c>
      <c r="F1737" t="str">
        <f>TEXT(WEEKNUM(tblData[[#This Row],[Rental Date]]),"00")</f>
        <v>31</v>
      </c>
      <c r="G1737" s="1">
        <f>EOMONTH(tblData[[#This Row],[Rental Date]],0)</f>
        <v>46234</v>
      </c>
      <c r="H1737" t="s">
        <v>749</v>
      </c>
      <c r="I1737" t="s">
        <v>39</v>
      </c>
      <c r="J1737" t="s">
        <v>44</v>
      </c>
      <c r="K1737" t="s">
        <v>92</v>
      </c>
      <c r="L1737">
        <v>1</v>
      </c>
      <c r="M1737" s="2">
        <v>125.44</v>
      </c>
      <c r="N1737" t="s">
        <v>26</v>
      </c>
      <c r="O1737" s="3">
        <v>0</v>
      </c>
      <c r="P1737" s="3">
        <v>0</v>
      </c>
      <c r="Q1737" s="2">
        <v>125.44</v>
      </c>
      <c r="R1737" t="s">
        <v>57</v>
      </c>
      <c r="S1737" t="s">
        <v>54</v>
      </c>
      <c r="T1737" t="s">
        <v>51</v>
      </c>
      <c r="U1737" t="s">
        <v>58</v>
      </c>
    </row>
    <row r="1738" spans="1:21" x14ac:dyDescent="0.35">
      <c r="A1738" t="s">
        <v>1817</v>
      </c>
      <c r="B1738" s="1">
        <v>46231</v>
      </c>
      <c r="C1738" t="str">
        <f>TEXT(tblData[[#This Row],[Rental Date]],"mmm")</f>
        <v>Jul</v>
      </c>
      <c r="D1738" t="str">
        <f>TEXT(tblData[[#This Row],[Rental Date]],"mmmm")</f>
        <v>July</v>
      </c>
      <c r="E1738" t="s">
        <v>102</v>
      </c>
      <c r="F1738" t="str">
        <f>TEXT(WEEKNUM(tblData[[#This Row],[Rental Date]]),"00")</f>
        <v>31</v>
      </c>
      <c r="G1738" s="1">
        <f>EOMONTH(tblData[[#This Row],[Rental Date]],0)</f>
        <v>46234</v>
      </c>
      <c r="H1738" t="s">
        <v>749</v>
      </c>
      <c r="I1738" t="s">
        <v>48</v>
      </c>
      <c r="J1738" t="s">
        <v>33</v>
      </c>
      <c r="K1738" t="s">
        <v>25</v>
      </c>
      <c r="L1738">
        <v>1</v>
      </c>
      <c r="M1738" s="2">
        <v>42.56</v>
      </c>
      <c r="N1738" t="s">
        <v>26</v>
      </c>
      <c r="O1738" s="3">
        <v>0</v>
      </c>
      <c r="P1738" s="3">
        <v>0</v>
      </c>
      <c r="Q1738" s="2">
        <v>42.56</v>
      </c>
      <c r="R1738" t="s">
        <v>94</v>
      </c>
      <c r="S1738" t="s">
        <v>35</v>
      </c>
      <c r="T1738" t="s">
        <v>29</v>
      </c>
      <c r="U1738" t="s">
        <v>30</v>
      </c>
    </row>
    <row r="1739" spans="1:21" x14ac:dyDescent="0.35">
      <c r="A1739" t="s">
        <v>1818</v>
      </c>
      <c r="B1739" s="1">
        <v>46231</v>
      </c>
      <c r="C1739" t="str">
        <f>TEXT(tblData[[#This Row],[Rental Date]],"mmm")</f>
        <v>Jul</v>
      </c>
      <c r="D1739" t="str">
        <f>TEXT(tblData[[#This Row],[Rental Date]],"mmmm")</f>
        <v>July</v>
      </c>
      <c r="E1739" t="s">
        <v>102</v>
      </c>
      <c r="F1739" t="str">
        <f>TEXT(WEEKNUM(tblData[[#This Row],[Rental Date]]),"00")</f>
        <v>31</v>
      </c>
      <c r="G1739" s="1">
        <f>EOMONTH(tblData[[#This Row],[Rental Date]],0)</f>
        <v>46234</v>
      </c>
      <c r="H1739" t="s">
        <v>749</v>
      </c>
      <c r="I1739" t="s">
        <v>23</v>
      </c>
      <c r="J1739" t="s">
        <v>33</v>
      </c>
      <c r="K1739" t="s">
        <v>25</v>
      </c>
      <c r="L1739">
        <v>1</v>
      </c>
      <c r="M1739" s="2">
        <v>42.56</v>
      </c>
      <c r="N1739" t="s">
        <v>26</v>
      </c>
      <c r="O1739" s="3">
        <v>0</v>
      </c>
      <c r="P1739" s="3">
        <v>0</v>
      </c>
      <c r="Q1739" s="2">
        <v>42.56</v>
      </c>
      <c r="R1739" t="s">
        <v>62</v>
      </c>
      <c r="S1739" t="s">
        <v>28</v>
      </c>
      <c r="T1739" t="s">
        <v>90</v>
      </c>
      <c r="U1739" t="s">
        <v>79</v>
      </c>
    </row>
    <row r="1740" spans="1:21" x14ac:dyDescent="0.35">
      <c r="A1740" t="s">
        <v>1819</v>
      </c>
      <c r="B1740" s="1">
        <v>46232</v>
      </c>
      <c r="C1740" t="str">
        <f>TEXT(tblData[[#This Row],[Rental Date]],"mmm")</f>
        <v>Jul</v>
      </c>
      <c r="D1740" t="str">
        <f>TEXT(tblData[[#This Row],[Rental Date]],"mmmm")</f>
        <v>July</v>
      </c>
      <c r="E1740" t="s">
        <v>109</v>
      </c>
      <c r="F1740" t="str">
        <f>TEXT(WEEKNUM(tblData[[#This Row],[Rental Date]]),"00")</f>
        <v>31</v>
      </c>
      <c r="G1740" s="1">
        <f>EOMONTH(tblData[[#This Row],[Rental Date]],0)</f>
        <v>46234</v>
      </c>
      <c r="H1740" t="s">
        <v>749</v>
      </c>
      <c r="I1740" t="s">
        <v>48</v>
      </c>
      <c r="J1740" t="s">
        <v>65</v>
      </c>
      <c r="K1740" t="s">
        <v>60</v>
      </c>
      <c r="L1740">
        <v>1</v>
      </c>
      <c r="M1740" s="2">
        <v>13.44</v>
      </c>
      <c r="N1740" t="s">
        <v>26</v>
      </c>
      <c r="O1740" s="3">
        <v>0</v>
      </c>
      <c r="P1740" s="3">
        <v>0</v>
      </c>
      <c r="Q1740" s="2">
        <v>13.44</v>
      </c>
      <c r="R1740" t="s">
        <v>76</v>
      </c>
      <c r="S1740" t="s">
        <v>54</v>
      </c>
      <c r="T1740" t="s">
        <v>29</v>
      </c>
      <c r="U1740" t="s">
        <v>30</v>
      </c>
    </row>
    <row r="1741" spans="1:21" x14ac:dyDescent="0.35">
      <c r="A1741" t="s">
        <v>1820</v>
      </c>
      <c r="B1741" s="1">
        <v>46232</v>
      </c>
      <c r="C1741" t="str">
        <f>TEXT(tblData[[#This Row],[Rental Date]],"mmm")</f>
        <v>Jul</v>
      </c>
      <c r="D1741" t="str">
        <f>TEXT(tblData[[#This Row],[Rental Date]],"mmmm")</f>
        <v>July</v>
      </c>
      <c r="E1741" t="s">
        <v>109</v>
      </c>
      <c r="F1741" t="str">
        <f>TEXT(WEEKNUM(tblData[[#This Row],[Rental Date]]),"00")</f>
        <v>31</v>
      </c>
      <c r="G1741" s="1">
        <f>EOMONTH(tblData[[#This Row],[Rental Date]],0)</f>
        <v>46234</v>
      </c>
      <c r="H1741" t="s">
        <v>749</v>
      </c>
      <c r="I1741" t="s">
        <v>39</v>
      </c>
      <c r="J1741" t="s">
        <v>111</v>
      </c>
      <c r="K1741" t="s">
        <v>40</v>
      </c>
      <c r="L1741">
        <v>1</v>
      </c>
      <c r="M1741" s="2">
        <v>38.08</v>
      </c>
      <c r="N1741" t="s">
        <v>26</v>
      </c>
      <c r="O1741" s="3">
        <v>0</v>
      </c>
      <c r="P1741" s="3">
        <v>0</v>
      </c>
      <c r="Q1741" s="2">
        <v>38.08</v>
      </c>
      <c r="R1741" t="s">
        <v>45</v>
      </c>
      <c r="S1741" t="s">
        <v>46</v>
      </c>
      <c r="T1741" t="s">
        <v>29</v>
      </c>
      <c r="U1741" t="s">
        <v>30</v>
      </c>
    </row>
    <row r="1742" spans="1:21" x14ac:dyDescent="0.35">
      <c r="A1742" t="s">
        <v>1821</v>
      </c>
      <c r="B1742" s="1">
        <v>46232</v>
      </c>
      <c r="C1742" t="str">
        <f>TEXT(tblData[[#This Row],[Rental Date]],"mmm")</f>
        <v>Jul</v>
      </c>
      <c r="D1742" t="str">
        <f>TEXT(tblData[[#This Row],[Rental Date]],"mmmm")</f>
        <v>July</v>
      </c>
      <c r="E1742" t="s">
        <v>109</v>
      </c>
      <c r="F1742" t="str">
        <f>TEXT(WEEKNUM(tblData[[#This Row],[Rental Date]]),"00")</f>
        <v>31</v>
      </c>
      <c r="G1742" s="1">
        <f>EOMONTH(tblData[[#This Row],[Rental Date]],0)</f>
        <v>46234</v>
      </c>
      <c r="H1742" t="s">
        <v>749</v>
      </c>
      <c r="I1742" t="s">
        <v>39</v>
      </c>
      <c r="J1742" t="s">
        <v>78</v>
      </c>
      <c r="K1742" t="s">
        <v>60</v>
      </c>
      <c r="L1742">
        <v>1</v>
      </c>
      <c r="M1742" s="2">
        <v>29.12</v>
      </c>
      <c r="N1742" t="s">
        <v>41</v>
      </c>
      <c r="O1742" s="3">
        <v>5</v>
      </c>
      <c r="P1742" s="3">
        <v>0</v>
      </c>
      <c r="Q1742" s="2">
        <v>34.119999999999997</v>
      </c>
      <c r="R1742" t="s">
        <v>62</v>
      </c>
      <c r="S1742" t="s">
        <v>46</v>
      </c>
      <c r="T1742" t="s">
        <v>63</v>
      </c>
      <c r="U1742" t="s">
        <v>30</v>
      </c>
    </row>
    <row r="1743" spans="1:21" x14ac:dyDescent="0.35">
      <c r="A1743" t="s">
        <v>1822</v>
      </c>
      <c r="B1743" s="1">
        <v>46232</v>
      </c>
      <c r="C1743" t="str">
        <f>TEXT(tblData[[#This Row],[Rental Date]],"mmm")</f>
        <v>Jul</v>
      </c>
      <c r="D1743" t="str">
        <f>TEXT(tblData[[#This Row],[Rental Date]],"mmmm")</f>
        <v>July</v>
      </c>
      <c r="E1743" t="s">
        <v>109</v>
      </c>
      <c r="F1743" t="str">
        <f>TEXT(WEEKNUM(tblData[[#This Row],[Rental Date]]),"00")</f>
        <v>31</v>
      </c>
      <c r="G1743" s="1">
        <f>EOMONTH(tblData[[#This Row],[Rental Date]],0)</f>
        <v>46234</v>
      </c>
      <c r="H1743" t="s">
        <v>749</v>
      </c>
      <c r="I1743" t="s">
        <v>48</v>
      </c>
      <c r="J1743" t="s">
        <v>49</v>
      </c>
      <c r="K1743" t="s">
        <v>40</v>
      </c>
      <c r="L1743">
        <v>1</v>
      </c>
      <c r="M1743" s="2">
        <v>60.48</v>
      </c>
      <c r="N1743" t="s">
        <v>89</v>
      </c>
      <c r="O1743" s="3">
        <v>6</v>
      </c>
      <c r="P1743" s="3">
        <v>0</v>
      </c>
      <c r="Q1743" s="2">
        <v>66.48</v>
      </c>
      <c r="R1743" t="s">
        <v>45</v>
      </c>
      <c r="S1743" t="s">
        <v>46</v>
      </c>
      <c r="T1743" t="s">
        <v>29</v>
      </c>
      <c r="U1743" t="s">
        <v>30</v>
      </c>
    </row>
    <row r="1744" spans="1:21" x14ac:dyDescent="0.35">
      <c r="A1744" t="s">
        <v>1823</v>
      </c>
      <c r="B1744" s="1">
        <v>46232</v>
      </c>
      <c r="C1744" t="str">
        <f>TEXT(tblData[[#This Row],[Rental Date]],"mmm")</f>
        <v>Jul</v>
      </c>
      <c r="D1744" t="str">
        <f>TEXT(tblData[[#This Row],[Rental Date]],"mmmm")</f>
        <v>July</v>
      </c>
      <c r="E1744" t="s">
        <v>109</v>
      </c>
      <c r="F1744" t="str">
        <f>TEXT(WEEKNUM(tblData[[#This Row],[Rental Date]]),"00")</f>
        <v>31</v>
      </c>
      <c r="G1744" s="1">
        <f>EOMONTH(tblData[[#This Row],[Rental Date]],0)</f>
        <v>46234</v>
      </c>
      <c r="H1744" t="s">
        <v>749</v>
      </c>
      <c r="I1744" t="s">
        <v>32</v>
      </c>
      <c r="J1744" t="s">
        <v>33</v>
      </c>
      <c r="K1744" t="s">
        <v>60</v>
      </c>
      <c r="L1744">
        <v>1</v>
      </c>
      <c r="M1744" s="2">
        <v>26.88</v>
      </c>
      <c r="N1744" t="s">
        <v>26</v>
      </c>
      <c r="O1744" s="3">
        <v>0</v>
      </c>
      <c r="P1744" s="3">
        <v>0</v>
      </c>
      <c r="Q1744" s="2">
        <v>26.88</v>
      </c>
      <c r="R1744" t="s">
        <v>94</v>
      </c>
      <c r="S1744" t="s">
        <v>28</v>
      </c>
      <c r="T1744" t="s">
        <v>51</v>
      </c>
      <c r="U1744" t="s">
        <v>79</v>
      </c>
    </row>
    <row r="1745" spans="1:21" x14ac:dyDescent="0.35">
      <c r="A1745" t="s">
        <v>1824</v>
      </c>
      <c r="B1745" s="1">
        <v>46232</v>
      </c>
      <c r="C1745" t="str">
        <f>TEXT(tblData[[#This Row],[Rental Date]],"mmm")</f>
        <v>Jul</v>
      </c>
      <c r="D1745" t="str">
        <f>TEXT(tblData[[#This Row],[Rental Date]],"mmmm")</f>
        <v>July</v>
      </c>
      <c r="E1745" t="s">
        <v>109</v>
      </c>
      <c r="F1745" t="str">
        <f>TEXT(WEEKNUM(tblData[[#This Row],[Rental Date]]),"00")</f>
        <v>31</v>
      </c>
      <c r="G1745" s="1">
        <f>EOMONTH(tblData[[#This Row],[Rental Date]],0)</f>
        <v>46234</v>
      </c>
      <c r="H1745" t="s">
        <v>749</v>
      </c>
      <c r="I1745" t="s">
        <v>48</v>
      </c>
      <c r="J1745" t="s">
        <v>33</v>
      </c>
      <c r="K1745" t="s">
        <v>25</v>
      </c>
      <c r="L1745">
        <v>1</v>
      </c>
      <c r="M1745" s="2">
        <v>42.56</v>
      </c>
      <c r="N1745" t="s">
        <v>26</v>
      </c>
      <c r="O1745" s="3">
        <v>0</v>
      </c>
      <c r="P1745" s="3">
        <v>0</v>
      </c>
      <c r="Q1745" s="2">
        <v>42.56</v>
      </c>
      <c r="R1745" t="s">
        <v>42</v>
      </c>
      <c r="S1745" t="s">
        <v>54</v>
      </c>
      <c r="T1745" t="s">
        <v>29</v>
      </c>
      <c r="U1745" t="s">
        <v>30</v>
      </c>
    </row>
    <row r="1746" spans="1:21" x14ac:dyDescent="0.35">
      <c r="A1746" t="s">
        <v>1825</v>
      </c>
      <c r="B1746" s="1">
        <v>46232</v>
      </c>
      <c r="C1746" t="str">
        <f>TEXT(tblData[[#This Row],[Rental Date]],"mmm")</f>
        <v>Jul</v>
      </c>
      <c r="D1746" t="str">
        <f>TEXT(tblData[[#This Row],[Rental Date]],"mmmm")</f>
        <v>July</v>
      </c>
      <c r="E1746" t="s">
        <v>109</v>
      </c>
      <c r="F1746" t="str">
        <f>TEXT(WEEKNUM(tblData[[#This Row],[Rental Date]]),"00")</f>
        <v>31</v>
      </c>
      <c r="G1746" s="1">
        <f>EOMONTH(tblData[[#This Row],[Rental Date]],0)</f>
        <v>46234</v>
      </c>
      <c r="H1746" t="s">
        <v>749</v>
      </c>
      <c r="I1746" t="s">
        <v>48</v>
      </c>
      <c r="J1746" t="s">
        <v>65</v>
      </c>
      <c r="K1746" t="s">
        <v>60</v>
      </c>
      <c r="L1746">
        <v>1</v>
      </c>
      <c r="M1746" s="2">
        <v>13.44</v>
      </c>
      <c r="N1746" t="s">
        <v>89</v>
      </c>
      <c r="O1746" s="3">
        <v>6</v>
      </c>
      <c r="P1746" s="3">
        <v>0.97</v>
      </c>
      <c r="Q1746" s="2">
        <v>18.47</v>
      </c>
      <c r="R1746" t="s">
        <v>45</v>
      </c>
      <c r="S1746" t="s">
        <v>28</v>
      </c>
      <c r="T1746" t="s">
        <v>63</v>
      </c>
      <c r="U1746" t="s">
        <v>58</v>
      </c>
    </row>
    <row r="1747" spans="1:21" x14ac:dyDescent="0.35">
      <c r="A1747" t="s">
        <v>1826</v>
      </c>
      <c r="B1747" s="1">
        <v>46232</v>
      </c>
      <c r="C1747" t="str">
        <f>TEXT(tblData[[#This Row],[Rental Date]],"mmm")</f>
        <v>Jul</v>
      </c>
      <c r="D1747" t="str">
        <f>TEXT(tblData[[#This Row],[Rental Date]],"mmmm")</f>
        <v>July</v>
      </c>
      <c r="E1747" t="s">
        <v>109</v>
      </c>
      <c r="F1747" t="str">
        <f>TEXT(WEEKNUM(tblData[[#This Row],[Rental Date]]),"00")</f>
        <v>31</v>
      </c>
      <c r="G1747" s="1">
        <f>EOMONTH(tblData[[#This Row],[Rental Date]],0)</f>
        <v>46234</v>
      </c>
      <c r="H1747" t="s">
        <v>749</v>
      </c>
      <c r="I1747" t="s">
        <v>39</v>
      </c>
      <c r="J1747" t="s">
        <v>111</v>
      </c>
      <c r="K1747" t="s">
        <v>60</v>
      </c>
      <c r="L1747">
        <v>1</v>
      </c>
      <c r="M1747" s="2">
        <v>15.68</v>
      </c>
      <c r="N1747" t="s">
        <v>89</v>
      </c>
      <c r="O1747" s="3">
        <v>6</v>
      </c>
      <c r="P1747" s="3">
        <v>0</v>
      </c>
      <c r="Q1747" s="2">
        <v>21.68</v>
      </c>
      <c r="R1747" t="s">
        <v>66</v>
      </c>
      <c r="S1747" t="s">
        <v>54</v>
      </c>
      <c r="T1747" t="s">
        <v>51</v>
      </c>
      <c r="U1747" t="s">
        <v>30</v>
      </c>
    </row>
    <row r="1748" spans="1:21" x14ac:dyDescent="0.35">
      <c r="A1748" t="s">
        <v>1827</v>
      </c>
      <c r="B1748" s="1">
        <v>46232</v>
      </c>
      <c r="C1748" t="str">
        <f>TEXT(tblData[[#This Row],[Rental Date]],"mmm")</f>
        <v>Jul</v>
      </c>
      <c r="D1748" t="str">
        <f>TEXT(tblData[[#This Row],[Rental Date]],"mmmm")</f>
        <v>July</v>
      </c>
      <c r="E1748" t="s">
        <v>109</v>
      </c>
      <c r="F1748" t="str">
        <f>TEXT(WEEKNUM(tblData[[#This Row],[Rental Date]]),"00")</f>
        <v>31</v>
      </c>
      <c r="G1748" s="1">
        <f>EOMONTH(tblData[[#This Row],[Rental Date]],0)</f>
        <v>46234</v>
      </c>
      <c r="H1748" t="s">
        <v>749</v>
      </c>
      <c r="I1748" t="s">
        <v>23</v>
      </c>
      <c r="J1748" t="s">
        <v>138</v>
      </c>
      <c r="K1748" t="s">
        <v>25</v>
      </c>
      <c r="L1748">
        <v>1</v>
      </c>
      <c r="M1748" s="2">
        <v>53.76</v>
      </c>
      <c r="N1748" t="s">
        <v>70</v>
      </c>
      <c r="O1748" s="3">
        <v>7</v>
      </c>
      <c r="P1748" s="3">
        <v>0</v>
      </c>
      <c r="Q1748" s="2">
        <v>60.76</v>
      </c>
      <c r="R1748" t="s">
        <v>45</v>
      </c>
      <c r="S1748" t="s">
        <v>54</v>
      </c>
      <c r="T1748" t="s">
        <v>63</v>
      </c>
      <c r="U1748" t="s">
        <v>58</v>
      </c>
    </row>
    <row r="1749" spans="1:21" x14ac:dyDescent="0.35">
      <c r="A1749" t="s">
        <v>1828</v>
      </c>
      <c r="B1749" s="1">
        <v>46232</v>
      </c>
      <c r="C1749" t="str">
        <f>TEXT(tblData[[#This Row],[Rental Date]],"mmm")</f>
        <v>Jul</v>
      </c>
      <c r="D1749" t="str">
        <f>TEXT(tblData[[#This Row],[Rental Date]],"mmmm")</f>
        <v>July</v>
      </c>
      <c r="E1749" t="s">
        <v>109</v>
      </c>
      <c r="F1749" t="str">
        <f>TEXT(WEEKNUM(tblData[[#This Row],[Rental Date]]),"00")</f>
        <v>31</v>
      </c>
      <c r="G1749" s="1">
        <f>EOMONTH(tblData[[#This Row],[Rental Date]],0)</f>
        <v>46234</v>
      </c>
      <c r="H1749" t="s">
        <v>749</v>
      </c>
      <c r="I1749" t="s">
        <v>48</v>
      </c>
      <c r="J1749" t="s">
        <v>33</v>
      </c>
      <c r="K1749" t="s">
        <v>25</v>
      </c>
      <c r="L1749">
        <v>1</v>
      </c>
      <c r="M1749" s="2">
        <v>42.56</v>
      </c>
      <c r="N1749" t="s">
        <v>26</v>
      </c>
      <c r="O1749" s="3">
        <v>0</v>
      </c>
      <c r="P1749" s="3">
        <v>0</v>
      </c>
      <c r="Q1749" s="2">
        <v>42.56</v>
      </c>
      <c r="R1749" t="s">
        <v>34</v>
      </c>
      <c r="S1749" t="s">
        <v>54</v>
      </c>
      <c r="T1749" t="s">
        <v>63</v>
      </c>
      <c r="U1749" t="s">
        <v>30</v>
      </c>
    </row>
    <row r="1750" spans="1:21" x14ac:dyDescent="0.35">
      <c r="A1750" t="s">
        <v>1829</v>
      </c>
      <c r="B1750" s="1">
        <v>46232</v>
      </c>
      <c r="C1750" t="str">
        <f>TEXT(tblData[[#This Row],[Rental Date]],"mmm")</f>
        <v>Jul</v>
      </c>
      <c r="D1750" t="str">
        <f>TEXT(tblData[[#This Row],[Rental Date]],"mmmm")</f>
        <v>July</v>
      </c>
      <c r="E1750" t="s">
        <v>109</v>
      </c>
      <c r="F1750" t="str">
        <f>TEXT(WEEKNUM(tblData[[#This Row],[Rental Date]]),"00")</f>
        <v>31</v>
      </c>
      <c r="G1750" s="1">
        <f>EOMONTH(tblData[[#This Row],[Rental Date]],0)</f>
        <v>46234</v>
      </c>
      <c r="H1750" t="s">
        <v>749</v>
      </c>
      <c r="I1750" t="s">
        <v>23</v>
      </c>
      <c r="J1750" t="s">
        <v>33</v>
      </c>
      <c r="K1750" t="s">
        <v>60</v>
      </c>
      <c r="L1750">
        <v>1</v>
      </c>
      <c r="M1750" s="2">
        <v>26.88</v>
      </c>
      <c r="N1750" t="s">
        <v>26</v>
      </c>
      <c r="O1750" s="3">
        <v>0</v>
      </c>
      <c r="P1750" s="3">
        <v>0</v>
      </c>
      <c r="Q1750" s="2">
        <v>26.88</v>
      </c>
      <c r="R1750" t="s">
        <v>45</v>
      </c>
      <c r="S1750" t="s">
        <v>46</v>
      </c>
      <c r="T1750" t="s">
        <v>63</v>
      </c>
      <c r="U1750" t="s">
        <v>30</v>
      </c>
    </row>
    <row r="1751" spans="1:21" x14ac:dyDescent="0.35">
      <c r="A1751" t="s">
        <v>1830</v>
      </c>
      <c r="B1751" s="1">
        <v>46232</v>
      </c>
      <c r="C1751" t="str">
        <f>TEXT(tblData[[#This Row],[Rental Date]],"mmm")</f>
        <v>Jul</v>
      </c>
      <c r="D1751" t="str">
        <f>TEXT(tblData[[#This Row],[Rental Date]],"mmmm")</f>
        <v>July</v>
      </c>
      <c r="E1751" t="s">
        <v>109</v>
      </c>
      <c r="F1751" t="str">
        <f>TEXT(WEEKNUM(tblData[[#This Row],[Rental Date]]),"00")</f>
        <v>31</v>
      </c>
      <c r="G1751" s="1">
        <f>EOMONTH(tblData[[#This Row],[Rental Date]],0)</f>
        <v>46234</v>
      </c>
      <c r="H1751" t="s">
        <v>749</v>
      </c>
      <c r="I1751" t="s">
        <v>32</v>
      </c>
      <c r="J1751" t="s">
        <v>65</v>
      </c>
      <c r="K1751" t="s">
        <v>92</v>
      </c>
      <c r="L1751">
        <v>1</v>
      </c>
      <c r="M1751" s="2">
        <v>44.8</v>
      </c>
      <c r="N1751" t="s">
        <v>89</v>
      </c>
      <c r="O1751" s="3">
        <v>6</v>
      </c>
      <c r="P1751" s="3">
        <v>5.08</v>
      </c>
      <c r="Q1751" s="2">
        <v>45.72</v>
      </c>
      <c r="R1751" t="s">
        <v>27</v>
      </c>
      <c r="S1751" t="s">
        <v>35</v>
      </c>
      <c r="T1751" t="s">
        <v>51</v>
      </c>
      <c r="U1751" t="s">
        <v>30</v>
      </c>
    </row>
    <row r="1752" spans="1:21" x14ac:dyDescent="0.35">
      <c r="A1752" t="s">
        <v>1831</v>
      </c>
      <c r="B1752" s="1">
        <v>46232</v>
      </c>
      <c r="C1752" t="str">
        <f>TEXT(tblData[[#This Row],[Rental Date]],"mmm")</f>
        <v>Jul</v>
      </c>
      <c r="D1752" t="str">
        <f>TEXT(tblData[[#This Row],[Rental Date]],"mmmm")</f>
        <v>July</v>
      </c>
      <c r="E1752" t="s">
        <v>109</v>
      </c>
      <c r="F1752" t="str">
        <f>TEXT(WEEKNUM(tblData[[#This Row],[Rental Date]]),"00")</f>
        <v>31</v>
      </c>
      <c r="G1752" s="1">
        <f>EOMONTH(tblData[[#This Row],[Rental Date]],0)</f>
        <v>46234</v>
      </c>
      <c r="H1752" t="s">
        <v>749</v>
      </c>
      <c r="I1752" t="s">
        <v>39</v>
      </c>
      <c r="J1752" t="s">
        <v>33</v>
      </c>
      <c r="K1752" t="s">
        <v>40</v>
      </c>
      <c r="L1752">
        <v>1</v>
      </c>
      <c r="M1752" s="2">
        <v>64.959999999999994</v>
      </c>
      <c r="N1752" t="s">
        <v>89</v>
      </c>
      <c r="O1752" s="3">
        <v>6</v>
      </c>
      <c r="P1752" s="3">
        <v>0</v>
      </c>
      <c r="Q1752" s="2">
        <v>70.959999999999994</v>
      </c>
      <c r="R1752" t="s">
        <v>34</v>
      </c>
      <c r="S1752" t="s">
        <v>50</v>
      </c>
      <c r="T1752" t="s">
        <v>29</v>
      </c>
      <c r="U1752" t="s">
        <v>30</v>
      </c>
    </row>
    <row r="1753" spans="1:21" x14ac:dyDescent="0.35">
      <c r="A1753" t="s">
        <v>1832</v>
      </c>
      <c r="B1753" s="1">
        <v>46232</v>
      </c>
      <c r="C1753" t="str">
        <f>TEXT(tblData[[#This Row],[Rental Date]],"mmm")</f>
        <v>Jul</v>
      </c>
      <c r="D1753" t="str">
        <f>TEXT(tblData[[#This Row],[Rental Date]],"mmmm")</f>
        <v>July</v>
      </c>
      <c r="E1753" t="s">
        <v>109</v>
      </c>
      <c r="F1753" t="str">
        <f>TEXT(WEEKNUM(tblData[[#This Row],[Rental Date]]),"00")</f>
        <v>31</v>
      </c>
      <c r="G1753" s="1">
        <f>EOMONTH(tblData[[#This Row],[Rental Date]],0)</f>
        <v>46234</v>
      </c>
      <c r="H1753" t="s">
        <v>749</v>
      </c>
      <c r="I1753" t="s">
        <v>39</v>
      </c>
      <c r="J1753" t="s">
        <v>111</v>
      </c>
      <c r="K1753" t="s">
        <v>60</v>
      </c>
      <c r="L1753">
        <v>1</v>
      </c>
      <c r="M1753" s="2">
        <v>15.68</v>
      </c>
      <c r="N1753" t="s">
        <v>26</v>
      </c>
      <c r="O1753" s="3">
        <v>0</v>
      </c>
      <c r="P1753" s="3">
        <v>0</v>
      </c>
      <c r="Q1753" s="2">
        <v>15.68</v>
      </c>
      <c r="R1753" t="s">
        <v>94</v>
      </c>
      <c r="S1753" t="s">
        <v>35</v>
      </c>
      <c r="T1753" t="s">
        <v>63</v>
      </c>
      <c r="U1753" t="s">
        <v>30</v>
      </c>
    </row>
    <row r="1754" spans="1:21" x14ac:dyDescent="0.35">
      <c r="A1754" t="s">
        <v>1833</v>
      </c>
      <c r="B1754" s="1">
        <v>46232</v>
      </c>
      <c r="C1754" t="str">
        <f>TEXT(tblData[[#This Row],[Rental Date]],"mmm")</f>
        <v>Jul</v>
      </c>
      <c r="D1754" t="str">
        <f>TEXT(tblData[[#This Row],[Rental Date]],"mmmm")</f>
        <v>July</v>
      </c>
      <c r="E1754" t="s">
        <v>109</v>
      </c>
      <c r="F1754" t="str">
        <f>TEXT(WEEKNUM(tblData[[#This Row],[Rental Date]]),"00")</f>
        <v>31</v>
      </c>
      <c r="G1754" s="1">
        <f>EOMONTH(tblData[[#This Row],[Rental Date]],0)</f>
        <v>46234</v>
      </c>
      <c r="H1754" t="s">
        <v>749</v>
      </c>
      <c r="I1754" t="s">
        <v>39</v>
      </c>
      <c r="J1754" t="s">
        <v>111</v>
      </c>
      <c r="K1754" t="s">
        <v>60</v>
      </c>
      <c r="L1754">
        <v>1</v>
      </c>
      <c r="M1754" s="2">
        <v>15.68</v>
      </c>
      <c r="N1754" t="s">
        <v>26</v>
      </c>
      <c r="O1754" s="3">
        <v>0</v>
      </c>
      <c r="P1754" s="3">
        <v>0</v>
      </c>
      <c r="Q1754" s="2">
        <v>15.68</v>
      </c>
      <c r="R1754" t="s">
        <v>94</v>
      </c>
      <c r="S1754" t="s">
        <v>50</v>
      </c>
      <c r="T1754" t="s">
        <v>29</v>
      </c>
      <c r="U1754" t="s">
        <v>58</v>
      </c>
    </row>
    <row r="1755" spans="1:21" x14ac:dyDescent="0.35">
      <c r="A1755" t="s">
        <v>1834</v>
      </c>
      <c r="B1755" s="1">
        <v>46232</v>
      </c>
      <c r="C1755" t="str">
        <f>TEXT(tblData[[#This Row],[Rental Date]],"mmm")</f>
        <v>Jul</v>
      </c>
      <c r="D1755" t="str">
        <f>TEXT(tblData[[#This Row],[Rental Date]],"mmmm")</f>
        <v>July</v>
      </c>
      <c r="E1755" t="s">
        <v>109</v>
      </c>
      <c r="F1755" t="str">
        <f>TEXT(WEEKNUM(tblData[[#This Row],[Rental Date]]),"00")</f>
        <v>31</v>
      </c>
      <c r="G1755" s="1">
        <f>EOMONTH(tblData[[#This Row],[Rental Date]],0)</f>
        <v>46234</v>
      </c>
      <c r="H1755" t="s">
        <v>749</v>
      </c>
      <c r="I1755" t="s">
        <v>48</v>
      </c>
      <c r="J1755" t="s">
        <v>33</v>
      </c>
      <c r="K1755" t="s">
        <v>25</v>
      </c>
      <c r="L1755">
        <v>1</v>
      </c>
      <c r="M1755" s="2">
        <v>42.56</v>
      </c>
      <c r="N1755" t="s">
        <v>26</v>
      </c>
      <c r="O1755" s="3">
        <v>0</v>
      </c>
      <c r="P1755" s="3">
        <v>0</v>
      </c>
      <c r="Q1755" s="2">
        <v>42.56</v>
      </c>
      <c r="R1755" t="s">
        <v>42</v>
      </c>
      <c r="S1755" t="s">
        <v>46</v>
      </c>
      <c r="T1755" t="s">
        <v>51</v>
      </c>
      <c r="U1755" t="s">
        <v>30</v>
      </c>
    </row>
    <row r="1756" spans="1:21" x14ac:dyDescent="0.35">
      <c r="A1756" t="s">
        <v>1835</v>
      </c>
      <c r="B1756" s="1">
        <v>46233</v>
      </c>
      <c r="C1756" t="str">
        <f>TEXT(tblData[[#This Row],[Rental Date]],"mmm")</f>
        <v>Jul</v>
      </c>
      <c r="D1756" t="str">
        <f>TEXT(tblData[[#This Row],[Rental Date]],"mmmm")</f>
        <v>July</v>
      </c>
      <c r="E1756" t="s">
        <v>21</v>
      </c>
      <c r="F1756" t="str">
        <f>TEXT(WEEKNUM(tblData[[#This Row],[Rental Date]]),"00")</f>
        <v>31</v>
      </c>
      <c r="G1756" s="1">
        <f>EOMONTH(tblData[[#This Row],[Rental Date]],0)</f>
        <v>46234</v>
      </c>
      <c r="H1756" t="s">
        <v>749</v>
      </c>
      <c r="I1756" t="s">
        <v>32</v>
      </c>
      <c r="J1756" t="s">
        <v>78</v>
      </c>
      <c r="K1756" t="s">
        <v>40</v>
      </c>
      <c r="L1756">
        <v>1</v>
      </c>
      <c r="M1756" s="2">
        <v>69.44</v>
      </c>
      <c r="N1756" t="s">
        <v>87</v>
      </c>
      <c r="O1756" s="3">
        <v>10</v>
      </c>
      <c r="P1756" s="3">
        <v>7.94</v>
      </c>
      <c r="Q1756" s="2">
        <v>71.5</v>
      </c>
      <c r="R1756" t="s">
        <v>57</v>
      </c>
      <c r="S1756" t="s">
        <v>50</v>
      </c>
      <c r="T1756" t="s">
        <v>63</v>
      </c>
      <c r="U1756" t="s">
        <v>30</v>
      </c>
    </row>
    <row r="1757" spans="1:21" x14ac:dyDescent="0.35">
      <c r="A1757" t="s">
        <v>1836</v>
      </c>
      <c r="B1757" s="1">
        <v>46233</v>
      </c>
      <c r="C1757" t="str">
        <f>TEXT(tblData[[#This Row],[Rental Date]],"mmm")</f>
        <v>Jul</v>
      </c>
      <c r="D1757" t="str">
        <f>TEXT(tblData[[#This Row],[Rental Date]],"mmmm")</f>
        <v>July</v>
      </c>
      <c r="E1757" t="s">
        <v>21</v>
      </c>
      <c r="F1757" t="str">
        <f>TEXT(WEEKNUM(tblData[[#This Row],[Rental Date]]),"00")</f>
        <v>31</v>
      </c>
      <c r="G1757" s="1">
        <f>EOMONTH(tblData[[#This Row],[Rental Date]],0)</f>
        <v>46234</v>
      </c>
      <c r="H1757" t="s">
        <v>749</v>
      </c>
      <c r="I1757" t="s">
        <v>39</v>
      </c>
      <c r="J1757" t="s">
        <v>78</v>
      </c>
      <c r="K1757" t="s">
        <v>25</v>
      </c>
      <c r="L1757">
        <v>1</v>
      </c>
      <c r="M1757" s="2">
        <v>47.04</v>
      </c>
      <c r="N1757" t="s">
        <v>87</v>
      </c>
      <c r="O1757" s="3">
        <v>10</v>
      </c>
      <c r="P1757" s="3">
        <v>0</v>
      </c>
      <c r="Q1757" s="2">
        <v>57.04</v>
      </c>
      <c r="R1757" t="s">
        <v>66</v>
      </c>
      <c r="S1757" t="s">
        <v>46</v>
      </c>
      <c r="T1757" t="s">
        <v>29</v>
      </c>
      <c r="U1757" t="s">
        <v>30</v>
      </c>
    </row>
    <row r="1758" spans="1:21" x14ac:dyDescent="0.35">
      <c r="A1758" t="s">
        <v>1837</v>
      </c>
      <c r="B1758" s="1">
        <v>46233</v>
      </c>
      <c r="C1758" t="str">
        <f>TEXT(tblData[[#This Row],[Rental Date]],"mmm")</f>
        <v>Jul</v>
      </c>
      <c r="D1758" t="str">
        <f>TEXT(tblData[[#This Row],[Rental Date]],"mmmm")</f>
        <v>July</v>
      </c>
      <c r="E1758" t="s">
        <v>21</v>
      </c>
      <c r="F1758" t="str">
        <f>TEXT(WEEKNUM(tblData[[#This Row],[Rental Date]]),"00")</f>
        <v>31</v>
      </c>
      <c r="G1758" s="1">
        <f>EOMONTH(tblData[[#This Row],[Rental Date]],0)</f>
        <v>46234</v>
      </c>
      <c r="H1758" t="s">
        <v>749</v>
      </c>
      <c r="I1758" t="s">
        <v>39</v>
      </c>
      <c r="J1758" t="s">
        <v>24</v>
      </c>
      <c r="K1758" t="s">
        <v>40</v>
      </c>
      <c r="L1758">
        <v>1</v>
      </c>
      <c r="M1758" s="2">
        <v>85.12</v>
      </c>
      <c r="N1758" t="s">
        <v>87</v>
      </c>
      <c r="O1758" s="3">
        <v>10</v>
      </c>
      <c r="P1758" s="3">
        <v>0</v>
      </c>
      <c r="Q1758" s="2">
        <v>95.12</v>
      </c>
      <c r="R1758" t="s">
        <v>27</v>
      </c>
      <c r="S1758" t="s">
        <v>46</v>
      </c>
      <c r="T1758" t="s">
        <v>29</v>
      </c>
      <c r="U1758" t="s">
        <v>30</v>
      </c>
    </row>
    <row r="1759" spans="1:21" x14ac:dyDescent="0.35">
      <c r="A1759" t="s">
        <v>1838</v>
      </c>
      <c r="B1759" s="1">
        <v>46233</v>
      </c>
      <c r="C1759" t="str">
        <f>TEXT(tblData[[#This Row],[Rental Date]],"mmm")</f>
        <v>Jul</v>
      </c>
      <c r="D1759" t="str">
        <f>TEXT(tblData[[#This Row],[Rental Date]],"mmmm")</f>
        <v>July</v>
      </c>
      <c r="E1759" t="s">
        <v>21</v>
      </c>
      <c r="F1759" t="str">
        <f>TEXT(WEEKNUM(tblData[[#This Row],[Rental Date]]),"00")</f>
        <v>31</v>
      </c>
      <c r="G1759" s="1">
        <f>EOMONTH(tblData[[#This Row],[Rental Date]],0)</f>
        <v>46234</v>
      </c>
      <c r="H1759" t="s">
        <v>749</v>
      </c>
      <c r="I1759" t="s">
        <v>48</v>
      </c>
      <c r="J1759" t="s">
        <v>24</v>
      </c>
      <c r="K1759" t="s">
        <v>60</v>
      </c>
      <c r="L1759">
        <v>1</v>
      </c>
      <c r="M1759" s="2">
        <v>35.840000000000003</v>
      </c>
      <c r="N1759" t="s">
        <v>26</v>
      </c>
      <c r="O1759" s="3">
        <v>0</v>
      </c>
      <c r="P1759" s="3">
        <v>0</v>
      </c>
      <c r="Q1759" s="2">
        <v>35.840000000000003</v>
      </c>
      <c r="R1759" t="s">
        <v>34</v>
      </c>
      <c r="S1759" t="s">
        <v>54</v>
      </c>
      <c r="T1759" t="s">
        <v>29</v>
      </c>
      <c r="U1759" t="s">
        <v>30</v>
      </c>
    </row>
    <row r="1760" spans="1:21" x14ac:dyDescent="0.35">
      <c r="A1760" t="s">
        <v>1839</v>
      </c>
      <c r="B1760" s="1">
        <v>46233</v>
      </c>
      <c r="C1760" t="str">
        <f>TEXT(tblData[[#This Row],[Rental Date]],"mmm")</f>
        <v>Jul</v>
      </c>
      <c r="D1760" t="str">
        <f>TEXT(tblData[[#This Row],[Rental Date]],"mmmm")</f>
        <v>July</v>
      </c>
      <c r="E1760" t="s">
        <v>21</v>
      </c>
      <c r="F1760" t="str">
        <f>TEXT(WEEKNUM(tblData[[#This Row],[Rental Date]]),"00")</f>
        <v>31</v>
      </c>
      <c r="G1760" s="1">
        <f>EOMONTH(tblData[[#This Row],[Rental Date]],0)</f>
        <v>46234</v>
      </c>
      <c r="H1760" t="s">
        <v>749</v>
      </c>
      <c r="I1760" t="s">
        <v>53</v>
      </c>
      <c r="J1760" t="s">
        <v>44</v>
      </c>
      <c r="K1760" t="s">
        <v>25</v>
      </c>
      <c r="L1760">
        <v>1</v>
      </c>
      <c r="M1760" s="2">
        <v>58.24</v>
      </c>
      <c r="N1760" t="s">
        <v>26</v>
      </c>
      <c r="O1760" s="3">
        <v>0</v>
      </c>
      <c r="P1760" s="3">
        <v>5.82</v>
      </c>
      <c r="Q1760" s="2">
        <v>52.42</v>
      </c>
      <c r="R1760" t="s">
        <v>57</v>
      </c>
      <c r="S1760" t="s">
        <v>50</v>
      </c>
      <c r="T1760" t="s">
        <v>63</v>
      </c>
      <c r="U1760" t="s">
        <v>30</v>
      </c>
    </row>
    <row r="1761" spans="1:21" x14ac:dyDescent="0.35">
      <c r="A1761" t="s">
        <v>1840</v>
      </c>
      <c r="B1761" s="1">
        <v>46233</v>
      </c>
      <c r="C1761" t="str">
        <f>TEXT(tblData[[#This Row],[Rental Date]],"mmm")</f>
        <v>Jul</v>
      </c>
      <c r="D1761" t="str">
        <f>TEXT(tblData[[#This Row],[Rental Date]],"mmmm")</f>
        <v>July</v>
      </c>
      <c r="E1761" t="s">
        <v>21</v>
      </c>
      <c r="F1761" t="str">
        <f>TEXT(WEEKNUM(tblData[[#This Row],[Rental Date]]),"00")</f>
        <v>31</v>
      </c>
      <c r="G1761" s="1">
        <f>EOMONTH(tblData[[#This Row],[Rental Date]],0)</f>
        <v>46234</v>
      </c>
      <c r="H1761" t="s">
        <v>749</v>
      </c>
      <c r="I1761" t="s">
        <v>48</v>
      </c>
      <c r="J1761" t="s">
        <v>44</v>
      </c>
      <c r="K1761" t="s">
        <v>25</v>
      </c>
      <c r="L1761">
        <v>1</v>
      </c>
      <c r="M1761" s="2">
        <v>58.24</v>
      </c>
      <c r="N1761" t="s">
        <v>89</v>
      </c>
      <c r="O1761" s="3">
        <v>6</v>
      </c>
      <c r="P1761" s="3">
        <v>0</v>
      </c>
      <c r="Q1761" s="2">
        <v>64.239999999999995</v>
      </c>
      <c r="R1761" t="s">
        <v>66</v>
      </c>
      <c r="S1761" t="s">
        <v>28</v>
      </c>
      <c r="T1761" t="s">
        <v>90</v>
      </c>
      <c r="U1761" t="s">
        <v>30</v>
      </c>
    </row>
    <row r="1762" spans="1:21" x14ac:dyDescent="0.35">
      <c r="A1762" t="s">
        <v>1841</v>
      </c>
      <c r="B1762" s="1">
        <v>46233</v>
      </c>
      <c r="C1762" t="str">
        <f>TEXT(tblData[[#This Row],[Rental Date]],"mmm")</f>
        <v>Jul</v>
      </c>
      <c r="D1762" t="str">
        <f>TEXT(tblData[[#This Row],[Rental Date]],"mmmm")</f>
        <v>July</v>
      </c>
      <c r="E1762" t="s">
        <v>21</v>
      </c>
      <c r="F1762" t="str">
        <f>TEXT(WEEKNUM(tblData[[#This Row],[Rental Date]]),"00")</f>
        <v>31</v>
      </c>
      <c r="G1762" s="1">
        <f>EOMONTH(tblData[[#This Row],[Rental Date]],0)</f>
        <v>46234</v>
      </c>
      <c r="H1762" t="s">
        <v>749</v>
      </c>
      <c r="I1762" t="s">
        <v>39</v>
      </c>
      <c r="J1762" t="s">
        <v>49</v>
      </c>
      <c r="K1762" t="s">
        <v>40</v>
      </c>
      <c r="L1762">
        <v>1</v>
      </c>
      <c r="M1762" s="2">
        <v>60.48</v>
      </c>
      <c r="N1762" t="s">
        <v>26</v>
      </c>
      <c r="O1762" s="3">
        <v>0</v>
      </c>
      <c r="P1762" s="3">
        <v>0</v>
      </c>
      <c r="Q1762" s="2">
        <v>60.48</v>
      </c>
      <c r="R1762" t="s">
        <v>71</v>
      </c>
      <c r="S1762" t="s">
        <v>35</v>
      </c>
      <c r="T1762" t="s">
        <v>29</v>
      </c>
      <c r="U1762" t="s">
        <v>58</v>
      </c>
    </row>
    <row r="1763" spans="1:21" x14ac:dyDescent="0.35">
      <c r="A1763" t="s">
        <v>1842</v>
      </c>
      <c r="B1763" s="1">
        <v>46233</v>
      </c>
      <c r="C1763" t="str">
        <f>TEXT(tblData[[#This Row],[Rental Date]],"mmm")</f>
        <v>Jul</v>
      </c>
      <c r="D1763" t="str">
        <f>TEXT(tblData[[#This Row],[Rental Date]],"mmmm")</f>
        <v>July</v>
      </c>
      <c r="E1763" t="s">
        <v>21</v>
      </c>
      <c r="F1763" t="str">
        <f>TEXT(WEEKNUM(tblData[[#This Row],[Rental Date]]),"00")</f>
        <v>31</v>
      </c>
      <c r="G1763" s="1">
        <f>EOMONTH(tblData[[#This Row],[Rental Date]],0)</f>
        <v>46234</v>
      </c>
      <c r="H1763" t="s">
        <v>749</v>
      </c>
      <c r="I1763" t="s">
        <v>48</v>
      </c>
      <c r="J1763" t="s">
        <v>78</v>
      </c>
      <c r="K1763" t="s">
        <v>60</v>
      </c>
      <c r="L1763">
        <v>1</v>
      </c>
      <c r="M1763" s="2">
        <v>29.12</v>
      </c>
      <c r="N1763" t="s">
        <v>61</v>
      </c>
      <c r="O1763" s="3">
        <v>8</v>
      </c>
      <c r="P1763" s="3">
        <v>0</v>
      </c>
      <c r="Q1763" s="2">
        <v>37.119999999999997</v>
      </c>
      <c r="R1763" t="s">
        <v>27</v>
      </c>
      <c r="S1763" t="s">
        <v>46</v>
      </c>
      <c r="T1763" t="s">
        <v>29</v>
      </c>
      <c r="U1763" t="s">
        <v>58</v>
      </c>
    </row>
    <row r="1764" spans="1:21" x14ac:dyDescent="0.35">
      <c r="A1764" t="s">
        <v>1843</v>
      </c>
      <c r="B1764" s="1">
        <v>46233</v>
      </c>
      <c r="C1764" t="str">
        <f>TEXT(tblData[[#This Row],[Rental Date]],"mmm")</f>
        <v>Jul</v>
      </c>
      <c r="D1764" t="str">
        <f>TEXT(tblData[[#This Row],[Rental Date]],"mmmm")</f>
        <v>July</v>
      </c>
      <c r="E1764" t="s">
        <v>21</v>
      </c>
      <c r="F1764" t="str">
        <f>TEXT(WEEKNUM(tblData[[#This Row],[Rental Date]]),"00")</f>
        <v>31</v>
      </c>
      <c r="G1764" s="1">
        <f>EOMONTH(tblData[[#This Row],[Rental Date]],0)</f>
        <v>46234</v>
      </c>
      <c r="H1764" t="s">
        <v>749</v>
      </c>
      <c r="I1764" t="s">
        <v>39</v>
      </c>
      <c r="J1764" t="s">
        <v>49</v>
      </c>
      <c r="K1764" t="s">
        <v>60</v>
      </c>
      <c r="L1764">
        <v>1</v>
      </c>
      <c r="M1764" s="2">
        <v>24.64</v>
      </c>
      <c r="N1764" t="s">
        <v>26</v>
      </c>
      <c r="O1764" s="3">
        <v>0</v>
      </c>
      <c r="P1764" s="3">
        <v>0</v>
      </c>
      <c r="Q1764" s="2">
        <v>24.64</v>
      </c>
      <c r="R1764" t="s">
        <v>34</v>
      </c>
      <c r="S1764" t="s">
        <v>54</v>
      </c>
      <c r="T1764" t="s">
        <v>51</v>
      </c>
      <c r="U1764" t="s">
        <v>79</v>
      </c>
    </row>
    <row r="1765" spans="1:21" x14ac:dyDescent="0.35">
      <c r="A1765" t="s">
        <v>1844</v>
      </c>
      <c r="B1765" s="1">
        <v>46233</v>
      </c>
      <c r="C1765" t="str">
        <f>TEXT(tblData[[#This Row],[Rental Date]],"mmm")</f>
        <v>Jul</v>
      </c>
      <c r="D1765" t="str">
        <f>TEXT(tblData[[#This Row],[Rental Date]],"mmmm")</f>
        <v>July</v>
      </c>
      <c r="E1765" t="s">
        <v>21</v>
      </c>
      <c r="F1765" t="str">
        <f>TEXT(WEEKNUM(tblData[[#This Row],[Rental Date]]),"00")</f>
        <v>31</v>
      </c>
      <c r="G1765" s="1">
        <f>EOMONTH(tblData[[#This Row],[Rental Date]],0)</f>
        <v>46234</v>
      </c>
      <c r="H1765" t="s">
        <v>749</v>
      </c>
      <c r="I1765" t="s">
        <v>23</v>
      </c>
      <c r="J1765" t="s">
        <v>33</v>
      </c>
      <c r="K1765" t="s">
        <v>92</v>
      </c>
      <c r="L1765">
        <v>1</v>
      </c>
      <c r="M1765" s="2">
        <v>94.08</v>
      </c>
      <c r="N1765" t="s">
        <v>26</v>
      </c>
      <c r="O1765" s="3">
        <v>0</v>
      </c>
      <c r="P1765" s="3">
        <v>0</v>
      </c>
      <c r="Q1765" s="2">
        <v>94.08</v>
      </c>
      <c r="R1765" t="s">
        <v>34</v>
      </c>
      <c r="S1765" t="s">
        <v>50</v>
      </c>
      <c r="T1765" t="s">
        <v>51</v>
      </c>
      <c r="U1765" t="s">
        <v>30</v>
      </c>
    </row>
    <row r="1766" spans="1:21" x14ac:dyDescent="0.35">
      <c r="A1766" t="s">
        <v>1845</v>
      </c>
      <c r="B1766" s="1">
        <v>46234</v>
      </c>
      <c r="C1766" t="str">
        <f>TEXT(tblData[[#This Row],[Rental Date]],"mmm")</f>
        <v>Jul</v>
      </c>
      <c r="D1766" t="str">
        <f>TEXT(tblData[[#This Row],[Rental Date]],"mmmm")</f>
        <v>July</v>
      </c>
      <c r="E1766" t="s">
        <v>38</v>
      </c>
      <c r="F1766" t="str">
        <f>TEXT(WEEKNUM(tblData[[#This Row],[Rental Date]]),"00")</f>
        <v>31</v>
      </c>
      <c r="G1766" s="1">
        <f>EOMONTH(tblData[[#This Row],[Rental Date]],0)</f>
        <v>46234</v>
      </c>
      <c r="H1766" t="s">
        <v>749</v>
      </c>
      <c r="I1766" t="s">
        <v>48</v>
      </c>
      <c r="J1766" t="s">
        <v>44</v>
      </c>
      <c r="K1766" t="s">
        <v>25</v>
      </c>
      <c r="L1766">
        <v>1</v>
      </c>
      <c r="M1766" s="2">
        <v>58.24</v>
      </c>
      <c r="N1766" t="s">
        <v>41</v>
      </c>
      <c r="O1766" s="3">
        <v>5</v>
      </c>
      <c r="P1766" s="3">
        <v>0</v>
      </c>
      <c r="Q1766" s="2">
        <v>63.24</v>
      </c>
      <c r="R1766" t="s">
        <v>27</v>
      </c>
      <c r="S1766" t="s">
        <v>46</v>
      </c>
      <c r="T1766" t="s">
        <v>51</v>
      </c>
      <c r="U1766" t="s">
        <v>30</v>
      </c>
    </row>
    <row r="1767" spans="1:21" x14ac:dyDescent="0.35">
      <c r="A1767" t="s">
        <v>1846</v>
      </c>
      <c r="B1767" s="1">
        <v>46234</v>
      </c>
      <c r="C1767" t="str">
        <f>TEXT(tblData[[#This Row],[Rental Date]],"mmm")</f>
        <v>Jul</v>
      </c>
      <c r="D1767" t="str">
        <f>TEXT(tblData[[#This Row],[Rental Date]],"mmmm")</f>
        <v>July</v>
      </c>
      <c r="E1767" t="s">
        <v>38</v>
      </c>
      <c r="F1767" t="str">
        <f>TEXT(WEEKNUM(tblData[[#This Row],[Rental Date]]),"00")</f>
        <v>31</v>
      </c>
      <c r="G1767" s="1">
        <f>EOMONTH(tblData[[#This Row],[Rental Date]],0)</f>
        <v>46234</v>
      </c>
      <c r="H1767" t="s">
        <v>749</v>
      </c>
      <c r="I1767" t="s">
        <v>39</v>
      </c>
      <c r="J1767" t="s">
        <v>111</v>
      </c>
      <c r="K1767" t="s">
        <v>40</v>
      </c>
      <c r="L1767">
        <v>1</v>
      </c>
      <c r="M1767" s="2">
        <v>38.08</v>
      </c>
      <c r="N1767" t="s">
        <v>61</v>
      </c>
      <c r="O1767" s="3">
        <v>8</v>
      </c>
      <c r="P1767" s="3">
        <v>0</v>
      </c>
      <c r="Q1767" s="2">
        <v>46.08</v>
      </c>
      <c r="R1767" t="s">
        <v>94</v>
      </c>
      <c r="S1767" t="s">
        <v>35</v>
      </c>
      <c r="T1767" t="s">
        <v>29</v>
      </c>
      <c r="U1767" t="s">
        <v>30</v>
      </c>
    </row>
    <row r="1768" spans="1:21" x14ac:dyDescent="0.35">
      <c r="A1768" t="s">
        <v>1847</v>
      </c>
      <c r="B1768" s="1">
        <v>46234</v>
      </c>
      <c r="C1768" t="str">
        <f>TEXT(tblData[[#This Row],[Rental Date]],"mmm")</f>
        <v>Jul</v>
      </c>
      <c r="D1768" t="str">
        <f>TEXT(tblData[[#This Row],[Rental Date]],"mmmm")</f>
        <v>July</v>
      </c>
      <c r="E1768" t="s">
        <v>38</v>
      </c>
      <c r="F1768" t="str">
        <f>TEXT(WEEKNUM(tblData[[#This Row],[Rental Date]]),"00")</f>
        <v>31</v>
      </c>
      <c r="G1768" s="1">
        <f>EOMONTH(tblData[[#This Row],[Rental Date]],0)</f>
        <v>46234</v>
      </c>
      <c r="H1768" t="s">
        <v>749</v>
      </c>
      <c r="I1768" t="s">
        <v>39</v>
      </c>
      <c r="J1768" t="s">
        <v>44</v>
      </c>
      <c r="K1768" t="s">
        <v>25</v>
      </c>
      <c r="L1768">
        <v>1</v>
      </c>
      <c r="M1768" s="2">
        <v>58.24</v>
      </c>
      <c r="N1768" t="s">
        <v>70</v>
      </c>
      <c r="O1768" s="3">
        <v>7</v>
      </c>
      <c r="P1768" s="3">
        <v>0</v>
      </c>
      <c r="Q1768" s="2">
        <v>65.239999999999995</v>
      </c>
      <c r="R1768" t="s">
        <v>45</v>
      </c>
      <c r="S1768" t="s">
        <v>28</v>
      </c>
      <c r="T1768" t="s">
        <v>51</v>
      </c>
      <c r="U1768" t="s">
        <v>30</v>
      </c>
    </row>
    <row r="1769" spans="1:21" x14ac:dyDescent="0.35">
      <c r="A1769" t="s">
        <v>1848</v>
      </c>
      <c r="B1769" s="1">
        <v>46234</v>
      </c>
      <c r="C1769" t="str">
        <f>TEXT(tblData[[#This Row],[Rental Date]],"mmm")</f>
        <v>Jul</v>
      </c>
      <c r="D1769" t="str">
        <f>TEXT(tblData[[#This Row],[Rental Date]],"mmmm")</f>
        <v>July</v>
      </c>
      <c r="E1769" t="s">
        <v>38</v>
      </c>
      <c r="F1769" t="str">
        <f>TEXT(WEEKNUM(tblData[[#This Row],[Rental Date]]),"00")</f>
        <v>31</v>
      </c>
      <c r="G1769" s="1">
        <f>EOMONTH(tblData[[#This Row],[Rental Date]],0)</f>
        <v>46234</v>
      </c>
      <c r="H1769" t="s">
        <v>749</v>
      </c>
      <c r="I1769" t="s">
        <v>48</v>
      </c>
      <c r="J1769" t="s">
        <v>33</v>
      </c>
      <c r="K1769" t="s">
        <v>25</v>
      </c>
      <c r="L1769">
        <v>1</v>
      </c>
      <c r="M1769" s="2">
        <v>42.56</v>
      </c>
      <c r="N1769" t="s">
        <v>26</v>
      </c>
      <c r="O1769" s="3">
        <v>0</v>
      </c>
      <c r="P1769" s="3">
        <v>0</v>
      </c>
      <c r="Q1769" s="2">
        <v>42.56</v>
      </c>
      <c r="R1769" t="s">
        <v>62</v>
      </c>
      <c r="S1769" t="s">
        <v>28</v>
      </c>
      <c r="T1769" t="s">
        <v>51</v>
      </c>
      <c r="U1769" t="s">
        <v>30</v>
      </c>
    </row>
    <row r="1770" spans="1:21" x14ac:dyDescent="0.35">
      <c r="A1770" t="s">
        <v>1849</v>
      </c>
      <c r="B1770" s="1">
        <v>46234</v>
      </c>
      <c r="C1770" t="str">
        <f>TEXT(tblData[[#This Row],[Rental Date]],"mmm")</f>
        <v>Jul</v>
      </c>
      <c r="D1770" t="str">
        <f>TEXT(tblData[[#This Row],[Rental Date]],"mmmm")</f>
        <v>July</v>
      </c>
      <c r="E1770" t="s">
        <v>38</v>
      </c>
      <c r="F1770" t="str">
        <f>TEXT(WEEKNUM(tblData[[#This Row],[Rental Date]]),"00")</f>
        <v>31</v>
      </c>
      <c r="G1770" s="1">
        <f>EOMONTH(tblData[[#This Row],[Rental Date]],0)</f>
        <v>46234</v>
      </c>
      <c r="H1770" t="s">
        <v>749</v>
      </c>
      <c r="I1770" t="s">
        <v>53</v>
      </c>
      <c r="J1770" t="s">
        <v>49</v>
      </c>
      <c r="K1770" t="s">
        <v>25</v>
      </c>
      <c r="L1770">
        <v>1</v>
      </c>
      <c r="M1770" s="2">
        <v>40.32</v>
      </c>
      <c r="N1770" t="s">
        <v>26</v>
      </c>
      <c r="O1770" s="3">
        <v>0</v>
      </c>
      <c r="P1770" s="3">
        <v>6.05</v>
      </c>
      <c r="Q1770" s="2">
        <v>34.270000000000003</v>
      </c>
      <c r="R1770" t="s">
        <v>34</v>
      </c>
      <c r="S1770" t="s">
        <v>54</v>
      </c>
      <c r="T1770" t="s">
        <v>51</v>
      </c>
      <c r="U1770" t="s">
        <v>30</v>
      </c>
    </row>
    <row r="1771" spans="1:21" x14ac:dyDescent="0.35">
      <c r="A1771" t="s">
        <v>1850</v>
      </c>
      <c r="B1771" s="1">
        <v>46234</v>
      </c>
      <c r="C1771" t="str">
        <f>TEXT(tblData[[#This Row],[Rental Date]],"mmm")</f>
        <v>Jul</v>
      </c>
      <c r="D1771" t="str">
        <f>TEXT(tblData[[#This Row],[Rental Date]],"mmmm")</f>
        <v>July</v>
      </c>
      <c r="E1771" t="s">
        <v>38</v>
      </c>
      <c r="F1771" t="str">
        <f>TEXT(WEEKNUM(tblData[[#This Row],[Rental Date]]),"00")</f>
        <v>31</v>
      </c>
      <c r="G1771" s="1">
        <f>EOMONTH(tblData[[#This Row],[Rental Date]],0)</f>
        <v>46234</v>
      </c>
      <c r="H1771" t="s">
        <v>749</v>
      </c>
      <c r="I1771" t="s">
        <v>48</v>
      </c>
      <c r="J1771" t="s">
        <v>49</v>
      </c>
      <c r="K1771" t="s">
        <v>25</v>
      </c>
      <c r="L1771">
        <v>1</v>
      </c>
      <c r="M1771" s="2">
        <v>40.32</v>
      </c>
      <c r="N1771" t="s">
        <v>41</v>
      </c>
      <c r="O1771" s="3">
        <v>5</v>
      </c>
      <c r="P1771" s="3">
        <v>0</v>
      </c>
      <c r="Q1771" s="2">
        <v>45.32</v>
      </c>
      <c r="R1771" t="s">
        <v>94</v>
      </c>
      <c r="S1771" t="s">
        <v>50</v>
      </c>
      <c r="T1771" t="s">
        <v>90</v>
      </c>
      <c r="U1771" t="s">
        <v>30</v>
      </c>
    </row>
    <row r="1772" spans="1:21" x14ac:dyDescent="0.35">
      <c r="A1772" t="s">
        <v>1851</v>
      </c>
      <c r="B1772" s="1">
        <v>46234</v>
      </c>
      <c r="C1772" t="str">
        <f>TEXT(tblData[[#This Row],[Rental Date]],"mmm")</f>
        <v>Jul</v>
      </c>
      <c r="D1772" t="str">
        <f>TEXT(tblData[[#This Row],[Rental Date]],"mmmm")</f>
        <v>July</v>
      </c>
      <c r="E1772" t="s">
        <v>38</v>
      </c>
      <c r="F1772" t="str">
        <f>TEXT(WEEKNUM(tblData[[#This Row],[Rental Date]]),"00")</f>
        <v>31</v>
      </c>
      <c r="G1772" s="1">
        <f>EOMONTH(tblData[[#This Row],[Rental Date]],0)</f>
        <v>46234</v>
      </c>
      <c r="H1772" t="s">
        <v>749</v>
      </c>
      <c r="I1772" t="s">
        <v>48</v>
      </c>
      <c r="J1772" t="s">
        <v>44</v>
      </c>
      <c r="K1772" t="s">
        <v>92</v>
      </c>
      <c r="L1772">
        <v>1</v>
      </c>
      <c r="M1772" s="2">
        <v>125.44</v>
      </c>
      <c r="N1772" t="s">
        <v>89</v>
      </c>
      <c r="O1772" s="3">
        <v>6</v>
      </c>
      <c r="P1772" s="3">
        <v>0</v>
      </c>
      <c r="Q1772" s="2">
        <v>131.44</v>
      </c>
      <c r="R1772" t="s">
        <v>45</v>
      </c>
      <c r="S1772" t="s">
        <v>54</v>
      </c>
      <c r="T1772" t="s">
        <v>51</v>
      </c>
      <c r="U1772" t="s">
        <v>30</v>
      </c>
    </row>
    <row r="1773" spans="1:21" x14ac:dyDescent="0.35">
      <c r="A1773" t="s">
        <v>1852</v>
      </c>
      <c r="B1773" s="1">
        <v>46234</v>
      </c>
      <c r="C1773" t="str">
        <f>TEXT(tblData[[#This Row],[Rental Date]],"mmm")</f>
        <v>Jul</v>
      </c>
      <c r="D1773" t="str">
        <f>TEXT(tblData[[#This Row],[Rental Date]],"mmmm")</f>
        <v>July</v>
      </c>
      <c r="E1773" t="s">
        <v>38</v>
      </c>
      <c r="F1773" t="str">
        <f>TEXT(WEEKNUM(tblData[[#This Row],[Rental Date]]),"00")</f>
        <v>31</v>
      </c>
      <c r="G1773" s="1">
        <f>EOMONTH(tblData[[#This Row],[Rental Date]],0)</f>
        <v>46234</v>
      </c>
      <c r="H1773" t="s">
        <v>749</v>
      </c>
      <c r="I1773" t="s">
        <v>39</v>
      </c>
      <c r="J1773" t="s">
        <v>78</v>
      </c>
      <c r="K1773" t="s">
        <v>92</v>
      </c>
      <c r="L1773">
        <v>1</v>
      </c>
      <c r="M1773" s="2">
        <v>98.56</v>
      </c>
      <c r="N1773" t="s">
        <v>26</v>
      </c>
      <c r="O1773" s="3">
        <v>0</v>
      </c>
      <c r="P1773" s="3">
        <v>0</v>
      </c>
      <c r="Q1773" s="2">
        <v>98.56</v>
      </c>
      <c r="R1773" t="s">
        <v>71</v>
      </c>
      <c r="S1773" t="s">
        <v>35</v>
      </c>
      <c r="T1773" t="s">
        <v>83</v>
      </c>
      <c r="U1773" t="s">
        <v>30</v>
      </c>
    </row>
    <row r="1774" spans="1:21" x14ac:dyDescent="0.35">
      <c r="A1774" t="s">
        <v>1853</v>
      </c>
      <c r="B1774" s="1">
        <v>46234</v>
      </c>
      <c r="C1774" t="str">
        <f>TEXT(tblData[[#This Row],[Rental Date]],"mmm")</f>
        <v>Jul</v>
      </c>
      <c r="D1774" t="str">
        <f>TEXT(tblData[[#This Row],[Rental Date]],"mmmm")</f>
        <v>July</v>
      </c>
      <c r="E1774" t="s">
        <v>38</v>
      </c>
      <c r="F1774" t="str">
        <f>TEXT(WEEKNUM(tblData[[#This Row],[Rental Date]]),"00")</f>
        <v>31</v>
      </c>
      <c r="G1774" s="1">
        <f>EOMONTH(tblData[[#This Row],[Rental Date]],0)</f>
        <v>46234</v>
      </c>
      <c r="H1774" t="s">
        <v>749</v>
      </c>
      <c r="I1774" t="s">
        <v>48</v>
      </c>
      <c r="J1774" t="s">
        <v>49</v>
      </c>
      <c r="K1774" t="s">
        <v>60</v>
      </c>
      <c r="L1774">
        <v>1</v>
      </c>
      <c r="M1774" s="2">
        <v>24.64</v>
      </c>
      <c r="N1774" t="s">
        <v>26</v>
      </c>
      <c r="O1774" s="3">
        <v>0</v>
      </c>
      <c r="P1774" s="3">
        <v>0</v>
      </c>
      <c r="Q1774" s="2">
        <v>24.64</v>
      </c>
      <c r="R1774" t="s">
        <v>76</v>
      </c>
      <c r="S1774" t="s">
        <v>50</v>
      </c>
      <c r="T1774" t="s">
        <v>63</v>
      </c>
      <c r="U1774" t="s">
        <v>58</v>
      </c>
    </row>
    <row r="1775" spans="1:21" x14ac:dyDescent="0.35">
      <c r="A1775" t="s">
        <v>1854</v>
      </c>
      <c r="B1775" s="1">
        <v>46234</v>
      </c>
      <c r="C1775" t="str">
        <f>TEXT(tblData[[#This Row],[Rental Date]],"mmm")</f>
        <v>Jul</v>
      </c>
      <c r="D1775" t="str">
        <f>TEXT(tblData[[#This Row],[Rental Date]],"mmmm")</f>
        <v>July</v>
      </c>
      <c r="E1775" t="s">
        <v>38</v>
      </c>
      <c r="F1775" t="str">
        <f>TEXT(WEEKNUM(tblData[[#This Row],[Rental Date]]),"00")</f>
        <v>31</v>
      </c>
      <c r="G1775" s="1">
        <f>EOMONTH(tblData[[#This Row],[Rental Date]],0)</f>
        <v>46234</v>
      </c>
      <c r="H1775" t="s">
        <v>749</v>
      </c>
      <c r="I1775" t="s">
        <v>23</v>
      </c>
      <c r="J1775" t="s">
        <v>78</v>
      </c>
      <c r="K1775" t="s">
        <v>60</v>
      </c>
      <c r="L1775">
        <v>1</v>
      </c>
      <c r="M1775" s="2">
        <v>29.12</v>
      </c>
      <c r="N1775" t="s">
        <v>70</v>
      </c>
      <c r="O1775" s="3">
        <v>7</v>
      </c>
      <c r="P1775" s="3">
        <v>0</v>
      </c>
      <c r="Q1775" s="2">
        <v>36.119999999999997</v>
      </c>
      <c r="R1775" t="s">
        <v>57</v>
      </c>
      <c r="S1775" t="s">
        <v>54</v>
      </c>
      <c r="T1775" t="s">
        <v>29</v>
      </c>
      <c r="U1775" t="s">
        <v>30</v>
      </c>
    </row>
    <row r="1776" spans="1:21" x14ac:dyDescent="0.35">
      <c r="A1776" t="s">
        <v>1855</v>
      </c>
      <c r="B1776" s="1">
        <v>46234</v>
      </c>
      <c r="C1776" t="str">
        <f>TEXT(tblData[[#This Row],[Rental Date]],"mmm")</f>
        <v>Jul</v>
      </c>
      <c r="D1776" t="str">
        <f>TEXT(tblData[[#This Row],[Rental Date]],"mmmm")</f>
        <v>July</v>
      </c>
      <c r="E1776" t="s">
        <v>38</v>
      </c>
      <c r="F1776" t="str">
        <f>TEXT(WEEKNUM(tblData[[#This Row],[Rental Date]]),"00")</f>
        <v>31</v>
      </c>
      <c r="G1776" s="1">
        <f>EOMONTH(tblData[[#This Row],[Rental Date]],0)</f>
        <v>46234</v>
      </c>
      <c r="H1776" t="s">
        <v>749</v>
      </c>
      <c r="I1776" t="s">
        <v>48</v>
      </c>
      <c r="J1776" t="s">
        <v>49</v>
      </c>
      <c r="K1776" t="s">
        <v>92</v>
      </c>
      <c r="L1776">
        <v>1</v>
      </c>
      <c r="M1776" s="2">
        <v>85.12</v>
      </c>
      <c r="N1776" t="s">
        <v>89</v>
      </c>
      <c r="O1776" s="3">
        <v>6</v>
      </c>
      <c r="P1776" s="3">
        <v>0</v>
      </c>
      <c r="Q1776" s="2">
        <v>91.12</v>
      </c>
      <c r="R1776" t="s">
        <v>27</v>
      </c>
      <c r="S1776" t="s">
        <v>28</v>
      </c>
      <c r="T1776" t="s">
        <v>51</v>
      </c>
      <c r="U1776" t="s">
        <v>58</v>
      </c>
    </row>
    <row r="1777" spans="1:21" x14ac:dyDescent="0.35">
      <c r="A1777" t="s">
        <v>1856</v>
      </c>
      <c r="B1777" s="1">
        <v>46234</v>
      </c>
      <c r="C1777" t="str">
        <f>TEXT(tblData[[#This Row],[Rental Date]],"mmm")</f>
        <v>Jul</v>
      </c>
      <c r="D1777" t="str">
        <f>TEXT(tblData[[#This Row],[Rental Date]],"mmmm")</f>
        <v>July</v>
      </c>
      <c r="E1777" t="s">
        <v>38</v>
      </c>
      <c r="F1777" t="str">
        <f>TEXT(WEEKNUM(tblData[[#This Row],[Rental Date]]),"00")</f>
        <v>31</v>
      </c>
      <c r="G1777" s="1">
        <f>EOMONTH(tblData[[#This Row],[Rental Date]],0)</f>
        <v>46234</v>
      </c>
      <c r="H1777" t="s">
        <v>749</v>
      </c>
      <c r="I1777" t="s">
        <v>39</v>
      </c>
      <c r="J1777" t="s">
        <v>33</v>
      </c>
      <c r="K1777" t="s">
        <v>40</v>
      </c>
      <c r="L1777">
        <v>1</v>
      </c>
      <c r="M1777" s="2">
        <v>64.959999999999994</v>
      </c>
      <c r="N1777" t="s">
        <v>26</v>
      </c>
      <c r="O1777" s="3">
        <v>0</v>
      </c>
      <c r="P1777" s="3">
        <v>0</v>
      </c>
      <c r="Q1777" s="2">
        <v>64.959999999999994</v>
      </c>
      <c r="R1777" t="s">
        <v>62</v>
      </c>
      <c r="S1777" t="s">
        <v>54</v>
      </c>
      <c r="T1777" t="s">
        <v>29</v>
      </c>
      <c r="U1777" t="s">
        <v>58</v>
      </c>
    </row>
    <row r="1778" spans="1:21" x14ac:dyDescent="0.35">
      <c r="A1778" t="s">
        <v>1857</v>
      </c>
      <c r="B1778" s="1">
        <v>46234</v>
      </c>
      <c r="C1778" t="str">
        <f>TEXT(tblData[[#This Row],[Rental Date]],"mmm")</f>
        <v>Jul</v>
      </c>
      <c r="D1778" t="str">
        <f>TEXT(tblData[[#This Row],[Rental Date]],"mmmm")</f>
        <v>July</v>
      </c>
      <c r="E1778" t="s">
        <v>38</v>
      </c>
      <c r="F1778" t="str">
        <f>TEXT(WEEKNUM(tblData[[#This Row],[Rental Date]]),"00")</f>
        <v>31</v>
      </c>
      <c r="G1778" s="1">
        <f>EOMONTH(tblData[[#This Row],[Rental Date]],0)</f>
        <v>46234</v>
      </c>
      <c r="H1778" t="s">
        <v>749</v>
      </c>
      <c r="I1778" t="s">
        <v>23</v>
      </c>
      <c r="J1778" t="s">
        <v>49</v>
      </c>
      <c r="K1778" t="s">
        <v>25</v>
      </c>
      <c r="L1778">
        <v>1</v>
      </c>
      <c r="M1778" s="2">
        <v>40.32</v>
      </c>
      <c r="N1778" t="s">
        <v>26</v>
      </c>
      <c r="O1778" s="3">
        <v>0</v>
      </c>
      <c r="P1778" s="3">
        <v>0</v>
      </c>
      <c r="Q1778" s="2">
        <v>40.32</v>
      </c>
      <c r="R1778" t="s">
        <v>66</v>
      </c>
      <c r="S1778" t="s">
        <v>50</v>
      </c>
      <c r="T1778" t="s">
        <v>29</v>
      </c>
      <c r="U1778" t="s">
        <v>36</v>
      </c>
    </row>
    <row r="1779" spans="1:21" x14ac:dyDescent="0.35">
      <c r="A1779" t="s">
        <v>1858</v>
      </c>
      <c r="B1779" s="1">
        <v>46234</v>
      </c>
      <c r="C1779" t="str">
        <f>TEXT(tblData[[#This Row],[Rental Date]],"mmm")</f>
        <v>Jul</v>
      </c>
      <c r="D1779" t="str">
        <f>TEXT(tblData[[#This Row],[Rental Date]],"mmmm")</f>
        <v>July</v>
      </c>
      <c r="E1779" t="s">
        <v>38</v>
      </c>
      <c r="F1779" t="str">
        <f>TEXT(WEEKNUM(tblData[[#This Row],[Rental Date]]),"00")</f>
        <v>31</v>
      </c>
      <c r="G1779" s="1">
        <f>EOMONTH(tblData[[#This Row],[Rental Date]],0)</f>
        <v>46234</v>
      </c>
      <c r="H1779" t="s">
        <v>749</v>
      </c>
      <c r="I1779" t="s">
        <v>53</v>
      </c>
      <c r="J1779" t="s">
        <v>44</v>
      </c>
      <c r="K1779" t="s">
        <v>60</v>
      </c>
      <c r="L1779">
        <v>1</v>
      </c>
      <c r="M1779" s="2">
        <v>38.08</v>
      </c>
      <c r="N1779" t="s">
        <v>61</v>
      </c>
      <c r="O1779" s="3">
        <v>8</v>
      </c>
      <c r="P1779" s="3">
        <v>4.6100000000000003</v>
      </c>
      <c r="Q1779" s="2">
        <v>41.47</v>
      </c>
      <c r="R1779" t="s">
        <v>62</v>
      </c>
      <c r="S1779" t="s">
        <v>46</v>
      </c>
      <c r="T1779" t="s">
        <v>29</v>
      </c>
      <c r="U1779" t="s">
        <v>30</v>
      </c>
    </row>
    <row r="1780" spans="1:21" x14ac:dyDescent="0.35">
      <c r="A1780" t="s">
        <v>1859</v>
      </c>
      <c r="B1780" s="1">
        <v>46234</v>
      </c>
      <c r="C1780" t="str">
        <f>TEXT(tblData[[#This Row],[Rental Date]],"mmm")</f>
        <v>Jul</v>
      </c>
      <c r="D1780" t="str">
        <f>TEXT(tblData[[#This Row],[Rental Date]],"mmmm")</f>
        <v>July</v>
      </c>
      <c r="E1780" t="s">
        <v>38</v>
      </c>
      <c r="F1780" t="str">
        <f>TEXT(WEEKNUM(tblData[[#This Row],[Rental Date]]),"00")</f>
        <v>31</v>
      </c>
      <c r="G1780" s="1">
        <f>EOMONTH(tblData[[#This Row],[Rental Date]],0)</f>
        <v>46234</v>
      </c>
      <c r="H1780" t="s">
        <v>749</v>
      </c>
      <c r="I1780" t="s">
        <v>48</v>
      </c>
      <c r="J1780" t="s">
        <v>78</v>
      </c>
      <c r="K1780" t="s">
        <v>40</v>
      </c>
      <c r="L1780">
        <v>1</v>
      </c>
      <c r="M1780" s="2">
        <v>69.44</v>
      </c>
      <c r="N1780" t="s">
        <v>87</v>
      </c>
      <c r="O1780" s="3">
        <v>10</v>
      </c>
      <c r="P1780" s="3">
        <v>0</v>
      </c>
      <c r="Q1780" s="2">
        <v>79.44</v>
      </c>
      <c r="R1780" t="s">
        <v>94</v>
      </c>
      <c r="S1780" t="s">
        <v>46</v>
      </c>
      <c r="T1780" t="s">
        <v>29</v>
      </c>
      <c r="U1780" t="s">
        <v>79</v>
      </c>
    </row>
    <row r="1781" spans="1:21" x14ac:dyDescent="0.35">
      <c r="A1781" t="s">
        <v>1860</v>
      </c>
      <c r="B1781" s="1">
        <v>46234</v>
      </c>
      <c r="C1781" t="str">
        <f>TEXT(tblData[[#This Row],[Rental Date]],"mmm")</f>
        <v>Jul</v>
      </c>
      <c r="D1781" t="str">
        <f>TEXT(tblData[[#This Row],[Rental Date]],"mmmm")</f>
        <v>July</v>
      </c>
      <c r="E1781" t="s">
        <v>38</v>
      </c>
      <c r="F1781" t="str">
        <f>TEXT(WEEKNUM(tblData[[#This Row],[Rental Date]]),"00")</f>
        <v>31</v>
      </c>
      <c r="G1781" s="1">
        <f>EOMONTH(tblData[[#This Row],[Rental Date]],0)</f>
        <v>46234</v>
      </c>
      <c r="H1781" t="s">
        <v>749</v>
      </c>
      <c r="I1781" t="s">
        <v>39</v>
      </c>
      <c r="J1781" t="s">
        <v>78</v>
      </c>
      <c r="K1781" t="s">
        <v>60</v>
      </c>
      <c r="L1781">
        <v>1</v>
      </c>
      <c r="M1781" s="2">
        <v>29.12</v>
      </c>
      <c r="N1781" t="s">
        <v>61</v>
      </c>
      <c r="O1781" s="3">
        <v>8</v>
      </c>
      <c r="P1781" s="3">
        <v>0</v>
      </c>
      <c r="Q1781" s="2">
        <v>37.119999999999997</v>
      </c>
      <c r="R1781" t="s">
        <v>42</v>
      </c>
      <c r="S1781" t="s">
        <v>50</v>
      </c>
      <c r="T1781" t="s">
        <v>51</v>
      </c>
      <c r="U1781" t="s">
        <v>58</v>
      </c>
    </row>
    <row r="1782" spans="1:21" x14ac:dyDescent="0.35">
      <c r="A1782" t="s">
        <v>1861</v>
      </c>
      <c r="B1782" s="1">
        <v>46234</v>
      </c>
      <c r="C1782" t="str">
        <f>TEXT(tblData[[#This Row],[Rental Date]],"mmm")</f>
        <v>Jul</v>
      </c>
      <c r="D1782" t="str">
        <f>TEXT(tblData[[#This Row],[Rental Date]],"mmmm")</f>
        <v>July</v>
      </c>
      <c r="E1782" t="s">
        <v>38</v>
      </c>
      <c r="F1782" t="str">
        <f>TEXT(WEEKNUM(tblData[[#This Row],[Rental Date]]),"00")</f>
        <v>31</v>
      </c>
      <c r="G1782" s="1">
        <f>EOMONTH(tblData[[#This Row],[Rental Date]],0)</f>
        <v>46234</v>
      </c>
      <c r="H1782" t="s">
        <v>749</v>
      </c>
      <c r="I1782" t="s">
        <v>48</v>
      </c>
      <c r="J1782" t="s">
        <v>44</v>
      </c>
      <c r="K1782" t="s">
        <v>25</v>
      </c>
      <c r="L1782">
        <v>1</v>
      </c>
      <c r="M1782" s="2">
        <v>58.24</v>
      </c>
      <c r="N1782" t="s">
        <v>61</v>
      </c>
      <c r="O1782" s="3">
        <v>8</v>
      </c>
      <c r="P1782" s="3">
        <v>0</v>
      </c>
      <c r="Q1782" s="2">
        <v>66.239999999999995</v>
      </c>
      <c r="R1782" t="s">
        <v>66</v>
      </c>
      <c r="S1782" t="s">
        <v>35</v>
      </c>
      <c r="T1782" t="s">
        <v>51</v>
      </c>
      <c r="U1782" t="s">
        <v>30</v>
      </c>
    </row>
    <row r="1783" spans="1:21" x14ac:dyDescent="0.35">
      <c r="A1783" t="s">
        <v>1862</v>
      </c>
      <c r="B1783" s="1">
        <v>46235</v>
      </c>
      <c r="C1783" t="str">
        <f>TEXT(tblData[[#This Row],[Rental Date]],"mmm")</f>
        <v>Aug</v>
      </c>
      <c r="D1783" t="str">
        <f>TEXT(tblData[[#This Row],[Rental Date]],"mmmm")</f>
        <v>August</v>
      </c>
      <c r="E1783" t="s">
        <v>56</v>
      </c>
      <c r="F1783" t="str">
        <f>TEXT(WEEKNUM(tblData[[#This Row],[Rental Date]]),"00")</f>
        <v>31</v>
      </c>
      <c r="G1783" s="1">
        <f>EOMONTH(tblData[[#This Row],[Rental Date]],0)</f>
        <v>46265</v>
      </c>
      <c r="H1783" t="s">
        <v>749</v>
      </c>
      <c r="I1783" t="s">
        <v>48</v>
      </c>
      <c r="J1783" t="s">
        <v>86</v>
      </c>
      <c r="K1783" t="s">
        <v>40</v>
      </c>
      <c r="L1783">
        <v>1</v>
      </c>
      <c r="M1783" s="2">
        <v>103.2</v>
      </c>
      <c r="N1783" t="s">
        <v>41</v>
      </c>
      <c r="O1783" s="3">
        <v>5</v>
      </c>
      <c r="P1783" s="3">
        <v>0</v>
      </c>
      <c r="Q1783" s="2">
        <v>108.2</v>
      </c>
      <c r="R1783" t="s">
        <v>94</v>
      </c>
      <c r="S1783" t="s">
        <v>35</v>
      </c>
      <c r="T1783" t="s">
        <v>29</v>
      </c>
      <c r="U1783" t="s">
        <v>30</v>
      </c>
    </row>
    <row r="1784" spans="1:21" x14ac:dyDescent="0.35">
      <c r="A1784" t="s">
        <v>1863</v>
      </c>
      <c r="B1784" s="1">
        <v>46235</v>
      </c>
      <c r="C1784" t="str">
        <f>TEXT(tblData[[#This Row],[Rental Date]],"mmm")</f>
        <v>Aug</v>
      </c>
      <c r="D1784" t="str">
        <f>TEXT(tblData[[#This Row],[Rental Date]],"mmmm")</f>
        <v>August</v>
      </c>
      <c r="E1784" t="s">
        <v>56</v>
      </c>
      <c r="F1784" t="str">
        <f>TEXT(WEEKNUM(tblData[[#This Row],[Rental Date]]),"00")</f>
        <v>31</v>
      </c>
      <c r="G1784" s="1">
        <f>EOMONTH(tblData[[#This Row],[Rental Date]],0)</f>
        <v>46265</v>
      </c>
      <c r="H1784" t="s">
        <v>749</v>
      </c>
      <c r="I1784" t="s">
        <v>48</v>
      </c>
      <c r="J1784" t="s">
        <v>44</v>
      </c>
      <c r="K1784" t="s">
        <v>92</v>
      </c>
      <c r="L1784">
        <v>1</v>
      </c>
      <c r="M1784" s="2">
        <v>134.4</v>
      </c>
      <c r="N1784" t="s">
        <v>89</v>
      </c>
      <c r="O1784" s="3">
        <v>6</v>
      </c>
      <c r="P1784" s="3">
        <v>0</v>
      </c>
      <c r="Q1784" s="2">
        <v>140.4</v>
      </c>
      <c r="R1784" t="s">
        <v>94</v>
      </c>
      <c r="S1784" t="s">
        <v>28</v>
      </c>
      <c r="T1784" t="s">
        <v>51</v>
      </c>
      <c r="U1784" t="s">
        <v>79</v>
      </c>
    </row>
    <row r="1785" spans="1:21" x14ac:dyDescent="0.35">
      <c r="A1785" t="s">
        <v>1864</v>
      </c>
      <c r="B1785" s="1">
        <v>46235</v>
      </c>
      <c r="C1785" t="str">
        <f>TEXT(tblData[[#This Row],[Rental Date]],"mmm")</f>
        <v>Aug</v>
      </c>
      <c r="D1785" t="str">
        <f>TEXT(tblData[[#This Row],[Rental Date]],"mmmm")</f>
        <v>August</v>
      </c>
      <c r="E1785" t="s">
        <v>56</v>
      </c>
      <c r="F1785" t="str">
        <f>TEXT(WEEKNUM(tblData[[#This Row],[Rental Date]]),"00")</f>
        <v>31</v>
      </c>
      <c r="G1785" s="1">
        <f>EOMONTH(tblData[[#This Row],[Rental Date]],0)</f>
        <v>46265</v>
      </c>
      <c r="H1785" t="s">
        <v>749</v>
      </c>
      <c r="I1785" t="s">
        <v>32</v>
      </c>
      <c r="J1785" t="s">
        <v>49</v>
      </c>
      <c r="K1785" t="s">
        <v>92</v>
      </c>
      <c r="L1785">
        <v>1</v>
      </c>
      <c r="M1785" s="2">
        <v>91.2</v>
      </c>
      <c r="N1785" t="s">
        <v>26</v>
      </c>
      <c r="O1785" s="3">
        <v>0</v>
      </c>
      <c r="P1785" s="3">
        <v>4.5599999999999996</v>
      </c>
      <c r="Q1785" s="2">
        <v>86.64</v>
      </c>
      <c r="R1785" t="s">
        <v>66</v>
      </c>
      <c r="S1785" t="s">
        <v>54</v>
      </c>
      <c r="T1785" t="s">
        <v>29</v>
      </c>
      <c r="U1785" t="s">
        <v>58</v>
      </c>
    </row>
    <row r="1786" spans="1:21" x14ac:dyDescent="0.35">
      <c r="A1786" t="s">
        <v>1865</v>
      </c>
      <c r="B1786" s="1">
        <v>46235</v>
      </c>
      <c r="C1786" t="str">
        <f>TEXT(tblData[[#This Row],[Rental Date]],"mmm")</f>
        <v>Aug</v>
      </c>
      <c r="D1786" t="str">
        <f>TEXT(tblData[[#This Row],[Rental Date]],"mmmm")</f>
        <v>August</v>
      </c>
      <c r="E1786" t="s">
        <v>56</v>
      </c>
      <c r="F1786" t="str">
        <f>TEXT(WEEKNUM(tblData[[#This Row],[Rental Date]]),"00")</f>
        <v>31</v>
      </c>
      <c r="G1786" s="1">
        <f>EOMONTH(tblData[[#This Row],[Rental Date]],0)</f>
        <v>46265</v>
      </c>
      <c r="H1786" t="s">
        <v>749</v>
      </c>
      <c r="I1786" t="s">
        <v>39</v>
      </c>
      <c r="J1786" t="s">
        <v>33</v>
      </c>
      <c r="K1786" t="s">
        <v>92</v>
      </c>
      <c r="L1786">
        <v>1</v>
      </c>
      <c r="M1786" s="2">
        <v>100.8</v>
      </c>
      <c r="N1786" t="s">
        <v>26</v>
      </c>
      <c r="O1786" s="3">
        <v>0</v>
      </c>
      <c r="P1786" s="3">
        <v>0</v>
      </c>
      <c r="Q1786" s="2">
        <v>100.8</v>
      </c>
      <c r="R1786" t="s">
        <v>45</v>
      </c>
      <c r="S1786" t="s">
        <v>54</v>
      </c>
      <c r="T1786" t="s">
        <v>63</v>
      </c>
      <c r="U1786" t="s">
        <v>30</v>
      </c>
    </row>
    <row r="1787" spans="1:21" x14ac:dyDescent="0.35">
      <c r="A1787" t="s">
        <v>1866</v>
      </c>
      <c r="B1787" s="1">
        <v>46235</v>
      </c>
      <c r="C1787" t="str">
        <f>TEXT(tblData[[#This Row],[Rental Date]],"mmm")</f>
        <v>Aug</v>
      </c>
      <c r="D1787" t="str">
        <f>TEXT(tblData[[#This Row],[Rental Date]],"mmmm")</f>
        <v>August</v>
      </c>
      <c r="E1787" t="s">
        <v>56</v>
      </c>
      <c r="F1787" t="str">
        <f>TEXT(WEEKNUM(tblData[[#This Row],[Rental Date]]),"00")</f>
        <v>31</v>
      </c>
      <c r="G1787" s="1">
        <f>EOMONTH(tblData[[#This Row],[Rental Date]],0)</f>
        <v>46265</v>
      </c>
      <c r="H1787" t="s">
        <v>749</v>
      </c>
      <c r="I1787" t="s">
        <v>48</v>
      </c>
      <c r="J1787" t="s">
        <v>86</v>
      </c>
      <c r="K1787" t="s">
        <v>60</v>
      </c>
      <c r="L1787">
        <v>1</v>
      </c>
      <c r="M1787" s="2">
        <v>43.2</v>
      </c>
      <c r="N1787" t="s">
        <v>26</v>
      </c>
      <c r="O1787" s="3">
        <v>0</v>
      </c>
      <c r="P1787" s="3">
        <v>0</v>
      </c>
      <c r="Q1787" s="2">
        <v>43.2</v>
      </c>
      <c r="R1787" t="s">
        <v>76</v>
      </c>
      <c r="S1787" t="s">
        <v>28</v>
      </c>
      <c r="T1787" t="s">
        <v>29</v>
      </c>
      <c r="U1787" t="s">
        <v>30</v>
      </c>
    </row>
    <row r="1788" spans="1:21" x14ac:dyDescent="0.35">
      <c r="A1788" t="s">
        <v>1867</v>
      </c>
      <c r="B1788" s="1">
        <v>46235</v>
      </c>
      <c r="C1788" t="str">
        <f>TEXT(tblData[[#This Row],[Rental Date]],"mmm")</f>
        <v>Aug</v>
      </c>
      <c r="D1788" t="str">
        <f>TEXT(tblData[[#This Row],[Rental Date]],"mmmm")</f>
        <v>August</v>
      </c>
      <c r="E1788" t="s">
        <v>56</v>
      </c>
      <c r="F1788" t="str">
        <f>TEXT(WEEKNUM(tblData[[#This Row],[Rental Date]]),"00")</f>
        <v>31</v>
      </c>
      <c r="G1788" s="1">
        <f>EOMONTH(tblData[[#This Row],[Rental Date]],0)</f>
        <v>46265</v>
      </c>
      <c r="H1788" t="s">
        <v>749</v>
      </c>
      <c r="I1788" t="s">
        <v>39</v>
      </c>
      <c r="J1788" t="s">
        <v>78</v>
      </c>
      <c r="K1788" t="s">
        <v>25</v>
      </c>
      <c r="L1788">
        <v>1</v>
      </c>
      <c r="M1788" s="2">
        <v>50.4</v>
      </c>
      <c r="N1788" t="s">
        <v>89</v>
      </c>
      <c r="O1788" s="3">
        <v>6</v>
      </c>
      <c r="P1788" s="3">
        <v>0</v>
      </c>
      <c r="Q1788" s="2">
        <v>56.4</v>
      </c>
      <c r="R1788" t="s">
        <v>45</v>
      </c>
      <c r="S1788" t="s">
        <v>50</v>
      </c>
      <c r="T1788" t="s">
        <v>29</v>
      </c>
      <c r="U1788" t="s">
        <v>30</v>
      </c>
    </row>
    <row r="1789" spans="1:21" x14ac:dyDescent="0.35">
      <c r="A1789" t="s">
        <v>1868</v>
      </c>
      <c r="B1789" s="1">
        <v>46235</v>
      </c>
      <c r="C1789" t="str">
        <f>TEXT(tblData[[#This Row],[Rental Date]],"mmm")</f>
        <v>Aug</v>
      </c>
      <c r="D1789" t="str">
        <f>TEXT(tblData[[#This Row],[Rental Date]],"mmmm")</f>
        <v>August</v>
      </c>
      <c r="E1789" t="s">
        <v>56</v>
      </c>
      <c r="F1789" t="str">
        <f>TEXT(WEEKNUM(tblData[[#This Row],[Rental Date]]),"00")</f>
        <v>31</v>
      </c>
      <c r="G1789" s="1">
        <f>EOMONTH(tblData[[#This Row],[Rental Date]],0)</f>
        <v>46265</v>
      </c>
      <c r="H1789" t="s">
        <v>749</v>
      </c>
      <c r="I1789" t="s">
        <v>32</v>
      </c>
      <c r="J1789" t="s">
        <v>33</v>
      </c>
      <c r="K1789" t="s">
        <v>40</v>
      </c>
      <c r="L1789">
        <v>1</v>
      </c>
      <c r="M1789" s="2">
        <v>69.599999999999994</v>
      </c>
      <c r="N1789" t="s">
        <v>89</v>
      </c>
      <c r="O1789" s="3">
        <v>6</v>
      </c>
      <c r="P1789" s="3">
        <v>3.78</v>
      </c>
      <c r="Q1789" s="2">
        <v>71.819999999999993</v>
      </c>
      <c r="R1789" t="s">
        <v>62</v>
      </c>
      <c r="S1789" t="s">
        <v>35</v>
      </c>
      <c r="T1789" t="s">
        <v>90</v>
      </c>
      <c r="U1789" t="s">
        <v>30</v>
      </c>
    </row>
    <row r="1790" spans="1:21" x14ac:dyDescent="0.35">
      <c r="A1790" t="s">
        <v>1869</v>
      </c>
      <c r="B1790" s="1">
        <v>46235</v>
      </c>
      <c r="C1790" t="str">
        <f>TEXT(tblData[[#This Row],[Rental Date]],"mmm")</f>
        <v>Aug</v>
      </c>
      <c r="D1790" t="str">
        <f>TEXT(tblData[[#This Row],[Rental Date]],"mmmm")</f>
        <v>August</v>
      </c>
      <c r="E1790" t="s">
        <v>56</v>
      </c>
      <c r="F1790" t="str">
        <f>TEXT(WEEKNUM(tblData[[#This Row],[Rental Date]]),"00")</f>
        <v>31</v>
      </c>
      <c r="G1790" s="1">
        <f>EOMONTH(tblData[[#This Row],[Rental Date]],0)</f>
        <v>46265</v>
      </c>
      <c r="H1790" t="s">
        <v>749</v>
      </c>
      <c r="I1790" t="s">
        <v>48</v>
      </c>
      <c r="J1790" t="s">
        <v>65</v>
      </c>
      <c r="K1790" t="s">
        <v>60</v>
      </c>
      <c r="L1790">
        <v>1</v>
      </c>
      <c r="M1790" s="2">
        <v>14.4</v>
      </c>
      <c r="N1790" t="s">
        <v>87</v>
      </c>
      <c r="O1790" s="3">
        <v>10</v>
      </c>
      <c r="P1790" s="3">
        <v>0</v>
      </c>
      <c r="Q1790" s="2">
        <v>24.4</v>
      </c>
      <c r="R1790" t="s">
        <v>62</v>
      </c>
      <c r="S1790" t="s">
        <v>46</v>
      </c>
      <c r="T1790" t="s">
        <v>29</v>
      </c>
      <c r="U1790" t="s">
        <v>30</v>
      </c>
    </row>
    <row r="1791" spans="1:21" x14ac:dyDescent="0.35">
      <c r="A1791" t="s">
        <v>1870</v>
      </c>
      <c r="B1791" s="1">
        <v>46235</v>
      </c>
      <c r="C1791" t="str">
        <f>TEXT(tblData[[#This Row],[Rental Date]],"mmm")</f>
        <v>Aug</v>
      </c>
      <c r="D1791" t="str">
        <f>TEXT(tblData[[#This Row],[Rental Date]],"mmmm")</f>
        <v>August</v>
      </c>
      <c r="E1791" t="s">
        <v>56</v>
      </c>
      <c r="F1791" t="str">
        <f>TEXT(WEEKNUM(tblData[[#This Row],[Rental Date]]),"00")</f>
        <v>31</v>
      </c>
      <c r="G1791" s="1">
        <f>EOMONTH(tblData[[#This Row],[Rental Date]],0)</f>
        <v>46265</v>
      </c>
      <c r="H1791" t="s">
        <v>749</v>
      </c>
      <c r="I1791" t="s">
        <v>48</v>
      </c>
      <c r="J1791" t="s">
        <v>127</v>
      </c>
      <c r="K1791" t="s">
        <v>92</v>
      </c>
      <c r="L1791">
        <v>1</v>
      </c>
      <c r="M1791" s="2">
        <v>40.799999999999997</v>
      </c>
      <c r="N1791" t="s">
        <v>41</v>
      </c>
      <c r="O1791" s="3">
        <v>5</v>
      </c>
      <c r="P1791" s="3">
        <v>0</v>
      </c>
      <c r="Q1791" s="2">
        <v>45.8</v>
      </c>
      <c r="R1791" t="s">
        <v>66</v>
      </c>
      <c r="S1791" t="s">
        <v>46</v>
      </c>
      <c r="T1791" t="s">
        <v>51</v>
      </c>
      <c r="U1791" t="s">
        <v>30</v>
      </c>
    </row>
    <row r="1792" spans="1:21" x14ac:dyDescent="0.35">
      <c r="A1792" t="s">
        <v>1871</v>
      </c>
      <c r="B1792" s="1">
        <v>46235</v>
      </c>
      <c r="C1792" t="str">
        <f>TEXT(tblData[[#This Row],[Rental Date]],"mmm")</f>
        <v>Aug</v>
      </c>
      <c r="D1792" t="str">
        <f>TEXT(tblData[[#This Row],[Rental Date]],"mmmm")</f>
        <v>August</v>
      </c>
      <c r="E1792" t="s">
        <v>56</v>
      </c>
      <c r="F1792" t="str">
        <f>TEXT(WEEKNUM(tblData[[#This Row],[Rental Date]]),"00")</f>
        <v>31</v>
      </c>
      <c r="G1792" s="1">
        <f>EOMONTH(tblData[[#This Row],[Rental Date]],0)</f>
        <v>46265</v>
      </c>
      <c r="H1792" t="s">
        <v>749</v>
      </c>
      <c r="I1792" t="s">
        <v>39</v>
      </c>
      <c r="J1792" t="s">
        <v>33</v>
      </c>
      <c r="K1792" t="s">
        <v>40</v>
      </c>
      <c r="L1792">
        <v>1</v>
      </c>
      <c r="M1792" s="2">
        <v>69.599999999999994</v>
      </c>
      <c r="N1792" t="s">
        <v>89</v>
      </c>
      <c r="O1792" s="3">
        <v>6</v>
      </c>
      <c r="P1792" s="3">
        <v>0</v>
      </c>
      <c r="Q1792" s="2">
        <v>75.599999999999994</v>
      </c>
      <c r="R1792" t="s">
        <v>94</v>
      </c>
      <c r="S1792" t="s">
        <v>28</v>
      </c>
      <c r="T1792" t="s">
        <v>63</v>
      </c>
      <c r="U1792" t="s">
        <v>30</v>
      </c>
    </row>
    <row r="1793" spans="1:21" x14ac:dyDescent="0.35">
      <c r="A1793" t="s">
        <v>1872</v>
      </c>
      <c r="B1793" s="1">
        <v>46235</v>
      </c>
      <c r="C1793" t="str">
        <f>TEXT(tblData[[#This Row],[Rental Date]],"mmm")</f>
        <v>Aug</v>
      </c>
      <c r="D1793" t="str">
        <f>TEXT(tblData[[#This Row],[Rental Date]],"mmmm")</f>
        <v>August</v>
      </c>
      <c r="E1793" t="s">
        <v>56</v>
      </c>
      <c r="F1793" t="str">
        <f>TEXT(WEEKNUM(tblData[[#This Row],[Rental Date]]),"00")</f>
        <v>31</v>
      </c>
      <c r="G1793" s="1">
        <f>EOMONTH(tblData[[#This Row],[Rental Date]],0)</f>
        <v>46265</v>
      </c>
      <c r="H1793" t="s">
        <v>749</v>
      </c>
      <c r="I1793" t="s">
        <v>23</v>
      </c>
      <c r="J1793" t="s">
        <v>44</v>
      </c>
      <c r="K1793" t="s">
        <v>60</v>
      </c>
      <c r="L1793">
        <v>1</v>
      </c>
      <c r="M1793" s="2">
        <v>40.799999999999997</v>
      </c>
      <c r="N1793" t="s">
        <v>26</v>
      </c>
      <c r="O1793" s="3">
        <v>0</v>
      </c>
      <c r="P1793" s="3">
        <v>0</v>
      </c>
      <c r="Q1793" s="2">
        <v>40.799999999999997</v>
      </c>
      <c r="R1793" t="s">
        <v>57</v>
      </c>
      <c r="S1793" t="s">
        <v>28</v>
      </c>
      <c r="T1793" t="s">
        <v>29</v>
      </c>
      <c r="U1793" t="s">
        <v>30</v>
      </c>
    </row>
    <row r="1794" spans="1:21" x14ac:dyDescent="0.35">
      <c r="A1794" t="s">
        <v>1873</v>
      </c>
      <c r="B1794" s="1">
        <v>46235</v>
      </c>
      <c r="C1794" t="str">
        <f>TEXT(tblData[[#This Row],[Rental Date]],"mmm")</f>
        <v>Aug</v>
      </c>
      <c r="D1794" t="str">
        <f>TEXT(tblData[[#This Row],[Rental Date]],"mmmm")</f>
        <v>August</v>
      </c>
      <c r="E1794" t="s">
        <v>56</v>
      </c>
      <c r="F1794" t="str">
        <f>TEXT(WEEKNUM(tblData[[#This Row],[Rental Date]]),"00")</f>
        <v>31</v>
      </c>
      <c r="G1794" s="1">
        <f>EOMONTH(tblData[[#This Row],[Rental Date]],0)</f>
        <v>46265</v>
      </c>
      <c r="H1794" t="s">
        <v>749</v>
      </c>
      <c r="I1794" t="s">
        <v>39</v>
      </c>
      <c r="J1794" t="s">
        <v>78</v>
      </c>
      <c r="K1794" t="s">
        <v>25</v>
      </c>
      <c r="L1794">
        <v>1</v>
      </c>
      <c r="M1794" s="2">
        <v>50.4</v>
      </c>
      <c r="N1794" t="s">
        <v>26</v>
      </c>
      <c r="O1794" s="3">
        <v>0</v>
      </c>
      <c r="P1794" s="3">
        <v>2.52</v>
      </c>
      <c r="Q1794" s="2">
        <v>47.88</v>
      </c>
      <c r="R1794" t="s">
        <v>66</v>
      </c>
      <c r="S1794" t="s">
        <v>50</v>
      </c>
      <c r="T1794" t="s">
        <v>90</v>
      </c>
      <c r="U1794" t="s">
        <v>30</v>
      </c>
    </row>
    <row r="1795" spans="1:21" x14ac:dyDescent="0.35">
      <c r="A1795" t="s">
        <v>1874</v>
      </c>
      <c r="B1795" s="1">
        <v>46235</v>
      </c>
      <c r="C1795" t="str">
        <f>TEXT(tblData[[#This Row],[Rental Date]],"mmm")</f>
        <v>Aug</v>
      </c>
      <c r="D1795" t="str">
        <f>TEXT(tblData[[#This Row],[Rental Date]],"mmmm")</f>
        <v>August</v>
      </c>
      <c r="E1795" t="s">
        <v>56</v>
      </c>
      <c r="F1795" t="str">
        <f>TEXT(WEEKNUM(tblData[[#This Row],[Rental Date]]),"00")</f>
        <v>31</v>
      </c>
      <c r="G1795" s="1">
        <f>EOMONTH(tblData[[#This Row],[Rental Date]],0)</f>
        <v>46265</v>
      </c>
      <c r="H1795" t="s">
        <v>749</v>
      </c>
      <c r="I1795" t="s">
        <v>39</v>
      </c>
      <c r="J1795" t="s">
        <v>44</v>
      </c>
      <c r="K1795" t="s">
        <v>60</v>
      </c>
      <c r="L1795">
        <v>1</v>
      </c>
      <c r="M1795" s="2">
        <v>40.799999999999997</v>
      </c>
      <c r="N1795" t="s">
        <v>26</v>
      </c>
      <c r="O1795" s="3">
        <v>0</v>
      </c>
      <c r="P1795" s="3">
        <v>0</v>
      </c>
      <c r="Q1795" s="2">
        <v>40.799999999999997</v>
      </c>
      <c r="R1795" t="s">
        <v>71</v>
      </c>
      <c r="S1795" t="s">
        <v>46</v>
      </c>
      <c r="T1795" t="s">
        <v>29</v>
      </c>
      <c r="U1795" t="s">
        <v>30</v>
      </c>
    </row>
    <row r="1796" spans="1:21" x14ac:dyDescent="0.35">
      <c r="A1796" t="s">
        <v>1875</v>
      </c>
      <c r="B1796" s="1">
        <v>46235</v>
      </c>
      <c r="C1796" t="str">
        <f>TEXT(tblData[[#This Row],[Rental Date]],"mmm")</f>
        <v>Aug</v>
      </c>
      <c r="D1796" t="str">
        <f>TEXT(tblData[[#This Row],[Rental Date]],"mmmm")</f>
        <v>August</v>
      </c>
      <c r="E1796" t="s">
        <v>56</v>
      </c>
      <c r="F1796" t="str">
        <f>TEXT(WEEKNUM(tblData[[#This Row],[Rental Date]]),"00")</f>
        <v>31</v>
      </c>
      <c r="G1796" s="1">
        <f>EOMONTH(tblData[[#This Row],[Rental Date]],0)</f>
        <v>46265</v>
      </c>
      <c r="H1796" t="s">
        <v>749</v>
      </c>
      <c r="I1796" t="s">
        <v>23</v>
      </c>
      <c r="J1796" t="s">
        <v>78</v>
      </c>
      <c r="K1796" t="s">
        <v>25</v>
      </c>
      <c r="L1796">
        <v>1</v>
      </c>
      <c r="M1796" s="2">
        <v>50.4</v>
      </c>
      <c r="N1796" t="s">
        <v>41</v>
      </c>
      <c r="O1796" s="3">
        <v>5</v>
      </c>
      <c r="P1796" s="3">
        <v>0</v>
      </c>
      <c r="Q1796" s="2">
        <v>55.4</v>
      </c>
      <c r="R1796" t="s">
        <v>71</v>
      </c>
      <c r="S1796" t="s">
        <v>54</v>
      </c>
      <c r="T1796" t="s">
        <v>29</v>
      </c>
      <c r="U1796" t="s">
        <v>30</v>
      </c>
    </row>
    <row r="1797" spans="1:21" x14ac:dyDescent="0.35">
      <c r="A1797" t="s">
        <v>1876</v>
      </c>
      <c r="B1797" s="1">
        <v>46235</v>
      </c>
      <c r="C1797" t="str">
        <f>TEXT(tblData[[#This Row],[Rental Date]],"mmm")</f>
        <v>Aug</v>
      </c>
      <c r="D1797" t="str">
        <f>TEXT(tblData[[#This Row],[Rental Date]],"mmmm")</f>
        <v>August</v>
      </c>
      <c r="E1797" t="s">
        <v>56</v>
      </c>
      <c r="F1797" t="str">
        <f>TEXT(WEEKNUM(tblData[[#This Row],[Rental Date]]),"00")</f>
        <v>31</v>
      </c>
      <c r="G1797" s="1">
        <f>EOMONTH(tblData[[#This Row],[Rental Date]],0)</f>
        <v>46265</v>
      </c>
      <c r="H1797" t="s">
        <v>749</v>
      </c>
      <c r="I1797" t="s">
        <v>39</v>
      </c>
      <c r="J1797" t="s">
        <v>111</v>
      </c>
      <c r="K1797" t="s">
        <v>92</v>
      </c>
      <c r="L1797">
        <v>1</v>
      </c>
      <c r="M1797" s="2">
        <v>57.6</v>
      </c>
      <c r="N1797" t="s">
        <v>26</v>
      </c>
      <c r="O1797" s="3">
        <v>0</v>
      </c>
      <c r="P1797" s="3">
        <v>0</v>
      </c>
      <c r="Q1797" s="2">
        <v>57.6</v>
      </c>
      <c r="R1797" t="s">
        <v>34</v>
      </c>
      <c r="S1797" t="s">
        <v>35</v>
      </c>
      <c r="T1797" t="s">
        <v>29</v>
      </c>
      <c r="U1797" t="s">
        <v>30</v>
      </c>
    </row>
    <row r="1798" spans="1:21" x14ac:dyDescent="0.35">
      <c r="A1798" t="s">
        <v>1877</v>
      </c>
      <c r="B1798" s="1">
        <v>46235</v>
      </c>
      <c r="C1798" t="str">
        <f>TEXT(tblData[[#This Row],[Rental Date]],"mmm")</f>
        <v>Aug</v>
      </c>
      <c r="D1798" t="str">
        <f>TEXT(tblData[[#This Row],[Rental Date]],"mmmm")</f>
        <v>August</v>
      </c>
      <c r="E1798" t="s">
        <v>56</v>
      </c>
      <c r="F1798" t="str">
        <f>TEXT(WEEKNUM(tblData[[#This Row],[Rental Date]]),"00")</f>
        <v>31</v>
      </c>
      <c r="G1798" s="1">
        <f>EOMONTH(tblData[[#This Row],[Rental Date]],0)</f>
        <v>46265</v>
      </c>
      <c r="H1798" t="s">
        <v>749</v>
      </c>
      <c r="I1798" t="s">
        <v>48</v>
      </c>
      <c r="J1798" t="s">
        <v>78</v>
      </c>
      <c r="K1798" t="s">
        <v>60</v>
      </c>
      <c r="L1798">
        <v>1</v>
      </c>
      <c r="M1798" s="2">
        <v>31.2</v>
      </c>
      <c r="N1798" t="s">
        <v>26</v>
      </c>
      <c r="O1798" s="3">
        <v>0</v>
      </c>
      <c r="P1798" s="3">
        <v>0</v>
      </c>
      <c r="Q1798" s="2">
        <v>31.2</v>
      </c>
      <c r="R1798" t="s">
        <v>71</v>
      </c>
      <c r="S1798" t="s">
        <v>46</v>
      </c>
      <c r="T1798" t="s">
        <v>29</v>
      </c>
      <c r="U1798" t="s">
        <v>30</v>
      </c>
    </row>
    <row r="1799" spans="1:21" x14ac:dyDescent="0.35">
      <c r="A1799" t="s">
        <v>1878</v>
      </c>
      <c r="B1799" s="1">
        <v>46235</v>
      </c>
      <c r="C1799" t="str">
        <f>TEXT(tblData[[#This Row],[Rental Date]],"mmm")</f>
        <v>Aug</v>
      </c>
      <c r="D1799" t="str">
        <f>TEXT(tblData[[#This Row],[Rental Date]],"mmmm")</f>
        <v>August</v>
      </c>
      <c r="E1799" t="s">
        <v>56</v>
      </c>
      <c r="F1799" t="str">
        <f>TEXT(WEEKNUM(tblData[[#This Row],[Rental Date]]),"00")</f>
        <v>31</v>
      </c>
      <c r="G1799" s="1">
        <f>EOMONTH(tblData[[#This Row],[Rental Date]],0)</f>
        <v>46265</v>
      </c>
      <c r="H1799" t="s">
        <v>749</v>
      </c>
      <c r="I1799" t="s">
        <v>39</v>
      </c>
      <c r="J1799" t="s">
        <v>24</v>
      </c>
      <c r="K1799" t="s">
        <v>92</v>
      </c>
      <c r="L1799">
        <v>1</v>
      </c>
      <c r="M1799" s="2">
        <v>132</v>
      </c>
      <c r="N1799" t="s">
        <v>26</v>
      </c>
      <c r="O1799" s="3">
        <v>0</v>
      </c>
      <c r="P1799" s="3">
        <v>0</v>
      </c>
      <c r="Q1799" s="2">
        <v>132</v>
      </c>
      <c r="R1799" t="s">
        <v>42</v>
      </c>
      <c r="S1799" t="s">
        <v>46</v>
      </c>
      <c r="T1799" t="s">
        <v>63</v>
      </c>
      <c r="U1799" t="s">
        <v>30</v>
      </c>
    </row>
    <row r="1800" spans="1:21" x14ac:dyDescent="0.35">
      <c r="A1800" t="s">
        <v>1879</v>
      </c>
      <c r="B1800" s="1">
        <v>46235</v>
      </c>
      <c r="C1800" t="str">
        <f>TEXT(tblData[[#This Row],[Rental Date]],"mmm")</f>
        <v>Aug</v>
      </c>
      <c r="D1800" t="str">
        <f>TEXT(tblData[[#This Row],[Rental Date]],"mmmm")</f>
        <v>August</v>
      </c>
      <c r="E1800" t="s">
        <v>56</v>
      </c>
      <c r="F1800" t="str">
        <f>TEXT(WEEKNUM(tblData[[#This Row],[Rental Date]]),"00")</f>
        <v>31</v>
      </c>
      <c r="G1800" s="1">
        <f>EOMONTH(tblData[[#This Row],[Rental Date]],0)</f>
        <v>46265</v>
      </c>
      <c r="H1800" t="s">
        <v>749</v>
      </c>
      <c r="I1800" t="s">
        <v>39</v>
      </c>
      <c r="J1800" t="s">
        <v>78</v>
      </c>
      <c r="K1800" t="s">
        <v>60</v>
      </c>
      <c r="L1800">
        <v>1</v>
      </c>
      <c r="M1800" s="2">
        <v>31.2</v>
      </c>
      <c r="N1800" t="s">
        <v>26</v>
      </c>
      <c r="O1800" s="3">
        <v>0</v>
      </c>
      <c r="P1800" s="3">
        <v>0</v>
      </c>
      <c r="Q1800" s="2">
        <v>31.2</v>
      </c>
      <c r="R1800" t="s">
        <v>34</v>
      </c>
      <c r="S1800" t="s">
        <v>46</v>
      </c>
      <c r="T1800" t="s">
        <v>29</v>
      </c>
      <c r="U1800" t="s">
        <v>30</v>
      </c>
    </row>
    <row r="1801" spans="1:21" x14ac:dyDescent="0.35">
      <c r="A1801" t="s">
        <v>1880</v>
      </c>
      <c r="B1801" s="1">
        <v>46235</v>
      </c>
      <c r="C1801" t="str">
        <f>TEXT(tblData[[#This Row],[Rental Date]],"mmm")</f>
        <v>Aug</v>
      </c>
      <c r="D1801" t="str">
        <f>TEXT(tblData[[#This Row],[Rental Date]],"mmmm")</f>
        <v>August</v>
      </c>
      <c r="E1801" t="s">
        <v>56</v>
      </c>
      <c r="F1801" t="str">
        <f>TEXT(WEEKNUM(tblData[[#This Row],[Rental Date]]),"00")</f>
        <v>31</v>
      </c>
      <c r="G1801" s="1">
        <f>EOMONTH(tblData[[#This Row],[Rental Date]],0)</f>
        <v>46265</v>
      </c>
      <c r="H1801" t="s">
        <v>749</v>
      </c>
      <c r="I1801" t="s">
        <v>48</v>
      </c>
      <c r="J1801" t="s">
        <v>33</v>
      </c>
      <c r="K1801" t="s">
        <v>25</v>
      </c>
      <c r="L1801">
        <v>1</v>
      </c>
      <c r="M1801" s="2">
        <v>45.6</v>
      </c>
      <c r="N1801" t="s">
        <v>26</v>
      </c>
      <c r="O1801" s="3">
        <v>0</v>
      </c>
      <c r="P1801" s="3">
        <v>0</v>
      </c>
      <c r="Q1801" s="2">
        <v>45.6</v>
      </c>
      <c r="R1801" t="s">
        <v>66</v>
      </c>
      <c r="S1801" t="s">
        <v>46</v>
      </c>
      <c r="T1801" t="s">
        <v>51</v>
      </c>
      <c r="U1801" t="s">
        <v>58</v>
      </c>
    </row>
    <row r="1802" spans="1:21" x14ac:dyDescent="0.35">
      <c r="A1802" t="s">
        <v>1881</v>
      </c>
      <c r="B1802" s="1">
        <v>46235</v>
      </c>
      <c r="C1802" t="str">
        <f>TEXT(tblData[[#This Row],[Rental Date]],"mmm")</f>
        <v>Aug</v>
      </c>
      <c r="D1802" t="str">
        <f>TEXT(tblData[[#This Row],[Rental Date]],"mmmm")</f>
        <v>August</v>
      </c>
      <c r="E1802" t="s">
        <v>56</v>
      </c>
      <c r="F1802" t="str">
        <f>TEXT(WEEKNUM(tblData[[#This Row],[Rental Date]]),"00")</f>
        <v>31</v>
      </c>
      <c r="G1802" s="1">
        <f>EOMONTH(tblData[[#This Row],[Rental Date]],0)</f>
        <v>46265</v>
      </c>
      <c r="H1802" t="s">
        <v>749</v>
      </c>
      <c r="I1802" t="s">
        <v>39</v>
      </c>
      <c r="J1802" t="s">
        <v>78</v>
      </c>
      <c r="K1802" t="s">
        <v>60</v>
      </c>
      <c r="L1802">
        <v>1</v>
      </c>
      <c r="M1802" s="2">
        <v>31.2</v>
      </c>
      <c r="N1802" t="s">
        <v>26</v>
      </c>
      <c r="O1802" s="3">
        <v>0</v>
      </c>
      <c r="P1802" s="3">
        <v>0</v>
      </c>
      <c r="Q1802" s="2">
        <v>31.2</v>
      </c>
      <c r="R1802" t="s">
        <v>42</v>
      </c>
      <c r="S1802" t="s">
        <v>28</v>
      </c>
      <c r="T1802" t="s">
        <v>29</v>
      </c>
      <c r="U1802" t="s">
        <v>30</v>
      </c>
    </row>
    <row r="1803" spans="1:21" x14ac:dyDescent="0.35">
      <c r="A1803" t="s">
        <v>1882</v>
      </c>
      <c r="B1803" s="1">
        <v>46235</v>
      </c>
      <c r="C1803" t="str">
        <f>TEXT(tblData[[#This Row],[Rental Date]],"mmm")</f>
        <v>Aug</v>
      </c>
      <c r="D1803" t="str">
        <f>TEXT(tblData[[#This Row],[Rental Date]],"mmmm")</f>
        <v>August</v>
      </c>
      <c r="E1803" t="s">
        <v>56</v>
      </c>
      <c r="F1803" t="str">
        <f>TEXT(WEEKNUM(tblData[[#This Row],[Rental Date]]),"00")</f>
        <v>31</v>
      </c>
      <c r="G1803" s="1">
        <f>EOMONTH(tblData[[#This Row],[Rental Date]],0)</f>
        <v>46265</v>
      </c>
      <c r="H1803" t="s">
        <v>749</v>
      </c>
      <c r="I1803" t="s">
        <v>23</v>
      </c>
      <c r="J1803" t="s">
        <v>33</v>
      </c>
      <c r="K1803" t="s">
        <v>25</v>
      </c>
      <c r="L1803">
        <v>1</v>
      </c>
      <c r="M1803" s="2">
        <v>45.6</v>
      </c>
      <c r="N1803" t="s">
        <v>75</v>
      </c>
      <c r="O1803" s="3">
        <v>12</v>
      </c>
      <c r="P1803" s="3">
        <v>0</v>
      </c>
      <c r="Q1803" s="2">
        <v>57.6</v>
      </c>
      <c r="R1803" t="s">
        <v>94</v>
      </c>
      <c r="S1803" t="s">
        <v>35</v>
      </c>
      <c r="T1803" t="s">
        <v>83</v>
      </c>
      <c r="U1803" t="s">
        <v>30</v>
      </c>
    </row>
    <row r="1804" spans="1:21" x14ac:dyDescent="0.35">
      <c r="A1804" t="s">
        <v>1883</v>
      </c>
      <c r="B1804" s="1">
        <v>46235</v>
      </c>
      <c r="C1804" t="str">
        <f>TEXT(tblData[[#This Row],[Rental Date]],"mmm")</f>
        <v>Aug</v>
      </c>
      <c r="D1804" t="str">
        <f>TEXT(tblData[[#This Row],[Rental Date]],"mmmm")</f>
        <v>August</v>
      </c>
      <c r="E1804" t="s">
        <v>56</v>
      </c>
      <c r="F1804" t="str">
        <f>TEXT(WEEKNUM(tblData[[#This Row],[Rental Date]]),"00")</f>
        <v>31</v>
      </c>
      <c r="G1804" s="1">
        <f>EOMONTH(tblData[[#This Row],[Rental Date]],0)</f>
        <v>46265</v>
      </c>
      <c r="H1804" t="s">
        <v>749</v>
      </c>
      <c r="I1804" t="s">
        <v>39</v>
      </c>
      <c r="J1804" t="s">
        <v>138</v>
      </c>
      <c r="K1804" t="s">
        <v>60</v>
      </c>
      <c r="L1804">
        <v>1</v>
      </c>
      <c r="M1804" s="2">
        <v>36</v>
      </c>
      <c r="N1804" t="s">
        <v>26</v>
      </c>
      <c r="O1804" s="3">
        <v>0</v>
      </c>
      <c r="P1804" s="3">
        <v>0</v>
      </c>
      <c r="Q1804" s="2">
        <v>36</v>
      </c>
      <c r="R1804" t="s">
        <v>71</v>
      </c>
      <c r="S1804" t="s">
        <v>28</v>
      </c>
      <c r="T1804" t="s">
        <v>83</v>
      </c>
      <c r="U1804" t="s">
        <v>30</v>
      </c>
    </row>
    <row r="1805" spans="1:21" x14ac:dyDescent="0.35">
      <c r="A1805" t="s">
        <v>1884</v>
      </c>
      <c r="B1805" s="1">
        <v>46235</v>
      </c>
      <c r="C1805" t="str">
        <f>TEXT(tblData[[#This Row],[Rental Date]],"mmm")</f>
        <v>Aug</v>
      </c>
      <c r="D1805" t="str">
        <f>TEXT(tblData[[#This Row],[Rental Date]],"mmmm")</f>
        <v>August</v>
      </c>
      <c r="E1805" t="s">
        <v>56</v>
      </c>
      <c r="F1805" t="str">
        <f>TEXT(WEEKNUM(tblData[[#This Row],[Rental Date]]),"00")</f>
        <v>31</v>
      </c>
      <c r="G1805" s="1">
        <f>EOMONTH(tblData[[#This Row],[Rental Date]],0)</f>
        <v>46265</v>
      </c>
      <c r="H1805" t="s">
        <v>749</v>
      </c>
      <c r="I1805" t="s">
        <v>23</v>
      </c>
      <c r="J1805" t="s">
        <v>49</v>
      </c>
      <c r="K1805" t="s">
        <v>25</v>
      </c>
      <c r="L1805">
        <v>1</v>
      </c>
      <c r="M1805" s="2">
        <v>43.2</v>
      </c>
      <c r="N1805" t="s">
        <v>41</v>
      </c>
      <c r="O1805" s="3">
        <v>5</v>
      </c>
      <c r="P1805" s="3">
        <v>0</v>
      </c>
      <c r="Q1805" s="2">
        <v>48.2</v>
      </c>
      <c r="R1805" t="s">
        <v>42</v>
      </c>
      <c r="S1805" t="s">
        <v>50</v>
      </c>
      <c r="T1805" t="s">
        <v>29</v>
      </c>
      <c r="U1805" t="s">
        <v>30</v>
      </c>
    </row>
    <row r="1806" spans="1:21" x14ac:dyDescent="0.35">
      <c r="A1806" t="s">
        <v>1885</v>
      </c>
      <c r="B1806" s="1">
        <v>46235</v>
      </c>
      <c r="C1806" t="str">
        <f>TEXT(tblData[[#This Row],[Rental Date]],"mmm")</f>
        <v>Aug</v>
      </c>
      <c r="D1806" t="str">
        <f>TEXT(tblData[[#This Row],[Rental Date]],"mmmm")</f>
        <v>August</v>
      </c>
      <c r="E1806" t="s">
        <v>56</v>
      </c>
      <c r="F1806" t="str">
        <f>TEXT(WEEKNUM(tblData[[#This Row],[Rental Date]]),"00")</f>
        <v>31</v>
      </c>
      <c r="G1806" s="1">
        <f>EOMONTH(tblData[[#This Row],[Rental Date]],0)</f>
        <v>46265</v>
      </c>
      <c r="H1806" t="s">
        <v>749</v>
      </c>
      <c r="I1806" t="s">
        <v>32</v>
      </c>
      <c r="J1806" t="s">
        <v>33</v>
      </c>
      <c r="K1806" t="s">
        <v>92</v>
      </c>
      <c r="L1806">
        <v>1</v>
      </c>
      <c r="M1806" s="2">
        <v>100.8</v>
      </c>
      <c r="N1806" t="s">
        <v>41</v>
      </c>
      <c r="O1806" s="3">
        <v>5</v>
      </c>
      <c r="P1806" s="3">
        <v>5.29</v>
      </c>
      <c r="Q1806" s="2">
        <v>100.51</v>
      </c>
      <c r="R1806" t="s">
        <v>57</v>
      </c>
      <c r="S1806" t="s">
        <v>35</v>
      </c>
      <c r="T1806" t="s">
        <v>51</v>
      </c>
      <c r="U1806" t="s">
        <v>30</v>
      </c>
    </row>
    <row r="1807" spans="1:21" x14ac:dyDescent="0.35">
      <c r="A1807" t="s">
        <v>1886</v>
      </c>
      <c r="B1807" s="1">
        <v>46235</v>
      </c>
      <c r="C1807" t="str">
        <f>TEXT(tblData[[#This Row],[Rental Date]],"mmm")</f>
        <v>Aug</v>
      </c>
      <c r="D1807" t="str">
        <f>TEXT(tblData[[#This Row],[Rental Date]],"mmmm")</f>
        <v>August</v>
      </c>
      <c r="E1807" t="s">
        <v>56</v>
      </c>
      <c r="F1807" t="str">
        <f>TEXT(WEEKNUM(tblData[[#This Row],[Rental Date]]),"00")</f>
        <v>31</v>
      </c>
      <c r="G1807" s="1">
        <f>EOMONTH(tblData[[#This Row],[Rental Date]],0)</f>
        <v>46265</v>
      </c>
      <c r="H1807" t="s">
        <v>749</v>
      </c>
      <c r="I1807" t="s">
        <v>48</v>
      </c>
      <c r="J1807" t="s">
        <v>78</v>
      </c>
      <c r="K1807" t="s">
        <v>92</v>
      </c>
      <c r="L1807">
        <v>1</v>
      </c>
      <c r="M1807" s="2">
        <v>105.6</v>
      </c>
      <c r="N1807" t="s">
        <v>26</v>
      </c>
      <c r="O1807" s="3">
        <v>0</v>
      </c>
      <c r="P1807" s="3">
        <v>0</v>
      </c>
      <c r="Q1807" s="2">
        <v>105.6</v>
      </c>
      <c r="R1807" t="s">
        <v>66</v>
      </c>
      <c r="S1807" t="s">
        <v>50</v>
      </c>
      <c r="T1807" t="s">
        <v>29</v>
      </c>
      <c r="U1807" t="s">
        <v>30</v>
      </c>
    </row>
    <row r="1808" spans="1:21" x14ac:dyDescent="0.35">
      <c r="A1808" t="s">
        <v>1887</v>
      </c>
      <c r="B1808" s="1">
        <v>46235</v>
      </c>
      <c r="C1808" t="str">
        <f>TEXT(tblData[[#This Row],[Rental Date]],"mmm")</f>
        <v>Aug</v>
      </c>
      <c r="D1808" t="str">
        <f>TEXT(tblData[[#This Row],[Rental Date]],"mmmm")</f>
        <v>August</v>
      </c>
      <c r="E1808" t="s">
        <v>56</v>
      </c>
      <c r="F1808" t="str">
        <f>TEXT(WEEKNUM(tblData[[#This Row],[Rental Date]]),"00")</f>
        <v>31</v>
      </c>
      <c r="G1808" s="1">
        <f>EOMONTH(tblData[[#This Row],[Rental Date]],0)</f>
        <v>46265</v>
      </c>
      <c r="H1808" t="s">
        <v>749</v>
      </c>
      <c r="I1808" t="s">
        <v>23</v>
      </c>
      <c r="J1808" t="s">
        <v>24</v>
      </c>
      <c r="K1808" t="s">
        <v>25</v>
      </c>
      <c r="L1808">
        <v>1</v>
      </c>
      <c r="M1808" s="2">
        <v>60</v>
      </c>
      <c r="N1808" t="s">
        <v>89</v>
      </c>
      <c r="O1808" s="3">
        <v>6</v>
      </c>
      <c r="P1808" s="3">
        <v>0</v>
      </c>
      <c r="Q1808" s="2">
        <v>66</v>
      </c>
      <c r="R1808" t="s">
        <v>34</v>
      </c>
      <c r="S1808" t="s">
        <v>28</v>
      </c>
      <c r="T1808" t="s">
        <v>63</v>
      </c>
      <c r="U1808" t="s">
        <v>58</v>
      </c>
    </row>
    <row r="1809" spans="1:21" x14ac:dyDescent="0.35">
      <c r="A1809" t="s">
        <v>1888</v>
      </c>
      <c r="B1809" s="1">
        <v>46235</v>
      </c>
      <c r="C1809" t="str">
        <f>TEXT(tblData[[#This Row],[Rental Date]],"mmm")</f>
        <v>Aug</v>
      </c>
      <c r="D1809" t="str">
        <f>TEXT(tblData[[#This Row],[Rental Date]],"mmmm")</f>
        <v>August</v>
      </c>
      <c r="E1809" t="s">
        <v>56</v>
      </c>
      <c r="F1809" t="str">
        <f>TEXT(WEEKNUM(tblData[[#This Row],[Rental Date]]),"00")</f>
        <v>31</v>
      </c>
      <c r="G1809" s="1">
        <f>EOMONTH(tblData[[#This Row],[Rental Date]],0)</f>
        <v>46265</v>
      </c>
      <c r="H1809" t="s">
        <v>749</v>
      </c>
      <c r="I1809" t="s">
        <v>39</v>
      </c>
      <c r="J1809" t="s">
        <v>44</v>
      </c>
      <c r="K1809" t="s">
        <v>40</v>
      </c>
      <c r="L1809">
        <v>1</v>
      </c>
      <c r="M1809" s="2">
        <v>93.6</v>
      </c>
      <c r="N1809" t="s">
        <v>89</v>
      </c>
      <c r="O1809" s="3">
        <v>6</v>
      </c>
      <c r="P1809" s="3">
        <v>0</v>
      </c>
      <c r="Q1809" s="2">
        <v>99.6</v>
      </c>
      <c r="R1809" t="s">
        <v>71</v>
      </c>
      <c r="S1809" t="s">
        <v>50</v>
      </c>
      <c r="T1809" t="s">
        <v>29</v>
      </c>
      <c r="U1809" t="s">
        <v>30</v>
      </c>
    </row>
    <row r="1810" spans="1:21" x14ac:dyDescent="0.35">
      <c r="A1810" t="s">
        <v>1889</v>
      </c>
      <c r="B1810" s="1">
        <v>46236</v>
      </c>
      <c r="C1810" t="str">
        <f>TEXT(tblData[[#This Row],[Rental Date]],"mmm")</f>
        <v>Aug</v>
      </c>
      <c r="D1810" t="str">
        <f>TEXT(tblData[[#This Row],[Rental Date]],"mmmm")</f>
        <v>August</v>
      </c>
      <c r="E1810" t="s">
        <v>68</v>
      </c>
      <c r="F1810" t="str">
        <f>TEXT(WEEKNUM(tblData[[#This Row],[Rental Date]]),"00")</f>
        <v>32</v>
      </c>
      <c r="G1810" s="1">
        <f>EOMONTH(tblData[[#This Row],[Rental Date]],0)</f>
        <v>46265</v>
      </c>
      <c r="H1810" t="s">
        <v>749</v>
      </c>
      <c r="I1810" t="s">
        <v>23</v>
      </c>
      <c r="J1810" t="s">
        <v>78</v>
      </c>
      <c r="K1810" t="s">
        <v>25</v>
      </c>
      <c r="L1810">
        <v>1</v>
      </c>
      <c r="M1810" s="2">
        <v>50.4</v>
      </c>
      <c r="N1810" t="s">
        <v>89</v>
      </c>
      <c r="O1810" s="3">
        <v>6</v>
      </c>
      <c r="P1810" s="3">
        <v>0</v>
      </c>
      <c r="Q1810" s="2">
        <v>56.4</v>
      </c>
      <c r="R1810" t="s">
        <v>27</v>
      </c>
      <c r="S1810" t="s">
        <v>35</v>
      </c>
      <c r="T1810" t="s">
        <v>63</v>
      </c>
      <c r="U1810" t="s">
        <v>30</v>
      </c>
    </row>
    <row r="1811" spans="1:21" x14ac:dyDescent="0.35">
      <c r="A1811" t="s">
        <v>1890</v>
      </c>
      <c r="B1811" s="1">
        <v>46236</v>
      </c>
      <c r="C1811" t="str">
        <f>TEXT(tblData[[#This Row],[Rental Date]],"mmm")</f>
        <v>Aug</v>
      </c>
      <c r="D1811" t="str">
        <f>TEXT(tblData[[#This Row],[Rental Date]],"mmmm")</f>
        <v>August</v>
      </c>
      <c r="E1811" t="s">
        <v>68</v>
      </c>
      <c r="F1811" t="str">
        <f>TEXT(WEEKNUM(tblData[[#This Row],[Rental Date]]),"00")</f>
        <v>32</v>
      </c>
      <c r="G1811" s="1">
        <f>EOMONTH(tblData[[#This Row],[Rental Date]],0)</f>
        <v>46265</v>
      </c>
      <c r="H1811" t="s">
        <v>749</v>
      </c>
      <c r="I1811" t="s">
        <v>32</v>
      </c>
      <c r="J1811" t="s">
        <v>78</v>
      </c>
      <c r="K1811" t="s">
        <v>25</v>
      </c>
      <c r="L1811">
        <v>1</v>
      </c>
      <c r="M1811" s="2">
        <v>50.4</v>
      </c>
      <c r="N1811" t="s">
        <v>26</v>
      </c>
      <c r="O1811" s="3">
        <v>0</v>
      </c>
      <c r="P1811" s="3">
        <v>0</v>
      </c>
      <c r="Q1811" s="2">
        <v>50.4</v>
      </c>
      <c r="R1811" t="s">
        <v>42</v>
      </c>
      <c r="S1811" t="s">
        <v>28</v>
      </c>
      <c r="T1811" t="s">
        <v>63</v>
      </c>
      <c r="U1811" t="s">
        <v>30</v>
      </c>
    </row>
    <row r="1812" spans="1:21" x14ac:dyDescent="0.35">
      <c r="A1812" t="s">
        <v>1891</v>
      </c>
      <c r="B1812" s="1">
        <v>46236</v>
      </c>
      <c r="C1812" t="str">
        <f>TEXT(tblData[[#This Row],[Rental Date]],"mmm")</f>
        <v>Aug</v>
      </c>
      <c r="D1812" t="str">
        <f>TEXT(tblData[[#This Row],[Rental Date]],"mmmm")</f>
        <v>August</v>
      </c>
      <c r="E1812" t="s">
        <v>68</v>
      </c>
      <c r="F1812" t="str">
        <f>TEXT(WEEKNUM(tblData[[#This Row],[Rental Date]]),"00")</f>
        <v>32</v>
      </c>
      <c r="G1812" s="1">
        <f>EOMONTH(tblData[[#This Row],[Rental Date]],0)</f>
        <v>46265</v>
      </c>
      <c r="H1812" t="s">
        <v>749</v>
      </c>
      <c r="I1812" t="s">
        <v>39</v>
      </c>
      <c r="J1812" t="s">
        <v>24</v>
      </c>
      <c r="K1812" t="s">
        <v>60</v>
      </c>
      <c r="L1812">
        <v>1</v>
      </c>
      <c r="M1812" s="2">
        <v>38.4</v>
      </c>
      <c r="N1812" t="s">
        <v>26</v>
      </c>
      <c r="O1812" s="3">
        <v>0</v>
      </c>
      <c r="P1812" s="3">
        <v>0</v>
      </c>
      <c r="Q1812" s="2">
        <v>38.4</v>
      </c>
      <c r="R1812" t="s">
        <v>66</v>
      </c>
      <c r="S1812" t="s">
        <v>54</v>
      </c>
      <c r="T1812" t="s">
        <v>51</v>
      </c>
      <c r="U1812" t="s">
        <v>58</v>
      </c>
    </row>
    <row r="1813" spans="1:21" x14ac:dyDescent="0.35">
      <c r="A1813" t="s">
        <v>1892</v>
      </c>
      <c r="B1813" s="1">
        <v>46236</v>
      </c>
      <c r="C1813" t="str">
        <f>TEXT(tblData[[#This Row],[Rental Date]],"mmm")</f>
        <v>Aug</v>
      </c>
      <c r="D1813" t="str">
        <f>TEXT(tblData[[#This Row],[Rental Date]],"mmmm")</f>
        <v>August</v>
      </c>
      <c r="E1813" t="s">
        <v>68</v>
      </c>
      <c r="F1813" t="str">
        <f>TEXT(WEEKNUM(tblData[[#This Row],[Rental Date]]),"00")</f>
        <v>32</v>
      </c>
      <c r="G1813" s="1">
        <f>EOMONTH(tblData[[#This Row],[Rental Date]],0)</f>
        <v>46265</v>
      </c>
      <c r="H1813" t="s">
        <v>749</v>
      </c>
      <c r="I1813" t="s">
        <v>39</v>
      </c>
      <c r="J1813" t="s">
        <v>78</v>
      </c>
      <c r="K1813" t="s">
        <v>25</v>
      </c>
      <c r="L1813">
        <v>1</v>
      </c>
      <c r="M1813" s="2">
        <v>50.4</v>
      </c>
      <c r="N1813" t="s">
        <v>26</v>
      </c>
      <c r="O1813" s="3">
        <v>0</v>
      </c>
      <c r="P1813" s="3">
        <v>0</v>
      </c>
      <c r="Q1813" s="2">
        <v>50.4</v>
      </c>
      <c r="R1813" t="s">
        <v>76</v>
      </c>
      <c r="S1813" t="s">
        <v>46</v>
      </c>
      <c r="T1813" t="s">
        <v>51</v>
      </c>
      <c r="U1813" t="s">
        <v>30</v>
      </c>
    </row>
    <row r="1814" spans="1:21" x14ac:dyDescent="0.35">
      <c r="A1814" t="s">
        <v>1893</v>
      </c>
      <c r="B1814" s="1">
        <v>46236</v>
      </c>
      <c r="C1814" t="str">
        <f>TEXT(tblData[[#This Row],[Rental Date]],"mmm")</f>
        <v>Aug</v>
      </c>
      <c r="D1814" t="str">
        <f>TEXT(tblData[[#This Row],[Rental Date]],"mmmm")</f>
        <v>August</v>
      </c>
      <c r="E1814" t="s">
        <v>68</v>
      </c>
      <c r="F1814" t="str">
        <f>TEXT(WEEKNUM(tblData[[#This Row],[Rental Date]]),"00")</f>
        <v>32</v>
      </c>
      <c r="G1814" s="1">
        <f>EOMONTH(tblData[[#This Row],[Rental Date]],0)</f>
        <v>46265</v>
      </c>
      <c r="H1814" t="s">
        <v>749</v>
      </c>
      <c r="I1814" t="s">
        <v>23</v>
      </c>
      <c r="J1814" t="s">
        <v>78</v>
      </c>
      <c r="K1814" t="s">
        <v>25</v>
      </c>
      <c r="L1814">
        <v>1</v>
      </c>
      <c r="M1814" s="2">
        <v>50.4</v>
      </c>
      <c r="N1814" t="s">
        <v>89</v>
      </c>
      <c r="O1814" s="3">
        <v>6</v>
      </c>
      <c r="P1814" s="3">
        <v>0</v>
      </c>
      <c r="Q1814" s="2">
        <v>56.4</v>
      </c>
      <c r="R1814" t="s">
        <v>66</v>
      </c>
      <c r="S1814" t="s">
        <v>50</v>
      </c>
      <c r="T1814" t="s">
        <v>29</v>
      </c>
      <c r="U1814" t="s">
        <v>79</v>
      </c>
    </row>
    <row r="1815" spans="1:21" x14ac:dyDescent="0.35">
      <c r="A1815" t="s">
        <v>1894</v>
      </c>
      <c r="B1815" s="1">
        <v>46236</v>
      </c>
      <c r="C1815" t="str">
        <f>TEXT(tblData[[#This Row],[Rental Date]],"mmm")</f>
        <v>Aug</v>
      </c>
      <c r="D1815" t="str">
        <f>TEXT(tblData[[#This Row],[Rental Date]],"mmmm")</f>
        <v>August</v>
      </c>
      <c r="E1815" t="s">
        <v>68</v>
      </c>
      <c r="F1815" t="str">
        <f>TEXT(WEEKNUM(tblData[[#This Row],[Rental Date]]),"00")</f>
        <v>32</v>
      </c>
      <c r="G1815" s="1">
        <f>EOMONTH(tblData[[#This Row],[Rental Date]],0)</f>
        <v>46265</v>
      </c>
      <c r="H1815" t="s">
        <v>749</v>
      </c>
      <c r="I1815" t="s">
        <v>32</v>
      </c>
      <c r="J1815" t="s">
        <v>44</v>
      </c>
      <c r="K1815" t="s">
        <v>60</v>
      </c>
      <c r="L1815">
        <v>1</v>
      </c>
      <c r="M1815" s="2">
        <v>40.799999999999997</v>
      </c>
      <c r="N1815" t="s">
        <v>41</v>
      </c>
      <c r="O1815" s="3">
        <v>5</v>
      </c>
      <c r="P1815" s="3">
        <v>4.58</v>
      </c>
      <c r="Q1815" s="2">
        <v>41.22</v>
      </c>
      <c r="R1815" t="s">
        <v>76</v>
      </c>
      <c r="S1815" t="s">
        <v>50</v>
      </c>
      <c r="T1815" t="s">
        <v>51</v>
      </c>
      <c r="U1815" t="s">
        <v>30</v>
      </c>
    </row>
    <row r="1816" spans="1:21" x14ac:dyDescent="0.35">
      <c r="A1816" t="s">
        <v>1895</v>
      </c>
      <c r="B1816" s="1">
        <v>46236</v>
      </c>
      <c r="C1816" t="str">
        <f>TEXT(tblData[[#This Row],[Rental Date]],"mmm")</f>
        <v>Aug</v>
      </c>
      <c r="D1816" t="str">
        <f>TEXT(tblData[[#This Row],[Rental Date]],"mmmm")</f>
        <v>August</v>
      </c>
      <c r="E1816" t="s">
        <v>68</v>
      </c>
      <c r="F1816" t="str">
        <f>TEXT(WEEKNUM(tblData[[#This Row],[Rental Date]]),"00")</f>
        <v>32</v>
      </c>
      <c r="G1816" s="1">
        <f>EOMONTH(tblData[[#This Row],[Rental Date]],0)</f>
        <v>46265</v>
      </c>
      <c r="H1816" t="s">
        <v>749</v>
      </c>
      <c r="I1816" t="s">
        <v>48</v>
      </c>
      <c r="J1816" t="s">
        <v>33</v>
      </c>
      <c r="K1816" t="s">
        <v>25</v>
      </c>
      <c r="L1816">
        <v>1</v>
      </c>
      <c r="M1816" s="2">
        <v>45.6</v>
      </c>
      <c r="N1816" t="s">
        <v>26</v>
      </c>
      <c r="O1816" s="3">
        <v>0</v>
      </c>
      <c r="P1816" s="3">
        <v>0</v>
      </c>
      <c r="Q1816" s="2">
        <v>45.6</v>
      </c>
      <c r="R1816" t="s">
        <v>94</v>
      </c>
      <c r="S1816" t="s">
        <v>54</v>
      </c>
      <c r="T1816" t="s">
        <v>51</v>
      </c>
      <c r="U1816" t="s">
        <v>30</v>
      </c>
    </row>
    <row r="1817" spans="1:21" x14ac:dyDescent="0.35">
      <c r="A1817" t="s">
        <v>1896</v>
      </c>
      <c r="B1817" s="1">
        <v>46236</v>
      </c>
      <c r="C1817" t="str">
        <f>TEXT(tblData[[#This Row],[Rental Date]],"mmm")</f>
        <v>Aug</v>
      </c>
      <c r="D1817" t="str">
        <f>TEXT(tblData[[#This Row],[Rental Date]],"mmmm")</f>
        <v>August</v>
      </c>
      <c r="E1817" t="s">
        <v>68</v>
      </c>
      <c r="F1817" t="str">
        <f>TEXT(WEEKNUM(tblData[[#This Row],[Rental Date]]),"00")</f>
        <v>32</v>
      </c>
      <c r="G1817" s="1">
        <f>EOMONTH(tblData[[#This Row],[Rental Date]],0)</f>
        <v>46265</v>
      </c>
      <c r="H1817" t="s">
        <v>749</v>
      </c>
      <c r="I1817" t="s">
        <v>32</v>
      </c>
      <c r="J1817" t="s">
        <v>65</v>
      </c>
      <c r="K1817" t="s">
        <v>60</v>
      </c>
      <c r="L1817">
        <v>1</v>
      </c>
      <c r="M1817" s="2">
        <v>14.4</v>
      </c>
      <c r="N1817" t="s">
        <v>26</v>
      </c>
      <c r="O1817" s="3">
        <v>0</v>
      </c>
      <c r="P1817" s="3">
        <v>1.44</v>
      </c>
      <c r="Q1817" s="2">
        <v>12.96</v>
      </c>
      <c r="R1817" t="s">
        <v>42</v>
      </c>
      <c r="S1817" t="s">
        <v>35</v>
      </c>
      <c r="T1817" t="s">
        <v>63</v>
      </c>
      <c r="U1817" t="s">
        <v>30</v>
      </c>
    </row>
    <row r="1818" spans="1:21" x14ac:dyDescent="0.35">
      <c r="A1818" t="s">
        <v>1897</v>
      </c>
      <c r="B1818" s="1">
        <v>46236</v>
      </c>
      <c r="C1818" t="str">
        <f>TEXT(tblData[[#This Row],[Rental Date]],"mmm")</f>
        <v>Aug</v>
      </c>
      <c r="D1818" t="str">
        <f>TEXT(tblData[[#This Row],[Rental Date]],"mmmm")</f>
        <v>August</v>
      </c>
      <c r="E1818" t="s">
        <v>68</v>
      </c>
      <c r="F1818" t="str">
        <f>TEXT(WEEKNUM(tblData[[#This Row],[Rental Date]]),"00")</f>
        <v>32</v>
      </c>
      <c r="G1818" s="1">
        <f>EOMONTH(tblData[[#This Row],[Rental Date]],0)</f>
        <v>46265</v>
      </c>
      <c r="H1818" t="s">
        <v>749</v>
      </c>
      <c r="I1818" t="s">
        <v>23</v>
      </c>
      <c r="J1818" t="s">
        <v>65</v>
      </c>
      <c r="K1818" t="s">
        <v>40</v>
      </c>
      <c r="L1818">
        <v>1</v>
      </c>
      <c r="M1818" s="2">
        <v>33.6</v>
      </c>
      <c r="N1818" t="s">
        <v>26</v>
      </c>
      <c r="O1818" s="3">
        <v>0</v>
      </c>
      <c r="P1818" s="3">
        <v>0</v>
      </c>
      <c r="Q1818" s="2">
        <v>33.6</v>
      </c>
      <c r="R1818" t="s">
        <v>62</v>
      </c>
      <c r="S1818" t="s">
        <v>35</v>
      </c>
      <c r="T1818" t="s">
        <v>29</v>
      </c>
      <c r="U1818" t="s">
        <v>30</v>
      </c>
    </row>
    <row r="1819" spans="1:21" x14ac:dyDescent="0.35">
      <c r="A1819" t="s">
        <v>1898</v>
      </c>
      <c r="B1819" s="1">
        <v>46236</v>
      </c>
      <c r="C1819" t="str">
        <f>TEXT(tblData[[#This Row],[Rental Date]],"mmm")</f>
        <v>Aug</v>
      </c>
      <c r="D1819" t="str">
        <f>TEXT(tblData[[#This Row],[Rental Date]],"mmmm")</f>
        <v>August</v>
      </c>
      <c r="E1819" t="s">
        <v>68</v>
      </c>
      <c r="F1819" t="str">
        <f>TEXT(WEEKNUM(tblData[[#This Row],[Rental Date]]),"00")</f>
        <v>32</v>
      </c>
      <c r="G1819" s="1">
        <f>EOMONTH(tblData[[#This Row],[Rental Date]],0)</f>
        <v>46265</v>
      </c>
      <c r="H1819" t="s">
        <v>749</v>
      </c>
      <c r="I1819" t="s">
        <v>53</v>
      </c>
      <c r="J1819" t="s">
        <v>49</v>
      </c>
      <c r="K1819" t="s">
        <v>60</v>
      </c>
      <c r="L1819">
        <v>1</v>
      </c>
      <c r="M1819" s="2">
        <v>26.4</v>
      </c>
      <c r="N1819" t="s">
        <v>89</v>
      </c>
      <c r="O1819" s="3">
        <v>6</v>
      </c>
      <c r="P1819" s="3">
        <v>4.8600000000000003</v>
      </c>
      <c r="Q1819" s="2">
        <v>27.54</v>
      </c>
      <c r="R1819" t="s">
        <v>45</v>
      </c>
      <c r="S1819" t="s">
        <v>28</v>
      </c>
      <c r="T1819" t="s">
        <v>29</v>
      </c>
      <c r="U1819" t="s">
        <v>30</v>
      </c>
    </row>
    <row r="1820" spans="1:21" x14ac:dyDescent="0.35">
      <c r="A1820" t="s">
        <v>1899</v>
      </c>
      <c r="B1820" s="1">
        <v>46236</v>
      </c>
      <c r="C1820" t="str">
        <f>TEXT(tblData[[#This Row],[Rental Date]],"mmm")</f>
        <v>Aug</v>
      </c>
      <c r="D1820" t="str">
        <f>TEXT(tblData[[#This Row],[Rental Date]],"mmmm")</f>
        <v>August</v>
      </c>
      <c r="E1820" t="s">
        <v>68</v>
      </c>
      <c r="F1820" t="str">
        <f>TEXT(WEEKNUM(tblData[[#This Row],[Rental Date]]),"00")</f>
        <v>32</v>
      </c>
      <c r="G1820" s="1">
        <f>EOMONTH(tblData[[#This Row],[Rental Date]],0)</f>
        <v>46265</v>
      </c>
      <c r="H1820" t="s">
        <v>749</v>
      </c>
      <c r="I1820" t="s">
        <v>23</v>
      </c>
      <c r="J1820" t="s">
        <v>78</v>
      </c>
      <c r="K1820" t="s">
        <v>25</v>
      </c>
      <c r="L1820">
        <v>1</v>
      </c>
      <c r="M1820" s="2">
        <v>50.4</v>
      </c>
      <c r="N1820" t="s">
        <v>26</v>
      </c>
      <c r="O1820" s="3">
        <v>0</v>
      </c>
      <c r="P1820" s="3">
        <v>0</v>
      </c>
      <c r="Q1820" s="2">
        <v>50.4</v>
      </c>
      <c r="R1820" t="s">
        <v>62</v>
      </c>
      <c r="S1820" t="s">
        <v>50</v>
      </c>
      <c r="T1820" t="s">
        <v>63</v>
      </c>
      <c r="U1820" t="s">
        <v>30</v>
      </c>
    </row>
    <row r="1821" spans="1:21" x14ac:dyDescent="0.35">
      <c r="A1821" t="s">
        <v>1900</v>
      </c>
      <c r="B1821" s="1">
        <v>46236</v>
      </c>
      <c r="C1821" t="str">
        <f>TEXT(tblData[[#This Row],[Rental Date]],"mmm")</f>
        <v>Aug</v>
      </c>
      <c r="D1821" t="str">
        <f>TEXT(tblData[[#This Row],[Rental Date]],"mmmm")</f>
        <v>August</v>
      </c>
      <c r="E1821" t="s">
        <v>68</v>
      </c>
      <c r="F1821" t="str">
        <f>TEXT(WEEKNUM(tblData[[#This Row],[Rental Date]]),"00")</f>
        <v>32</v>
      </c>
      <c r="G1821" s="1">
        <f>EOMONTH(tblData[[#This Row],[Rental Date]],0)</f>
        <v>46265</v>
      </c>
      <c r="H1821" t="s">
        <v>749</v>
      </c>
      <c r="I1821" t="s">
        <v>48</v>
      </c>
      <c r="J1821" t="s">
        <v>44</v>
      </c>
      <c r="K1821" t="s">
        <v>40</v>
      </c>
      <c r="L1821">
        <v>1</v>
      </c>
      <c r="M1821" s="2">
        <v>93.6</v>
      </c>
      <c r="N1821" t="s">
        <v>41</v>
      </c>
      <c r="O1821" s="3">
        <v>5</v>
      </c>
      <c r="P1821" s="3">
        <v>0</v>
      </c>
      <c r="Q1821" s="2">
        <v>98.6</v>
      </c>
      <c r="R1821" t="s">
        <v>62</v>
      </c>
      <c r="S1821" t="s">
        <v>28</v>
      </c>
      <c r="T1821" t="s">
        <v>90</v>
      </c>
      <c r="U1821" t="s">
        <v>58</v>
      </c>
    </row>
    <row r="1822" spans="1:21" x14ac:dyDescent="0.35">
      <c r="A1822" t="s">
        <v>1901</v>
      </c>
      <c r="B1822" s="1">
        <v>46236</v>
      </c>
      <c r="C1822" t="str">
        <f>TEXT(tblData[[#This Row],[Rental Date]],"mmm")</f>
        <v>Aug</v>
      </c>
      <c r="D1822" t="str">
        <f>TEXT(tblData[[#This Row],[Rental Date]],"mmmm")</f>
        <v>August</v>
      </c>
      <c r="E1822" t="s">
        <v>68</v>
      </c>
      <c r="F1822" t="str">
        <f>TEXT(WEEKNUM(tblData[[#This Row],[Rental Date]]),"00")</f>
        <v>32</v>
      </c>
      <c r="G1822" s="1">
        <f>EOMONTH(tblData[[#This Row],[Rental Date]],0)</f>
        <v>46265</v>
      </c>
      <c r="H1822" t="s">
        <v>749</v>
      </c>
      <c r="I1822" t="s">
        <v>23</v>
      </c>
      <c r="J1822" t="s">
        <v>78</v>
      </c>
      <c r="K1822" t="s">
        <v>60</v>
      </c>
      <c r="L1822">
        <v>1</v>
      </c>
      <c r="M1822" s="2">
        <v>31.2</v>
      </c>
      <c r="N1822" t="s">
        <v>26</v>
      </c>
      <c r="O1822" s="3">
        <v>0</v>
      </c>
      <c r="P1822" s="3">
        <v>0</v>
      </c>
      <c r="Q1822" s="2">
        <v>31.2</v>
      </c>
      <c r="R1822" t="s">
        <v>57</v>
      </c>
      <c r="S1822" t="s">
        <v>28</v>
      </c>
      <c r="T1822" t="s">
        <v>51</v>
      </c>
      <c r="U1822" t="s">
        <v>30</v>
      </c>
    </row>
    <row r="1823" spans="1:21" x14ac:dyDescent="0.35">
      <c r="A1823" t="s">
        <v>1902</v>
      </c>
      <c r="B1823" s="1">
        <v>46236</v>
      </c>
      <c r="C1823" t="str">
        <f>TEXT(tblData[[#This Row],[Rental Date]],"mmm")</f>
        <v>Aug</v>
      </c>
      <c r="D1823" t="str">
        <f>TEXT(tblData[[#This Row],[Rental Date]],"mmmm")</f>
        <v>August</v>
      </c>
      <c r="E1823" t="s">
        <v>68</v>
      </c>
      <c r="F1823" t="str">
        <f>TEXT(WEEKNUM(tblData[[#This Row],[Rental Date]]),"00")</f>
        <v>32</v>
      </c>
      <c r="G1823" s="1">
        <f>EOMONTH(tblData[[#This Row],[Rental Date]],0)</f>
        <v>46265</v>
      </c>
      <c r="H1823" t="s">
        <v>749</v>
      </c>
      <c r="I1823" t="s">
        <v>48</v>
      </c>
      <c r="J1823" t="s">
        <v>49</v>
      </c>
      <c r="K1823" t="s">
        <v>60</v>
      </c>
      <c r="L1823">
        <v>1</v>
      </c>
      <c r="M1823" s="2">
        <v>26.4</v>
      </c>
      <c r="N1823" t="s">
        <v>89</v>
      </c>
      <c r="O1823" s="3">
        <v>6</v>
      </c>
      <c r="P1823" s="3">
        <v>0</v>
      </c>
      <c r="Q1823" s="2">
        <v>32.4</v>
      </c>
      <c r="R1823" t="s">
        <v>34</v>
      </c>
      <c r="S1823" t="s">
        <v>50</v>
      </c>
      <c r="T1823" t="s">
        <v>29</v>
      </c>
      <c r="U1823" t="s">
        <v>58</v>
      </c>
    </row>
    <row r="1824" spans="1:21" x14ac:dyDescent="0.35">
      <c r="A1824" t="s">
        <v>1903</v>
      </c>
      <c r="B1824" s="1">
        <v>46236</v>
      </c>
      <c r="C1824" t="str">
        <f>TEXT(tblData[[#This Row],[Rental Date]],"mmm")</f>
        <v>Aug</v>
      </c>
      <c r="D1824" t="str">
        <f>TEXT(tblData[[#This Row],[Rental Date]],"mmmm")</f>
        <v>August</v>
      </c>
      <c r="E1824" t="s">
        <v>68</v>
      </c>
      <c r="F1824" t="str">
        <f>TEXT(WEEKNUM(tblData[[#This Row],[Rental Date]]),"00")</f>
        <v>32</v>
      </c>
      <c r="G1824" s="1">
        <f>EOMONTH(tblData[[#This Row],[Rental Date]],0)</f>
        <v>46265</v>
      </c>
      <c r="H1824" t="s">
        <v>749</v>
      </c>
      <c r="I1824" t="s">
        <v>48</v>
      </c>
      <c r="J1824" t="s">
        <v>65</v>
      </c>
      <c r="K1824" t="s">
        <v>92</v>
      </c>
      <c r="L1824">
        <v>1</v>
      </c>
      <c r="M1824" s="2">
        <v>48</v>
      </c>
      <c r="N1824" t="s">
        <v>41</v>
      </c>
      <c r="O1824" s="3">
        <v>5</v>
      </c>
      <c r="P1824" s="3">
        <v>0</v>
      </c>
      <c r="Q1824" s="2">
        <v>53</v>
      </c>
      <c r="R1824" t="s">
        <v>76</v>
      </c>
      <c r="S1824" t="s">
        <v>35</v>
      </c>
      <c r="T1824" t="s">
        <v>51</v>
      </c>
      <c r="U1824" t="s">
        <v>58</v>
      </c>
    </row>
    <row r="1825" spans="1:21" x14ac:dyDescent="0.35">
      <c r="A1825" t="s">
        <v>1904</v>
      </c>
      <c r="B1825" s="1">
        <v>46236</v>
      </c>
      <c r="C1825" t="str">
        <f>TEXT(tblData[[#This Row],[Rental Date]],"mmm")</f>
        <v>Aug</v>
      </c>
      <c r="D1825" t="str">
        <f>TEXT(tblData[[#This Row],[Rental Date]],"mmmm")</f>
        <v>August</v>
      </c>
      <c r="E1825" t="s">
        <v>68</v>
      </c>
      <c r="F1825" t="str">
        <f>TEXT(WEEKNUM(tblData[[#This Row],[Rental Date]]),"00")</f>
        <v>32</v>
      </c>
      <c r="G1825" s="1">
        <f>EOMONTH(tblData[[#This Row],[Rental Date]],0)</f>
        <v>46265</v>
      </c>
      <c r="H1825" t="s">
        <v>749</v>
      </c>
      <c r="I1825" t="s">
        <v>39</v>
      </c>
      <c r="J1825" t="s">
        <v>138</v>
      </c>
      <c r="K1825" t="s">
        <v>60</v>
      </c>
      <c r="L1825">
        <v>1</v>
      </c>
      <c r="M1825" s="2">
        <v>36</v>
      </c>
      <c r="N1825" t="s">
        <v>26</v>
      </c>
      <c r="O1825" s="3">
        <v>0</v>
      </c>
      <c r="P1825" s="3">
        <v>0</v>
      </c>
      <c r="Q1825" s="2">
        <v>36</v>
      </c>
      <c r="R1825" t="s">
        <v>27</v>
      </c>
      <c r="S1825" t="s">
        <v>35</v>
      </c>
      <c r="T1825" t="s">
        <v>29</v>
      </c>
      <c r="U1825" t="s">
        <v>30</v>
      </c>
    </row>
    <row r="1826" spans="1:21" x14ac:dyDescent="0.35">
      <c r="A1826" t="s">
        <v>1905</v>
      </c>
      <c r="B1826" s="1">
        <v>46236</v>
      </c>
      <c r="C1826" t="str">
        <f>TEXT(tblData[[#This Row],[Rental Date]],"mmm")</f>
        <v>Aug</v>
      </c>
      <c r="D1826" t="str">
        <f>TEXT(tblData[[#This Row],[Rental Date]],"mmmm")</f>
        <v>August</v>
      </c>
      <c r="E1826" t="s">
        <v>68</v>
      </c>
      <c r="F1826" t="str">
        <f>TEXT(WEEKNUM(tblData[[#This Row],[Rental Date]]),"00")</f>
        <v>32</v>
      </c>
      <c r="G1826" s="1">
        <f>EOMONTH(tblData[[#This Row],[Rental Date]],0)</f>
        <v>46265</v>
      </c>
      <c r="H1826" t="s">
        <v>749</v>
      </c>
      <c r="I1826" t="s">
        <v>23</v>
      </c>
      <c r="J1826" t="s">
        <v>127</v>
      </c>
      <c r="K1826" t="s">
        <v>25</v>
      </c>
      <c r="L1826">
        <v>1</v>
      </c>
      <c r="M1826" s="2">
        <v>19.2</v>
      </c>
      <c r="N1826" t="s">
        <v>87</v>
      </c>
      <c r="O1826" s="3">
        <v>10</v>
      </c>
      <c r="P1826" s="3">
        <v>0</v>
      </c>
      <c r="Q1826" s="2">
        <v>29.2</v>
      </c>
      <c r="R1826" t="s">
        <v>42</v>
      </c>
      <c r="S1826" t="s">
        <v>46</v>
      </c>
      <c r="T1826" t="s">
        <v>29</v>
      </c>
      <c r="U1826" t="s">
        <v>58</v>
      </c>
    </row>
    <row r="1827" spans="1:21" x14ac:dyDescent="0.35">
      <c r="A1827" t="s">
        <v>1906</v>
      </c>
      <c r="B1827" s="1">
        <v>46236</v>
      </c>
      <c r="C1827" t="str">
        <f>TEXT(tblData[[#This Row],[Rental Date]],"mmm")</f>
        <v>Aug</v>
      </c>
      <c r="D1827" t="str">
        <f>TEXT(tblData[[#This Row],[Rental Date]],"mmmm")</f>
        <v>August</v>
      </c>
      <c r="E1827" t="s">
        <v>68</v>
      </c>
      <c r="F1827" t="str">
        <f>TEXT(WEEKNUM(tblData[[#This Row],[Rental Date]]),"00")</f>
        <v>32</v>
      </c>
      <c r="G1827" s="1">
        <f>EOMONTH(tblData[[#This Row],[Rental Date]],0)</f>
        <v>46265</v>
      </c>
      <c r="H1827" t="s">
        <v>749</v>
      </c>
      <c r="I1827" t="s">
        <v>23</v>
      </c>
      <c r="J1827" t="s">
        <v>49</v>
      </c>
      <c r="K1827" t="s">
        <v>25</v>
      </c>
      <c r="L1827">
        <v>1</v>
      </c>
      <c r="M1827" s="2">
        <v>43.2</v>
      </c>
      <c r="N1827" t="s">
        <v>26</v>
      </c>
      <c r="O1827" s="3">
        <v>0</v>
      </c>
      <c r="P1827" s="3">
        <v>2.16</v>
      </c>
      <c r="Q1827" s="2">
        <v>41.04</v>
      </c>
      <c r="R1827" t="s">
        <v>66</v>
      </c>
      <c r="S1827" t="s">
        <v>28</v>
      </c>
      <c r="T1827" t="s">
        <v>29</v>
      </c>
      <c r="U1827" t="s">
        <v>30</v>
      </c>
    </row>
    <row r="1828" spans="1:21" x14ac:dyDescent="0.35">
      <c r="A1828" t="s">
        <v>1907</v>
      </c>
      <c r="B1828" s="1">
        <v>46236</v>
      </c>
      <c r="C1828" t="str">
        <f>TEXT(tblData[[#This Row],[Rental Date]],"mmm")</f>
        <v>Aug</v>
      </c>
      <c r="D1828" t="str">
        <f>TEXT(tblData[[#This Row],[Rental Date]],"mmmm")</f>
        <v>August</v>
      </c>
      <c r="E1828" t="s">
        <v>68</v>
      </c>
      <c r="F1828" t="str">
        <f>TEXT(WEEKNUM(tblData[[#This Row],[Rental Date]]),"00")</f>
        <v>32</v>
      </c>
      <c r="G1828" s="1">
        <f>EOMONTH(tblData[[#This Row],[Rental Date]],0)</f>
        <v>46265</v>
      </c>
      <c r="H1828" t="s">
        <v>749</v>
      </c>
      <c r="I1828" t="s">
        <v>32</v>
      </c>
      <c r="J1828" t="s">
        <v>138</v>
      </c>
      <c r="K1828" t="s">
        <v>60</v>
      </c>
      <c r="L1828">
        <v>1</v>
      </c>
      <c r="M1828" s="2">
        <v>36</v>
      </c>
      <c r="N1828" t="s">
        <v>41</v>
      </c>
      <c r="O1828" s="3">
        <v>5</v>
      </c>
      <c r="P1828" s="3">
        <v>0</v>
      </c>
      <c r="Q1828" s="2">
        <v>41</v>
      </c>
      <c r="R1828" t="s">
        <v>62</v>
      </c>
      <c r="S1828" t="s">
        <v>35</v>
      </c>
      <c r="T1828" t="s">
        <v>51</v>
      </c>
      <c r="U1828" t="s">
        <v>30</v>
      </c>
    </row>
    <row r="1829" spans="1:21" x14ac:dyDescent="0.35">
      <c r="A1829" t="s">
        <v>1908</v>
      </c>
      <c r="B1829" s="1">
        <v>46236</v>
      </c>
      <c r="C1829" t="str">
        <f>TEXT(tblData[[#This Row],[Rental Date]],"mmm")</f>
        <v>Aug</v>
      </c>
      <c r="D1829" t="str">
        <f>TEXT(tblData[[#This Row],[Rental Date]],"mmmm")</f>
        <v>August</v>
      </c>
      <c r="E1829" t="s">
        <v>68</v>
      </c>
      <c r="F1829" t="str">
        <f>TEXT(WEEKNUM(tblData[[#This Row],[Rental Date]]),"00")</f>
        <v>32</v>
      </c>
      <c r="G1829" s="1">
        <f>EOMONTH(tblData[[#This Row],[Rental Date]],0)</f>
        <v>46265</v>
      </c>
      <c r="H1829" t="s">
        <v>749</v>
      </c>
      <c r="I1829" t="s">
        <v>32</v>
      </c>
      <c r="J1829" t="s">
        <v>127</v>
      </c>
      <c r="K1829" t="s">
        <v>60</v>
      </c>
      <c r="L1829">
        <v>1</v>
      </c>
      <c r="M1829" s="2">
        <v>12</v>
      </c>
      <c r="N1829" t="s">
        <v>26</v>
      </c>
      <c r="O1829" s="3">
        <v>0</v>
      </c>
      <c r="P1829" s="3">
        <v>1.2</v>
      </c>
      <c r="Q1829" s="2">
        <v>10.8</v>
      </c>
      <c r="R1829" t="s">
        <v>66</v>
      </c>
      <c r="S1829" t="s">
        <v>54</v>
      </c>
      <c r="T1829" t="s">
        <v>63</v>
      </c>
      <c r="U1829" t="s">
        <v>30</v>
      </c>
    </row>
    <row r="1830" spans="1:21" x14ac:dyDescent="0.35">
      <c r="A1830" t="s">
        <v>1909</v>
      </c>
      <c r="B1830" s="1">
        <v>46236</v>
      </c>
      <c r="C1830" t="str">
        <f>TEXT(tblData[[#This Row],[Rental Date]],"mmm")</f>
        <v>Aug</v>
      </c>
      <c r="D1830" t="str">
        <f>TEXT(tblData[[#This Row],[Rental Date]],"mmmm")</f>
        <v>August</v>
      </c>
      <c r="E1830" t="s">
        <v>68</v>
      </c>
      <c r="F1830" t="str">
        <f>TEXT(WEEKNUM(tblData[[#This Row],[Rental Date]]),"00")</f>
        <v>32</v>
      </c>
      <c r="G1830" s="1">
        <f>EOMONTH(tblData[[#This Row],[Rental Date]],0)</f>
        <v>46265</v>
      </c>
      <c r="H1830" t="s">
        <v>749</v>
      </c>
      <c r="I1830" t="s">
        <v>48</v>
      </c>
      <c r="J1830" t="s">
        <v>78</v>
      </c>
      <c r="K1830" t="s">
        <v>60</v>
      </c>
      <c r="L1830">
        <v>1</v>
      </c>
      <c r="M1830" s="2">
        <v>31.2</v>
      </c>
      <c r="N1830" t="s">
        <v>89</v>
      </c>
      <c r="O1830" s="3">
        <v>6</v>
      </c>
      <c r="P1830" s="3">
        <v>1.86</v>
      </c>
      <c r="Q1830" s="2">
        <v>35.340000000000003</v>
      </c>
      <c r="R1830" t="s">
        <v>42</v>
      </c>
      <c r="S1830" t="s">
        <v>46</v>
      </c>
      <c r="T1830" t="s">
        <v>29</v>
      </c>
      <c r="U1830" t="s">
        <v>30</v>
      </c>
    </row>
    <row r="1831" spans="1:21" x14ac:dyDescent="0.35">
      <c r="A1831" t="s">
        <v>1910</v>
      </c>
      <c r="B1831" s="1">
        <v>46236</v>
      </c>
      <c r="C1831" t="str">
        <f>TEXT(tblData[[#This Row],[Rental Date]],"mmm")</f>
        <v>Aug</v>
      </c>
      <c r="D1831" t="str">
        <f>TEXT(tblData[[#This Row],[Rental Date]],"mmmm")</f>
        <v>August</v>
      </c>
      <c r="E1831" t="s">
        <v>68</v>
      </c>
      <c r="F1831" t="str">
        <f>TEXT(WEEKNUM(tblData[[#This Row],[Rental Date]]),"00")</f>
        <v>32</v>
      </c>
      <c r="G1831" s="1">
        <f>EOMONTH(tblData[[#This Row],[Rental Date]],0)</f>
        <v>46265</v>
      </c>
      <c r="H1831" t="s">
        <v>749</v>
      </c>
      <c r="I1831" t="s">
        <v>32</v>
      </c>
      <c r="J1831" t="s">
        <v>78</v>
      </c>
      <c r="K1831" t="s">
        <v>25</v>
      </c>
      <c r="L1831">
        <v>1</v>
      </c>
      <c r="M1831" s="2">
        <v>50.4</v>
      </c>
      <c r="N1831" t="s">
        <v>89</v>
      </c>
      <c r="O1831" s="3">
        <v>6</v>
      </c>
      <c r="P1831" s="3">
        <v>0</v>
      </c>
      <c r="Q1831" s="2">
        <v>56.4</v>
      </c>
      <c r="R1831" t="s">
        <v>45</v>
      </c>
      <c r="S1831" t="s">
        <v>28</v>
      </c>
      <c r="T1831" t="s">
        <v>51</v>
      </c>
      <c r="U1831" t="s">
        <v>30</v>
      </c>
    </row>
    <row r="1832" spans="1:21" x14ac:dyDescent="0.35">
      <c r="A1832" t="s">
        <v>1911</v>
      </c>
      <c r="B1832" s="1">
        <v>46236</v>
      </c>
      <c r="C1832" t="str">
        <f>TEXT(tblData[[#This Row],[Rental Date]],"mmm")</f>
        <v>Aug</v>
      </c>
      <c r="D1832" t="str">
        <f>TEXT(tblData[[#This Row],[Rental Date]],"mmmm")</f>
        <v>August</v>
      </c>
      <c r="E1832" t="s">
        <v>68</v>
      </c>
      <c r="F1832" t="str">
        <f>TEXT(WEEKNUM(tblData[[#This Row],[Rental Date]]),"00")</f>
        <v>32</v>
      </c>
      <c r="G1832" s="1">
        <f>EOMONTH(tblData[[#This Row],[Rental Date]],0)</f>
        <v>46265</v>
      </c>
      <c r="H1832" t="s">
        <v>749</v>
      </c>
      <c r="I1832" t="s">
        <v>39</v>
      </c>
      <c r="J1832" t="s">
        <v>78</v>
      </c>
      <c r="K1832" t="s">
        <v>25</v>
      </c>
      <c r="L1832">
        <v>1</v>
      </c>
      <c r="M1832" s="2">
        <v>50.4</v>
      </c>
      <c r="N1832" t="s">
        <v>61</v>
      </c>
      <c r="O1832" s="3">
        <v>8</v>
      </c>
      <c r="P1832" s="3">
        <v>0</v>
      </c>
      <c r="Q1832" s="2">
        <v>58.4</v>
      </c>
      <c r="R1832" t="s">
        <v>34</v>
      </c>
      <c r="S1832" t="s">
        <v>50</v>
      </c>
      <c r="T1832" t="s">
        <v>63</v>
      </c>
      <c r="U1832" t="s">
        <v>30</v>
      </c>
    </row>
    <row r="1833" spans="1:21" x14ac:dyDescent="0.35">
      <c r="A1833" t="s">
        <v>1912</v>
      </c>
      <c r="B1833" s="1">
        <v>46236</v>
      </c>
      <c r="C1833" t="str">
        <f>TEXT(tblData[[#This Row],[Rental Date]],"mmm")</f>
        <v>Aug</v>
      </c>
      <c r="D1833" t="str">
        <f>TEXT(tblData[[#This Row],[Rental Date]],"mmmm")</f>
        <v>August</v>
      </c>
      <c r="E1833" t="s">
        <v>68</v>
      </c>
      <c r="F1833" t="str">
        <f>TEXT(WEEKNUM(tblData[[#This Row],[Rental Date]]),"00")</f>
        <v>32</v>
      </c>
      <c r="G1833" s="1">
        <f>EOMONTH(tblData[[#This Row],[Rental Date]],0)</f>
        <v>46265</v>
      </c>
      <c r="H1833" t="s">
        <v>749</v>
      </c>
      <c r="I1833" t="s">
        <v>32</v>
      </c>
      <c r="J1833" t="s">
        <v>78</v>
      </c>
      <c r="K1833" t="s">
        <v>40</v>
      </c>
      <c r="L1833">
        <v>1</v>
      </c>
      <c r="M1833" s="2">
        <v>74.400000000000006</v>
      </c>
      <c r="N1833" t="s">
        <v>41</v>
      </c>
      <c r="O1833" s="3">
        <v>5</v>
      </c>
      <c r="P1833" s="3">
        <v>7.94</v>
      </c>
      <c r="Q1833" s="2">
        <v>71.459999999999994</v>
      </c>
      <c r="R1833" t="s">
        <v>34</v>
      </c>
      <c r="S1833" t="s">
        <v>35</v>
      </c>
      <c r="T1833" t="s">
        <v>51</v>
      </c>
      <c r="U1833" t="s">
        <v>30</v>
      </c>
    </row>
    <row r="1834" spans="1:21" x14ac:dyDescent="0.35">
      <c r="A1834" t="s">
        <v>1913</v>
      </c>
      <c r="B1834" s="1">
        <v>46237</v>
      </c>
      <c r="C1834" t="str">
        <f>TEXT(tblData[[#This Row],[Rental Date]],"mmm")</f>
        <v>Aug</v>
      </c>
      <c r="D1834" t="str">
        <f>TEXT(tblData[[#This Row],[Rental Date]],"mmmm")</f>
        <v>August</v>
      </c>
      <c r="E1834" t="s">
        <v>74</v>
      </c>
      <c r="F1834" t="str">
        <f>TEXT(WEEKNUM(tblData[[#This Row],[Rental Date]]),"00")</f>
        <v>32</v>
      </c>
      <c r="G1834" s="1">
        <f>EOMONTH(tblData[[#This Row],[Rental Date]],0)</f>
        <v>46265</v>
      </c>
      <c r="H1834" t="s">
        <v>749</v>
      </c>
      <c r="I1834" t="s">
        <v>32</v>
      </c>
      <c r="J1834" t="s">
        <v>49</v>
      </c>
      <c r="K1834" t="s">
        <v>40</v>
      </c>
      <c r="L1834">
        <v>1</v>
      </c>
      <c r="M1834" s="2">
        <v>60.48</v>
      </c>
      <c r="N1834" t="s">
        <v>89</v>
      </c>
      <c r="O1834" s="3">
        <v>6</v>
      </c>
      <c r="P1834" s="3">
        <v>3.32</v>
      </c>
      <c r="Q1834" s="2">
        <v>63.16</v>
      </c>
      <c r="R1834" t="s">
        <v>27</v>
      </c>
      <c r="S1834" t="s">
        <v>28</v>
      </c>
      <c r="T1834" t="s">
        <v>29</v>
      </c>
      <c r="U1834" t="s">
        <v>30</v>
      </c>
    </row>
    <row r="1835" spans="1:21" x14ac:dyDescent="0.35">
      <c r="A1835" t="s">
        <v>1914</v>
      </c>
      <c r="B1835" s="1">
        <v>46237</v>
      </c>
      <c r="C1835" t="str">
        <f>TEXT(tblData[[#This Row],[Rental Date]],"mmm")</f>
        <v>Aug</v>
      </c>
      <c r="D1835" t="str">
        <f>TEXT(tblData[[#This Row],[Rental Date]],"mmmm")</f>
        <v>August</v>
      </c>
      <c r="E1835" t="s">
        <v>74</v>
      </c>
      <c r="F1835" t="str">
        <f>TEXT(WEEKNUM(tblData[[#This Row],[Rental Date]]),"00")</f>
        <v>32</v>
      </c>
      <c r="G1835" s="1">
        <f>EOMONTH(tblData[[#This Row],[Rental Date]],0)</f>
        <v>46265</v>
      </c>
      <c r="H1835" t="s">
        <v>749</v>
      </c>
      <c r="I1835" t="s">
        <v>39</v>
      </c>
      <c r="J1835" t="s">
        <v>138</v>
      </c>
      <c r="K1835" t="s">
        <v>40</v>
      </c>
      <c r="L1835">
        <v>1</v>
      </c>
      <c r="M1835" s="2">
        <v>80.64</v>
      </c>
      <c r="N1835" t="s">
        <v>87</v>
      </c>
      <c r="O1835" s="3">
        <v>10</v>
      </c>
      <c r="P1835" s="3">
        <v>0</v>
      </c>
      <c r="Q1835" s="2">
        <v>90.64</v>
      </c>
      <c r="R1835" t="s">
        <v>42</v>
      </c>
      <c r="S1835" t="s">
        <v>54</v>
      </c>
      <c r="T1835" t="s">
        <v>29</v>
      </c>
      <c r="U1835" t="s">
        <v>30</v>
      </c>
    </row>
    <row r="1836" spans="1:21" x14ac:dyDescent="0.35">
      <c r="A1836" t="s">
        <v>1915</v>
      </c>
      <c r="B1836" s="1">
        <v>46237</v>
      </c>
      <c r="C1836" t="str">
        <f>TEXT(tblData[[#This Row],[Rental Date]],"mmm")</f>
        <v>Aug</v>
      </c>
      <c r="D1836" t="str">
        <f>TEXT(tblData[[#This Row],[Rental Date]],"mmmm")</f>
        <v>August</v>
      </c>
      <c r="E1836" t="s">
        <v>74</v>
      </c>
      <c r="F1836" t="str">
        <f>TEXT(WEEKNUM(tblData[[#This Row],[Rental Date]]),"00")</f>
        <v>32</v>
      </c>
      <c r="G1836" s="1">
        <f>EOMONTH(tblData[[#This Row],[Rental Date]],0)</f>
        <v>46265</v>
      </c>
      <c r="H1836" t="s">
        <v>749</v>
      </c>
      <c r="I1836" t="s">
        <v>39</v>
      </c>
      <c r="J1836" t="s">
        <v>49</v>
      </c>
      <c r="K1836" t="s">
        <v>25</v>
      </c>
      <c r="L1836">
        <v>1</v>
      </c>
      <c r="M1836" s="2">
        <v>40.32</v>
      </c>
      <c r="N1836" t="s">
        <v>89</v>
      </c>
      <c r="O1836" s="3">
        <v>6</v>
      </c>
      <c r="P1836" s="3">
        <v>0</v>
      </c>
      <c r="Q1836" s="2">
        <v>46.32</v>
      </c>
      <c r="R1836" t="s">
        <v>62</v>
      </c>
      <c r="S1836" t="s">
        <v>54</v>
      </c>
      <c r="T1836" t="s">
        <v>90</v>
      </c>
      <c r="U1836" t="s">
        <v>58</v>
      </c>
    </row>
    <row r="1837" spans="1:21" x14ac:dyDescent="0.35">
      <c r="A1837" t="s">
        <v>1916</v>
      </c>
      <c r="B1837" s="1">
        <v>46237</v>
      </c>
      <c r="C1837" t="str">
        <f>TEXT(tblData[[#This Row],[Rental Date]],"mmm")</f>
        <v>Aug</v>
      </c>
      <c r="D1837" t="str">
        <f>TEXT(tblData[[#This Row],[Rental Date]],"mmmm")</f>
        <v>August</v>
      </c>
      <c r="E1837" t="s">
        <v>74</v>
      </c>
      <c r="F1837" t="str">
        <f>TEXT(WEEKNUM(tblData[[#This Row],[Rental Date]]),"00")</f>
        <v>32</v>
      </c>
      <c r="G1837" s="1">
        <f>EOMONTH(tblData[[#This Row],[Rental Date]],0)</f>
        <v>46265</v>
      </c>
      <c r="H1837" t="s">
        <v>749</v>
      </c>
      <c r="I1837" t="s">
        <v>48</v>
      </c>
      <c r="J1837" t="s">
        <v>65</v>
      </c>
      <c r="K1837" t="s">
        <v>40</v>
      </c>
      <c r="L1837">
        <v>1</v>
      </c>
      <c r="M1837" s="2">
        <v>31.36</v>
      </c>
      <c r="N1837" t="s">
        <v>26</v>
      </c>
      <c r="O1837" s="3">
        <v>0</v>
      </c>
      <c r="P1837" s="3">
        <v>0</v>
      </c>
      <c r="Q1837" s="2">
        <v>31.36</v>
      </c>
      <c r="R1837" t="s">
        <v>42</v>
      </c>
      <c r="S1837" t="s">
        <v>50</v>
      </c>
      <c r="T1837" t="s">
        <v>90</v>
      </c>
      <c r="U1837" t="s">
        <v>30</v>
      </c>
    </row>
    <row r="1838" spans="1:21" x14ac:dyDescent="0.35">
      <c r="A1838" t="s">
        <v>1917</v>
      </c>
      <c r="B1838" s="1">
        <v>46237</v>
      </c>
      <c r="C1838" t="str">
        <f>TEXT(tblData[[#This Row],[Rental Date]],"mmm")</f>
        <v>Aug</v>
      </c>
      <c r="D1838" t="str">
        <f>TEXT(tblData[[#This Row],[Rental Date]],"mmmm")</f>
        <v>August</v>
      </c>
      <c r="E1838" t="s">
        <v>74</v>
      </c>
      <c r="F1838" t="str">
        <f>TEXT(WEEKNUM(tblData[[#This Row],[Rental Date]]),"00")</f>
        <v>32</v>
      </c>
      <c r="G1838" s="1">
        <f>EOMONTH(tblData[[#This Row],[Rental Date]],0)</f>
        <v>46265</v>
      </c>
      <c r="H1838" t="s">
        <v>749</v>
      </c>
      <c r="I1838" t="s">
        <v>39</v>
      </c>
      <c r="J1838" t="s">
        <v>44</v>
      </c>
      <c r="K1838" t="s">
        <v>25</v>
      </c>
      <c r="L1838">
        <v>1</v>
      </c>
      <c r="M1838" s="2">
        <v>58.24</v>
      </c>
      <c r="N1838" t="s">
        <v>26</v>
      </c>
      <c r="O1838" s="3">
        <v>0</v>
      </c>
      <c r="P1838" s="3">
        <v>0</v>
      </c>
      <c r="Q1838" s="2">
        <v>58.24</v>
      </c>
      <c r="R1838" t="s">
        <v>76</v>
      </c>
      <c r="S1838" t="s">
        <v>46</v>
      </c>
      <c r="T1838" t="s">
        <v>29</v>
      </c>
      <c r="U1838" t="s">
        <v>58</v>
      </c>
    </row>
    <row r="1839" spans="1:21" x14ac:dyDescent="0.35">
      <c r="A1839" t="s">
        <v>1918</v>
      </c>
      <c r="B1839" s="1">
        <v>46237</v>
      </c>
      <c r="C1839" t="str">
        <f>TEXT(tblData[[#This Row],[Rental Date]],"mmm")</f>
        <v>Aug</v>
      </c>
      <c r="D1839" t="str">
        <f>TEXT(tblData[[#This Row],[Rental Date]],"mmmm")</f>
        <v>August</v>
      </c>
      <c r="E1839" t="s">
        <v>74</v>
      </c>
      <c r="F1839" t="str">
        <f>TEXT(WEEKNUM(tblData[[#This Row],[Rental Date]]),"00")</f>
        <v>32</v>
      </c>
      <c r="G1839" s="1">
        <f>EOMONTH(tblData[[#This Row],[Rental Date]],0)</f>
        <v>46265</v>
      </c>
      <c r="H1839" t="s">
        <v>749</v>
      </c>
      <c r="I1839" t="s">
        <v>48</v>
      </c>
      <c r="J1839" t="s">
        <v>78</v>
      </c>
      <c r="K1839" t="s">
        <v>40</v>
      </c>
      <c r="L1839">
        <v>1</v>
      </c>
      <c r="M1839" s="2">
        <v>69.44</v>
      </c>
      <c r="N1839" t="s">
        <v>41</v>
      </c>
      <c r="O1839" s="3">
        <v>5</v>
      </c>
      <c r="P1839" s="3">
        <v>0</v>
      </c>
      <c r="Q1839" s="2">
        <v>74.44</v>
      </c>
      <c r="R1839" t="s">
        <v>34</v>
      </c>
      <c r="S1839" t="s">
        <v>35</v>
      </c>
      <c r="T1839" t="s">
        <v>90</v>
      </c>
      <c r="U1839" t="s">
        <v>30</v>
      </c>
    </row>
    <row r="1840" spans="1:21" x14ac:dyDescent="0.35">
      <c r="A1840" t="s">
        <v>1919</v>
      </c>
      <c r="B1840" s="1">
        <v>46237</v>
      </c>
      <c r="C1840" t="str">
        <f>TEXT(tblData[[#This Row],[Rental Date]],"mmm")</f>
        <v>Aug</v>
      </c>
      <c r="D1840" t="str">
        <f>TEXT(tblData[[#This Row],[Rental Date]],"mmmm")</f>
        <v>August</v>
      </c>
      <c r="E1840" t="s">
        <v>74</v>
      </c>
      <c r="F1840" t="str">
        <f>TEXT(WEEKNUM(tblData[[#This Row],[Rental Date]]),"00")</f>
        <v>32</v>
      </c>
      <c r="G1840" s="1">
        <f>EOMONTH(tblData[[#This Row],[Rental Date]],0)</f>
        <v>46265</v>
      </c>
      <c r="H1840" t="s">
        <v>749</v>
      </c>
      <c r="I1840" t="s">
        <v>39</v>
      </c>
      <c r="J1840" t="s">
        <v>78</v>
      </c>
      <c r="K1840" t="s">
        <v>25</v>
      </c>
      <c r="L1840">
        <v>1</v>
      </c>
      <c r="M1840" s="2">
        <v>47.04</v>
      </c>
      <c r="N1840" t="s">
        <v>26</v>
      </c>
      <c r="O1840" s="3">
        <v>0</v>
      </c>
      <c r="P1840" s="3">
        <v>0</v>
      </c>
      <c r="Q1840" s="2">
        <v>47.04</v>
      </c>
      <c r="R1840" t="s">
        <v>94</v>
      </c>
      <c r="S1840" t="s">
        <v>28</v>
      </c>
      <c r="T1840" t="s">
        <v>29</v>
      </c>
      <c r="U1840" t="s">
        <v>30</v>
      </c>
    </row>
    <row r="1841" spans="1:21" x14ac:dyDescent="0.35">
      <c r="A1841" t="s">
        <v>1920</v>
      </c>
      <c r="B1841" s="1">
        <v>46237</v>
      </c>
      <c r="C1841" t="str">
        <f>TEXT(tblData[[#This Row],[Rental Date]],"mmm")</f>
        <v>Aug</v>
      </c>
      <c r="D1841" t="str">
        <f>TEXT(tblData[[#This Row],[Rental Date]],"mmmm")</f>
        <v>August</v>
      </c>
      <c r="E1841" t="s">
        <v>74</v>
      </c>
      <c r="F1841" t="str">
        <f>TEXT(WEEKNUM(tblData[[#This Row],[Rental Date]]),"00")</f>
        <v>32</v>
      </c>
      <c r="G1841" s="1">
        <f>EOMONTH(tblData[[#This Row],[Rental Date]],0)</f>
        <v>46265</v>
      </c>
      <c r="H1841" t="s">
        <v>749</v>
      </c>
      <c r="I1841" t="s">
        <v>39</v>
      </c>
      <c r="J1841" t="s">
        <v>33</v>
      </c>
      <c r="K1841" t="s">
        <v>60</v>
      </c>
      <c r="L1841">
        <v>1</v>
      </c>
      <c r="M1841" s="2">
        <v>26.88</v>
      </c>
      <c r="N1841" t="s">
        <v>26</v>
      </c>
      <c r="O1841" s="3">
        <v>0</v>
      </c>
      <c r="P1841" s="3">
        <v>0</v>
      </c>
      <c r="Q1841" s="2">
        <v>26.88</v>
      </c>
      <c r="R1841" t="s">
        <v>27</v>
      </c>
      <c r="S1841" t="s">
        <v>50</v>
      </c>
      <c r="T1841" t="s">
        <v>29</v>
      </c>
      <c r="U1841" t="s">
        <v>30</v>
      </c>
    </row>
    <row r="1842" spans="1:21" x14ac:dyDescent="0.35">
      <c r="A1842" t="s">
        <v>1921</v>
      </c>
      <c r="B1842" s="1">
        <v>46237</v>
      </c>
      <c r="C1842" t="str">
        <f>TEXT(tblData[[#This Row],[Rental Date]],"mmm")</f>
        <v>Aug</v>
      </c>
      <c r="D1842" t="str">
        <f>TEXT(tblData[[#This Row],[Rental Date]],"mmmm")</f>
        <v>August</v>
      </c>
      <c r="E1842" t="s">
        <v>74</v>
      </c>
      <c r="F1842" t="str">
        <f>TEXT(WEEKNUM(tblData[[#This Row],[Rental Date]]),"00")</f>
        <v>32</v>
      </c>
      <c r="G1842" s="1">
        <f>EOMONTH(tblData[[#This Row],[Rental Date]],0)</f>
        <v>46265</v>
      </c>
      <c r="H1842" t="s">
        <v>749</v>
      </c>
      <c r="I1842" t="s">
        <v>48</v>
      </c>
      <c r="J1842" t="s">
        <v>78</v>
      </c>
      <c r="K1842" t="s">
        <v>60</v>
      </c>
      <c r="L1842">
        <v>1</v>
      </c>
      <c r="M1842" s="2">
        <v>29.12</v>
      </c>
      <c r="N1842" t="s">
        <v>26</v>
      </c>
      <c r="O1842" s="3">
        <v>0</v>
      </c>
      <c r="P1842" s="3">
        <v>1.46</v>
      </c>
      <c r="Q1842" s="2">
        <v>27.66</v>
      </c>
      <c r="R1842" t="s">
        <v>76</v>
      </c>
      <c r="S1842" t="s">
        <v>54</v>
      </c>
      <c r="T1842" t="s">
        <v>51</v>
      </c>
      <c r="U1842" t="s">
        <v>58</v>
      </c>
    </row>
    <row r="1843" spans="1:21" x14ac:dyDescent="0.35">
      <c r="A1843" t="s">
        <v>1922</v>
      </c>
      <c r="B1843" s="1">
        <v>46237</v>
      </c>
      <c r="C1843" t="str">
        <f>TEXT(tblData[[#This Row],[Rental Date]],"mmm")</f>
        <v>Aug</v>
      </c>
      <c r="D1843" t="str">
        <f>TEXT(tblData[[#This Row],[Rental Date]],"mmmm")</f>
        <v>August</v>
      </c>
      <c r="E1843" t="s">
        <v>74</v>
      </c>
      <c r="F1843" t="str">
        <f>TEXT(WEEKNUM(tblData[[#This Row],[Rental Date]]),"00")</f>
        <v>32</v>
      </c>
      <c r="G1843" s="1">
        <f>EOMONTH(tblData[[#This Row],[Rental Date]],0)</f>
        <v>46265</v>
      </c>
      <c r="H1843" t="s">
        <v>749</v>
      </c>
      <c r="I1843" t="s">
        <v>48</v>
      </c>
      <c r="J1843" t="s">
        <v>44</v>
      </c>
      <c r="K1843" t="s">
        <v>25</v>
      </c>
      <c r="L1843">
        <v>1</v>
      </c>
      <c r="M1843" s="2">
        <v>58.24</v>
      </c>
      <c r="N1843" t="s">
        <v>26</v>
      </c>
      <c r="O1843" s="3">
        <v>0</v>
      </c>
      <c r="P1843" s="3">
        <v>0</v>
      </c>
      <c r="Q1843" s="2">
        <v>58.24</v>
      </c>
      <c r="R1843" t="s">
        <v>27</v>
      </c>
      <c r="S1843" t="s">
        <v>35</v>
      </c>
      <c r="T1843" t="s">
        <v>29</v>
      </c>
      <c r="U1843" t="s">
        <v>30</v>
      </c>
    </row>
    <row r="1844" spans="1:21" x14ac:dyDescent="0.35">
      <c r="A1844" t="s">
        <v>1923</v>
      </c>
      <c r="B1844" s="1">
        <v>46237</v>
      </c>
      <c r="C1844" t="str">
        <f>TEXT(tblData[[#This Row],[Rental Date]],"mmm")</f>
        <v>Aug</v>
      </c>
      <c r="D1844" t="str">
        <f>TEXT(tblData[[#This Row],[Rental Date]],"mmmm")</f>
        <v>August</v>
      </c>
      <c r="E1844" t="s">
        <v>74</v>
      </c>
      <c r="F1844" t="str">
        <f>TEXT(WEEKNUM(tblData[[#This Row],[Rental Date]]),"00")</f>
        <v>32</v>
      </c>
      <c r="G1844" s="1">
        <f>EOMONTH(tblData[[#This Row],[Rental Date]],0)</f>
        <v>46265</v>
      </c>
      <c r="H1844" t="s">
        <v>749</v>
      </c>
      <c r="I1844" t="s">
        <v>39</v>
      </c>
      <c r="J1844" t="s">
        <v>49</v>
      </c>
      <c r="K1844" t="s">
        <v>60</v>
      </c>
      <c r="L1844">
        <v>1</v>
      </c>
      <c r="M1844" s="2">
        <v>24.64</v>
      </c>
      <c r="N1844" t="s">
        <v>26</v>
      </c>
      <c r="O1844" s="3">
        <v>0</v>
      </c>
      <c r="P1844" s="3">
        <v>0</v>
      </c>
      <c r="Q1844" s="2">
        <v>24.64</v>
      </c>
      <c r="R1844" t="s">
        <v>34</v>
      </c>
      <c r="S1844" t="s">
        <v>54</v>
      </c>
      <c r="T1844" t="s">
        <v>29</v>
      </c>
      <c r="U1844" t="s">
        <v>30</v>
      </c>
    </row>
    <row r="1845" spans="1:21" x14ac:dyDescent="0.35">
      <c r="A1845" t="s">
        <v>1924</v>
      </c>
      <c r="B1845" s="1">
        <v>46237</v>
      </c>
      <c r="C1845" t="str">
        <f>TEXT(tblData[[#This Row],[Rental Date]],"mmm")</f>
        <v>Aug</v>
      </c>
      <c r="D1845" t="str">
        <f>TEXT(tblData[[#This Row],[Rental Date]],"mmmm")</f>
        <v>August</v>
      </c>
      <c r="E1845" t="s">
        <v>74</v>
      </c>
      <c r="F1845" t="str">
        <f>TEXT(WEEKNUM(tblData[[#This Row],[Rental Date]]),"00")</f>
        <v>32</v>
      </c>
      <c r="G1845" s="1">
        <f>EOMONTH(tblData[[#This Row],[Rental Date]],0)</f>
        <v>46265</v>
      </c>
      <c r="H1845" t="s">
        <v>749</v>
      </c>
      <c r="I1845" t="s">
        <v>39</v>
      </c>
      <c r="J1845" t="s">
        <v>49</v>
      </c>
      <c r="K1845" t="s">
        <v>60</v>
      </c>
      <c r="L1845">
        <v>1</v>
      </c>
      <c r="M1845" s="2">
        <v>24.64</v>
      </c>
      <c r="N1845" t="s">
        <v>26</v>
      </c>
      <c r="O1845" s="3">
        <v>0</v>
      </c>
      <c r="P1845" s="3">
        <v>0</v>
      </c>
      <c r="Q1845" s="2">
        <v>24.64</v>
      </c>
      <c r="R1845" t="s">
        <v>94</v>
      </c>
      <c r="S1845" t="s">
        <v>46</v>
      </c>
      <c r="T1845" t="s">
        <v>29</v>
      </c>
      <c r="U1845" t="s">
        <v>30</v>
      </c>
    </row>
    <row r="1846" spans="1:21" x14ac:dyDescent="0.35">
      <c r="A1846" t="s">
        <v>1925</v>
      </c>
      <c r="B1846" s="1">
        <v>46237</v>
      </c>
      <c r="C1846" t="str">
        <f>TEXT(tblData[[#This Row],[Rental Date]],"mmm")</f>
        <v>Aug</v>
      </c>
      <c r="D1846" t="str">
        <f>TEXT(tblData[[#This Row],[Rental Date]],"mmmm")</f>
        <v>August</v>
      </c>
      <c r="E1846" t="s">
        <v>74</v>
      </c>
      <c r="F1846" t="str">
        <f>TEXT(WEEKNUM(tblData[[#This Row],[Rental Date]]),"00")</f>
        <v>32</v>
      </c>
      <c r="G1846" s="1">
        <f>EOMONTH(tblData[[#This Row],[Rental Date]],0)</f>
        <v>46265</v>
      </c>
      <c r="H1846" t="s">
        <v>749</v>
      </c>
      <c r="I1846" t="s">
        <v>48</v>
      </c>
      <c r="J1846" t="s">
        <v>78</v>
      </c>
      <c r="K1846" t="s">
        <v>60</v>
      </c>
      <c r="L1846">
        <v>1</v>
      </c>
      <c r="M1846" s="2">
        <v>29.12</v>
      </c>
      <c r="N1846" t="s">
        <v>26</v>
      </c>
      <c r="O1846" s="3">
        <v>0</v>
      </c>
      <c r="P1846" s="3">
        <v>0</v>
      </c>
      <c r="Q1846" s="2">
        <v>29.12</v>
      </c>
      <c r="R1846" t="s">
        <v>27</v>
      </c>
      <c r="S1846" t="s">
        <v>46</v>
      </c>
      <c r="T1846" t="s">
        <v>29</v>
      </c>
      <c r="U1846" t="s">
        <v>30</v>
      </c>
    </row>
    <row r="1847" spans="1:21" x14ac:dyDescent="0.35">
      <c r="A1847" t="s">
        <v>1926</v>
      </c>
      <c r="B1847" s="1">
        <v>46238</v>
      </c>
      <c r="C1847" t="str">
        <f>TEXT(tblData[[#This Row],[Rental Date]],"mmm")</f>
        <v>Aug</v>
      </c>
      <c r="D1847" t="str">
        <f>TEXT(tblData[[#This Row],[Rental Date]],"mmmm")</f>
        <v>August</v>
      </c>
      <c r="E1847" t="s">
        <v>102</v>
      </c>
      <c r="F1847" t="str">
        <f>TEXT(WEEKNUM(tblData[[#This Row],[Rental Date]]),"00")</f>
        <v>32</v>
      </c>
      <c r="G1847" s="1">
        <f>EOMONTH(tblData[[#This Row],[Rental Date]],0)</f>
        <v>46265</v>
      </c>
      <c r="H1847" t="s">
        <v>749</v>
      </c>
      <c r="I1847" t="s">
        <v>48</v>
      </c>
      <c r="J1847" t="s">
        <v>78</v>
      </c>
      <c r="K1847" t="s">
        <v>25</v>
      </c>
      <c r="L1847">
        <v>1</v>
      </c>
      <c r="M1847" s="2">
        <v>47.04</v>
      </c>
      <c r="N1847" t="s">
        <v>26</v>
      </c>
      <c r="O1847" s="3">
        <v>0</v>
      </c>
      <c r="P1847" s="3">
        <v>0</v>
      </c>
      <c r="Q1847" s="2">
        <v>47.04</v>
      </c>
      <c r="R1847" t="s">
        <v>62</v>
      </c>
      <c r="S1847" t="s">
        <v>54</v>
      </c>
      <c r="T1847" t="s">
        <v>29</v>
      </c>
      <c r="U1847" t="s">
        <v>30</v>
      </c>
    </row>
    <row r="1848" spans="1:21" x14ac:dyDescent="0.35">
      <c r="A1848" t="s">
        <v>1927</v>
      </c>
      <c r="B1848" s="1">
        <v>46238</v>
      </c>
      <c r="C1848" t="str">
        <f>TEXT(tblData[[#This Row],[Rental Date]],"mmm")</f>
        <v>Aug</v>
      </c>
      <c r="D1848" t="str">
        <f>TEXT(tblData[[#This Row],[Rental Date]],"mmmm")</f>
        <v>August</v>
      </c>
      <c r="E1848" t="s">
        <v>102</v>
      </c>
      <c r="F1848" t="str">
        <f>TEXT(WEEKNUM(tblData[[#This Row],[Rental Date]]),"00")</f>
        <v>32</v>
      </c>
      <c r="G1848" s="1">
        <f>EOMONTH(tblData[[#This Row],[Rental Date]],0)</f>
        <v>46265</v>
      </c>
      <c r="H1848" t="s">
        <v>749</v>
      </c>
      <c r="I1848" t="s">
        <v>23</v>
      </c>
      <c r="J1848" t="s">
        <v>33</v>
      </c>
      <c r="K1848" t="s">
        <v>25</v>
      </c>
      <c r="L1848">
        <v>1</v>
      </c>
      <c r="M1848" s="2">
        <v>42.56</v>
      </c>
      <c r="N1848" t="s">
        <v>26</v>
      </c>
      <c r="O1848" s="3">
        <v>0</v>
      </c>
      <c r="P1848" s="3">
        <v>0</v>
      </c>
      <c r="Q1848" s="2">
        <v>42.56</v>
      </c>
      <c r="R1848" t="s">
        <v>57</v>
      </c>
      <c r="S1848" t="s">
        <v>35</v>
      </c>
      <c r="T1848" t="s">
        <v>29</v>
      </c>
      <c r="U1848" t="s">
        <v>30</v>
      </c>
    </row>
    <row r="1849" spans="1:21" x14ac:dyDescent="0.35">
      <c r="A1849" t="s">
        <v>1928</v>
      </c>
      <c r="B1849" s="1">
        <v>46238</v>
      </c>
      <c r="C1849" t="str">
        <f>TEXT(tblData[[#This Row],[Rental Date]],"mmm")</f>
        <v>Aug</v>
      </c>
      <c r="D1849" t="str">
        <f>TEXT(tblData[[#This Row],[Rental Date]],"mmmm")</f>
        <v>August</v>
      </c>
      <c r="E1849" t="s">
        <v>102</v>
      </c>
      <c r="F1849" t="str">
        <f>TEXT(WEEKNUM(tblData[[#This Row],[Rental Date]]),"00")</f>
        <v>32</v>
      </c>
      <c r="G1849" s="1">
        <f>EOMONTH(tblData[[#This Row],[Rental Date]],0)</f>
        <v>46265</v>
      </c>
      <c r="H1849" t="s">
        <v>749</v>
      </c>
      <c r="I1849" t="s">
        <v>23</v>
      </c>
      <c r="J1849" t="s">
        <v>65</v>
      </c>
      <c r="K1849" t="s">
        <v>25</v>
      </c>
      <c r="L1849">
        <v>1</v>
      </c>
      <c r="M1849" s="2">
        <v>20.16</v>
      </c>
      <c r="N1849" t="s">
        <v>41</v>
      </c>
      <c r="O1849" s="3">
        <v>5</v>
      </c>
      <c r="P1849" s="3">
        <v>0</v>
      </c>
      <c r="Q1849" s="2">
        <v>25.16</v>
      </c>
      <c r="R1849" t="s">
        <v>94</v>
      </c>
      <c r="S1849" t="s">
        <v>54</v>
      </c>
      <c r="T1849" t="s">
        <v>90</v>
      </c>
      <c r="U1849" t="s">
        <v>30</v>
      </c>
    </row>
    <row r="1850" spans="1:21" x14ac:dyDescent="0.35">
      <c r="A1850" t="s">
        <v>1929</v>
      </c>
      <c r="B1850" s="1">
        <v>46238</v>
      </c>
      <c r="C1850" t="str">
        <f>TEXT(tblData[[#This Row],[Rental Date]],"mmm")</f>
        <v>Aug</v>
      </c>
      <c r="D1850" t="str">
        <f>TEXT(tblData[[#This Row],[Rental Date]],"mmmm")</f>
        <v>August</v>
      </c>
      <c r="E1850" t="s">
        <v>102</v>
      </c>
      <c r="F1850" t="str">
        <f>TEXT(WEEKNUM(tblData[[#This Row],[Rental Date]]),"00")</f>
        <v>32</v>
      </c>
      <c r="G1850" s="1">
        <f>EOMONTH(tblData[[#This Row],[Rental Date]],0)</f>
        <v>46265</v>
      </c>
      <c r="H1850" t="s">
        <v>749</v>
      </c>
      <c r="I1850" t="s">
        <v>39</v>
      </c>
      <c r="J1850" t="s">
        <v>33</v>
      </c>
      <c r="K1850" t="s">
        <v>25</v>
      </c>
      <c r="L1850">
        <v>1</v>
      </c>
      <c r="M1850" s="2">
        <v>42.56</v>
      </c>
      <c r="N1850" t="s">
        <v>26</v>
      </c>
      <c r="O1850" s="3">
        <v>0</v>
      </c>
      <c r="P1850" s="3">
        <v>0</v>
      </c>
      <c r="Q1850" s="2">
        <v>42.56</v>
      </c>
      <c r="R1850" t="s">
        <v>45</v>
      </c>
      <c r="S1850" t="s">
        <v>28</v>
      </c>
      <c r="T1850" t="s">
        <v>90</v>
      </c>
      <c r="U1850" t="s">
        <v>30</v>
      </c>
    </row>
    <row r="1851" spans="1:21" x14ac:dyDescent="0.35">
      <c r="A1851" t="s">
        <v>1930</v>
      </c>
      <c r="B1851" s="1">
        <v>46238</v>
      </c>
      <c r="C1851" t="str">
        <f>TEXT(tblData[[#This Row],[Rental Date]],"mmm")</f>
        <v>Aug</v>
      </c>
      <c r="D1851" t="str">
        <f>TEXT(tblData[[#This Row],[Rental Date]],"mmmm")</f>
        <v>August</v>
      </c>
      <c r="E1851" t="s">
        <v>102</v>
      </c>
      <c r="F1851" t="str">
        <f>TEXT(WEEKNUM(tblData[[#This Row],[Rental Date]]),"00")</f>
        <v>32</v>
      </c>
      <c r="G1851" s="1">
        <f>EOMONTH(tblData[[#This Row],[Rental Date]],0)</f>
        <v>46265</v>
      </c>
      <c r="H1851" t="s">
        <v>749</v>
      </c>
      <c r="I1851" t="s">
        <v>48</v>
      </c>
      <c r="J1851" t="s">
        <v>33</v>
      </c>
      <c r="K1851" t="s">
        <v>40</v>
      </c>
      <c r="L1851">
        <v>1</v>
      </c>
      <c r="M1851" s="2">
        <v>64.959999999999994</v>
      </c>
      <c r="N1851" t="s">
        <v>26</v>
      </c>
      <c r="O1851" s="3">
        <v>0</v>
      </c>
      <c r="P1851" s="3">
        <v>0</v>
      </c>
      <c r="Q1851" s="2">
        <v>64.959999999999994</v>
      </c>
      <c r="R1851" t="s">
        <v>71</v>
      </c>
      <c r="S1851" t="s">
        <v>54</v>
      </c>
      <c r="T1851" t="s">
        <v>29</v>
      </c>
      <c r="U1851" t="s">
        <v>30</v>
      </c>
    </row>
    <row r="1852" spans="1:21" x14ac:dyDescent="0.35">
      <c r="A1852" t="s">
        <v>1931</v>
      </c>
      <c r="B1852" s="1">
        <v>46238</v>
      </c>
      <c r="C1852" t="str">
        <f>TEXT(tblData[[#This Row],[Rental Date]],"mmm")</f>
        <v>Aug</v>
      </c>
      <c r="D1852" t="str">
        <f>TEXT(tblData[[#This Row],[Rental Date]],"mmmm")</f>
        <v>August</v>
      </c>
      <c r="E1852" t="s">
        <v>102</v>
      </c>
      <c r="F1852" t="str">
        <f>TEXT(WEEKNUM(tblData[[#This Row],[Rental Date]]),"00")</f>
        <v>32</v>
      </c>
      <c r="G1852" s="1">
        <f>EOMONTH(tblData[[#This Row],[Rental Date]],0)</f>
        <v>46265</v>
      </c>
      <c r="H1852" t="s">
        <v>749</v>
      </c>
      <c r="I1852" t="s">
        <v>39</v>
      </c>
      <c r="J1852" t="s">
        <v>44</v>
      </c>
      <c r="K1852" t="s">
        <v>40</v>
      </c>
      <c r="L1852">
        <v>1</v>
      </c>
      <c r="M1852" s="2">
        <v>87.36</v>
      </c>
      <c r="N1852" t="s">
        <v>61</v>
      </c>
      <c r="O1852" s="3">
        <v>8</v>
      </c>
      <c r="P1852" s="3">
        <v>0</v>
      </c>
      <c r="Q1852" s="2">
        <v>95.36</v>
      </c>
      <c r="R1852" t="s">
        <v>62</v>
      </c>
      <c r="S1852" t="s">
        <v>54</v>
      </c>
      <c r="T1852" t="s">
        <v>51</v>
      </c>
      <c r="U1852" t="s">
        <v>30</v>
      </c>
    </row>
    <row r="1853" spans="1:21" x14ac:dyDescent="0.35">
      <c r="A1853" t="s">
        <v>1932</v>
      </c>
      <c r="B1853" s="1">
        <v>46239</v>
      </c>
      <c r="C1853" t="str">
        <f>TEXT(tblData[[#This Row],[Rental Date]],"mmm")</f>
        <v>Aug</v>
      </c>
      <c r="D1853" t="str">
        <f>TEXT(tblData[[#This Row],[Rental Date]],"mmmm")</f>
        <v>August</v>
      </c>
      <c r="E1853" t="s">
        <v>109</v>
      </c>
      <c r="F1853" t="str">
        <f>TEXT(WEEKNUM(tblData[[#This Row],[Rental Date]]),"00")</f>
        <v>32</v>
      </c>
      <c r="G1853" s="1">
        <f>EOMONTH(tblData[[#This Row],[Rental Date]],0)</f>
        <v>46265</v>
      </c>
      <c r="H1853" t="s">
        <v>749</v>
      </c>
      <c r="I1853" t="s">
        <v>48</v>
      </c>
      <c r="J1853" t="s">
        <v>33</v>
      </c>
      <c r="K1853" t="s">
        <v>40</v>
      </c>
      <c r="L1853">
        <v>1</v>
      </c>
      <c r="M1853" s="2">
        <v>64.959999999999994</v>
      </c>
      <c r="N1853" t="s">
        <v>75</v>
      </c>
      <c r="O1853" s="3">
        <v>12</v>
      </c>
      <c r="P1853" s="3">
        <v>0</v>
      </c>
      <c r="Q1853" s="2">
        <v>76.959999999999994</v>
      </c>
      <c r="R1853" t="s">
        <v>71</v>
      </c>
      <c r="S1853" t="s">
        <v>35</v>
      </c>
      <c r="T1853" t="s">
        <v>83</v>
      </c>
      <c r="U1853" t="s">
        <v>30</v>
      </c>
    </row>
    <row r="1854" spans="1:21" x14ac:dyDescent="0.35">
      <c r="A1854" t="s">
        <v>1933</v>
      </c>
      <c r="B1854" s="1">
        <v>46239</v>
      </c>
      <c r="C1854" t="str">
        <f>TEXT(tblData[[#This Row],[Rental Date]],"mmm")</f>
        <v>Aug</v>
      </c>
      <c r="D1854" t="str">
        <f>TEXT(tblData[[#This Row],[Rental Date]],"mmmm")</f>
        <v>August</v>
      </c>
      <c r="E1854" t="s">
        <v>109</v>
      </c>
      <c r="F1854" t="str">
        <f>TEXT(WEEKNUM(tblData[[#This Row],[Rental Date]]),"00")</f>
        <v>32</v>
      </c>
      <c r="G1854" s="1">
        <f>EOMONTH(tblData[[#This Row],[Rental Date]],0)</f>
        <v>46265</v>
      </c>
      <c r="H1854" t="s">
        <v>749</v>
      </c>
      <c r="I1854" t="s">
        <v>53</v>
      </c>
      <c r="J1854" t="s">
        <v>33</v>
      </c>
      <c r="K1854" t="s">
        <v>40</v>
      </c>
      <c r="L1854">
        <v>1</v>
      </c>
      <c r="M1854" s="2">
        <v>64.959999999999994</v>
      </c>
      <c r="N1854" t="s">
        <v>26</v>
      </c>
      <c r="O1854" s="3">
        <v>0</v>
      </c>
      <c r="P1854" s="3">
        <v>6.5</v>
      </c>
      <c r="Q1854" s="2">
        <v>58.46</v>
      </c>
      <c r="R1854" t="s">
        <v>42</v>
      </c>
      <c r="S1854" t="s">
        <v>28</v>
      </c>
      <c r="T1854" t="s">
        <v>29</v>
      </c>
      <c r="U1854" t="s">
        <v>30</v>
      </c>
    </row>
    <row r="1855" spans="1:21" x14ac:dyDescent="0.35">
      <c r="A1855" t="s">
        <v>1934</v>
      </c>
      <c r="B1855" s="1">
        <v>46239</v>
      </c>
      <c r="C1855" t="str">
        <f>TEXT(tblData[[#This Row],[Rental Date]],"mmm")</f>
        <v>Aug</v>
      </c>
      <c r="D1855" t="str">
        <f>TEXT(tblData[[#This Row],[Rental Date]],"mmmm")</f>
        <v>August</v>
      </c>
      <c r="E1855" t="s">
        <v>109</v>
      </c>
      <c r="F1855" t="str">
        <f>TEXT(WEEKNUM(tblData[[#This Row],[Rental Date]]),"00")</f>
        <v>32</v>
      </c>
      <c r="G1855" s="1">
        <f>EOMONTH(tblData[[#This Row],[Rental Date]],0)</f>
        <v>46265</v>
      </c>
      <c r="H1855" t="s">
        <v>749</v>
      </c>
      <c r="I1855" t="s">
        <v>23</v>
      </c>
      <c r="J1855" t="s">
        <v>127</v>
      </c>
      <c r="K1855" t="s">
        <v>40</v>
      </c>
      <c r="L1855">
        <v>1</v>
      </c>
      <c r="M1855" s="2">
        <v>26.88</v>
      </c>
      <c r="N1855" t="s">
        <v>26</v>
      </c>
      <c r="O1855" s="3">
        <v>0</v>
      </c>
      <c r="P1855" s="3">
        <v>0</v>
      </c>
      <c r="Q1855" s="2">
        <v>26.88</v>
      </c>
      <c r="R1855" t="s">
        <v>66</v>
      </c>
      <c r="S1855" t="s">
        <v>46</v>
      </c>
      <c r="T1855" t="s">
        <v>29</v>
      </c>
      <c r="U1855" t="s">
        <v>30</v>
      </c>
    </row>
    <row r="1856" spans="1:21" x14ac:dyDescent="0.35">
      <c r="A1856" t="s">
        <v>1935</v>
      </c>
      <c r="B1856" s="1">
        <v>46239</v>
      </c>
      <c r="C1856" t="str">
        <f>TEXT(tblData[[#This Row],[Rental Date]],"mmm")</f>
        <v>Aug</v>
      </c>
      <c r="D1856" t="str">
        <f>TEXT(tblData[[#This Row],[Rental Date]],"mmmm")</f>
        <v>August</v>
      </c>
      <c r="E1856" t="s">
        <v>109</v>
      </c>
      <c r="F1856" t="str">
        <f>TEXT(WEEKNUM(tblData[[#This Row],[Rental Date]]),"00")</f>
        <v>32</v>
      </c>
      <c r="G1856" s="1">
        <f>EOMONTH(tblData[[#This Row],[Rental Date]],0)</f>
        <v>46265</v>
      </c>
      <c r="H1856" t="s">
        <v>749</v>
      </c>
      <c r="I1856" t="s">
        <v>48</v>
      </c>
      <c r="J1856" t="s">
        <v>78</v>
      </c>
      <c r="K1856" t="s">
        <v>60</v>
      </c>
      <c r="L1856">
        <v>1</v>
      </c>
      <c r="M1856" s="2">
        <v>29.12</v>
      </c>
      <c r="N1856" t="s">
        <v>75</v>
      </c>
      <c r="O1856" s="3">
        <v>12</v>
      </c>
      <c r="P1856" s="3">
        <v>0</v>
      </c>
      <c r="Q1856" s="2">
        <v>41.12</v>
      </c>
      <c r="R1856" t="s">
        <v>62</v>
      </c>
      <c r="S1856" t="s">
        <v>35</v>
      </c>
      <c r="T1856" t="s">
        <v>51</v>
      </c>
      <c r="U1856" t="s">
        <v>30</v>
      </c>
    </row>
    <row r="1857" spans="1:21" x14ac:dyDescent="0.35">
      <c r="A1857" t="s">
        <v>1936</v>
      </c>
      <c r="B1857" s="1">
        <v>46239</v>
      </c>
      <c r="C1857" t="str">
        <f>TEXT(tblData[[#This Row],[Rental Date]],"mmm")</f>
        <v>Aug</v>
      </c>
      <c r="D1857" t="str">
        <f>TEXT(tblData[[#This Row],[Rental Date]],"mmmm")</f>
        <v>August</v>
      </c>
      <c r="E1857" t="s">
        <v>109</v>
      </c>
      <c r="F1857" t="str">
        <f>TEXT(WEEKNUM(tblData[[#This Row],[Rental Date]]),"00")</f>
        <v>32</v>
      </c>
      <c r="G1857" s="1">
        <f>EOMONTH(tblData[[#This Row],[Rental Date]],0)</f>
        <v>46265</v>
      </c>
      <c r="H1857" t="s">
        <v>749</v>
      </c>
      <c r="I1857" t="s">
        <v>39</v>
      </c>
      <c r="J1857" t="s">
        <v>138</v>
      </c>
      <c r="K1857" t="s">
        <v>40</v>
      </c>
      <c r="L1857">
        <v>1</v>
      </c>
      <c r="M1857" s="2">
        <v>80.64</v>
      </c>
      <c r="N1857" t="s">
        <v>26</v>
      </c>
      <c r="O1857" s="3">
        <v>0</v>
      </c>
      <c r="P1857" s="3">
        <v>0</v>
      </c>
      <c r="Q1857" s="2">
        <v>80.64</v>
      </c>
      <c r="R1857" t="s">
        <v>57</v>
      </c>
      <c r="S1857" t="s">
        <v>46</v>
      </c>
      <c r="T1857" t="s">
        <v>29</v>
      </c>
      <c r="U1857" t="s">
        <v>30</v>
      </c>
    </row>
    <row r="1858" spans="1:21" x14ac:dyDescent="0.35">
      <c r="A1858" t="s">
        <v>1937</v>
      </c>
      <c r="B1858" s="1">
        <v>46239</v>
      </c>
      <c r="C1858" t="str">
        <f>TEXT(tblData[[#This Row],[Rental Date]],"mmm")</f>
        <v>Aug</v>
      </c>
      <c r="D1858" t="str">
        <f>TEXT(tblData[[#This Row],[Rental Date]],"mmmm")</f>
        <v>August</v>
      </c>
      <c r="E1858" t="s">
        <v>109</v>
      </c>
      <c r="F1858" t="str">
        <f>TEXT(WEEKNUM(tblData[[#This Row],[Rental Date]]),"00")</f>
        <v>32</v>
      </c>
      <c r="G1858" s="1">
        <f>EOMONTH(tblData[[#This Row],[Rental Date]],0)</f>
        <v>46265</v>
      </c>
      <c r="H1858" t="s">
        <v>749</v>
      </c>
      <c r="I1858" t="s">
        <v>48</v>
      </c>
      <c r="J1858" t="s">
        <v>44</v>
      </c>
      <c r="K1858" t="s">
        <v>60</v>
      </c>
      <c r="L1858">
        <v>1</v>
      </c>
      <c r="M1858" s="2">
        <v>38.08</v>
      </c>
      <c r="N1858" t="s">
        <v>26</v>
      </c>
      <c r="O1858" s="3">
        <v>0</v>
      </c>
      <c r="P1858" s="3">
        <v>0</v>
      </c>
      <c r="Q1858" s="2">
        <v>38.08</v>
      </c>
      <c r="R1858" t="s">
        <v>34</v>
      </c>
      <c r="S1858" t="s">
        <v>28</v>
      </c>
      <c r="T1858" t="s">
        <v>63</v>
      </c>
      <c r="U1858" t="s">
        <v>30</v>
      </c>
    </row>
    <row r="1859" spans="1:21" x14ac:dyDescent="0.35">
      <c r="A1859" t="s">
        <v>1938</v>
      </c>
      <c r="B1859" s="1">
        <v>46239</v>
      </c>
      <c r="C1859" t="str">
        <f>TEXT(tblData[[#This Row],[Rental Date]],"mmm")</f>
        <v>Aug</v>
      </c>
      <c r="D1859" t="str">
        <f>TEXT(tblData[[#This Row],[Rental Date]],"mmmm")</f>
        <v>August</v>
      </c>
      <c r="E1859" t="s">
        <v>109</v>
      </c>
      <c r="F1859" t="str">
        <f>TEXT(WEEKNUM(tblData[[#This Row],[Rental Date]]),"00")</f>
        <v>32</v>
      </c>
      <c r="G1859" s="1">
        <f>EOMONTH(tblData[[#This Row],[Rental Date]],0)</f>
        <v>46265</v>
      </c>
      <c r="H1859" t="s">
        <v>749</v>
      </c>
      <c r="I1859" t="s">
        <v>32</v>
      </c>
      <c r="J1859" t="s">
        <v>127</v>
      </c>
      <c r="K1859" t="s">
        <v>60</v>
      </c>
      <c r="L1859">
        <v>1</v>
      </c>
      <c r="M1859" s="2">
        <v>11.2</v>
      </c>
      <c r="N1859" t="s">
        <v>87</v>
      </c>
      <c r="O1859" s="3">
        <v>10</v>
      </c>
      <c r="P1859" s="3">
        <v>1.06</v>
      </c>
      <c r="Q1859" s="2">
        <v>20.14</v>
      </c>
      <c r="R1859" t="s">
        <v>34</v>
      </c>
      <c r="S1859" t="s">
        <v>28</v>
      </c>
      <c r="T1859" t="s">
        <v>29</v>
      </c>
      <c r="U1859" t="s">
        <v>30</v>
      </c>
    </row>
    <row r="1860" spans="1:21" x14ac:dyDescent="0.35">
      <c r="A1860" t="s">
        <v>1939</v>
      </c>
      <c r="B1860" s="1">
        <v>46239</v>
      </c>
      <c r="C1860" t="str">
        <f>TEXT(tblData[[#This Row],[Rental Date]],"mmm")</f>
        <v>Aug</v>
      </c>
      <c r="D1860" t="str">
        <f>TEXT(tblData[[#This Row],[Rental Date]],"mmmm")</f>
        <v>August</v>
      </c>
      <c r="E1860" t="s">
        <v>109</v>
      </c>
      <c r="F1860" t="str">
        <f>TEXT(WEEKNUM(tblData[[#This Row],[Rental Date]]),"00")</f>
        <v>32</v>
      </c>
      <c r="G1860" s="1">
        <f>EOMONTH(tblData[[#This Row],[Rental Date]],0)</f>
        <v>46265</v>
      </c>
      <c r="H1860" t="s">
        <v>749</v>
      </c>
      <c r="I1860" t="s">
        <v>48</v>
      </c>
      <c r="J1860" t="s">
        <v>33</v>
      </c>
      <c r="K1860" t="s">
        <v>25</v>
      </c>
      <c r="L1860">
        <v>1</v>
      </c>
      <c r="M1860" s="2">
        <v>42.56</v>
      </c>
      <c r="N1860" t="s">
        <v>70</v>
      </c>
      <c r="O1860" s="3">
        <v>7</v>
      </c>
      <c r="P1860" s="3">
        <v>0</v>
      </c>
      <c r="Q1860" s="2">
        <v>49.56</v>
      </c>
      <c r="R1860" t="s">
        <v>66</v>
      </c>
      <c r="S1860" t="s">
        <v>35</v>
      </c>
      <c r="T1860" t="s">
        <v>29</v>
      </c>
      <c r="U1860" t="s">
        <v>30</v>
      </c>
    </row>
    <row r="1861" spans="1:21" x14ac:dyDescent="0.35">
      <c r="A1861" t="s">
        <v>1940</v>
      </c>
      <c r="B1861" s="1">
        <v>46239</v>
      </c>
      <c r="C1861" t="str">
        <f>TEXT(tblData[[#This Row],[Rental Date]],"mmm")</f>
        <v>Aug</v>
      </c>
      <c r="D1861" t="str">
        <f>TEXT(tblData[[#This Row],[Rental Date]],"mmmm")</f>
        <v>August</v>
      </c>
      <c r="E1861" t="s">
        <v>109</v>
      </c>
      <c r="F1861" t="str">
        <f>TEXT(WEEKNUM(tblData[[#This Row],[Rental Date]]),"00")</f>
        <v>32</v>
      </c>
      <c r="G1861" s="1">
        <f>EOMONTH(tblData[[#This Row],[Rental Date]],0)</f>
        <v>46265</v>
      </c>
      <c r="H1861" t="s">
        <v>749</v>
      </c>
      <c r="I1861" t="s">
        <v>23</v>
      </c>
      <c r="J1861" t="s">
        <v>86</v>
      </c>
      <c r="K1861" t="s">
        <v>92</v>
      </c>
      <c r="L1861">
        <v>1</v>
      </c>
      <c r="M1861" s="2">
        <v>138.88</v>
      </c>
      <c r="N1861" t="s">
        <v>41</v>
      </c>
      <c r="O1861" s="3">
        <v>5</v>
      </c>
      <c r="P1861" s="3">
        <v>0</v>
      </c>
      <c r="Q1861" s="2">
        <v>143.88</v>
      </c>
      <c r="R1861" t="s">
        <v>27</v>
      </c>
      <c r="S1861" t="s">
        <v>28</v>
      </c>
      <c r="T1861" t="s">
        <v>51</v>
      </c>
      <c r="U1861" t="s">
        <v>30</v>
      </c>
    </row>
    <row r="1862" spans="1:21" x14ac:dyDescent="0.35">
      <c r="A1862" t="s">
        <v>1941</v>
      </c>
      <c r="B1862" s="1">
        <v>46239</v>
      </c>
      <c r="C1862" t="str">
        <f>TEXT(tblData[[#This Row],[Rental Date]],"mmm")</f>
        <v>Aug</v>
      </c>
      <c r="D1862" t="str">
        <f>TEXT(tblData[[#This Row],[Rental Date]],"mmmm")</f>
        <v>August</v>
      </c>
      <c r="E1862" t="s">
        <v>109</v>
      </c>
      <c r="F1862" t="str">
        <f>TEXT(WEEKNUM(tblData[[#This Row],[Rental Date]]),"00")</f>
        <v>32</v>
      </c>
      <c r="G1862" s="1">
        <f>EOMONTH(tblData[[#This Row],[Rental Date]],0)</f>
        <v>46265</v>
      </c>
      <c r="H1862" t="s">
        <v>749</v>
      </c>
      <c r="I1862" t="s">
        <v>39</v>
      </c>
      <c r="J1862" t="s">
        <v>86</v>
      </c>
      <c r="K1862" t="s">
        <v>92</v>
      </c>
      <c r="L1862">
        <v>1</v>
      </c>
      <c r="M1862" s="2">
        <v>138.88</v>
      </c>
      <c r="N1862" t="s">
        <v>26</v>
      </c>
      <c r="O1862" s="3">
        <v>0</v>
      </c>
      <c r="P1862" s="3">
        <v>0</v>
      </c>
      <c r="Q1862" s="2">
        <v>138.88</v>
      </c>
      <c r="R1862" t="s">
        <v>66</v>
      </c>
      <c r="S1862" t="s">
        <v>35</v>
      </c>
      <c r="T1862" t="s">
        <v>51</v>
      </c>
      <c r="U1862" t="s">
        <v>30</v>
      </c>
    </row>
    <row r="1863" spans="1:21" x14ac:dyDescent="0.35">
      <c r="A1863" t="s">
        <v>1942</v>
      </c>
      <c r="B1863" s="1">
        <v>46239</v>
      </c>
      <c r="C1863" t="str">
        <f>TEXT(tblData[[#This Row],[Rental Date]],"mmm")</f>
        <v>Aug</v>
      </c>
      <c r="D1863" t="str">
        <f>TEXT(tblData[[#This Row],[Rental Date]],"mmmm")</f>
        <v>August</v>
      </c>
      <c r="E1863" t="s">
        <v>109</v>
      </c>
      <c r="F1863" t="str">
        <f>TEXT(WEEKNUM(tblData[[#This Row],[Rental Date]]),"00")</f>
        <v>32</v>
      </c>
      <c r="G1863" s="1">
        <f>EOMONTH(tblData[[#This Row],[Rental Date]],0)</f>
        <v>46265</v>
      </c>
      <c r="H1863" t="s">
        <v>749</v>
      </c>
      <c r="I1863" t="s">
        <v>23</v>
      </c>
      <c r="J1863" t="s">
        <v>78</v>
      </c>
      <c r="K1863" t="s">
        <v>60</v>
      </c>
      <c r="L1863">
        <v>1</v>
      </c>
      <c r="M1863" s="2">
        <v>29.12</v>
      </c>
      <c r="N1863" t="s">
        <v>26</v>
      </c>
      <c r="O1863" s="3">
        <v>0</v>
      </c>
      <c r="P1863" s="3">
        <v>0</v>
      </c>
      <c r="Q1863" s="2">
        <v>29.12</v>
      </c>
      <c r="R1863" t="s">
        <v>66</v>
      </c>
      <c r="S1863" t="s">
        <v>50</v>
      </c>
      <c r="T1863" t="s">
        <v>29</v>
      </c>
      <c r="U1863" t="s">
        <v>30</v>
      </c>
    </row>
    <row r="1864" spans="1:21" x14ac:dyDescent="0.35">
      <c r="A1864" t="s">
        <v>1943</v>
      </c>
      <c r="B1864" s="1">
        <v>46239</v>
      </c>
      <c r="C1864" t="str">
        <f>TEXT(tblData[[#This Row],[Rental Date]],"mmm")</f>
        <v>Aug</v>
      </c>
      <c r="D1864" t="str">
        <f>TEXT(tblData[[#This Row],[Rental Date]],"mmmm")</f>
        <v>August</v>
      </c>
      <c r="E1864" t="s">
        <v>109</v>
      </c>
      <c r="F1864" t="str">
        <f>TEXT(WEEKNUM(tblData[[#This Row],[Rental Date]]),"00")</f>
        <v>32</v>
      </c>
      <c r="G1864" s="1">
        <f>EOMONTH(tblData[[#This Row],[Rental Date]],0)</f>
        <v>46265</v>
      </c>
      <c r="H1864" t="s">
        <v>749</v>
      </c>
      <c r="I1864" t="s">
        <v>48</v>
      </c>
      <c r="J1864" t="s">
        <v>44</v>
      </c>
      <c r="K1864" t="s">
        <v>40</v>
      </c>
      <c r="L1864">
        <v>1</v>
      </c>
      <c r="M1864" s="2">
        <v>87.36</v>
      </c>
      <c r="N1864" t="s">
        <v>26</v>
      </c>
      <c r="O1864" s="3">
        <v>0</v>
      </c>
      <c r="P1864" s="3">
        <v>4.37</v>
      </c>
      <c r="Q1864" s="2">
        <v>82.99</v>
      </c>
      <c r="R1864" t="s">
        <v>94</v>
      </c>
      <c r="S1864" t="s">
        <v>50</v>
      </c>
      <c r="T1864" t="s">
        <v>90</v>
      </c>
      <c r="U1864" t="s">
        <v>58</v>
      </c>
    </row>
    <row r="1865" spans="1:21" x14ac:dyDescent="0.35">
      <c r="A1865" t="s">
        <v>1944</v>
      </c>
      <c r="B1865" s="1">
        <v>46240</v>
      </c>
      <c r="C1865" t="str">
        <f>TEXT(tblData[[#This Row],[Rental Date]],"mmm")</f>
        <v>Aug</v>
      </c>
      <c r="D1865" t="str">
        <f>TEXT(tblData[[#This Row],[Rental Date]],"mmmm")</f>
        <v>August</v>
      </c>
      <c r="E1865" t="s">
        <v>21</v>
      </c>
      <c r="F1865" t="str">
        <f>TEXT(WEEKNUM(tblData[[#This Row],[Rental Date]]),"00")</f>
        <v>32</v>
      </c>
      <c r="G1865" s="1">
        <f>EOMONTH(tblData[[#This Row],[Rental Date]],0)</f>
        <v>46265</v>
      </c>
      <c r="H1865" t="s">
        <v>749</v>
      </c>
      <c r="I1865" t="s">
        <v>39</v>
      </c>
      <c r="J1865" t="s">
        <v>127</v>
      </c>
      <c r="K1865" t="s">
        <v>60</v>
      </c>
      <c r="L1865">
        <v>1</v>
      </c>
      <c r="M1865" s="2">
        <v>11.2</v>
      </c>
      <c r="N1865" t="s">
        <v>41</v>
      </c>
      <c r="O1865" s="3">
        <v>5</v>
      </c>
      <c r="P1865" s="3">
        <v>0</v>
      </c>
      <c r="Q1865" s="2">
        <v>16.2</v>
      </c>
      <c r="R1865" t="s">
        <v>57</v>
      </c>
      <c r="S1865" t="s">
        <v>28</v>
      </c>
      <c r="T1865" t="s">
        <v>83</v>
      </c>
      <c r="U1865" t="s">
        <v>30</v>
      </c>
    </row>
    <row r="1866" spans="1:21" x14ac:dyDescent="0.35">
      <c r="A1866" t="s">
        <v>1945</v>
      </c>
      <c r="B1866" s="1">
        <v>46240</v>
      </c>
      <c r="C1866" t="str">
        <f>TEXT(tblData[[#This Row],[Rental Date]],"mmm")</f>
        <v>Aug</v>
      </c>
      <c r="D1866" t="str">
        <f>TEXT(tblData[[#This Row],[Rental Date]],"mmmm")</f>
        <v>August</v>
      </c>
      <c r="E1866" t="s">
        <v>21</v>
      </c>
      <c r="F1866" t="str">
        <f>TEXT(WEEKNUM(tblData[[#This Row],[Rental Date]]),"00")</f>
        <v>32</v>
      </c>
      <c r="G1866" s="1">
        <f>EOMONTH(tblData[[#This Row],[Rental Date]],0)</f>
        <v>46265</v>
      </c>
      <c r="H1866" t="s">
        <v>749</v>
      </c>
      <c r="I1866" t="s">
        <v>39</v>
      </c>
      <c r="J1866" t="s">
        <v>44</v>
      </c>
      <c r="K1866" t="s">
        <v>25</v>
      </c>
      <c r="L1866">
        <v>1</v>
      </c>
      <c r="M1866" s="2">
        <v>58.24</v>
      </c>
      <c r="N1866" t="s">
        <v>70</v>
      </c>
      <c r="O1866" s="3">
        <v>7</v>
      </c>
      <c r="P1866" s="3">
        <v>0</v>
      </c>
      <c r="Q1866" s="2">
        <v>65.239999999999995</v>
      </c>
      <c r="R1866" t="s">
        <v>62</v>
      </c>
      <c r="S1866" t="s">
        <v>50</v>
      </c>
      <c r="T1866" t="s">
        <v>90</v>
      </c>
      <c r="U1866" t="s">
        <v>30</v>
      </c>
    </row>
    <row r="1867" spans="1:21" x14ac:dyDescent="0.35">
      <c r="A1867" t="s">
        <v>1946</v>
      </c>
      <c r="B1867" s="1">
        <v>46240</v>
      </c>
      <c r="C1867" t="str">
        <f>TEXT(tblData[[#This Row],[Rental Date]],"mmm")</f>
        <v>Aug</v>
      </c>
      <c r="D1867" t="str">
        <f>TEXT(tblData[[#This Row],[Rental Date]],"mmmm")</f>
        <v>August</v>
      </c>
      <c r="E1867" t="s">
        <v>21</v>
      </c>
      <c r="F1867" t="str">
        <f>TEXT(WEEKNUM(tblData[[#This Row],[Rental Date]]),"00")</f>
        <v>32</v>
      </c>
      <c r="G1867" s="1">
        <f>EOMONTH(tblData[[#This Row],[Rental Date]],0)</f>
        <v>46265</v>
      </c>
      <c r="H1867" t="s">
        <v>749</v>
      </c>
      <c r="I1867" t="s">
        <v>23</v>
      </c>
      <c r="J1867" t="s">
        <v>44</v>
      </c>
      <c r="K1867" t="s">
        <v>60</v>
      </c>
      <c r="L1867">
        <v>1</v>
      </c>
      <c r="M1867" s="2">
        <v>38.08</v>
      </c>
      <c r="N1867" t="s">
        <v>26</v>
      </c>
      <c r="O1867" s="3">
        <v>0</v>
      </c>
      <c r="P1867" s="3">
        <v>0</v>
      </c>
      <c r="Q1867" s="2">
        <v>38.08</v>
      </c>
      <c r="R1867" t="s">
        <v>57</v>
      </c>
      <c r="S1867" t="s">
        <v>54</v>
      </c>
      <c r="T1867" t="s">
        <v>51</v>
      </c>
      <c r="U1867" t="s">
        <v>30</v>
      </c>
    </row>
    <row r="1868" spans="1:21" x14ac:dyDescent="0.35">
      <c r="A1868" t="s">
        <v>1947</v>
      </c>
      <c r="B1868" s="1">
        <v>46240</v>
      </c>
      <c r="C1868" t="str">
        <f>TEXT(tblData[[#This Row],[Rental Date]],"mmm")</f>
        <v>Aug</v>
      </c>
      <c r="D1868" t="str">
        <f>TEXT(tblData[[#This Row],[Rental Date]],"mmmm")</f>
        <v>August</v>
      </c>
      <c r="E1868" t="s">
        <v>21</v>
      </c>
      <c r="F1868" t="str">
        <f>TEXT(WEEKNUM(tblData[[#This Row],[Rental Date]]),"00")</f>
        <v>32</v>
      </c>
      <c r="G1868" s="1">
        <f>EOMONTH(tblData[[#This Row],[Rental Date]],0)</f>
        <v>46265</v>
      </c>
      <c r="H1868" t="s">
        <v>749</v>
      </c>
      <c r="I1868" t="s">
        <v>48</v>
      </c>
      <c r="J1868" t="s">
        <v>86</v>
      </c>
      <c r="K1868" t="s">
        <v>25</v>
      </c>
      <c r="L1868">
        <v>1</v>
      </c>
      <c r="M1868" s="2">
        <v>64.959999999999994</v>
      </c>
      <c r="N1868" t="s">
        <v>87</v>
      </c>
      <c r="O1868" s="3">
        <v>10</v>
      </c>
      <c r="P1868" s="3">
        <v>0</v>
      </c>
      <c r="Q1868" s="2">
        <v>74.959999999999994</v>
      </c>
      <c r="R1868" t="s">
        <v>62</v>
      </c>
      <c r="S1868" t="s">
        <v>35</v>
      </c>
      <c r="T1868" t="s">
        <v>29</v>
      </c>
      <c r="U1868" t="s">
        <v>30</v>
      </c>
    </row>
    <row r="1869" spans="1:21" x14ac:dyDescent="0.35">
      <c r="A1869" t="s">
        <v>1948</v>
      </c>
      <c r="B1869" s="1">
        <v>46240</v>
      </c>
      <c r="C1869" t="str">
        <f>TEXT(tblData[[#This Row],[Rental Date]],"mmm")</f>
        <v>Aug</v>
      </c>
      <c r="D1869" t="str">
        <f>TEXT(tblData[[#This Row],[Rental Date]],"mmmm")</f>
        <v>August</v>
      </c>
      <c r="E1869" t="s">
        <v>21</v>
      </c>
      <c r="F1869" t="str">
        <f>TEXT(WEEKNUM(tblData[[#This Row],[Rental Date]]),"00")</f>
        <v>32</v>
      </c>
      <c r="G1869" s="1">
        <f>EOMONTH(tblData[[#This Row],[Rental Date]],0)</f>
        <v>46265</v>
      </c>
      <c r="H1869" t="s">
        <v>749</v>
      </c>
      <c r="I1869" t="s">
        <v>23</v>
      </c>
      <c r="J1869" t="s">
        <v>44</v>
      </c>
      <c r="K1869" t="s">
        <v>60</v>
      </c>
      <c r="L1869">
        <v>1</v>
      </c>
      <c r="M1869" s="2">
        <v>38.08</v>
      </c>
      <c r="N1869" t="s">
        <v>26</v>
      </c>
      <c r="O1869" s="3">
        <v>0</v>
      </c>
      <c r="P1869" s="3">
        <v>0</v>
      </c>
      <c r="Q1869" s="2">
        <v>38.08</v>
      </c>
      <c r="R1869" t="s">
        <v>62</v>
      </c>
      <c r="S1869" t="s">
        <v>35</v>
      </c>
      <c r="T1869" t="s">
        <v>29</v>
      </c>
      <c r="U1869" t="s">
        <v>30</v>
      </c>
    </row>
    <row r="1870" spans="1:21" x14ac:dyDescent="0.35">
      <c r="A1870" t="s">
        <v>1949</v>
      </c>
      <c r="B1870" s="1">
        <v>46240</v>
      </c>
      <c r="C1870" t="str">
        <f>TEXT(tblData[[#This Row],[Rental Date]],"mmm")</f>
        <v>Aug</v>
      </c>
      <c r="D1870" t="str">
        <f>TEXT(tblData[[#This Row],[Rental Date]],"mmmm")</f>
        <v>August</v>
      </c>
      <c r="E1870" t="s">
        <v>21</v>
      </c>
      <c r="F1870" t="str">
        <f>TEXT(WEEKNUM(tblData[[#This Row],[Rental Date]]),"00")</f>
        <v>32</v>
      </c>
      <c r="G1870" s="1">
        <f>EOMONTH(tblData[[#This Row],[Rental Date]],0)</f>
        <v>46265</v>
      </c>
      <c r="H1870" t="s">
        <v>749</v>
      </c>
      <c r="I1870" t="s">
        <v>48</v>
      </c>
      <c r="J1870" t="s">
        <v>65</v>
      </c>
      <c r="K1870" t="s">
        <v>25</v>
      </c>
      <c r="L1870">
        <v>1</v>
      </c>
      <c r="M1870" s="2">
        <v>20.16</v>
      </c>
      <c r="N1870" t="s">
        <v>26</v>
      </c>
      <c r="O1870" s="3">
        <v>0</v>
      </c>
      <c r="P1870" s="3">
        <v>0</v>
      </c>
      <c r="Q1870" s="2">
        <v>20.16</v>
      </c>
      <c r="R1870" t="s">
        <v>62</v>
      </c>
      <c r="S1870" t="s">
        <v>50</v>
      </c>
      <c r="T1870" t="s">
        <v>90</v>
      </c>
      <c r="U1870" t="s">
        <v>58</v>
      </c>
    </row>
    <row r="1871" spans="1:21" x14ac:dyDescent="0.35">
      <c r="A1871" t="s">
        <v>1950</v>
      </c>
      <c r="B1871" s="1">
        <v>46240</v>
      </c>
      <c r="C1871" t="str">
        <f>TEXT(tblData[[#This Row],[Rental Date]],"mmm")</f>
        <v>Aug</v>
      </c>
      <c r="D1871" t="str">
        <f>TEXT(tblData[[#This Row],[Rental Date]],"mmmm")</f>
        <v>August</v>
      </c>
      <c r="E1871" t="s">
        <v>21</v>
      </c>
      <c r="F1871" t="str">
        <f>TEXT(WEEKNUM(tblData[[#This Row],[Rental Date]]),"00")</f>
        <v>32</v>
      </c>
      <c r="G1871" s="1">
        <f>EOMONTH(tblData[[#This Row],[Rental Date]],0)</f>
        <v>46265</v>
      </c>
      <c r="H1871" t="s">
        <v>749</v>
      </c>
      <c r="I1871" t="s">
        <v>39</v>
      </c>
      <c r="J1871" t="s">
        <v>78</v>
      </c>
      <c r="K1871" t="s">
        <v>40</v>
      </c>
      <c r="L1871">
        <v>1</v>
      </c>
      <c r="M1871" s="2">
        <v>69.44</v>
      </c>
      <c r="N1871" t="s">
        <v>87</v>
      </c>
      <c r="O1871" s="3">
        <v>10</v>
      </c>
      <c r="P1871" s="3">
        <v>0</v>
      </c>
      <c r="Q1871" s="2">
        <v>79.44</v>
      </c>
      <c r="R1871" t="s">
        <v>42</v>
      </c>
      <c r="S1871" t="s">
        <v>54</v>
      </c>
      <c r="T1871" t="s">
        <v>63</v>
      </c>
      <c r="U1871" t="s">
        <v>30</v>
      </c>
    </row>
    <row r="1872" spans="1:21" x14ac:dyDescent="0.35">
      <c r="A1872" t="s">
        <v>1951</v>
      </c>
      <c r="B1872" s="1">
        <v>46240</v>
      </c>
      <c r="C1872" t="str">
        <f>TEXT(tblData[[#This Row],[Rental Date]],"mmm")</f>
        <v>Aug</v>
      </c>
      <c r="D1872" t="str">
        <f>TEXT(tblData[[#This Row],[Rental Date]],"mmmm")</f>
        <v>August</v>
      </c>
      <c r="E1872" t="s">
        <v>21</v>
      </c>
      <c r="F1872" t="str">
        <f>TEXT(WEEKNUM(tblData[[#This Row],[Rental Date]]),"00")</f>
        <v>32</v>
      </c>
      <c r="G1872" s="1">
        <f>EOMONTH(tblData[[#This Row],[Rental Date]],0)</f>
        <v>46265</v>
      </c>
      <c r="H1872" t="s">
        <v>749</v>
      </c>
      <c r="I1872" t="s">
        <v>23</v>
      </c>
      <c r="J1872" t="s">
        <v>78</v>
      </c>
      <c r="K1872" t="s">
        <v>40</v>
      </c>
      <c r="L1872">
        <v>1</v>
      </c>
      <c r="M1872" s="2">
        <v>69.44</v>
      </c>
      <c r="N1872" t="s">
        <v>61</v>
      </c>
      <c r="O1872" s="3">
        <v>8</v>
      </c>
      <c r="P1872" s="3">
        <v>0</v>
      </c>
      <c r="Q1872" s="2">
        <v>77.44</v>
      </c>
      <c r="R1872" t="s">
        <v>94</v>
      </c>
      <c r="S1872" t="s">
        <v>50</v>
      </c>
      <c r="T1872" t="s">
        <v>63</v>
      </c>
      <c r="U1872" t="s">
        <v>30</v>
      </c>
    </row>
    <row r="1873" spans="1:21" x14ac:dyDescent="0.35">
      <c r="A1873" t="s">
        <v>1952</v>
      </c>
      <c r="B1873" s="1">
        <v>46240</v>
      </c>
      <c r="C1873" t="str">
        <f>TEXT(tblData[[#This Row],[Rental Date]],"mmm")</f>
        <v>Aug</v>
      </c>
      <c r="D1873" t="str">
        <f>TEXT(tblData[[#This Row],[Rental Date]],"mmmm")</f>
        <v>August</v>
      </c>
      <c r="E1873" t="s">
        <v>21</v>
      </c>
      <c r="F1873" t="str">
        <f>TEXT(WEEKNUM(tblData[[#This Row],[Rental Date]]),"00")</f>
        <v>32</v>
      </c>
      <c r="G1873" s="1">
        <f>EOMONTH(tblData[[#This Row],[Rental Date]],0)</f>
        <v>46265</v>
      </c>
      <c r="H1873" t="s">
        <v>749</v>
      </c>
      <c r="I1873" t="s">
        <v>48</v>
      </c>
      <c r="J1873" t="s">
        <v>49</v>
      </c>
      <c r="K1873" t="s">
        <v>40</v>
      </c>
      <c r="L1873">
        <v>1</v>
      </c>
      <c r="M1873" s="2">
        <v>60.48</v>
      </c>
      <c r="N1873" t="s">
        <v>87</v>
      </c>
      <c r="O1873" s="3">
        <v>10</v>
      </c>
      <c r="P1873" s="3">
        <v>0</v>
      </c>
      <c r="Q1873" s="2">
        <v>70.48</v>
      </c>
      <c r="R1873" t="s">
        <v>94</v>
      </c>
      <c r="S1873" t="s">
        <v>28</v>
      </c>
      <c r="T1873" t="s">
        <v>29</v>
      </c>
      <c r="U1873" t="s">
        <v>30</v>
      </c>
    </row>
    <row r="1874" spans="1:21" x14ac:dyDescent="0.35">
      <c r="A1874" t="s">
        <v>1953</v>
      </c>
      <c r="B1874" s="1">
        <v>46240</v>
      </c>
      <c r="C1874" t="str">
        <f>TEXT(tblData[[#This Row],[Rental Date]],"mmm")</f>
        <v>Aug</v>
      </c>
      <c r="D1874" t="str">
        <f>TEXT(tblData[[#This Row],[Rental Date]],"mmmm")</f>
        <v>August</v>
      </c>
      <c r="E1874" t="s">
        <v>21</v>
      </c>
      <c r="F1874" t="str">
        <f>TEXT(WEEKNUM(tblData[[#This Row],[Rental Date]]),"00")</f>
        <v>32</v>
      </c>
      <c r="G1874" s="1">
        <f>EOMONTH(tblData[[#This Row],[Rental Date]],0)</f>
        <v>46265</v>
      </c>
      <c r="H1874" t="s">
        <v>749</v>
      </c>
      <c r="I1874" t="s">
        <v>23</v>
      </c>
      <c r="J1874" t="s">
        <v>33</v>
      </c>
      <c r="K1874" t="s">
        <v>25</v>
      </c>
      <c r="L1874">
        <v>1</v>
      </c>
      <c r="M1874" s="2">
        <v>42.56</v>
      </c>
      <c r="N1874" t="s">
        <v>89</v>
      </c>
      <c r="O1874" s="3">
        <v>6</v>
      </c>
      <c r="P1874" s="3">
        <v>0</v>
      </c>
      <c r="Q1874" s="2">
        <v>48.56</v>
      </c>
      <c r="R1874" t="s">
        <v>57</v>
      </c>
      <c r="S1874" t="s">
        <v>54</v>
      </c>
      <c r="T1874" t="s">
        <v>29</v>
      </c>
      <c r="U1874" t="s">
        <v>30</v>
      </c>
    </row>
    <row r="1875" spans="1:21" x14ac:dyDescent="0.35">
      <c r="A1875" t="s">
        <v>1954</v>
      </c>
      <c r="B1875" s="1">
        <v>46240</v>
      </c>
      <c r="C1875" t="str">
        <f>TEXT(tblData[[#This Row],[Rental Date]],"mmm")</f>
        <v>Aug</v>
      </c>
      <c r="D1875" t="str">
        <f>TEXT(tblData[[#This Row],[Rental Date]],"mmmm")</f>
        <v>August</v>
      </c>
      <c r="E1875" t="s">
        <v>21</v>
      </c>
      <c r="F1875" t="str">
        <f>TEXT(WEEKNUM(tblData[[#This Row],[Rental Date]]),"00")</f>
        <v>32</v>
      </c>
      <c r="G1875" s="1">
        <f>EOMONTH(tblData[[#This Row],[Rental Date]],0)</f>
        <v>46265</v>
      </c>
      <c r="H1875" t="s">
        <v>749</v>
      </c>
      <c r="I1875" t="s">
        <v>48</v>
      </c>
      <c r="J1875" t="s">
        <v>138</v>
      </c>
      <c r="K1875" t="s">
        <v>92</v>
      </c>
      <c r="L1875">
        <v>1</v>
      </c>
      <c r="M1875" s="2">
        <v>116.48</v>
      </c>
      <c r="N1875" t="s">
        <v>26</v>
      </c>
      <c r="O1875" s="3">
        <v>0</v>
      </c>
      <c r="P1875" s="3">
        <v>0</v>
      </c>
      <c r="Q1875" s="2">
        <v>116.48</v>
      </c>
      <c r="R1875" t="s">
        <v>45</v>
      </c>
      <c r="S1875" t="s">
        <v>50</v>
      </c>
      <c r="T1875" t="s">
        <v>51</v>
      </c>
      <c r="U1875" t="s">
        <v>30</v>
      </c>
    </row>
    <row r="1876" spans="1:21" x14ac:dyDescent="0.35">
      <c r="A1876" t="s">
        <v>1955</v>
      </c>
      <c r="B1876" s="1">
        <v>46240</v>
      </c>
      <c r="C1876" t="str">
        <f>TEXT(tblData[[#This Row],[Rental Date]],"mmm")</f>
        <v>Aug</v>
      </c>
      <c r="D1876" t="str">
        <f>TEXT(tblData[[#This Row],[Rental Date]],"mmmm")</f>
        <v>August</v>
      </c>
      <c r="E1876" t="s">
        <v>21</v>
      </c>
      <c r="F1876" t="str">
        <f>TEXT(WEEKNUM(tblData[[#This Row],[Rental Date]]),"00")</f>
        <v>32</v>
      </c>
      <c r="G1876" s="1">
        <f>EOMONTH(tblData[[#This Row],[Rental Date]],0)</f>
        <v>46265</v>
      </c>
      <c r="H1876" t="s">
        <v>749</v>
      </c>
      <c r="I1876" t="s">
        <v>23</v>
      </c>
      <c r="J1876" t="s">
        <v>44</v>
      </c>
      <c r="K1876" t="s">
        <v>25</v>
      </c>
      <c r="L1876">
        <v>1</v>
      </c>
      <c r="M1876" s="2">
        <v>58.24</v>
      </c>
      <c r="N1876" t="s">
        <v>70</v>
      </c>
      <c r="O1876" s="3">
        <v>7</v>
      </c>
      <c r="P1876" s="3">
        <v>0</v>
      </c>
      <c r="Q1876" s="2">
        <v>65.239999999999995</v>
      </c>
      <c r="R1876" t="s">
        <v>66</v>
      </c>
      <c r="S1876" t="s">
        <v>46</v>
      </c>
      <c r="T1876" t="s">
        <v>51</v>
      </c>
      <c r="U1876" t="s">
        <v>58</v>
      </c>
    </row>
    <row r="1877" spans="1:21" x14ac:dyDescent="0.35">
      <c r="A1877" t="s">
        <v>1956</v>
      </c>
      <c r="B1877" s="1">
        <v>46240</v>
      </c>
      <c r="C1877" t="str">
        <f>TEXT(tblData[[#This Row],[Rental Date]],"mmm")</f>
        <v>Aug</v>
      </c>
      <c r="D1877" t="str">
        <f>TEXT(tblData[[#This Row],[Rental Date]],"mmmm")</f>
        <v>August</v>
      </c>
      <c r="E1877" t="s">
        <v>21</v>
      </c>
      <c r="F1877" t="str">
        <f>TEXT(WEEKNUM(tblData[[#This Row],[Rental Date]]),"00")</f>
        <v>32</v>
      </c>
      <c r="G1877" s="1">
        <f>EOMONTH(tblData[[#This Row],[Rental Date]],0)</f>
        <v>46265</v>
      </c>
      <c r="H1877" t="s">
        <v>749</v>
      </c>
      <c r="I1877" t="s">
        <v>48</v>
      </c>
      <c r="J1877" t="s">
        <v>111</v>
      </c>
      <c r="K1877" t="s">
        <v>60</v>
      </c>
      <c r="L1877">
        <v>1</v>
      </c>
      <c r="M1877" s="2">
        <v>15.68</v>
      </c>
      <c r="N1877" t="s">
        <v>61</v>
      </c>
      <c r="O1877" s="3">
        <v>8</v>
      </c>
      <c r="P1877" s="3">
        <v>0</v>
      </c>
      <c r="Q1877" s="2">
        <v>23.68</v>
      </c>
      <c r="R1877" t="s">
        <v>94</v>
      </c>
      <c r="S1877" t="s">
        <v>54</v>
      </c>
      <c r="T1877" t="s">
        <v>29</v>
      </c>
      <c r="U1877" t="s">
        <v>79</v>
      </c>
    </row>
    <row r="1878" spans="1:21" x14ac:dyDescent="0.35">
      <c r="A1878" t="s">
        <v>1957</v>
      </c>
      <c r="B1878" s="1">
        <v>46240</v>
      </c>
      <c r="C1878" t="str">
        <f>TEXT(tblData[[#This Row],[Rental Date]],"mmm")</f>
        <v>Aug</v>
      </c>
      <c r="D1878" t="str">
        <f>TEXT(tblData[[#This Row],[Rental Date]],"mmmm")</f>
        <v>August</v>
      </c>
      <c r="E1878" t="s">
        <v>21</v>
      </c>
      <c r="F1878" t="str">
        <f>TEXT(WEEKNUM(tblData[[#This Row],[Rental Date]]),"00")</f>
        <v>32</v>
      </c>
      <c r="G1878" s="1">
        <f>EOMONTH(tblData[[#This Row],[Rental Date]],0)</f>
        <v>46265</v>
      </c>
      <c r="H1878" t="s">
        <v>749</v>
      </c>
      <c r="I1878" t="s">
        <v>39</v>
      </c>
      <c r="J1878" t="s">
        <v>49</v>
      </c>
      <c r="K1878" t="s">
        <v>60</v>
      </c>
      <c r="L1878">
        <v>1</v>
      </c>
      <c r="M1878" s="2">
        <v>24.64</v>
      </c>
      <c r="N1878" t="s">
        <v>41</v>
      </c>
      <c r="O1878" s="3">
        <v>5</v>
      </c>
      <c r="P1878" s="3">
        <v>0</v>
      </c>
      <c r="Q1878" s="2">
        <v>29.64</v>
      </c>
      <c r="R1878" t="s">
        <v>42</v>
      </c>
      <c r="S1878" t="s">
        <v>46</v>
      </c>
      <c r="T1878" t="s">
        <v>63</v>
      </c>
      <c r="U1878" t="s">
        <v>30</v>
      </c>
    </row>
    <row r="1879" spans="1:21" x14ac:dyDescent="0.35">
      <c r="A1879" t="s">
        <v>1958</v>
      </c>
      <c r="B1879" s="1">
        <v>46240</v>
      </c>
      <c r="C1879" t="str">
        <f>TEXT(tblData[[#This Row],[Rental Date]],"mmm")</f>
        <v>Aug</v>
      </c>
      <c r="D1879" t="str">
        <f>TEXT(tblData[[#This Row],[Rental Date]],"mmmm")</f>
        <v>August</v>
      </c>
      <c r="E1879" t="s">
        <v>21</v>
      </c>
      <c r="F1879" t="str">
        <f>TEXT(WEEKNUM(tblData[[#This Row],[Rental Date]]),"00")</f>
        <v>32</v>
      </c>
      <c r="G1879" s="1">
        <f>EOMONTH(tblData[[#This Row],[Rental Date]],0)</f>
        <v>46265</v>
      </c>
      <c r="H1879" t="s">
        <v>749</v>
      </c>
      <c r="I1879" t="s">
        <v>39</v>
      </c>
      <c r="J1879" t="s">
        <v>49</v>
      </c>
      <c r="K1879" t="s">
        <v>60</v>
      </c>
      <c r="L1879">
        <v>1</v>
      </c>
      <c r="M1879" s="2">
        <v>24.64</v>
      </c>
      <c r="N1879" t="s">
        <v>26</v>
      </c>
      <c r="O1879" s="3">
        <v>0</v>
      </c>
      <c r="P1879" s="3">
        <v>0</v>
      </c>
      <c r="Q1879" s="2">
        <v>24.64</v>
      </c>
      <c r="R1879" t="s">
        <v>71</v>
      </c>
      <c r="S1879" t="s">
        <v>35</v>
      </c>
      <c r="T1879" t="s">
        <v>51</v>
      </c>
      <c r="U1879" t="s">
        <v>30</v>
      </c>
    </row>
    <row r="1880" spans="1:21" x14ac:dyDescent="0.35">
      <c r="A1880" t="s">
        <v>1959</v>
      </c>
      <c r="B1880" s="1">
        <v>46241</v>
      </c>
      <c r="C1880" t="str">
        <f>TEXT(tblData[[#This Row],[Rental Date]],"mmm")</f>
        <v>Aug</v>
      </c>
      <c r="D1880" t="str">
        <f>TEXT(tblData[[#This Row],[Rental Date]],"mmmm")</f>
        <v>August</v>
      </c>
      <c r="E1880" t="s">
        <v>38</v>
      </c>
      <c r="F1880" t="str">
        <f>TEXT(WEEKNUM(tblData[[#This Row],[Rental Date]]),"00")</f>
        <v>32</v>
      </c>
      <c r="G1880" s="1">
        <f>EOMONTH(tblData[[#This Row],[Rental Date]],0)</f>
        <v>46265</v>
      </c>
      <c r="H1880" t="s">
        <v>749</v>
      </c>
      <c r="I1880" t="s">
        <v>39</v>
      </c>
      <c r="J1880" t="s">
        <v>33</v>
      </c>
      <c r="K1880" t="s">
        <v>60</v>
      </c>
      <c r="L1880">
        <v>1</v>
      </c>
      <c r="M1880" s="2">
        <v>26.88</v>
      </c>
      <c r="N1880" t="s">
        <v>75</v>
      </c>
      <c r="O1880" s="3">
        <v>12</v>
      </c>
      <c r="P1880" s="3">
        <v>0</v>
      </c>
      <c r="Q1880" s="2">
        <v>38.880000000000003</v>
      </c>
      <c r="R1880" t="s">
        <v>62</v>
      </c>
      <c r="S1880" t="s">
        <v>54</v>
      </c>
      <c r="T1880" t="s">
        <v>29</v>
      </c>
      <c r="U1880" t="s">
        <v>30</v>
      </c>
    </row>
    <row r="1881" spans="1:21" x14ac:dyDescent="0.35">
      <c r="A1881" t="s">
        <v>1960</v>
      </c>
      <c r="B1881" s="1">
        <v>46241</v>
      </c>
      <c r="C1881" t="str">
        <f>TEXT(tblData[[#This Row],[Rental Date]],"mmm")</f>
        <v>Aug</v>
      </c>
      <c r="D1881" t="str">
        <f>TEXT(tblData[[#This Row],[Rental Date]],"mmmm")</f>
        <v>August</v>
      </c>
      <c r="E1881" t="s">
        <v>38</v>
      </c>
      <c r="F1881" t="str">
        <f>TEXT(WEEKNUM(tblData[[#This Row],[Rental Date]]),"00")</f>
        <v>32</v>
      </c>
      <c r="G1881" s="1">
        <f>EOMONTH(tblData[[#This Row],[Rental Date]],0)</f>
        <v>46265</v>
      </c>
      <c r="H1881" t="s">
        <v>749</v>
      </c>
      <c r="I1881" t="s">
        <v>48</v>
      </c>
      <c r="J1881" t="s">
        <v>78</v>
      </c>
      <c r="K1881" t="s">
        <v>60</v>
      </c>
      <c r="L1881">
        <v>1</v>
      </c>
      <c r="M1881" s="2">
        <v>29.12</v>
      </c>
      <c r="N1881" t="s">
        <v>26</v>
      </c>
      <c r="O1881" s="3">
        <v>0</v>
      </c>
      <c r="P1881" s="3">
        <v>0</v>
      </c>
      <c r="Q1881" s="2">
        <v>29.12</v>
      </c>
      <c r="R1881" t="s">
        <v>45</v>
      </c>
      <c r="S1881" t="s">
        <v>28</v>
      </c>
      <c r="T1881" t="s">
        <v>51</v>
      </c>
      <c r="U1881" t="s">
        <v>30</v>
      </c>
    </row>
    <row r="1882" spans="1:21" x14ac:dyDescent="0.35">
      <c r="A1882" t="s">
        <v>1961</v>
      </c>
      <c r="B1882" s="1">
        <v>46241</v>
      </c>
      <c r="C1882" t="str">
        <f>TEXT(tblData[[#This Row],[Rental Date]],"mmm")</f>
        <v>Aug</v>
      </c>
      <c r="D1882" t="str">
        <f>TEXT(tblData[[#This Row],[Rental Date]],"mmmm")</f>
        <v>August</v>
      </c>
      <c r="E1882" t="s">
        <v>38</v>
      </c>
      <c r="F1882" t="str">
        <f>TEXT(WEEKNUM(tblData[[#This Row],[Rental Date]]),"00")</f>
        <v>32</v>
      </c>
      <c r="G1882" s="1">
        <f>EOMONTH(tblData[[#This Row],[Rental Date]],0)</f>
        <v>46265</v>
      </c>
      <c r="H1882" t="s">
        <v>749</v>
      </c>
      <c r="I1882" t="s">
        <v>48</v>
      </c>
      <c r="J1882" t="s">
        <v>44</v>
      </c>
      <c r="K1882" t="s">
        <v>92</v>
      </c>
      <c r="L1882">
        <v>1</v>
      </c>
      <c r="M1882" s="2">
        <v>125.44</v>
      </c>
      <c r="N1882" t="s">
        <v>70</v>
      </c>
      <c r="O1882" s="3">
        <v>7</v>
      </c>
      <c r="P1882" s="3">
        <v>6.62</v>
      </c>
      <c r="Q1882" s="2">
        <v>125.82</v>
      </c>
      <c r="R1882" t="s">
        <v>45</v>
      </c>
      <c r="S1882" t="s">
        <v>46</v>
      </c>
      <c r="T1882" t="s">
        <v>51</v>
      </c>
      <c r="U1882" t="s">
        <v>36</v>
      </c>
    </row>
    <row r="1883" spans="1:21" x14ac:dyDescent="0.35">
      <c r="A1883" t="s">
        <v>1962</v>
      </c>
      <c r="B1883" s="1">
        <v>46241</v>
      </c>
      <c r="C1883" t="str">
        <f>TEXT(tblData[[#This Row],[Rental Date]],"mmm")</f>
        <v>Aug</v>
      </c>
      <c r="D1883" t="str">
        <f>TEXT(tblData[[#This Row],[Rental Date]],"mmmm")</f>
        <v>August</v>
      </c>
      <c r="E1883" t="s">
        <v>38</v>
      </c>
      <c r="F1883" t="str">
        <f>TEXT(WEEKNUM(tblData[[#This Row],[Rental Date]]),"00")</f>
        <v>32</v>
      </c>
      <c r="G1883" s="1">
        <f>EOMONTH(tblData[[#This Row],[Rental Date]],0)</f>
        <v>46265</v>
      </c>
      <c r="H1883" t="s">
        <v>749</v>
      </c>
      <c r="I1883" t="s">
        <v>23</v>
      </c>
      <c r="J1883" t="s">
        <v>49</v>
      </c>
      <c r="K1883" t="s">
        <v>60</v>
      </c>
      <c r="L1883">
        <v>1</v>
      </c>
      <c r="M1883" s="2">
        <v>24.64</v>
      </c>
      <c r="N1883" t="s">
        <v>26</v>
      </c>
      <c r="O1883" s="3">
        <v>0</v>
      </c>
      <c r="P1883" s="3">
        <v>0</v>
      </c>
      <c r="Q1883" s="2">
        <v>24.64</v>
      </c>
      <c r="R1883" t="s">
        <v>94</v>
      </c>
      <c r="S1883" t="s">
        <v>35</v>
      </c>
      <c r="T1883" t="s">
        <v>51</v>
      </c>
      <c r="U1883" t="s">
        <v>58</v>
      </c>
    </row>
    <row r="1884" spans="1:21" x14ac:dyDescent="0.35">
      <c r="A1884" t="s">
        <v>1963</v>
      </c>
      <c r="B1884" s="1">
        <v>46241</v>
      </c>
      <c r="C1884" t="str">
        <f>TEXT(tblData[[#This Row],[Rental Date]],"mmm")</f>
        <v>Aug</v>
      </c>
      <c r="D1884" t="str">
        <f>TEXT(tblData[[#This Row],[Rental Date]],"mmmm")</f>
        <v>August</v>
      </c>
      <c r="E1884" t="s">
        <v>38</v>
      </c>
      <c r="F1884" t="str">
        <f>TEXT(WEEKNUM(tblData[[#This Row],[Rental Date]]),"00")</f>
        <v>32</v>
      </c>
      <c r="G1884" s="1">
        <f>EOMONTH(tblData[[#This Row],[Rental Date]],0)</f>
        <v>46265</v>
      </c>
      <c r="H1884" t="s">
        <v>749</v>
      </c>
      <c r="I1884" t="s">
        <v>48</v>
      </c>
      <c r="J1884" t="s">
        <v>127</v>
      </c>
      <c r="K1884" t="s">
        <v>25</v>
      </c>
      <c r="L1884">
        <v>1</v>
      </c>
      <c r="M1884" s="2">
        <v>17.920000000000002</v>
      </c>
      <c r="N1884" t="s">
        <v>41</v>
      </c>
      <c r="O1884" s="3">
        <v>5</v>
      </c>
      <c r="P1884" s="3">
        <v>0</v>
      </c>
      <c r="Q1884" s="2">
        <v>22.92</v>
      </c>
      <c r="R1884" t="s">
        <v>62</v>
      </c>
      <c r="S1884" t="s">
        <v>35</v>
      </c>
      <c r="T1884" t="s">
        <v>29</v>
      </c>
      <c r="U1884" t="s">
        <v>30</v>
      </c>
    </row>
    <row r="1885" spans="1:21" x14ac:dyDescent="0.35">
      <c r="A1885" t="s">
        <v>1964</v>
      </c>
      <c r="B1885" s="1">
        <v>46241</v>
      </c>
      <c r="C1885" t="str">
        <f>TEXT(tblData[[#This Row],[Rental Date]],"mmm")</f>
        <v>Aug</v>
      </c>
      <c r="D1885" t="str">
        <f>TEXT(tblData[[#This Row],[Rental Date]],"mmmm")</f>
        <v>August</v>
      </c>
      <c r="E1885" t="s">
        <v>38</v>
      </c>
      <c r="F1885" t="str">
        <f>TEXT(WEEKNUM(tblData[[#This Row],[Rental Date]]),"00")</f>
        <v>32</v>
      </c>
      <c r="G1885" s="1">
        <f>EOMONTH(tblData[[#This Row],[Rental Date]],0)</f>
        <v>46265</v>
      </c>
      <c r="H1885" t="s">
        <v>749</v>
      </c>
      <c r="I1885" t="s">
        <v>39</v>
      </c>
      <c r="J1885" t="s">
        <v>44</v>
      </c>
      <c r="K1885" t="s">
        <v>60</v>
      </c>
      <c r="L1885">
        <v>1</v>
      </c>
      <c r="M1885" s="2">
        <v>38.08</v>
      </c>
      <c r="N1885" t="s">
        <v>26</v>
      </c>
      <c r="O1885" s="3">
        <v>0</v>
      </c>
      <c r="P1885" s="3">
        <v>0</v>
      </c>
      <c r="Q1885" s="2">
        <v>38.08</v>
      </c>
      <c r="R1885" t="s">
        <v>45</v>
      </c>
      <c r="S1885" t="s">
        <v>46</v>
      </c>
      <c r="T1885" t="s">
        <v>29</v>
      </c>
      <c r="U1885" t="s">
        <v>30</v>
      </c>
    </row>
    <row r="1886" spans="1:21" x14ac:dyDescent="0.35">
      <c r="A1886" t="s">
        <v>1965</v>
      </c>
      <c r="B1886" s="1">
        <v>46241</v>
      </c>
      <c r="C1886" t="str">
        <f>TEXT(tblData[[#This Row],[Rental Date]],"mmm")</f>
        <v>Aug</v>
      </c>
      <c r="D1886" t="str">
        <f>TEXT(tblData[[#This Row],[Rental Date]],"mmmm")</f>
        <v>August</v>
      </c>
      <c r="E1886" t="s">
        <v>38</v>
      </c>
      <c r="F1886" t="str">
        <f>TEXT(WEEKNUM(tblData[[#This Row],[Rental Date]]),"00")</f>
        <v>32</v>
      </c>
      <c r="G1886" s="1">
        <f>EOMONTH(tblData[[#This Row],[Rental Date]],0)</f>
        <v>46265</v>
      </c>
      <c r="H1886" t="s">
        <v>749</v>
      </c>
      <c r="I1886" t="s">
        <v>48</v>
      </c>
      <c r="J1886" t="s">
        <v>65</v>
      </c>
      <c r="K1886" t="s">
        <v>40</v>
      </c>
      <c r="L1886">
        <v>1</v>
      </c>
      <c r="M1886" s="2">
        <v>31.36</v>
      </c>
      <c r="N1886" t="s">
        <v>70</v>
      </c>
      <c r="O1886" s="3">
        <v>7</v>
      </c>
      <c r="P1886" s="3">
        <v>0</v>
      </c>
      <c r="Q1886" s="2">
        <v>38.36</v>
      </c>
      <c r="R1886" t="s">
        <v>71</v>
      </c>
      <c r="S1886" t="s">
        <v>54</v>
      </c>
      <c r="T1886" t="s">
        <v>29</v>
      </c>
      <c r="U1886" t="s">
        <v>30</v>
      </c>
    </row>
    <row r="1887" spans="1:21" x14ac:dyDescent="0.35">
      <c r="A1887" t="s">
        <v>1966</v>
      </c>
      <c r="B1887" s="1">
        <v>46241</v>
      </c>
      <c r="C1887" t="str">
        <f>TEXT(tblData[[#This Row],[Rental Date]],"mmm")</f>
        <v>Aug</v>
      </c>
      <c r="D1887" t="str">
        <f>TEXT(tblData[[#This Row],[Rental Date]],"mmmm")</f>
        <v>August</v>
      </c>
      <c r="E1887" t="s">
        <v>38</v>
      </c>
      <c r="F1887" t="str">
        <f>TEXT(WEEKNUM(tblData[[#This Row],[Rental Date]]),"00")</f>
        <v>32</v>
      </c>
      <c r="G1887" s="1">
        <f>EOMONTH(tblData[[#This Row],[Rental Date]],0)</f>
        <v>46265</v>
      </c>
      <c r="H1887" t="s">
        <v>749</v>
      </c>
      <c r="I1887" t="s">
        <v>32</v>
      </c>
      <c r="J1887" t="s">
        <v>33</v>
      </c>
      <c r="K1887" t="s">
        <v>92</v>
      </c>
      <c r="L1887">
        <v>1</v>
      </c>
      <c r="M1887" s="2">
        <v>94.08</v>
      </c>
      <c r="N1887" t="s">
        <v>41</v>
      </c>
      <c r="O1887" s="3">
        <v>5</v>
      </c>
      <c r="P1887" s="3">
        <v>0</v>
      </c>
      <c r="Q1887" s="2">
        <v>99.08</v>
      </c>
      <c r="R1887" t="s">
        <v>42</v>
      </c>
      <c r="S1887" t="s">
        <v>54</v>
      </c>
      <c r="T1887" t="s">
        <v>29</v>
      </c>
      <c r="U1887" t="s">
        <v>30</v>
      </c>
    </row>
    <row r="1888" spans="1:21" x14ac:dyDescent="0.35">
      <c r="A1888" t="s">
        <v>1967</v>
      </c>
      <c r="B1888" s="1">
        <v>46241</v>
      </c>
      <c r="C1888" t="str">
        <f>TEXT(tblData[[#This Row],[Rental Date]],"mmm")</f>
        <v>Aug</v>
      </c>
      <c r="D1888" t="str">
        <f>TEXT(tblData[[#This Row],[Rental Date]],"mmmm")</f>
        <v>August</v>
      </c>
      <c r="E1888" t="s">
        <v>38</v>
      </c>
      <c r="F1888" t="str">
        <f>TEXT(WEEKNUM(tblData[[#This Row],[Rental Date]]),"00")</f>
        <v>32</v>
      </c>
      <c r="G1888" s="1">
        <f>EOMONTH(tblData[[#This Row],[Rental Date]],0)</f>
        <v>46265</v>
      </c>
      <c r="H1888" t="s">
        <v>749</v>
      </c>
      <c r="I1888" t="s">
        <v>23</v>
      </c>
      <c r="J1888" t="s">
        <v>127</v>
      </c>
      <c r="K1888" t="s">
        <v>40</v>
      </c>
      <c r="L1888">
        <v>1</v>
      </c>
      <c r="M1888" s="2">
        <v>26.88</v>
      </c>
      <c r="N1888" t="s">
        <v>70</v>
      </c>
      <c r="O1888" s="3">
        <v>7</v>
      </c>
      <c r="P1888" s="3">
        <v>0</v>
      </c>
      <c r="Q1888" s="2">
        <v>33.880000000000003</v>
      </c>
      <c r="R1888" t="s">
        <v>94</v>
      </c>
      <c r="S1888" t="s">
        <v>35</v>
      </c>
      <c r="T1888" t="s">
        <v>83</v>
      </c>
      <c r="U1888" t="s">
        <v>30</v>
      </c>
    </row>
    <row r="1889" spans="1:21" x14ac:dyDescent="0.35">
      <c r="A1889" t="s">
        <v>1968</v>
      </c>
      <c r="B1889" s="1">
        <v>46241</v>
      </c>
      <c r="C1889" t="str">
        <f>TEXT(tblData[[#This Row],[Rental Date]],"mmm")</f>
        <v>Aug</v>
      </c>
      <c r="D1889" t="str">
        <f>TEXT(tblData[[#This Row],[Rental Date]],"mmmm")</f>
        <v>August</v>
      </c>
      <c r="E1889" t="s">
        <v>38</v>
      </c>
      <c r="F1889" t="str">
        <f>TEXT(WEEKNUM(tblData[[#This Row],[Rental Date]]),"00")</f>
        <v>32</v>
      </c>
      <c r="G1889" s="1">
        <f>EOMONTH(tblData[[#This Row],[Rental Date]],0)</f>
        <v>46265</v>
      </c>
      <c r="H1889" t="s">
        <v>749</v>
      </c>
      <c r="I1889" t="s">
        <v>39</v>
      </c>
      <c r="J1889" t="s">
        <v>33</v>
      </c>
      <c r="K1889" t="s">
        <v>60</v>
      </c>
      <c r="L1889">
        <v>1</v>
      </c>
      <c r="M1889" s="2">
        <v>26.88</v>
      </c>
      <c r="N1889" t="s">
        <v>70</v>
      </c>
      <c r="O1889" s="3">
        <v>7</v>
      </c>
      <c r="P1889" s="3">
        <v>0</v>
      </c>
      <c r="Q1889" s="2">
        <v>33.880000000000003</v>
      </c>
      <c r="R1889" t="s">
        <v>45</v>
      </c>
      <c r="S1889" t="s">
        <v>35</v>
      </c>
      <c r="T1889" t="s">
        <v>29</v>
      </c>
      <c r="U1889" t="s">
        <v>30</v>
      </c>
    </row>
    <row r="1890" spans="1:21" x14ac:dyDescent="0.35">
      <c r="A1890" t="s">
        <v>1969</v>
      </c>
      <c r="B1890" s="1">
        <v>46241</v>
      </c>
      <c r="C1890" t="str">
        <f>TEXT(tblData[[#This Row],[Rental Date]],"mmm")</f>
        <v>Aug</v>
      </c>
      <c r="D1890" t="str">
        <f>TEXT(tblData[[#This Row],[Rental Date]],"mmmm")</f>
        <v>August</v>
      </c>
      <c r="E1890" t="s">
        <v>38</v>
      </c>
      <c r="F1890" t="str">
        <f>TEXT(WEEKNUM(tblData[[#This Row],[Rental Date]]),"00")</f>
        <v>32</v>
      </c>
      <c r="G1890" s="1">
        <f>EOMONTH(tblData[[#This Row],[Rental Date]],0)</f>
        <v>46265</v>
      </c>
      <c r="H1890" t="s">
        <v>749</v>
      </c>
      <c r="I1890" t="s">
        <v>23</v>
      </c>
      <c r="J1890" t="s">
        <v>44</v>
      </c>
      <c r="K1890" t="s">
        <v>25</v>
      </c>
      <c r="L1890">
        <v>1</v>
      </c>
      <c r="M1890" s="2">
        <v>58.24</v>
      </c>
      <c r="N1890" t="s">
        <v>61</v>
      </c>
      <c r="O1890" s="3">
        <v>8</v>
      </c>
      <c r="P1890" s="3">
        <v>0</v>
      </c>
      <c r="Q1890" s="2">
        <v>66.239999999999995</v>
      </c>
      <c r="R1890" t="s">
        <v>66</v>
      </c>
      <c r="S1890" t="s">
        <v>28</v>
      </c>
      <c r="T1890" t="s">
        <v>51</v>
      </c>
      <c r="U1890" t="s">
        <v>30</v>
      </c>
    </row>
    <row r="1891" spans="1:21" x14ac:dyDescent="0.35">
      <c r="A1891" t="s">
        <v>1970</v>
      </c>
      <c r="B1891" s="1">
        <v>46241</v>
      </c>
      <c r="C1891" t="str">
        <f>TEXT(tblData[[#This Row],[Rental Date]],"mmm")</f>
        <v>Aug</v>
      </c>
      <c r="D1891" t="str">
        <f>TEXT(tblData[[#This Row],[Rental Date]],"mmmm")</f>
        <v>August</v>
      </c>
      <c r="E1891" t="s">
        <v>38</v>
      </c>
      <c r="F1891" t="str">
        <f>TEXT(WEEKNUM(tblData[[#This Row],[Rental Date]]),"00")</f>
        <v>32</v>
      </c>
      <c r="G1891" s="1">
        <f>EOMONTH(tblData[[#This Row],[Rental Date]],0)</f>
        <v>46265</v>
      </c>
      <c r="H1891" t="s">
        <v>749</v>
      </c>
      <c r="I1891" t="s">
        <v>39</v>
      </c>
      <c r="J1891" t="s">
        <v>44</v>
      </c>
      <c r="K1891" t="s">
        <v>25</v>
      </c>
      <c r="L1891">
        <v>1</v>
      </c>
      <c r="M1891" s="2">
        <v>58.24</v>
      </c>
      <c r="N1891" t="s">
        <v>89</v>
      </c>
      <c r="O1891" s="3">
        <v>6</v>
      </c>
      <c r="P1891" s="3">
        <v>0</v>
      </c>
      <c r="Q1891" s="2">
        <v>64.239999999999995</v>
      </c>
      <c r="R1891" t="s">
        <v>57</v>
      </c>
      <c r="S1891" t="s">
        <v>28</v>
      </c>
      <c r="T1891" t="s">
        <v>63</v>
      </c>
      <c r="U1891" t="s">
        <v>30</v>
      </c>
    </row>
    <row r="1892" spans="1:21" x14ac:dyDescent="0.35">
      <c r="A1892" t="s">
        <v>1971</v>
      </c>
      <c r="B1892" s="1">
        <v>46241</v>
      </c>
      <c r="C1892" t="str">
        <f>TEXT(tblData[[#This Row],[Rental Date]],"mmm")</f>
        <v>Aug</v>
      </c>
      <c r="D1892" t="str">
        <f>TEXT(tblData[[#This Row],[Rental Date]],"mmmm")</f>
        <v>August</v>
      </c>
      <c r="E1892" t="s">
        <v>38</v>
      </c>
      <c r="F1892" t="str">
        <f>TEXT(WEEKNUM(tblData[[#This Row],[Rental Date]]),"00")</f>
        <v>32</v>
      </c>
      <c r="G1892" s="1">
        <f>EOMONTH(tblData[[#This Row],[Rental Date]],0)</f>
        <v>46265</v>
      </c>
      <c r="H1892" t="s">
        <v>749</v>
      </c>
      <c r="I1892" t="s">
        <v>53</v>
      </c>
      <c r="J1892" t="s">
        <v>33</v>
      </c>
      <c r="K1892" t="s">
        <v>25</v>
      </c>
      <c r="L1892">
        <v>1</v>
      </c>
      <c r="M1892" s="2">
        <v>42.56</v>
      </c>
      <c r="N1892" t="s">
        <v>26</v>
      </c>
      <c r="O1892" s="3">
        <v>0</v>
      </c>
      <c r="P1892" s="3">
        <v>4.26</v>
      </c>
      <c r="Q1892" s="2">
        <v>38.299999999999997</v>
      </c>
      <c r="R1892" t="s">
        <v>42</v>
      </c>
      <c r="S1892" t="s">
        <v>54</v>
      </c>
      <c r="T1892" t="s">
        <v>51</v>
      </c>
      <c r="U1892" t="s">
        <v>30</v>
      </c>
    </row>
    <row r="1893" spans="1:21" x14ac:dyDescent="0.35">
      <c r="A1893" t="s">
        <v>1972</v>
      </c>
      <c r="B1893" s="1">
        <v>46241</v>
      </c>
      <c r="C1893" t="str">
        <f>TEXT(tblData[[#This Row],[Rental Date]],"mmm")</f>
        <v>Aug</v>
      </c>
      <c r="D1893" t="str">
        <f>TEXT(tblData[[#This Row],[Rental Date]],"mmmm")</f>
        <v>August</v>
      </c>
      <c r="E1893" t="s">
        <v>38</v>
      </c>
      <c r="F1893" t="str">
        <f>TEXT(WEEKNUM(tblData[[#This Row],[Rental Date]]),"00")</f>
        <v>32</v>
      </c>
      <c r="G1893" s="1">
        <f>EOMONTH(tblData[[#This Row],[Rental Date]],0)</f>
        <v>46265</v>
      </c>
      <c r="H1893" t="s">
        <v>749</v>
      </c>
      <c r="I1893" t="s">
        <v>39</v>
      </c>
      <c r="J1893" t="s">
        <v>78</v>
      </c>
      <c r="K1893" t="s">
        <v>40</v>
      </c>
      <c r="L1893">
        <v>1</v>
      </c>
      <c r="M1893" s="2">
        <v>69.44</v>
      </c>
      <c r="N1893" t="s">
        <v>26</v>
      </c>
      <c r="O1893" s="3">
        <v>0</v>
      </c>
      <c r="P1893" s="3">
        <v>0</v>
      </c>
      <c r="Q1893" s="2">
        <v>69.44</v>
      </c>
      <c r="R1893" t="s">
        <v>66</v>
      </c>
      <c r="S1893" t="s">
        <v>50</v>
      </c>
      <c r="T1893" t="s">
        <v>90</v>
      </c>
      <c r="U1893" t="s">
        <v>58</v>
      </c>
    </row>
    <row r="1894" spans="1:21" x14ac:dyDescent="0.35">
      <c r="A1894" t="s">
        <v>1973</v>
      </c>
      <c r="B1894" s="1">
        <v>46241</v>
      </c>
      <c r="C1894" t="str">
        <f>TEXT(tblData[[#This Row],[Rental Date]],"mmm")</f>
        <v>Aug</v>
      </c>
      <c r="D1894" t="str">
        <f>TEXT(tblData[[#This Row],[Rental Date]],"mmmm")</f>
        <v>August</v>
      </c>
      <c r="E1894" t="s">
        <v>38</v>
      </c>
      <c r="F1894" t="str">
        <f>TEXT(WEEKNUM(tblData[[#This Row],[Rental Date]]),"00")</f>
        <v>32</v>
      </c>
      <c r="G1894" s="1">
        <f>EOMONTH(tblData[[#This Row],[Rental Date]],0)</f>
        <v>46265</v>
      </c>
      <c r="H1894" t="s">
        <v>749</v>
      </c>
      <c r="I1894" t="s">
        <v>39</v>
      </c>
      <c r="J1894" t="s">
        <v>78</v>
      </c>
      <c r="K1894" t="s">
        <v>25</v>
      </c>
      <c r="L1894">
        <v>1</v>
      </c>
      <c r="M1894" s="2">
        <v>47.04</v>
      </c>
      <c r="N1894" t="s">
        <v>87</v>
      </c>
      <c r="O1894" s="3">
        <v>10</v>
      </c>
      <c r="P1894" s="3">
        <v>0</v>
      </c>
      <c r="Q1894" s="2">
        <v>57.04</v>
      </c>
      <c r="R1894" t="s">
        <v>45</v>
      </c>
      <c r="S1894" t="s">
        <v>54</v>
      </c>
      <c r="T1894" t="s">
        <v>63</v>
      </c>
      <c r="U1894" t="s">
        <v>30</v>
      </c>
    </row>
    <row r="1895" spans="1:21" x14ac:dyDescent="0.35">
      <c r="A1895" t="s">
        <v>1974</v>
      </c>
      <c r="B1895" s="1">
        <v>46241</v>
      </c>
      <c r="C1895" t="str">
        <f>TEXT(tblData[[#This Row],[Rental Date]],"mmm")</f>
        <v>Aug</v>
      </c>
      <c r="D1895" t="str">
        <f>TEXT(tblData[[#This Row],[Rental Date]],"mmmm")</f>
        <v>August</v>
      </c>
      <c r="E1895" t="s">
        <v>38</v>
      </c>
      <c r="F1895" t="str">
        <f>TEXT(WEEKNUM(tblData[[#This Row],[Rental Date]]),"00")</f>
        <v>32</v>
      </c>
      <c r="G1895" s="1">
        <f>EOMONTH(tblData[[#This Row],[Rental Date]],0)</f>
        <v>46265</v>
      </c>
      <c r="H1895" t="s">
        <v>749</v>
      </c>
      <c r="I1895" t="s">
        <v>39</v>
      </c>
      <c r="J1895" t="s">
        <v>49</v>
      </c>
      <c r="K1895" t="s">
        <v>25</v>
      </c>
      <c r="L1895">
        <v>1</v>
      </c>
      <c r="M1895" s="2">
        <v>40.32</v>
      </c>
      <c r="N1895" t="s">
        <v>26</v>
      </c>
      <c r="O1895" s="3">
        <v>0</v>
      </c>
      <c r="P1895" s="3">
        <v>0</v>
      </c>
      <c r="Q1895" s="2">
        <v>40.32</v>
      </c>
      <c r="R1895" t="s">
        <v>62</v>
      </c>
      <c r="S1895" t="s">
        <v>50</v>
      </c>
      <c r="T1895" t="s">
        <v>29</v>
      </c>
      <c r="U1895" t="s">
        <v>30</v>
      </c>
    </row>
    <row r="1896" spans="1:21" x14ac:dyDescent="0.35">
      <c r="A1896" t="s">
        <v>1975</v>
      </c>
      <c r="B1896" s="1">
        <v>46241</v>
      </c>
      <c r="C1896" t="str">
        <f>TEXT(tblData[[#This Row],[Rental Date]],"mmm")</f>
        <v>Aug</v>
      </c>
      <c r="D1896" t="str">
        <f>TEXT(tblData[[#This Row],[Rental Date]],"mmmm")</f>
        <v>August</v>
      </c>
      <c r="E1896" t="s">
        <v>38</v>
      </c>
      <c r="F1896" t="str">
        <f>TEXT(WEEKNUM(tblData[[#This Row],[Rental Date]]),"00")</f>
        <v>32</v>
      </c>
      <c r="G1896" s="1">
        <f>EOMONTH(tblData[[#This Row],[Rental Date]],0)</f>
        <v>46265</v>
      </c>
      <c r="H1896" t="s">
        <v>749</v>
      </c>
      <c r="I1896" t="s">
        <v>48</v>
      </c>
      <c r="J1896" t="s">
        <v>127</v>
      </c>
      <c r="K1896" t="s">
        <v>92</v>
      </c>
      <c r="L1896">
        <v>1</v>
      </c>
      <c r="M1896" s="2">
        <v>38.08</v>
      </c>
      <c r="N1896" t="s">
        <v>26</v>
      </c>
      <c r="O1896" s="3">
        <v>0</v>
      </c>
      <c r="P1896" s="3">
        <v>0</v>
      </c>
      <c r="Q1896" s="2">
        <v>38.08</v>
      </c>
      <c r="R1896" t="s">
        <v>57</v>
      </c>
      <c r="S1896" t="s">
        <v>35</v>
      </c>
      <c r="T1896" t="s">
        <v>29</v>
      </c>
      <c r="U1896" t="s">
        <v>30</v>
      </c>
    </row>
    <row r="1897" spans="1:21" x14ac:dyDescent="0.35">
      <c r="A1897" t="s">
        <v>1976</v>
      </c>
      <c r="B1897" s="1">
        <v>46241</v>
      </c>
      <c r="C1897" t="str">
        <f>TEXT(tblData[[#This Row],[Rental Date]],"mmm")</f>
        <v>Aug</v>
      </c>
      <c r="D1897" t="str">
        <f>TEXT(tblData[[#This Row],[Rental Date]],"mmmm")</f>
        <v>August</v>
      </c>
      <c r="E1897" t="s">
        <v>38</v>
      </c>
      <c r="F1897" t="str">
        <f>TEXT(WEEKNUM(tblData[[#This Row],[Rental Date]]),"00")</f>
        <v>32</v>
      </c>
      <c r="G1897" s="1">
        <f>EOMONTH(tblData[[#This Row],[Rental Date]],0)</f>
        <v>46265</v>
      </c>
      <c r="H1897" t="s">
        <v>749</v>
      </c>
      <c r="I1897" t="s">
        <v>48</v>
      </c>
      <c r="J1897" t="s">
        <v>65</v>
      </c>
      <c r="K1897" t="s">
        <v>25</v>
      </c>
      <c r="L1897">
        <v>1</v>
      </c>
      <c r="M1897" s="2">
        <v>20.16</v>
      </c>
      <c r="N1897" t="s">
        <v>26</v>
      </c>
      <c r="O1897" s="3">
        <v>0</v>
      </c>
      <c r="P1897" s="3">
        <v>0</v>
      </c>
      <c r="Q1897" s="2">
        <v>20.16</v>
      </c>
      <c r="R1897" t="s">
        <v>71</v>
      </c>
      <c r="S1897" t="s">
        <v>54</v>
      </c>
      <c r="T1897" t="s">
        <v>90</v>
      </c>
      <c r="U1897" t="s">
        <v>30</v>
      </c>
    </row>
    <row r="1898" spans="1:21" x14ac:dyDescent="0.35">
      <c r="A1898" t="s">
        <v>1977</v>
      </c>
      <c r="B1898" s="1">
        <v>46241</v>
      </c>
      <c r="C1898" t="str">
        <f>TEXT(tblData[[#This Row],[Rental Date]],"mmm")</f>
        <v>Aug</v>
      </c>
      <c r="D1898" t="str">
        <f>TEXT(tblData[[#This Row],[Rental Date]],"mmmm")</f>
        <v>August</v>
      </c>
      <c r="E1898" t="s">
        <v>38</v>
      </c>
      <c r="F1898" t="str">
        <f>TEXT(WEEKNUM(tblData[[#This Row],[Rental Date]]),"00")</f>
        <v>32</v>
      </c>
      <c r="G1898" s="1">
        <f>EOMONTH(tblData[[#This Row],[Rental Date]],0)</f>
        <v>46265</v>
      </c>
      <c r="H1898" t="s">
        <v>749</v>
      </c>
      <c r="I1898" t="s">
        <v>48</v>
      </c>
      <c r="J1898" t="s">
        <v>65</v>
      </c>
      <c r="K1898" t="s">
        <v>60</v>
      </c>
      <c r="L1898">
        <v>1</v>
      </c>
      <c r="M1898" s="2">
        <v>13.44</v>
      </c>
      <c r="N1898" t="s">
        <v>61</v>
      </c>
      <c r="O1898" s="3">
        <v>8</v>
      </c>
      <c r="P1898" s="3">
        <v>1.07</v>
      </c>
      <c r="Q1898" s="2">
        <v>20.37</v>
      </c>
      <c r="R1898" t="s">
        <v>94</v>
      </c>
      <c r="S1898" t="s">
        <v>28</v>
      </c>
      <c r="T1898" t="s">
        <v>63</v>
      </c>
      <c r="U1898" t="s">
        <v>30</v>
      </c>
    </row>
    <row r="1899" spans="1:21" x14ac:dyDescent="0.35">
      <c r="A1899" t="s">
        <v>1978</v>
      </c>
      <c r="B1899" s="1">
        <v>46241</v>
      </c>
      <c r="C1899" t="str">
        <f>TEXT(tblData[[#This Row],[Rental Date]],"mmm")</f>
        <v>Aug</v>
      </c>
      <c r="D1899" t="str">
        <f>TEXT(tblData[[#This Row],[Rental Date]],"mmmm")</f>
        <v>August</v>
      </c>
      <c r="E1899" t="s">
        <v>38</v>
      </c>
      <c r="F1899" t="str">
        <f>TEXT(WEEKNUM(tblData[[#This Row],[Rental Date]]),"00")</f>
        <v>32</v>
      </c>
      <c r="G1899" s="1">
        <f>EOMONTH(tblData[[#This Row],[Rental Date]],0)</f>
        <v>46265</v>
      </c>
      <c r="H1899" t="s">
        <v>749</v>
      </c>
      <c r="I1899" t="s">
        <v>39</v>
      </c>
      <c r="J1899" t="s">
        <v>33</v>
      </c>
      <c r="K1899" t="s">
        <v>60</v>
      </c>
      <c r="L1899">
        <v>1</v>
      </c>
      <c r="M1899" s="2">
        <v>26.88</v>
      </c>
      <c r="N1899" t="s">
        <v>89</v>
      </c>
      <c r="O1899" s="3">
        <v>6</v>
      </c>
      <c r="P1899" s="3">
        <v>0</v>
      </c>
      <c r="Q1899" s="2">
        <v>32.880000000000003</v>
      </c>
      <c r="R1899" t="s">
        <v>34</v>
      </c>
      <c r="S1899" t="s">
        <v>35</v>
      </c>
      <c r="T1899" t="s">
        <v>51</v>
      </c>
      <c r="U1899" t="s">
        <v>30</v>
      </c>
    </row>
    <row r="1900" spans="1:21" x14ac:dyDescent="0.35">
      <c r="A1900" t="s">
        <v>1979</v>
      </c>
      <c r="B1900" s="1">
        <v>46241</v>
      </c>
      <c r="C1900" t="str">
        <f>TEXT(tblData[[#This Row],[Rental Date]],"mmm")</f>
        <v>Aug</v>
      </c>
      <c r="D1900" t="str">
        <f>TEXT(tblData[[#This Row],[Rental Date]],"mmmm")</f>
        <v>August</v>
      </c>
      <c r="E1900" t="s">
        <v>38</v>
      </c>
      <c r="F1900" t="str">
        <f>TEXT(WEEKNUM(tblData[[#This Row],[Rental Date]]),"00")</f>
        <v>32</v>
      </c>
      <c r="G1900" s="1">
        <f>EOMONTH(tblData[[#This Row],[Rental Date]],0)</f>
        <v>46265</v>
      </c>
      <c r="H1900" t="s">
        <v>749</v>
      </c>
      <c r="I1900" t="s">
        <v>48</v>
      </c>
      <c r="J1900" t="s">
        <v>33</v>
      </c>
      <c r="K1900" t="s">
        <v>25</v>
      </c>
      <c r="L1900">
        <v>1</v>
      </c>
      <c r="M1900" s="2">
        <v>42.56</v>
      </c>
      <c r="N1900" t="s">
        <v>26</v>
      </c>
      <c r="O1900" s="3">
        <v>0</v>
      </c>
      <c r="P1900" s="3">
        <v>0</v>
      </c>
      <c r="Q1900" s="2">
        <v>42.56</v>
      </c>
      <c r="R1900" t="s">
        <v>71</v>
      </c>
      <c r="S1900" t="s">
        <v>50</v>
      </c>
      <c r="T1900" t="s">
        <v>90</v>
      </c>
      <c r="U1900" t="s">
        <v>30</v>
      </c>
    </row>
    <row r="1901" spans="1:21" x14ac:dyDescent="0.35">
      <c r="A1901" t="s">
        <v>1980</v>
      </c>
      <c r="B1901" s="1">
        <v>46241</v>
      </c>
      <c r="C1901" t="str">
        <f>TEXT(tblData[[#This Row],[Rental Date]],"mmm")</f>
        <v>Aug</v>
      </c>
      <c r="D1901" t="str">
        <f>TEXT(tblData[[#This Row],[Rental Date]],"mmmm")</f>
        <v>August</v>
      </c>
      <c r="E1901" t="s">
        <v>38</v>
      </c>
      <c r="F1901" t="str">
        <f>TEXT(WEEKNUM(tblData[[#This Row],[Rental Date]]),"00")</f>
        <v>32</v>
      </c>
      <c r="G1901" s="1">
        <f>EOMONTH(tblData[[#This Row],[Rental Date]],0)</f>
        <v>46265</v>
      </c>
      <c r="H1901" t="s">
        <v>749</v>
      </c>
      <c r="I1901" t="s">
        <v>39</v>
      </c>
      <c r="J1901" t="s">
        <v>33</v>
      </c>
      <c r="K1901" t="s">
        <v>60</v>
      </c>
      <c r="L1901">
        <v>1</v>
      </c>
      <c r="M1901" s="2">
        <v>26.88</v>
      </c>
      <c r="N1901" t="s">
        <v>89</v>
      </c>
      <c r="O1901" s="3">
        <v>6</v>
      </c>
      <c r="P1901" s="3">
        <v>0</v>
      </c>
      <c r="Q1901" s="2">
        <v>32.880000000000003</v>
      </c>
      <c r="R1901" t="s">
        <v>62</v>
      </c>
      <c r="S1901" t="s">
        <v>54</v>
      </c>
      <c r="T1901" t="s">
        <v>29</v>
      </c>
      <c r="U1901" t="s">
        <v>58</v>
      </c>
    </row>
    <row r="1902" spans="1:21" x14ac:dyDescent="0.35">
      <c r="A1902" t="s">
        <v>1981</v>
      </c>
      <c r="B1902" s="1">
        <v>46241</v>
      </c>
      <c r="C1902" t="str">
        <f>TEXT(tblData[[#This Row],[Rental Date]],"mmm")</f>
        <v>Aug</v>
      </c>
      <c r="D1902" t="str">
        <f>TEXT(tblData[[#This Row],[Rental Date]],"mmmm")</f>
        <v>August</v>
      </c>
      <c r="E1902" t="s">
        <v>38</v>
      </c>
      <c r="F1902" t="str">
        <f>TEXT(WEEKNUM(tblData[[#This Row],[Rental Date]]),"00")</f>
        <v>32</v>
      </c>
      <c r="G1902" s="1">
        <f>EOMONTH(tblData[[#This Row],[Rental Date]],0)</f>
        <v>46265</v>
      </c>
      <c r="H1902" t="s">
        <v>749</v>
      </c>
      <c r="I1902" t="s">
        <v>23</v>
      </c>
      <c r="J1902" t="s">
        <v>33</v>
      </c>
      <c r="K1902" t="s">
        <v>40</v>
      </c>
      <c r="L1902">
        <v>1</v>
      </c>
      <c r="M1902" s="2">
        <v>64.959999999999994</v>
      </c>
      <c r="N1902" t="s">
        <v>70</v>
      </c>
      <c r="O1902" s="3">
        <v>7</v>
      </c>
      <c r="P1902" s="3">
        <v>0</v>
      </c>
      <c r="Q1902" s="2">
        <v>71.959999999999994</v>
      </c>
      <c r="R1902" t="s">
        <v>57</v>
      </c>
      <c r="S1902" t="s">
        <v>28</v>
      </c>
      <c r="T1902" t="s">
        <v>29</v>
      </c>
      <c r="U1902" t="s">
        <v>30</v>
      </c>
    </row>
    <row r="1903" spans="1:21" x14ac:dyDescent="0.35">
      <c r="A1903" t="s">
        <v>1982</v>
      </c>
      <c r="B1903" s="1">
        <v>46241</v>
      </c>
      <c r="C1903" t="str">
        <f>TEXT(tblData[[#This Row],[Rental Date]],"mmm")</f>
        <v>Aug</v>
      </c>
      <c r="D1903" t="str">
        <f>TEXT(tblData[[#This Row],[Rental Date]],"mmmm")</f>
        <v>August</v>
      </c>
      <c r="E1903" t="s">
        <v>38</v>
      </c>
      <c r="F1903" t="str">
        <f>TEXT(WEEKNUM(tblData[[#This Row],[Rental Date]]),"00")</f>
        <v>32</v>
      </c>
      <c r="G1903" s="1">
        <f>EOMONTH(tblData[[#This Row],[Rental Date]],0)</f>
        <v>46265</v>
      </c>
      <c r="H1903" t="s">
        <v>749</v>
      </c>
      <c r="I1903" t="s">
        <v>48</v>
      </c>
      <c r="J1903" t="s">
        <v>44</v>
      </c>
      <c r="K1903" t="s">
        <v>40</v>
      </c>
      <c r="L1903">
        <v>1</v>
      </c>
      <c r="M1903" s="2">
        <v>87.36</v>
      </c>
      <c r="N1903" t="s">
        <v>87</v>
      </c>
      <c r="O1903" s="3">
        <v>10</v>
      </c>
      <c r="P1903" s="3">
        <v>0</v>
      </c>
      <c r="Q1903" s="2">
        <v>97.36</v>
      </c>
      <c r="R1903" t="s">
        <v>94</v>
      </c>
      <c r="S1903" t="s">
        <v>28</v>
      </c>
      <c r="T1903" t="s">
        <v>51</v>
      </c>
      <c r="U1903" t="s">
        <v>79</v>
      </c>
    </row>
    <row r="1904" spans="1:21" x14ac:dyDescent="0.35">
      <c r="A1904" t="s">
        <v>1983</v>
      </c>
      <c r="B1904" s="1">
        <v>46242</v>
      </c>
      <c r="C1904" t="str">
        <f>TEXT(tblData[[#This Row],[Rental Date]],"mmm")</f>
        <v>Aug</v>
      </c>
      <c r="D1904" t="str">
        <f>TEXT(tblData[[#This Row],[Rental Date]],"mmmm")</f>
        <v>August</v>
      </c>
      <c r="E1904" t="s">
        <v>56</v>
      </c>
      <c r="F1904" t="str">
        <f>TEXT(WEEKNUM(tblData[[#This Row],[Rental Date]]),"00")</f>
        <v>32</v>
      </c>
      <c r="G1904" s="1">
        <f>EOMONTH(tblData[[#This Row],[Rental Date]],0)</f>
        <v>46265</v>
      </c>
      <c r="H1904" t="s">
        <v>749</v>
      </c>
      <c r="I1904" t="s">
        <v>48</v>
      </c>
      <c r="J1904" t="s">
        <v>78</v>
      </c>
      <c r="K1904" t="s">
        <v>40</v>
      </c>
      <c r="L1904">
        <v>1</v>
      </c>
      <c r="M1904" s="2">
        <v>74.400000000000006</v>
      </c>
      <c r="N1904" t="s">
        <v>26</v>
      </c>
      <c r="O1904" s="3">
        <v>0</v>
      </c>
      <c r="P1904" s="3">
        <v>0</v>
      </c>
      <c r="Q1904" s="2">
        <v>74.400000000000006</v>
      </c>
      <c r="R1904" t="s">
        <v>76</v>
      </c>
      <c r="S1904" t="s">
        <v>50</v>
      </c>
      <c r="T1904" t="s">
        <v>29</v>
      </c>
      <c r="U1904" t="s">
        <v>36</v>
      </c>
    </row>
    <row r="1905" spans="1:21" x14ac:dyDescent="0.35">
      <c r="A1905" t="s">
        <v>1984</v>
      </c>
      <c r="B1905" s="1">
        <v>46242</v>
      </c>
      <c r="C1905" t="str">
        <f>TEXT(tblData[[#This Row],[Rental Date]],"mmm")</f>
        <v>Aug</v>
      </c>
      <c r="D1905" t="str">
        <f>TEXT(tblData[[#This Row],[Rental Date]],"mmmm")</f>
        <v>August</v>
      </c>
      <c r="E1905" t="s">
        <v>56</v>
      </c>
      <c r="F1905" t="str">
        <f>TEXT(WEEKNUM(tblData[[#This Row],[Rental Date]]),"00")</f>
        <v>32</v>
      </c>
      <c r="G1905" s="1">
        <f>EOMONTH(tblData[[#This Row],[Rental Date]],0)</f>
        <v>46265</v>
      </c>
      <c r="H1905" t="s">
        <v>749</v>
      </c>
      <c r="I1905" t="s">
        <v>23</v>
      </c>
      <c r="J1905" t="s">
        <v>44</v>
      </c>
      <c r="K1905" t="s">
        <v>60</v>
      </c>
      <c r="L1905">
        <v>1</v>
      </c>
      <c r="M1905" s="2">
        <v>40.799999999999997</v>
      </c>
      <c r="N1905" t="s">
        <v>26</v>
      </c>
      <c r="O1905" s="3">
        <v>0</v>
      </c>
      <c r="P1905" s="3">
        <v>0</v>
      </c>
      <c r="Q1905" s="2">
        <v>40.799999999999997</v>
      </c>
      <c r="R1905" t="s">
        <v>27</v>
      </c>
      <c r="S1905" t="s">
        <v>50</v>
      </c>
      <c r="T1905" t="s">
        <v>51</v>
      </c>
      <c r="U1905" t="s">
        <v>79</v>
      </c>
    </row>
    <row r="1906" spans="1:21" x14ac:dyDescent="0.35">
      <c r="A1906" t="s">
        <v>1985</v>
      </c>
      <c r="B1906" s="1">
        <v>46242</v>
      </c>
      <c r="C1906" t="str">
        <f>TEXT(tblData[[#This Row],[Rental Date]],"mmm")</f>
        <v>Aug</v>
      </c>
      <c r="D1906" t="str">
        <f>TEXT(tblData[[#This Row],[Rental Date]],"mmmm")</f>
        <v>August</v>
      </c>
      <c r="E1906" t="s">
        <v>56</v>
      </c>
      <c r="F1906" t="str">
        <f>TEXT(WEEKNUM(tblData[[#This Row],[Rental Date]]),"00")</f>
        <v>32</v>
      </c>
      <c r="G1906" s="1">
        <f>EOMONTH(tblData[[#This Row],[Rental Date]],0)</f>
        <v>46265</v>
      </c>
      <c r="H1906" t="s">
        <v>749</v>
      </c>
      <c r="I1906" t="s">
        <v>48</v>
      </c>
      <c r="J1906" t="s">
        <v>33</v>
      </c>
      <c r="K1906" t="s">
        <v>40</v>
      </c>
      <c r="L1906">
        <v>1</v>
      </c>
      <c r="M1906" s="2">
        <v>69.599999999999994</v>
      </c>
      <c r="N1906" t="s">
        <v>26</v>
      </c>
      <c r="O1906" s="3">
        <v>0</v>
      </c>
      <c r="P1906" s="3">
        <v>0</v>
      </c>
      <c r="Q1906" s="2">
        <v>69.599999999999994</v>
      </c>
      <c r="R1906" t="s">
        <v>66</v>
      </c>
      <c r="S1906" t="s">
        <v>35</v>
      </c>
      <c r="T1906" t="s">
        <v>29</v>
      </c>
      <c r="U1906" t="s">
        <v>30</v>
      </c>
    </row>
    <row r="1907" spans="1:21" x14ac:dyDescent="0.35">
      <c r="A1907" t="s">
        <v>1986</v>
      </c>
      <c r="B1907" s="1">
        <v>46242</v>
      </c>
      <c r="C1907" t="str">
        <f>TEXT(tblData[[#This Row],[Rental Date]],"mmm")</f>
        <v>Aug</v>
      </c>
      <c r="D1907" t="str">
        <f>TEXT(tblData[[#This Row],[Rental Date]],"mmmm")</f>
        <v>August</v>
      </c>
      <c r="E1907" t="s">
        <v>56</v>
      </c>
      <c r="F1907" t="str">
        <f>TEXT(WEEKNUM(tblData[[#This Row],[Rental Date]]),"00")</f>
        <v>32</v>
      </c>
      <c r="G1907" s="1">
        <f>EOMONTH(tblData[[#This Row],[Rental Date]],0)</f>
        <v>46265</v>
      </c>
      <c r="H1907" t="s">
        <v>749</v>
      </c>
      <c r="I1907" t="s">
        <v>32</v>
      </c>
      <c r="J1907" t="s">
        <v>78</v>
      </c>
      <c r="K1907" t="s">
        <v>60</v>
      </c>
      <c r="L1907">
        <v>1</v>
      </c>
      <c r="M1907" s="2">
        <v>31.2</v>
      </c>
      <c r="N1907" t="s">
        <v>61</v>
      </c>
      <c r="O1907" s="3">
        <v>8</v>
      </c>
      <c r="P1907" s="3">
        <v>3.92</v>
      </c>
      <c r="Q1907" s="2">
        <v>35.28</v>
      </c>
      <c r="R1907" t="s">
        <v>94</v>
      </c>
      <c r="S1907" t="s">
        <v>35</v>
      </c>
      <c r="T1907" t="s">
        <v>90</v>
      </c>
      <c r="U1907" t="s">
        <v>30</v>
      </c>
    </row>
    <row r="1908" spans="1:21" x14ac:dyDescent="0.35">
      <c r="A1908" t="s">
        <v>1987</v>
      </c>
      <c r="B1908" s="1">
        <v>46242</v>
      </c>
      <c r="C1908" t="str">
        <f>TEXT(tblData[[#This Row],[Rental Date]],"mmm")</f>
        <v>Aug</v>
      </c>
      <c r="D1908" t="str">
        <f>TEXT(tblData[[#This Row],[Rental Date]],"mmmm")</f>
        <v>August</v>
      </c>
      <c r="E1908" t="s">
        <v>56</v>
      </c>
      <c r="F1908" t="str">
        <f>TEXT(WEEKNUM(tblData[[#This Row],[Rental Date]]),"00")</f>
        <v>32</v>
      </c>
      <c r="G1908" s="1">
        <f>EOMONTH(tblData[[#This Row],[Rental Date]],0)</f>
        <v>46265</v>
      </c>
      <c r="H1908" t="s">
        <v>749</v>
      </c>
      <c r="I1908" t="s">
        <v>53</v>
      </c>
      <c r="J1908" t="s">
        <v>86</v>
      </c>
      <c r="K1908" t="s">
        <v>60</v>
      </c>
      <c r="L1908">
        <v>1</v>
      </c>
      <c r="M1908" s="2">
        <v>43.2</v>
      </c>
      <c r="N1908" t="s">
        <v>26</v>
      </c>
      <c r="O1908" s="3">
        <v>0</v>
      </c>
      <c r="P1908" s="3">
        <v>4.32</v>
      </c>
      <c r="Q1908" s="2">
        <v>38.880000000000003</v>
      </c>
      <c r="R1908" t="s">
        <v>76</v>
      </c>
      <c r="S1908" t="s">
        <v>28</v>
      </c>
      <c r="T1908" t="s">
        <v>29</v>
      </c>
      <c r="U1908" t="s">
        <v>30</v>
      </c>
    </row>
    <row r="1909" spans="1:21" x14ac:dyDescent="0.35">
      <c r="A1909" t="s">
        <v>1988</v>
      </c>
      <c r="B1909" s="1">
        <v>46242</v>
      </c>
      <c r="C1909" t="str">
        <f>TEXT(tblData[[#This Row],[Rental Date]],"mmm")</f>
        <v>Aug</v>
      </c>
      <c r="D1909" t="str">
        <f>TEXT(tblData[[#This Row],[Rental Date]],"mmmm")</f>
        <v>August</v>
      </c>
      <c r="E1909" t="s">
        <v>56</v>
      </c>
      <c r="F1909" t="str">
        <f>TEXT(WEEKNUM(tblData[[#This Row],[Rental Date]]),"00")</f>
        <v>32</v>
      </c>
      <c r="G1909" s="1">
        <f>EOMONTH(tblData[[#This Row],[Rental Date]],0)</f>
        <v>46265</v>
      </c>
      <c r="H1909" t="s">
        <v>749</v>
      </c>
      <c r="I1909" t="s">
        <v>32</v>
      </c>
      <c r="J1909" t="s">
        <v>86</v>
      </c>
      <c r="K1909" t="s">
        <v>25</v>
      </c>
      <c r="L1909">
        <v>1</v>
      </c>
      <c r="M1909" s="2">
        <v>69.599999999999994</v>
      </c>
      <c r="N1909" t="s">
        <v>26</v>
      </c>
      <c r="O1909" s="3">
        <v>0</v>
      </c>
      <c r="P1909" s="3">
        <v>3.48</v>
      </c>
      <c r="Q1909" s="2">
        <v>66.12</v>
      </c>
      <c r="R1909" t="s">
        <v>66</v>
      </c>
      <c r="S1909" t="s">
        <v>35</v>
      </c>
      <c r="T1909" t="s">
        <v>29</v>
      </c>
      <c r="U1909" t="s">
        <v>79</v>
      </c>
    </row>
    <row r="1910" spans="1:21" x14ac:dyDescent="0.35">
      <c r="A1910" t="s">
        <v>1989</v>
      </c>
      <c r="B1910" s="1">
        <v>46242</v>
      </c>
      <c r="C1910" t="str">
        <f>TEXT(tblData[[#This Row],[Rental Date]],"mmm")</f>
        <v>Aug</v>
      </c>
      <c r="D1910" t="str">
        <f>TEXT(tblData[[#This Row],[Rental Date]],"mmmm")</f>
        <v>August</v>
      </c>
      <c r="E1910" t="s">
        <v>56</v>
      </c>
      <c r="F1910" t="str">
        <f>TEXT(WEEKNUM(tblData[[#This Row],[Rental Date]]),"00")</f>
        <v>32</v>
      </c>
      <c r="G1910" s="1">
        <f>EOMONTH(tblData[[#This Row],[Rental Date]],0)</f>
        <v>46265</v>
      </c>
      <c r="H1910" t="s">
        <v>749</v>
      </c>
      <c r="I1910" t="s">
        <v>48</v>
      </c>
      <c r="J1910" t="s">
        <v>44</v>
      </c>
      <c r="K1910" t="s">
        <v>25</v>
      </c>
      <c r="L1910">
        <v>1</v>
      </c>
      <c r="M1910" s="2">
        <v>62.4</v>
      </c>
      <c r="N1910" t="s">
        <v>26</v>
      </c>
      <c r="O1910" s="3">
        <v>0</v>
      </c>
      <c r="P1910" s="3">
        <v>0</v>
      </c>
      <c r="Q1910" s="2">
        <v>62.4</v>
      </c>
      <c r="R1910" t="s">
        <v>57</v>
      </c>
      <c r="S1910" t="s">
        <v>50</v>
      </c>
      <c r="T1910" t="s">
        <v>51</v>
      </c>
      <c r="U1910" t="s">
        <v>58</v>
      </c>
    </row>
    <row r="1911" spans="1:21" x14ac:dyDescent="0.35">
      <c r="A1911" t="s">
        <v>1990</v>
      </c>
      <c r="B1911" s="1">
        <v>46242</v>
      </c>
      <c r="C1911" t="str">
        <f>TEXT(tblData[[#This Row],[Rental Date]],"mmm")</f>
        <v>Aug</v>
      </c>
      <c r="D1911" t="str">
        <f>TEXT(tblData[[#This Row],[Rental Date]],"mmmm")</f>
        <v>August</v>
      </c>
      <c r="E1911" t="s">
        <v>56</v>
      </c>
      <c r="F1911" t="str">
        <f>TEXT(WEEKNUM(tblData[[#This Row],[Rental Date]]),"00")</f>
        <v>32</v>
      </c>
      <c r="G1911" s="1">
        <f>EOMONTH(tblData[[#This Row],[Rental Date]],0)</f>
        <v>46265</v>
      </c>
      <c r="H1911" t="s">
        <v>749</v>
      </c>
      <c r="I1911" t="s">
        <v>48</v>
      </c>
      <c r="J1911" t="s">
        <v>78</v>
      </c>
      <c r="K1911" t="s">
        <v>60</v>
      </c>
      <c r="L1911">
        <v>1</v>
      </c>
      <c r="M1911" s="2">
        <v>31.2</v>
      </c>
      <c r="N1911" t="s">
        <v>26</v>
      </c>
      <c r="O1911" s="3">
        <v>0</v>
      </c>
      <c r="P1911" s="3">
        <v>0</v>
      </c>
      <c r="Q1911" s="2">
        <v>31.2</v>
      </c>
      <c r="R1911" t="s">
        <v>76</v>
      </c>
      <c r="S1911" t="s">
        <v>54</v>
      </c>
      <c r="T1911" t="s">
        <v>29</v>
      </c>
      <c r="U1911" t="s">
        <v>30</v>
      </c>
    </row>
    <row r="1912" spans="1:21" x14ac:dyDescent="0.35">
      <c r="A1912" t="s">
        <v>1991</v>
      </c>
      <c r="B1912" s="1">
        <v>46242</v>
      </c>
      <c r="C1912" t="str">
        <f>TEXT(tblData[[#This Row],[Rental Date]],"mmm")</f>
        <v>Aug</v>
      </c>
      <c r="D1912" t="str">
        <f>TEXT(tblData[[#This Row],[Rental Date]],"mmmm")</f>
        <v>August</v>
      </c>
      <c r="E1912" t="s">
        <v>56</v>
      </c>
      <c r="F1912" t="str">
        <f>TEXT(WEEKNUM(tblData[[#This Row],[Rental Date]]),"00")</f>
        <v>32</v>
      </c>
      <c r="G1912" s="1">
        <f>EOMONTH(tblData[[#This Row],[Rental Date]],0)</f>
        <v>46265</v>
      </c>
      <c r="H1912" t="s">
        <v>749</v>
      </c>
      <c r="I1912" t="s">
        <v>39</v>
      </c>
      <c r="J1912" t="s">
        <v>78</v>
      </c>
      <c r="K1912" t="s">
        <v>25</v>
      </c>
      <c r="L1912">
        <v>1</v>
      </c>
      <c r="M1912" s="2">
        <v>50.4</v>
      </c>
      <c r="N1912" t="s">
        <v>61</v>
      </c>
      <c r="O1912" s="3">
        <v>8</v>
      </c>
      <c r="P1912" s="3">
        <v>0</v>
      </c>
      <c r="Q1912" s="2">
        <v>58.4</v>
      </c>
      <c r="R1912" t="s">
        <v>27</v>
      </c>
      <c r="S1912" t="s">
        <v>46</v>
      </c>
      <c r="T1912" t="s">
        <v>90</v>
      </c>
      <c r="U1912" t="s">
        <v>30</v>
      </c>
    </row>
    <row r="1913" spans="1:21" x14ac:dyDescent="0.35">
      <c r="A1913" t="s">
        <v>1992</v>
      </c>
      <c r="B1913" s="1">
        <v>46242</v>
      </c>
      <c r="C1913" t="str">
        <f>TEXT(tblData[[#This Row],[Rental Date]],"mmm")</f>
        <v>Aug</v>
      </c>
      <c r="D1913" t="str">
        <f>TEXT(tblData[[#This Row],[Rental Date]],"mmmm")</f>
        <v>August</v>
      </c>
      <c r="E1913" t="s">
        <v>56</v>
      </c>
      <c r="F1913" t="str">
        <f>TEXT(WEEKNUM(tblData[[#This Row],[Rental Date]]),"00")</f>
        <v>32</v>
      </c>
      <c r="G1913" s="1">
        <f>EOMONTH(tblData[[#This Row],[Rental Date]],0)</f>
        <v>46265</v>
      </c>
      <c r="H1913" t="s">
        <v>749</v>
      </c>
      <c r="I1913" t="s">
        <v>53</v>
      </c>
      <c r="J1913" t="s">
        <v>86</v>
      </c>
      <c r="K1913" t="s">
        <v>25</v>
      </c>
      <c r="L1913">
        <v>1</v>
      </c>
      <c r="M1913" s="2">
        <v>69.599999999999994</v>
      </c>
      <c r="N1913" t="s">
        <v>26</v>
      </c>
      <c r="O1913" s="3">
        <v>0</v>
      </c>
      <c r="P1913" s="3">
        <v>10.44</v>
      </c>
      <c r="Q1913" s="2">
        <v>59.16</v>
      </c>
      <c r="R1913" t="s">
        <v>71</v>
      </c>
      <c r="S1913" t="s">
        <v>50</v>
      </c>
      <c r="T1913" t="s">
        <v>29</v>
      </c>
      <c r="U1913" t="s">
        <v>30</v>
      </c>
    </row>
    <row r="1914" spans="1:21" x14ac:dyDescent="0.35">
      <c r="A1914" t="s">
        <v>1993</v>
      </c>
      <c r="B1914" s="1">
        <v>46242</v>
      </c>
      <c r="C1914" t="str">
        <f>TEXT(tblData[[#This Row],[Rental Date]],"mmm")</f>
        <v>Aug</v>
      </c>
      <c r="D1914" t="str">
        <f>TEXT(tblData[[#This Row],[Rental Date]],"mmmm")</f>
        <v>August</v>
      </c>
      <c r="E1914" t="s">
        <v>56</v>
      </c>
      <c r="F1914" t="str">
        <f>TEXT(WEEKNUM(tblData[[#This Row],[Rental Date]]),"00")</f>
        <v>32</v>
      </c>
      <c r="G1914" s="1">
        <f>EOMONTH(tblData[[#This Row],[Rental Date]],0)</f>
        <v>46265</v>
      </c>
      <c r="H1914" t="s">
        <v>749</v>
      </c>
      <c r="I1914" t="s">
        <v>39</v>
      </c>
      <c r="J1914" t="s">
        <v>44</v>
      </c>
      <c r="K1914" t="s">
        <v>25</v>
      </c>
      <c r="L1914">
        <v>1</v>
      </c>
      <c r="M1914" s="2">
        <v>62.4</v>
      </c>
      <c r="N1914" t="s">
        <v>87</v>
      </c>
      <c r="O1914" s="3">
        <v>10</v>
      </c>
      <c r="P1914" s="3">
        <v>0</v>
      </c>
      <c r="Q1914" s="2">
        <v>72.400000000000006</v>
      </c>
      <c r="R1914" t="s">
        <v>62</v>
      </c>
      <c r="S1914" t="s">
        <v>28</v>
      </c>
      <c r="T1914" t="s">
        <v>51</v>
      </c>
      <c r="U1914" t="s">
        <v>30</v>
      </c>
    </row>
    <row r="1915" spans="1:21" x14ac:dyDescent="0.35">
      <c r="A1915" t="s">
        <v>1994</v>
      </c>
      <c r="B1915" s="1">
        <v>46242</v>
      </c>
      <c r="C1915" t="str">
        <f>TEXT(tblData[[#This Row],[Rental Date]],"mmm")</f>
        <v>Aug</v>
      </c>
      <c r="D1915" t="str">
        <f>TEXT(tblData[[#This Row],[Rental Date]],"mmmm")</f>
        <v>August</v>
      </c>
      <c r="E1915" t="s">
        <v>56</v>
      </c>
      <c r="F1915" t="str">
        <f>TEXT(WEEKNUM(tblData[[#This Row],[Rental Date]]),"00")</f>
        <v>32</v>
      </c>
      <c r="G1915" s="1">
        <f>EOMONTH(tblData[[#This Row],[Rental Date]],0)</f>
        <v>46265</v>
      </c>
      <c r="H1915" t="s">
        <v>749</v>
      </c>
      <c r="I1915" t="s">
        <v>39</v>
      </c>
      <c r="J1915" t="s">
        <v>111</v>
      </c>
      <c r="K1915" t="s">
        <v>25</v>
      </c>
      <c r="L1915">
        <v>1</v>
      </c>
      <c r="M1915" s="2">
        <v>26.4</v>
      </c>
      <c r="N1915" t="s">
        <v>87</v>
      </c>
      <c r="O1915" s="3">
        <v>10</v>
      </c>
      <c r="P1915" s="3">
        <v>0</v>
      </c>
      <c r="Q1915" s="2">
        <v>36.4</v>
      </c>
      <c r="R1915" t="s">
        <v>62</v>
      </c>
      <c r="S1915" t="s">
        <v>28</v>
      </c>
      <c r="T1915" t="s">
        <v>51</v>
      </c>
      <c r="U1915" t="s">
        <v>30</v>
      </c>
    </row>
    <row r="1916" spans="1:21" x14ac:dyDescent="0.35">
      <c r="A1916" t="s">
        <v>1995</v>
      </c>
      <c r="B1916" s="1">
        <v>46242</v>
      </c>
      <c r="C1916" t="str">
        <f>TEXT(tblData[[#This Row],[Rental Date]],"mmm")</f>
        <v>Aug</v>
      </c>
      <c r="D1916" t="str">
        <f>TEXT(tblData[[#This Row],[Rental Date]],"mmmm")</f>
        <v>August</v>
      </c>
      <c r="E1916" t="s">
        <v>56</v>
      </c>
      <c r="F1916" t="str">
        <f>TEXT(WEEKNUM(tblData[[#This Row],[Rental Date]]),"00")</f>
        <v>32</v>
      </c>
      <c r="G1916" s="1">
        <f>EOMONTH(tblData[[#This Row],[Rental Date]],0)</f>
        <v>46265</v>
      </c>
      <c r="H1916" t="s">
        <v>749</v>
      </c>
      <c r="I1916" t="s">
        <v>32</v>
      </c>
      <c r="J1916" t="s">
        <v>65</v>
      </c>
      <c r="K1916" t="s">
        <v>60</v>
      </c>
      <c r="L1916">
        <v>1</v>
      </c>
      <c r="M1916" s="2">
        <v>14.4</v>
      </c>
      <c r="N1916" t="s">
        <v>70</v>
      </c>
      <c r="O1916" s="3">
        <v>7</v>
      </c>
      <c r="P1916" s="3">
        <v>0</v>
      </c>
      <c r="Q1916" s="2">
        <v>21.4</v>
      </c>
      <c r="R1916" t="s">
        <v>66</v>
      </c>
      <c r="S1916" t="s">
        <v>35</v>
      </c>
      <c r="T1916" t="s">
        <v>29</v>
      </c>
      <c r="U1916" t="s">
        <v>30</v>
      </c>
    </row>
    <row r="1917" spans="1:21" x14ac:dyDescent="0.35">
      <c r="A1917" t="s">
        <v>1996</v>
      </c>
      <c r="B1917" s="1">
        <v>46242</v>
      </c>
      <c r="C1917" t="str">
        <f>TEXT(tblData[[#This Row],[Rental Date]],"mmm")</f>
        <v>Aug</v>
      </c>
      <c r="D1917" t="str">
        <f>TEXT(tblData[[#This Row],[Rental Date]],"mmmm")</f>
        <v>August</v>
      </c>
      <c r="E1917" t="s">
        <v>56</v>
      </c>
      <c r="F1917" t="str">
        <f>TEXT(WEEKNUM(tblData[[#This Row],[Rental Date]]),"00")</f>
        <v>32</v>
      </c>
      <c r="G1917" s="1">
        <f>EOMONTH(tblData[[#This Row],[Rental Date]],0)</f>
        <v>46265</v>
      </c>
      <c r="H1917" t="s">
        <v>749</v>
      </c>
      <c r="I1917" t="s">
        <v>23</v>
      </c>
      <c r="J1917" t="s">
        <v>127</v>
      </c>
      <c r="K1917" t="s">
        <v>25</v>
      </c>
      <c r="L1917">
        <v>1</v>
      </c>
      <c r="M1917" s="2">
        <v>19.2</v>
      </c>
      <c r="N1917" t="s">
        <v>89</v>
      </c>
      <c r="O1917" s="3">
        <v>6</v>
      </c>
      <c r="P1917" s="3">
        <v>0</v>
      </c>
      <c r="Q1917" s="2">
        <v>25.2</v>
      </c>
      <c r="R1917" t="s">
        <v>45</v>
      </c>
      <c r="S1917" t="s">
        <v>54</v>
      </c>
      <c r="T1917" t="s">
        <v>29</v>
      </c>
      <c r="U1917" t="s">
        <v>58</v>
      </c>
    </row>
    <row r="1918" spans="1:21" x14ac:dyDescent="0.35">
      <c r="A1918" t="s">
        <v>1997</v>
      </c>
      <c r="B1918" s="1">
        <v>46242</v>
      </c>
      <c r="C1918" t="str">
        <f>TEXT(tblData[[#This Row],[Rental Date]],"mmm")</f>
        <v>Aug</v>
      </c>
      <c r="D1918" t="str">
        <f>TEXT(tblData[[#This Row],[Rental Date]],"mmmm")</f>
        <v>August</v>
      </c>
      <c r="E1918" t="s">
        <v>56</v>
      </c>
      <c r="F1918" t="str">
        <f>TEXT(WEEKNUM(tblData[[#This Row],[Rental Date]]),"00")</f>
        <v>32</v>
      </c>
      <c r="G1918" s="1">
        <f>EOMONTH(tblData[[#This Row],[Rental Date]],0)</f>
        <v>46265</v>
      </c>
      <c r="H1918" t="s">
        <v>749</v>
      </c>
      <c r="I1918" t="s">
        <v>39</v>
      </c>
      <c r="J1918" t="s">
        <v>111</v>
      </c>
      <c r="K1918" t="s">
        <v>25</v>
      </c>
      <c r="L1918">
        <v>1</v>
      </c>
      <c r="M1918" s="2">
        <v>26.4</v>
      </c>
      <c r="N1918" t="s">
        <v>41</v>
      </c>
      <c r="O1918" s="3">
        <v>5</v>
      </c>
      <c r="P1918" s="3">
        <v>0</v>
      </c>
      <c r="Q1918" s="2">
        <v>31.4</v>
      </c>
      <c r="R1918" t="s">
        <v>27</v>
      </c>
      <c r="S1918" t="s">
        <v>28</v>
      </c>
      <c r="T1918" t="s">
        <v>51</v>
      </c>
      <c r="U1918" t="s">
        <v>79</v>
      </c>
    </row>
    <row r="1919" spans="1:21" x14ac:dyDescent="0.35">
      <c r="A1919" t="s">
        <v>1998</v>
      </c>
      <c r="B1919" s="1">
        <v>46242</v>
      </c>
      <c r="C1919" t="str">
        <f>TEXT(tblData[[#This Row],[Rental Date]],"mmm")</f>
        <v>Aug</v>
      </c>
      <c r="D1919" t="str">
        <f>TEXT(tblData[[#This Row],[Rental Date]],"mmmm")</f>
        <v>August</v>
      </c>
      <c r="E1919" t="s">
        <v>56</v>
      </c>
      <c r="F1919" t="str">
        <f>TEXT(WEEKNUM(tblData[[#This Row],[Rental Date]]),"00")</f>
        <v>32</v>
      </c>
      <c r="G1919" s="1">
        <f>EOMONTH(tblData[[#This Row],[Rental Date]],0)</f>
        <v>46265</v>
      </c>
      <c r="H1919" t="s">
        <v>749</v>
      </c>
      <c r="I1919" t="s">
        <v>48</v>
      </c>
      <c r="J1919" t="s">
        <v>127</v>
      </c>
      <c r="K1919" t="s">
        <v>60</v>
      </c>
      <c r="L1919">
        <v>1</v>
      </c>
      <c r="M1919" s="2">
        <v>12</v>
      </c>
      <c r="N1919" t="s">
        <v>26</v>
      </c>
      <c r="O1919" s="3">
        <v>0</v>
      </c>
      <c r="P1919" s="3">
        <v>0</v>
      </c>
      <c r="Q1919" s="2">
        <v>12</v>
      </c>
      <c r="R1919" t="s">
        <v>45</v>
      </c>
      <c r="S1919" t="s">
        <v>46</v>
      </c>
      <c r="T1919" t="s">
        <v>29</v>
      </c>
      <c r="U1919" t="s">
        <v>30</v>
      </c>
    </row>
    <row r="1920" spans="1:21" x14ac:dyDescent="0.35">
      <c r="A1920" t="s">
        <v>1999</v>
      </c>
      <c r="B1920" s="1">
        <v>46242</v>
      </c>
      <c r="C1920" t="str">
        <f>TEXT(tblData[[#This Row],[Rental Date]],"mmm")</f>
        <v>Aug</v>
      </c>
      <c r="D1920" t="str">
        <f>TEXT(tblData[[#This Row],[Rental Date]],"mmmm")</f>
        <v>August</v>
      </c>
      <c r="E1920" t="s">
        <v>56</v>
      </c>
      <c r="F1920" t="str">
        <f>TEXT(WEEKNUM(tblData[[#This Row],[Rental Date]]),"00")</f>
        <v>32</v>
      </c>
      <c r="G1920" s="1">
        <f>EOMONTH(tblData[[#This Row],[Rental Date]],0)</f>
        <v>46265</v>
      </c>
      <c r="H1920" t="s">
        <v>749</v>
      </c>
      <c r="I1920" t="s">
        <v>39</v>
      </c>
      <c r="J1920" t="s">
        <v>24</v>
      </c>
      <c r="K1920" t="s">
        <v>60</v>
      </c>
      <c r="L1920">
        <v>1</v>
      </c>
      <c r="M1920" s="2">
        <v>38.4</v>
      </c>
      <c r="N1920" t="s">
        <v>70</v>
      </c>
      <c r="O1920" s="3">
        <v>7</v>
      </c>
      <c r="P1920" s="3">
        <v>0</v>
      </c>
      <c r="Q1920" s="2">
        <v>45.4</v>
      </c>
      <c r="R1920" t="s">
        <v>76</v>
      </c>
      <c r="S1920" t="s">
        <v>28</v>
      </c>
      <c r="T1920" t="s">
        <v>90</v>
      </c>
      <c r="U1920" t="s">
        <v>30</v>
      </c>
    </row>
    <row r="1921" spans="1:21" x14ac:dyDescent="0.35">
      <c r="A1921" t="s">
        <v>2000</v>
      </c>
      <c r="B1921" s="1">
        <v>46242</v>
      </c>
      <c r="C1921" t="str">
        <f>TEXT(tblData[[#This Row],[Rental Date]],"mmm")</f>
        <v>Aug</v>
      </c>
      <c r="D1921" t="str">
        <f>TEXT(tblData[[#This Row],[Rental Date]],"mmmm")</f>
        <v>August</v>
      </c>
      <c r="E1921" t="s">
        <v>56</v>
      </c>
      <c r="F1921" t="str">
        <f>TEXT(WEEKNUM(tblData[[#This Row],[Rental Date]]),"00")</f>
        <v>32</v>
      </c>
      <c r="G1921" s="1">
        <f>EOMONTH(tblData[[#This Row],[Rental Date]],0)</f>
        <v>46265</v>
      </c>
      <c r="H1921" t="s">
        <v>749</v>
      </c>
      <c r="I1921" t="s">
        <v>23</v>
      </c>
      <c r="J1921" t="s">
        <v>86</v>
      </c>
      <c r="K1921" t="s">
        <v>40</v>
      </c>
      <c r="L1921">
        <v>1</v>
      </c>
      <c r="M1921" s="2">
        <v>103.2</v>
      </c>
      <c r="N1921" t="s">
        <v>41</v>
      </c>
      <c r="O1921" s="3">
        <v>5</v>
      </c>
      <c r="P1921" s="3">
        <v>0</v>
      </c>
      <c r="Q1921" s="2">
        <v>108.2</v>
      </c>
      <c r="R1921" t="s">
        <v>34</v>
      </c>
      <c r="S1921" t="s">
        <v>28</v>
      </c>
      <c r="T1921" t="s">
        <v>51</v>
      </c>
      <c r="U1921" t="s">
        <v>30</v>
      </c>
    </row>
    <row r="1922" spans="1:21" x14ac:dyDescent="0.35">
      <c r="A1922" t="s">
        <v>2001</v>
      </c>
      <c r="B1922" s="1">
        <v>46242</v>
      </c>
      <c r="C1922" t="str">
        <f>TEXT(tblData[[#This Row],[Rental Date]],"mmm")</f>
        <v>Aug</v>
      </c>
      <c r="D1922" t="str">
        <f>TEXT(tblData[[#This Row],[Rental Date]],"mmmm")</f>
        <v>August</v>
      </c>
      <c r="E1922" t="s">
        <v>56</v>
      </c>
      <c r="F1922" t="str">
        <f>TEXT(WEEKNUM(tblData[[#This Row],[Rental Date]]),"00")</f>
        <v>32</v>
      </c>
      <c r="G1922" s="1">
        <f>EOMONTH(tblData[[#This Row],[Rental Date]],0)</f>
        <v>46265</v>
      </c>
      <c r="H1922" t="s">
        <v>749</v>
      </c>
      <c r="I1922" t="s">
        <v>48</v>
      </c>
      <c r="J1922" t="s">
        <v>33</v>
      </c>
      <c r="K1922" t="s">
        <v>60</v>
      </c>
      <c r="L1922">
        <v>1</v>
      </c>
      <c r="M1922" s="2">
        <v>28.8</v>
      </c>
      <c r="N1922" t="s">
        <v>26</v>
      </c>
      <c r="O1922" s="3">
        <v>0</v>
      </c>
      <c r="P1922" s="3">
        <v>0</v>
      </c>
      <c r="Q1922" s="2">
        <v>28.8</v>
      </c>
      <c r="R1922" t="s">
        <v>71</v>
      </c>
      <c r="S1922" t="s">
        <v>35</v>
      </c>
      <c r="T1922" t="s">
        <v>63</v>
      </c>
      <c r="U1922" t="s">
        <v>30</v>
      </c>
    </row>
    <row r="1923" spans="1:21" x14ac:dyDescent="0.35">
      <c r="A1923" t="s">
        <v>2002</v>
      </c>
      <c r="B1923" s="1">
        <v>46242</v>
      </c>
      <c r="C1923" t="str">
        <f>TEXT(tblData[[#This Row],[Rental Date]],"mmm")</f>
        <v>Aug</v>
      </c>
      <c r="D1923" t="str">
        <f>TEXT(tblData[[#This Row],[Rental Date]],"mmmm")</f>
        <v>August</v>
      </c>
      <c r="E1923" t="s">
        <v>56</v>
      </c>
      <c r="F1923" t="str">
        <f>TEXT(WEEKNUM(tblData[[#This Row],[Rental Date]]),"00")</f>
        <v>32</v>
      </c>
      <c r="G1923" s="1">
        <f>EOMONTH(tblData[[#This Row],[Rental Date]],0)</f>
        <v>46265</v>
      </c>
      <c r="H1923" t="s">
        <v>749</v>
      </c>
      <c r="I1923" t="s">
        <v>39</v>
      </c>
      <c r="J1923" t="s">
        <v>44</v>
      </c>
      <c r="K1923" t="s">
        <v>60</v>
      </c>
      <c r="L1923">
        <v>1</v>
      </c>
      <c r="M1923" s="2">
        <v>40.799999999999997</v>
      </c>
      <c r="N1923" t="s">
        <v>26</v>
      </c>
      <c r="O1923" s="3">
        <v>0</v>
      </c>
      <c r="P1923" s="3">
        <v>0</v>
      </c>
      <c r="Q1923" s="2">
        <v>40.799999999999997</v>
      </c>
      <c r="R1923" t="s">
        <v>94</v>
      </c>
      <c r="S1923" t="s">
        <v>50</v>
      </c>
      <c r="T1923" t="s">
        <v>83</v>
      </c>
      <c r="U1923" t="s">
        <v>30</v>
      </c>
    </row>
    <row r="1924" spans="1:21" x14ac:dyDescent="0.35">
      <c r="A1924" t="s">
        <v>2003</v>
      </c>
      <c r="B1924" s="1">
        <v>46242</v>
      </c>
      <c r="C1924" t="str">
        <f>TEXT(tblData[[#This Row],[Rental Date]],"mmm")</f>
        <v>Aug</v>
      </c>
      <c r="D1924" t="str">
        <f>TEXT(tblData[[#This Row],[Rental Date]],"mmmm")</f>
        <v>August</v>
      </c>
      <c r="E1924" t="s">
        <v>56</v>
      </c>
      <c r="F1924" t="str">
        <f>TEXT(WEEKNUM(tblData[[#This Row],[Rental Date]]),"00")</f>
        <v>32</v>
      </c>
      <c r="G1924" s="1">
        <f>EOMONTH(tblData[[#This Row],[Rental Date]],0)</f>
        <v>46265</v>
      </c>
      <c r="H1924" t="s">
        <v>749</v>
      </c>
      <c r="I1924" t="s">
        <v>48</v>
      </c>
      <c r="J1924" t="s">
        <v>78</v>
      </c>
      <c r="K1924" t="s">
        <v>40</v>
      </c>
      <c r="L1924">
        <v>1</v>
      </c>
      <c r="M1924" s="2">
        <v>74.400000000000006</v>
      </c>
      <c r="N1924" t="s">
        <v>87</v>
      </c>
      <c r="O1924" s="3">
        <v>10</v>
      </c>
      <c r="P1924" s="3">
        <v>0</v>
      </c>
      <c r="Q1924" s="2">
        <v>84.4</v>
      </c>
      <c r="R1924" t="s">
        <v>45</v>
      </c>
      <c r="S1924" t="s">
        <v>28</v>
      </c>
      <c r="T1924" t="s">
        <v>51</v>
      </c>
      <c r="U1924" t="s">
        <v>30</v>
      </c>
    </row>
    <row r="1925" spans="1:21" x14ac:dyDescent="0.35">
      <c r="A1925" t="s">
        <v>2004</v>
      </c>
      <c r="B1925" s="1">
        <v>46242</v>
      </c>
      <c r="C1925" t="str">
        <f>TEXT(tblData[[#This Row],[Rental Date]],"mmm")</f>
        <v>Aug</v>
      </c>
      <c r="D1925" t="str">
        <f>TEXT(tblData[[#This Row],[Rental Date]],"mmmm")</f>
        <v>August</v>
      </c>
      <c r="E1925" t="s">
        <v>56</v>
      </c>
      <c r="F1925" t="str">
        <f>TEXT(WEEKNUM(tblData[[#This Row],[Rental Date]]),"00")</f>
        <v>32</v>
      </c>
      <c r="G1925" s="1">
        <f>EOMONTH(tblData[[#This Row],[Rental Date]],0)</f>
        <v>46265</v>
      </c>
      <c r="H1925" t="s">
        <v>749</v>
      </c>
      <c r="I1925" t="s">
        <v>32</v>
      </c>
      <c r="J1925" t="s">
        <v>44</v>
      </c>
      <c r="K1925" t="s">
        <v>40</v>
      </c>
      <c r="L1925">
        <v>1</v>
      </c>
      <c r="M1925" s="2">
        <v>93.6</v>
      </c>
      <c r="N1925" t="s">
        <v>26</v>
      </c>
      <c r="O1925" s="3">
        <v>0</v>
      </c>
      <c r="P1925" s="3">
        <v>4.68</v>
      </c>
      <c r="Q1925" s="2">
        <v>88.92</v>
      </c>
      <c r="R1925" t="s">
        <v>94</v>
      </c>
      <c r="S1925" t="s">
        <v>46</v>
      </c>
      <c r="T1925" t="s">
        <v>51</v>
      </c>
      <c r="U1925" t="s">
        <v>58</v>
      </c>
    </row>
    <row r="1926" spans="1:21" x14ac:dyDescent="0.35">
      <c r="A1926" t="s">
        <v>2005</v>
      </c>
      <c r="B1926" s="1">
        <v>46242</v>
      </c>
      <c r="C1926" t="str">
        <f>TEXT(tblData[[#This Row],[Rental Date]],"mmm")</f>
        <v>Aug</v>
      </c>
      <c r="D1926" t="str">
        <f>TEXT(tblData[[#This Row],[Rental Date]],"mmmm")</f>
        <v>August</v>
      </c>
      <c r="E1926" t="s">
        <v>56</v>
      </c>
      <c r="F1926" t="str">
        <f>TEXT(WEEKNUM(tblData[[#This Row],[Rental Date]]),"00")</f>
        <v>32</v>
      </c>
      <c r="G1926" s="1">
        <f>EOMONTH(tblData[[#This Row],[Rental Date]],0)</f>
        <v>46265</v>
      </c>
      <c r="H1926" t="s">
        <v>749</v>
      </c>
      <c r="I1926" t="s">
        <v>53</v>
      </c>
      <c r="J1926" t="s">
        <v>49</v>
      </c>
      <c r="K1926" t="s">
        <v>25</v>
      </c>
      <c r="L1926">
        <v>1</v>
      </c>
      <c r="M1926" s="2">
        <v>43.2</v>
      </c>
      <c r="N1926" t="s">
        <v>26</v>
      </c>
      <c r="O1926" s="3">
        <v>0</v>
      </c>
      <c r="P1926" s="3">
        <v>4.32</v>
      </c>
      <c r="Q1926" s="2">
        <v>38.880000000000003</v>
      </c>
      <c r="R1926" t="s">
        <v>34</v>
      </c>
      <c r="S1926" t="s">
        <v>28</v>
      </c>
      <c r="T1926" t="s">
        <v>63</v>
      </c>
      <c r="U1926" t="s">
        <v>79</v>
      </c>
    </row>
    <row r="1927" spans="1:21" x14ac:dyDescent="0.35">
      <c r="A1927" t="s">
        <v>2006</v>
      </c>
      <c r="B1927" s="1">
        <v>46242</v>
      </c>
      <c r="C1927" t="str">
        <f>TEXT(tblData[[#This Row],[Rental Date]],"mmm")</f>
        <v>Aug</v>
      </c>
      <c r="D1927" t="str">
        <f>TEXT(tblData[[#This Row],[Rental Date]],"mmmm")</f>
        <v>August</v>
      </c>
      <c r="E1927" t="s">
        <v>56</v>
      </c>
      <c r="F1927" t="str">
        <f>TEXT(WEEKNUM(tblData[[#This Row],[Rental Date]]),"00")</f>
        <v>32</v>
      </c>
      <c r="G1927" s="1">
        <f>EOMONTH(tblData[[#This Row],[Rental Date]],0)</f>
        <v>46265</v>
      </c>
      <c r="H1927" t="s">
        <v>749</v>
      </c>
      <c r="I1927" t="s">
        <v>48</v>
      </c>
      <c r="J1927" t="s">
        <v>33</v>
      </c>
      <c r="K1927" t="s">
        <v>25</v>
      </c>
      <c r="L1927">
        <v>1</v>
      </c>
      <c r="M1927" s="2">
        <v>45.6</v>
      </c>
      <c r="N1927" t="s">
        <v>26</v>
      </c>
      <c r="O1927" s="3">
        <v>0</v>
      </c>
      <c r="P1927" s="3">
        <v>0</v>
      </c>
      <c r="Q1927" s="2">
        <v>45.6</v>
      </c>
      <c r="R1927" t="s">
        <v>71</v>
      </c>
      <c r="S1927" t="s">
        <v>46</v>
      </c>
      <c r="T1927" t="s">
        <v>29</v>
      </c>
      <c r="U1927" t="s">
        <v>30</v>
      </c>
    </row>
    <row r="1928" spans="1:21" x14ac:dyDescent="0.35">
      <c r="A1928" t="s">
        <v>2007</v>
      </c>
      <c r="B1928" s="1">
        <v>46242</v>
      </c>
      <c r="C1928" t="str">
        <f>TEXT(tblData[[#This Row],[Rental Date]],"mmm")</f>
        <v>Aug</v>
      </c>
      <c r="D1928" t="str">
        <f>TEXT(tblData[[#This Row],[Rental Date]],"mmmm")</f>
        <v>August</v>
      </c>
      <c r="E1928" t="s">
        <v>56</v>
      </c>
      <c r="F1928" t="str">
        <f>TEXT(WEEKNUM(tblData[[#This Row],[Rental Date]]),"00")</f>
        <v>32</v>
      </c>
      <c r="G1928" s="1">
        <f>EOMONTH(tblData[[#This Row],[Rental Date]],0)</f>
        <v>46265</v>
      </c>
      <c r="H1928" t="s">
        <v>749</v>
      </c>
      <c r="I1928" t="s">
        <v>39</v>
      </c>
      <c r="J1928" t="s">
        <v>49</v>
      </c>
      <c r="K1928" t="s">
        <v>25</v>
      </c>
      <c r="L1928">
        <v>1</v>
      </c>
      <c r="M1928" s="2">
        <v>43.2</v>
      </c>
      <c r="N1928" t="s">
        <v>26</v>
      </c>
      <c r="O1928" s="3">
        <v>0</v>
      </c>
      <c r="P1928" s="3">
        <v>0</v>
      </c>
      <c r="Q1928" s="2">
        <v>43.2</v>
      </c>
      <c r="R1928" t="s">
        <v>66</v>
      </c>
      <c r="S1928" t="s">
        <v>35</v>
      </c>
      <c r="T1928" t="s">
        <v>63</v>
      </c>
      <c r="U1928" t="s">
        <v>58</v>
      </c>
    </row>
    <row r="1929" spans="1:21" x14ac:dyDescent="0.35">
      <c r="A1929" t="s">
        <v>2008</v>
      </c>
      <c r="B1929" s="1">
        <v>46242</v>
      </c>
      <c r="C1929" t="str">
        <f>TEXT(tblData[[#This Row],[Rental Date]],"mmm")</f>
        <v>Aug</v>
      </c>
      <c r="D1929" t="str">
        <f>TEXT(tblData[[#This Row],[Rental Date]],"mmmm")</f>
        <v>August</v>
      </c>
      <c r="E1929" t="s">
        <v>56</v>
      </c>
      <c r="F1929" t="str">
        <f>TEXT(WEEKNUM(tblData[[#This Row],[Rental Date]]),"00")</f>
        <v>32</v>
      </c>
      <c r="G1929" s="1">
        <f>EOMONTH(tblData[[#This Row],[Rental Date]],0)</f>
        <v>46265</v>
      </c>
      <c r="H1929" t="s">
        <v>749</v>
      </c>
      <c r="I1929" t="s">
        <v>39</v>
      </c>
      <c r="J1929" t="s">
        <v>78</v>
      </c>
      <c r="K1929" t="s">
        <v>60</v>
      </c>
      <c r="L1929">
        <v>1</v>
      </c>
      <c r="M1929" s="2">
        <v>31.2</v>
      </c>
      <c r="N1929" t="s">
        <v>26</v>
      </c>
      <c r="O1929" s="3">
        <v>0</v>
      </c>
      <c r="P1929" s="3">
        <v>0</v>
      </c>
      <c r="Q1929" s="2">
        <v>31.2</v>
      </c>
      <c r="R1929" t="s">
        <v>42</v>
      </c>
      <c r="S1929" t="s">
        <v>28</v>
      </c>
      <c r="T1929" t="s">
        <v>63</v>
      </c>
      <c r="U1929" t="s">
        <v>30</v>
      </c>
    </row>
    <row r="1930" spans="1:21" x14ac:dyDescent="0.35">
      <c r="A1930" t="s">
        <v>2009</v>
      </c>
      <c r="B1930" s="1">
        <v>46242</v>
      </c>
      <c r="C1930" t="str">
        <f>TEXT(tblData[[#This Row],[Rental Date]],"mmm")</f>
        <v>Aug</v>
      </c>
      <c r="D1930" t="str">
        <f>TEXT(tblData[[#This Row],[Rental Date]],"mmmm")</f>
        <v>August</v>
      </c>
      <c r="E1930" t="s">
        <v>56</v>
      </c>
      <c r="F1930" t="str">
        <f>TEXT(WEEKNUM(tblData[[#This Row],[Rental Date]]),"00")</f>
        <v>32</v>
      </c>
      <c r="G1930" s="1">
        <f>EOMONTH(tblData[[#This Row],[Rental Date]],0)</f>
        <v>46265</v>
      </c>
      <c r="H1930" t="s">
        <v>749</v>
      </c>
      <c r="I1930" t="s">
        <v>39</v>
      </c>
      <c r="J1930" t="s">
        <v>78</v>
      </c>
      <c r="K1930" t="s">
        <v>60</v>
      </c>
      <c r="L1930">
        <v>1</v>
      </c>
      <c r="M1930" s="2">
        <v>31.2</v>
      </c>
      <c r="N1930" t="s">
        <v>26</v>
      </c>
      <c r="O1930" s="3">
        <v>0</v>
      </c>
      <c r="P1930" s="3">
        <v>1.56</v>
      </c>
      <c r="Q1930" s="2">
        <v>29.64</v>
      </c>
      <c r="R1930" t="s">
        <v>57</v>
      </c>
      <c r="S1930" t="s">
        <v>50</v>
      </c>
      <c r="T1930" t="s">
        <v>51</v>
      </c>
      <c r="U1930" t="s">
        <v>30</v>
      </c>
    </row>
    <row r="1931" spans="1:21" x14ac:dyDescent="0.35">
      <c r="A1931" t="s">
        <v>2010</v>
      </c>
      <c r="B1931" s="1">
        <v>46242</v>
      </c>
      <c r="C1931" t="str">
        <f>TEXT(tblData[[#This Row],[Rental Date]],"mmm")</f>
        <v>Aug</v>
      </c>
      <c r="D1931" t="str">
        <f>TEXT(tblData[[#This Row],[Rental Date]],"mmmm")</f>
        <v>August</v>
      </c>
      <c r="E1931" t="s">
        <v>56</v>
      </c>
      <c r="F1931" t="str">
        <f>TEXT(WEEKNUM(tblData[[#This Row],[Rental Date]]),"00")</f>
        <v>32</v>
      </c>
      <c r="G1931" s="1">
        <f>EOMONTH(tblData[[#This Row],[Rental Date]],0)</f>
        <v>46265</v>
      </c>
      <c r="H1931" t="s">
        <v>749</v>
      </c>
      <c r="I1931" t="s">
        <v>39</v>
      </c>
      <c r="J1931" t="s">
        <v>138</v>
      </c>
      <c r="K1931" t="s">
        <v>40</v>
      </c>
      <c r="L1931">
        <v>1</v>
      </c>
      <c r="M1931" s="2">
        <v>86.4</v>
      </c>
      <c r="N1931" t="s">
        <v>70</v>
      </c>
      <c r="O1931" s="3">
        <v>7</v>
      </c>
      <c r="P1931" s="3">
        <v>0</v>
      </c>
      <c r="Q1931" s="2">
        <v>93.4</v>
      </c>
      <c r="R1931" t="s">
        <v>42</v>
      </c>
      <c r="S1931" t="s">
        <v>35</v>
      </c>
      <c r="T1931" t="s">
        <v>29</v>
      </c>
      <c r="U1931" t="s">
        <v>30</v>
      </c>
    </row>
    <row r="1932" spans="1:21" x14ac:dyDescent="0.35">
      <c r="A1932" t="s">
        <v>2011</v>
      </c>
      <c r="B1932" s="1">
        <v>46242</v>
      </c>
      <c r="C1932" t="str">
        <f>TEXT(tblData[[#This Row],[Rental Date]],"mmm")</f>
        <v>Aug</v>
      </c>
      <c r="D1932" t="str">
        <f>TEXT(tblData[[#This Row],[Rental Date]],"mmmm")</f>
        <v>August</v>
      </c>
      <c r="E1932" t="s">
        <v>56</v>
      </c>
      <c r="F1932" t="str">
        <f>TEXT(WEEKNUM(tblData[[#This Row],[Rental Date]]),"00")</f>
        <v>32</v>
      </c>
      <c r="G1932" s="1">
        <f>EOMONTH(tblData[[#This Row],[Rental Date]],0)</f>
        <v>46265</v>
      </c>
      <c r="H1932" t="s">
        <v>749</v>
      </c>
      <c r="I1932" t="s">
        <v>48</v>
      </c>
      <c r="J1932" t="s">
        <v>44</v>
      </c>
      <c r="K1932" t="s">
        <v>60</v>
      </c>
      <c r="L1932">
        <v>1</v>
      </c>
      <c r="M1932" s="2">
        <v>40.799999999999997</v>
      </c>
      <c r="N1932" t="s">
        <v>26</v>
      </c>
      <c r="O1932" s="3">
        <v>0</v>
      </c>
      <c r="P1932" s="3">
        <v>0</v>
      </c>
      <c r="Q1932" s="2">
        <v>40.799999999999997</v>
      </c>
      <c r="R1932" t="s">
        <v>27</v>
      </c>
      <c r="S1932" t="s">
        <v>28</v>
      </c>
      <c r="T1932" t="s">
        <v>51</v>
      </c>
      <c r="U1932" t="s">
        <v>30</v>
      </c>
    </row>
    <row r="1933" spans="1:21" x14ac:dyDescent="0.35">
      <c r="A1933" t="s">
        <v>2012</v>
      </c>
      <c r="B1933" s="1">
        <v>46242</v>
      </c>
      <c r="C1933" t="str">
        <f>TEXT(tblData[[#This Row],[Rental Date]],"mmm")</f>
        <v>Aug</v>
      </c>
      <c r="D1933" t="str">
        <f>TEXT(tblData[[#This Row],[Rental Date]],"mmmm")</f>
        <v>August</v>
      </c>
      <c r="E1933" t="s">
        <v>56</v>
      </c>
      <c r="F1933" t="str">
        <f>TEXT(WEEKNUM(tblData[[#This Row],[Rental Date]]),"00")</f>
        <v>32</v>
      </c>
      <c r="G1933" s="1">
        <f>EOMONTH(tblData[[#This Row],[Rental Date]],0)</f>
        <v>46265</v>
      </c>
      <c r="H1933" t="s">
        <v>749</v>
      </c>
      <c r="I1933" t="s">
        <v>48</v>
      </c>
      <c r="J1933" t="s">
        <v>78</v>
      </c>
      <c r="K1933" t="s">
        <v>60</v>
      </c>
      <c r="L1933">
        <v>1</v>
      </c>
      <c r="M1933" s="2">
        <v>31.2</v>
      </c>
      <c r="N1933" t="s">
        <v>89</v>
      </c>
      <c r="O1933" s="3">
        <v>6</v>
      </c>
      <c r="P1933" s="3">
        <v>0</v>
      </c>
      <c r="Q1933" s="2">
        <v>37.200000000000003</v>
      </c>
      <c r="R1933" t="s">
        <v>71</v>
      </c>
      <c r="S1933" t="s">
        <v>54</v>
      </c>
      <c r="T1933" t="s">
        <v>51</v>
      </c>
      <c r="U1933" t="s">
        <v>30</v>
      </c>
    </row>
    <row r="1934" spans="1:21" x14ac:dyDescent="0.35">
      <c r="A1934" t="s">
        <v>2013</v>
      </c>
      <c r="B1934" s="1">
        <v>46242</v>
      </c>
      <c r="C1934" t="str">
        <f>TEXT(tblData[[#This Row],[Rental Date]],"mmm")</f>
        <v>Aug</v>
      </c>
      <c r="D1934" t="str">
        <f>TEXT(tblData[[#This Row],[Rental Date]],"mmmm")</f>
        <v>August</v>
      </c>
      <c r="E1934" t="s">
        <v>56</v>
      </c>
      <c r="F1934" t="str">
        <f>TEXT(WEEKNUM(tblData[[#This Row],[Rental Date]]),"00")</f>
        <v>32</v>
      </c>
      <c r="G1934" s="1">
        <f>EOMONTH(tblData[[#This Row],[Rental Date]],0)</f>
        <v>46265</v>
      </c>
      <c r="H1934" t="s">
        <v>749</v>
      </c>
      <c r="I1934" t="s">
        <v>39</v>
      </c>
      <c r="J1934" t="s">
        <v>33</v>
      </c>
      <c r="K1934" t="s">
        <v>25</v>
      </c>
      <c r="L1934">
        <v>1</v>
      </c>
      <c r="M1934" s="2">
        <v>45.6</v>
      </c>
      <c r="N1934" t="s">
        <v>87</v>
      </c>
      <c r="O1934" s="3">
        <v>10</v>
      </c>
      <c r="P1934" s="3">
        <v>0</v>
      </c>
      <c r="Q1934" s="2">
        <v>55.6</v>
      </c>
      <c r="R1934" t="s">
        <v>42</v>
      </c>
      <c r="S1934" t="s">
        <v>54</v>
      </c>
      <c r="T1934" t="s">
        <v>29</v>
      </c>
      <c r="U1934" t="s">
        <v>30</v>
      </c>
    </row>
    <row r="1935" spans="1:21" x14ac:dyDescent="0.35">
      <c r="A1935" t="s">
        <v>2014</v>
      </c>
      <c r="B1935" s="1">
        <v>46242</v>
      </c>
      <c r="C1935" t="str">
        <f>TEXT(tblData[[#This Row],[Rental Date]],"mmm")</f>
        <v>Aug</v>
      </c>
      <c r="D1935" t="str">
        <f>TEXT(tblData[[#This Row],[Rental Date]],"mmmm")</f>
        <v>August</v>
      </c>
      <c r="E1935" t="s">
        <v>56</v>
      </c>
      <c r="F1935" t="str">
        <f>TEXT(WEEKNUM(tblData[[#This Row],[Rental Date]]),"00")</f>
        <v>32</v>
      </c>
      <c r="G1935" s="1">
        <f>EOMONTH(tblData[[#This Row],[Rental Date]],0)</f>
        <v>46265</v>
      </c>
      <c r="H1935" t="s">
        <v>749</v>
      </c>
      <c r="I1935" t="s">
        <v>48</v>
      </c>
      <c r="J1935" t="s">
        <v>49</v>
      </c>
      <c r="K1935" t="s">
        <v>25</v>
      </c>
      <c r="L1935">
        <v>1</v>
      </c>
      <c r="M1935" s="2">
        <v>43.2</v>
      </c>
      <c r="N1935" t="s">
        <v>26</v>
      </c>
      <c r="O1935" s="3">
        <v>0</v>
      </c>
      <c r="P1935" s="3">
        <v>0</v>
      </c>
      <c r="Q1935" s="2">
        <v>43.2</v>
      </c>
      <c r="R1935" t="s">
        <v>27</v>
      </c>
      <c r="S1935" t="s">
        <v>46</v>
      </c>
      <c r="T1935" t="s">
        <v>90</v>
      </c>
      <c r="U1935" t="s">
        <v>30</v>
      </c>
    </row>
    <row r="1936" spans="1:21" x14ac:dyDescent="0.35">
      <c r="A1936" t="s">
        <v>2015</v>
      </c>
      <c r="B1936" s="1">
        <v>46242</v>
      </c>
      <c r="C1936" t="str">
        <f>TEXT(tblData[[#This Row],[Rental Date]],"mmm")</f>
        <v>Aug</v>
      </c>
      <c r="D1936" t="str">
        <f>TEXT(tblData[[#This Row],[Rental Date]],"mmmm")</f>
        <v>August</v>
      </c>
      <c r="E1936" t="s">
        <v>56</v>
      </c>
      <c r="F1936" t="str">
        <f>TEXT(WEEKNUM(tblData[[#This Row],[Rental Date]]),"00")</f>
        <v>32</v>
      </c>
      <c r="G1936" s="1">
        <f>EOMONTH(tblData[[#This Row],[Rental Date]],0)</f>
        <v>46265</v>
      </c>
      <c r="H1936" t="s">
        <v>749</v>
      </c>
      <c r="I1936" t="s">
        <v>39</v>
      </c>
      <c r="J1936" t="s">
        <v>49</v>
      </c>
      <c r="K1936" t="s">
        <v>92</v>
      </c>
      <c r="L1936">
        <v>1</v>
      </c>
      <c r="M1936" s="2">
        <v>91.2</v>
      </c>
      <c r="N1936" t="s">
        <v>41</v>
      </c>
      <c r="O1936" s="3">
        <v>5</v>
      </c>
      <c r="P1936" s="3">
        <v>0</v>
      </c>
      <c r="Q1936" s="2">
        <v>96.2</v>
      </c>
      <c r="R1936" t="s">
        <v>57</v>
      </c>
      <c r="S1936" t="s">
        <v>50</v>
      </c>
      <c r="T1936" t="s">
        <v>29</v>
      </c>
      <c r="U1936" t="s">
        <v>30</v>
      </c>
    </row>
    <row r="1937" spans="1:21" x14ac:dyDescent="0.35">
      <c r="A1937" t="s">
        <v>2016</v>
      </c>
      <c r="B1937" s="1">
        <v>46243</v>
      </c>
      <c r="C1937" t="str">
        <f>TEXT(tblData[[#This Row],[Rental Date]],"mmm")</f>
        <v>Aug</v>
      </c>
      <c r="D1937" t="str">
        <f>TEXT(tblData[[#This Row],[Rental Date]],"mmmm")</f>
        <v>August</v>
      </c>
      <c r="E1937" t="s">
        <v>68</v>
      </c>
      <c r="F1937" t="str">
        <f>TEXT(WEEKNUM(tblData[[#This Row],[Rental Date]]),"00")</f>
        <v>33</v>
      </c>
      <c r="G1937" s="1">
        <f>EOMONTH(tblData[[#This Row],[Rental Date]],0)</f>
        <v>46265</v>
      </c>
      <c r="H1937" t="s">
        <v>749</v>
      </c>
      <c r="I1937" t="s">
        <v>32</v>
      </c>
      <c r="J1937" t="s">
        <v>78</v>
      </c>
      <c r="K1937" t="s">
        <v>60</v>
      </c>
      <c r="L1937">
        <v>1</v>
      </c>
      <c r="M1937" s="2">
        <v>31.2</v>
      </c>
      <c r="N1937" t="s">
        <v>41</v>
      </c>
      <c r="O1937" s="3">
        <v>5</v>
      </c>
      <c r="P1937" s="3">
        <v>1.81</v>
      </c>
      <c r="Q1937" s="2">
        <v>34.39</v>
      </c>
      <c r="R1937" t="s">
        <v>42</v>
      </c>
      <c r="S1937" t="s">
        <v>50</v>
      </c>
      <c r="T1937" t="s">
        <v>83</v>
      </c>
      <c r="U1937" t="s">
        <v>30</v>
      </c>
    </row>
    <row r="1938" spans="1:21" x14ac:dyDescent="0.35">
      <c r="A1938" t="s">
        <v>2017</v>
      </c>
      <c r="B1938" s="1">
        <v>46243</v>
      </c>
      <c r="C1938" t="str">
        <f>TEXT(tblData[[#This Row],[Rental Date]],"mmm")</f>
        <v>Aug</v>
      </c>
      <c r="D1938" t="str">
        <f>TEXT(tblData[[#This Row],[Rental Date]],"mmmm")</f>
        <v>August</v>
      </c>
      <c r="E1938" t="s">
        <v>68</v>
      </c>
      <c r="F1938" t="str">
        <f>TEXT(WEEKNUM(tblData[[#This Row],[Rental Date]]),"00")</f>
        <v>33</v>
      </c>
      <c r="G1938" s="1">
        <f>EOMONTH(tblData[[#This Row],[Rental Date]],0)</f>
        <v>46265</v>
      </c>
      <c r="H1938" t="s">
        <v>749</v>
      </c>
      <c r="I1938" t="s">
        <v>39</v>
      </c>
      <c r="J1938" t="s">
        <v>44</v>
      </c>
      <c r="K1938" t="s">
        <v>60</v>
      </c>
      <c r="L1938">
        <v>1</v>
      </c>
      <c r="M1938" s="2">
        <v>40.799999999999997</v>
      </c>
      <c r="N1938" t="s">
        <v>26</v>
      </c>
      <c r="O1938" s="3">
        <v>0</v>
      </c>
      <c r="P1938" s="3">
        <v>0</v>
      </c>
      <c r="Q1938" s="2">
        <v>40.799999999999997</v>
      </c>
      <c r="R1938" t="s">
        <v>62</v>
      </c>
      <c r="S1938" t="s">
        <v>35</v>
      </c>
      <c r="T1938" t="s">
        <v>51</v>
      </c>
      <c r="U1938" t="s">
        <v>79</v>
      </c>
    </row>
    <row r="1939" spans="1:21" x14ac:dyDescent="0.35">
      <c r="A1939" t="s">
        <v>2018</v>
      </c>
      <c r="B1939" s="1">
        <v>46243</v>
      </c>
      <c r="C1939" t="str">
        <f>TEXT(tblData[[#This Row],[Rental Date]],"mmm")</f>
        <v>Aug</v>
      </c>
      <c r="D1939" t="str">
        <f>TEXT(tblData[[#This Row],[Rental Date]],"mmmm")</f>
        <v>August</v>
      </c>
      <c r="E1939" t="s">
        <v>68</v>
      </c>
      <c r="F1939" t="str">
        <f>TEXT(WEEKNUM(tblData[[#This Row],[Rental Date]]),"00")</f>
        <v>33</v>
      </c>
      <c r="G1939" s="1">
        <f>EOMONTH(tblData[[#This Row],[Rental Date]],0)</f>
        <v>46265</v>
      </c>
      <c r="H1939" t="s">
        <v>749</v>
      </c>
      <c r="I1939" t="s">
        <v>48</v>
      </c>
      <c r="J1939" t="s">
        <v>49</v>
      </c>
      <c r="K1939" t="s">
        <v>60</v>
      </c>
      <c r="L1939">
        <v>1</v>
      </c>
      <c r="M1939" s="2">
        <v>26.4</v>
      </c>
      <c r="N1939" t="s">
        <v>26</v>
      </c>
      <c r="O1939" s="3">
        <v>0</v>
      </c>
      <c r="P1939" s="3">
        <v>0</v>
      </c>
      <c r="Q1939" s="2">
        <v>26.4</v>
      </c>
      <c r="R1939" t="s">
        <v>66</v>
      </c>
      <c r="S1939" t="s">
        <v>50</v>
      </c>
      <c r="T1939" t="s">
        <v>90</v>
      </c>
      <c r="U1939" t="s">
        <v>30</v>
      </c>
    </row>
    <row r="1940" spans="1:21" x14ac:dyDescent="0.35">
      <c r="A1940" t="s">
        <v>2019</v>
      </c>
      <c r="B1940" s="1">
        <v>46243</v>
      </c>
      <c r="C1940" t="str">
        <f>TEXT(tblData[[#This Row],[Rental Date]],"mmm")</f>
        <v>Aug</v>
      </c>
      <c r="D1940" t="str">
        <f>TEXT(tblData[[#This Row],[Rental Date]],"mmmm")</f>
        <v>August</v>
      </c>
      <c r="E1940" t="s">
        <v>68</v>
      </c>
      <c r="F1940" t="str">
        <f>TEXT(WEEKNUM(tblData[[#This Row],[Rental Date]]),"00")</f>
        <v>33</v>
      </c>
      <c r="G1940" s="1">
        <f>EOMONTH(tblData[[#This Row],[Rental Date]],0)</f>
        <v>46265</v>
      </c>
      <c r="H1940" t="s">
        <v>749</v>
      </c>
      <c r="I1940" t="s">
        <v>48</v>
      </c>
      <c r="J1940" t="s">
        <v>44</v>
      </c>
      <c r="K1940" t="s">
        <v>60</v>
      </c>
      <c r="L1940">
        <v>1</v>
      </c>
      <c r="M1940" s="2">
        <v>40.799999999999997</v>
      </c>
      <c r="N1940" t="s">
        <v>41</v>
      </c>
      <c r="O1940" s="3">
        <v>5</v>
      </c>
      <c r="P1940" s="3">
        <v>0</v>
      </c>
      <c r="Q1940" s="2">
        <v>45.8</v>
      </c>
      <c r="R1940" t="s">
        <v>42</v>
      </c>
      <c r="S1940" t="s">
        <v>54</v>
      </c>
      <c r="T1940" t="s">
        <v>51</v>
      </c>
      <c r="U1940" t="s">
        <v>58</v>
      </c>
    </row>
    <row r="1941" spans="1:21" x14ac:dyDescent="0.35">
      <c r="A1941" t="s">
        <v>2020</v>
      </c>
      <c r="B1941" s="1">
        <v>46243</v>
      </c>
      <c r="C1941" t="str">
        <f>TEXT(tblData[[#This Row],[Rental Date]],"mmm")</f>
        <v>Aug</v>
      </c>
      <c r="D1941" t="str">
        <f>TEXT(tblData[[#This Row],[Rental Date]],"mmmm")</f>
        <v>August</v>
      </c>
      <c r="E1941" t="s">
        <v>68</v>
      </c>
      <c r="F1941" t="str">
        <f>TEXT(WEEKNUM(tblData[[#This Row],[Rental Date]]),"00")</f>
        <v>33</v>
      </c>
      <c r="G1941" s="1">
        <f>EOMONTH(tblData[[#This Row],[Rental Date]],0)</f>
        <v>46265</v>
      </c>
      <c r="H1941" t="s">
        <v>749</v>
      </c>
      <c r="I1941" t="s">
        <v>48</v>
      </c>
      <c r="J1941" t="s">
        <v>78</v>
      </c>
      <c r="K1941" t="s">
        <v>25</v>
      </c>
      <c r="L1941">
        <v>1</v>
      </c>
      <c r="M1941" s="2">
        <v>50.4</v>
      </c>
      <c r="N1941" t="s">
        <v>26</v>
      </c>
      <c r="O1941" s="3">
        <v>0</v>
      </c>
      <c r="P1941" s="3">
        <v>0</v>
      </c>
      <c r="Q1941" s="2">
        <v>50.4</v>
      </c>
      <c r="R1941" t="s">
        <v>76</v>
      </c>
      <c r="S1941" t="s">
        <v>35</v>
      </c>
      <c r="T1941" t="s">
        <v>29</v>
      </c>
      <c r="U1941" t="s">
        <v>58</v>
      </c>
    </row>
    <row r="1942" spans="1:21" x14ac:dyDescent="0.35">
      <c r="A1942" t="s">
        <v>2021</v>
      </c>
      <c r="B1942" s="1">
        <v>46243</v>
      </c>
      <c r="C1942" t="str">
        <f>TEXT(tblData[[#This Row],[Rental Date]],"mmm")</f>
        <v>Aug</v>
      </c>
      <c r="D1942" t="str">
        <f>TEXT(tblData[[#This Row],[Rental Date]],"mmmm")</f>
        <v>August</v>
      </c>
      <c r="E1942" t="s">
        <v>68</v>
      </c>
      <c r="F1942" t="str">
        <f>TEXT(WEEKNUM(tblData[[#This Row],[Rental Date]]),"00")</f>
        <v>33</v>
      </c>
      <c r="G1942" s="1">
        <f>EOMONTH(tblData[[#This Row],[Rental Date]],0)</f>
        <v>46265</v>
      </c>
      <c r="H1942" t="s">
        <v>749</v>
      </c>
      <c r="I1942" t="s">
        <v>39</v>
      </c>
      <c r="J1942" t="s">
        <v>44</v>
      </c>
      <c r="K1942" t="s">
        <v>40</v>
      </c>
      <c r="L1942">
        <v>1</v>
      </c>
      <c r="M1942" s="2">
        <v>93.6</v>
      </c>
      <c r="N1942" t="s">
        <v>87</v>
      </c>
      <c r="O1942" s="3">
        <v>10</v>
      </c>
      <c r="P1942" s="3">
        <v>0</v>
      </c>
      <c r="Q1942" s="2">
        <v>103.6</v>
      </c>
      <c r="R1942" t="s">
        <v>57</v>
      </c>
      <c r="S1942" t="s">
        <v>46</v>
      </c>
      <c r="T1942" t="s">
        <v>29</v>
      </c>
      <c r="U1942" t="s">
        <v>30</v>
      </c>
    </row>
    <row r="1943" spans="1:21" x14ac:dyDescent="0.35">
      <c r="A1943" t="s">
        <v>2022</v>
      </c>
      <c r="B1943" s="1">
        <v>46243</v>
      </c>
      <c r="C1943" t="str">
        <f>TEXT(tblData[[#This Row],[Rental Date]],"mmm")</f>
        <v>Aug</v>
      </c>
      <c r="D1943" t="str">
        <f>TEXT(tblData[[#This Row],[Rental Date]],"mmmm")</f>
        <v>August</v>
      </c>
      <c r="E1943" t="s">
        <v>68</v>
      </c>
      <c r="F1943" t="str">
        <f>TEXT(WEEKNUM(tblData[[#This Row],[Rental Date]]),"00")</f>
        <v>33</v>
      </c>
      <c r="G1943" s="1">
        <f>EOMONTH(tblData[[#This Row],[Rental Date]],0)</f>
        <v>46265</v>
      </c>
      <c r="H1943" t="s">
        <v>749</v>
      </c>
      <c r="I1943" t="s">
        <v>39</v>
      </c>
      <c r="J1943" t="s">
        <v>33</v>
      </c>
      <c r="K1943" t="s">
        <v>25</v>
      </c>
      <c r="L1943">
        <v>1</v>
      </c>
      <c r="M1943" s="2">
        <v>45.6</v>
      </c>
      <c r="N1943" t="s">
        <v>26</v>
      </c>
      <c r="O1943" s="3">
        <v>0</v>
      </c>
      <c r="P1943" s="3">
        <v>0</v>
      </c>
      <c r="Q1943" s="2">
        <v>45.6</v>
      </c>
      <c r="R1943" t="s">
        <v>42</v>
      </c>
      <c r="S1943" t="s">
        <v>28</v>
      </c>
      <c r="T1943" t="s">
        <v>51</v>
      </c>
      <c r="U1943" t="s">
        <v>30</v>
      </c>
    </row>
    <row r="1944" spans="1:21" x14ac:dyDescent="0.35">
      <c r="A1944" t="s">
        <v>2023</v>
      </c>
      <c r="B1944" s="1">
        <v>46243</v>
      </c>
      <c r="C1944" t="str">
        <f>TEXT(tblData[[#This Row],[Rental Date]],"mmm")</f>
        <v>Aug</v>
      </c>
      <c r="D1944" t="str">
        <f>TEXT(tblData[[#This Row],[Rental Date]],"mmmm")</f>
        <v>August</v>
      </c>
      <c r="E1944" t="s">
        <v>68</v>
      </c>
      <c r="F1944" t="str">
        <f>TEXT(WEEKNUM(tblData[[#This Row],[Rental Date]]),"00")</f>
        <v>33</v>
      </c>
      <c r="G1944" s="1">
        <f>EOMONTH(tblData[[#This Row],[Rental Date]],0)</f>
        <v>46265</v>
      </c>
      <c r="H1944" t="s">
        <v>749</v>
      </c>
      <c r="I1944" t="s">
        <v>48</v>
      </c>
      <c r="J1944" t="s">
        <v>49</v>
      </c>
      <c r="K1944" t="s">
        <v>92</v>
      </c>
      <c r="L1944">
        <v>1</v>
      </c>
      <c r="M1944" s="2">
        <v>91.2</v>
      </c>
      <c r="N1944" t="s">
        <v>26</v>
      </c>
      <c r="O1944" s="3">
        <v>0</v>
      </c>
      <c r="P1944" s="3">
        <v>0</v>
      </c>
      <c r="Q1944" s="2">
        <v>91.2</v>
      </c>
      <c r="R1944" t="s">
        <v>57</v>
      </c>
      <c r="S1944" t="s">
        <v>50</v>
      </c>
      <c r="T1944" t="s">
        <v>29</v>
      </c>
      <c r="U1944" t="s">
        <v>30</v>
      </c>
    </row>
    <row r="1945" spans="1:21" x14ac:dyDescent="0.35">
      <c r="A1945" t="s">
        <v>2024</v>
      </c>
      <c r="B1945" s="1">
        <v>46243</v>
      </c>
      <c r="C1945" t="str">
        <f>TEXT(tblData[[#This Row],[Rental Date]],"mmm")</f>
        <v>Aug</v>
      </c>
      <c r="D1945" t="str">
        <f>TEXT(tblData[[#This Row],[Rental Date]],"mmmm")</f>
        <v>August</v>
      </c>
      <c r="E1945" t="s">
        <v>68</v>
      </c>
      <c r="F1945" t="str">
        <f>TEXT(WEEKNUM(tblData[[#This Row],[Rental Date]]),"00")</f>
        <v>33</v>
      </c>
      <c r="G1945" s="1">
        <f>EOMONTH(tblData[[#This Row],[Rental Date]],0)</f>
        <v>46265</v>
      </c>
      <c r="H1945" t="s">
        <v>749</v>
      </c>
      <c r="I1945" t="s">
        <v>39</v>
      </c>
      <c r="J1945" t="s">
        <v>138</v>
      </c>
      <c r="K1945" t="s">
        <v>25</v>
      </c>
      <c r="L1945">
        <v>1</v>
      </c>
      <c r="M1945" s="2">
        <v>57.6</v>
      </c>
      <c r="N1945" t="s">
        <v>26</v>
      </c>
      <c r="O1945" s="3">
        <v>0</v>
      </c>
      <c r="P1945" s="3">
        <v>0</v>
      </c>
      <c r="Q1945" s="2">
        <v>57.6</v>
      </c>
      <c r="R1945" t="s">
        <v>62</v>
      </c>
      <c r="S1945" t="s">
        <v>54</v>
      </c>
      <c r="T1945" t="s">
        <v>90</v>
      </c>
      <c r="U1945" t="s">
        <v>30</v>
      </c>
    </row>
    <row r="1946" spans="1:21" x14ac:dyDescent="0.35">
      <c r="A1946" t="s">
        <v>2025</v>
      </c>
      <c r="B1946" s="1">
        <v>46243</v>
      </c>
      <c r="C1946" t="str">
        <f>TEXT(tblData[[#This Row],[Rental Date]],"mmm")</f>
        <v>Aug</v>
      </c>
      <c r="D1946" t="str">
        <f>TEXT(tblData[[#This Row],[Rental Date]],"mmmm")</f>
        <v>August</v>
      </c>
      <c r="E1946" t="s">
        <v>68</v>
      </c>
      <c r="F1946" t="str">
        <f>TEXT(WEEKNUM(tblData[[#This Row],[Rental Date]]),"00")</f>
        <v>33</v>
      </c>
      <c r="G1946" s="1">
        <f>EOMONTH(tblData[[#This Row],[Rental Date]],0)</f>
        <v>46265</v>
      </c>
      <c r="H1946" t="s">
        <v>749</v>
      </c>
      <c r="I1946" t="s">
        <v>48</v>
      </c>
      <c r="J1946" t="s">
        <v>49</v>
      </c>
      <c r="K1946" t="s">
        <v>40</v>
      </c>
      <c r="L1946">
        <v>1</v>
      </c>
      <c r="M1946" s="2">
        <v>64.8</v>
      </c>
      <c r="N1946" t="s">
        <v>87</v>
      </c>
      <c r="O1946" s="3">
        <v>10</v>
      </c>
      <c r="P1946" s="3">
        <v>0</v>
      </c>
      <c r="Q1946" s="2">
        <v>74.8</v>
      </c>
      <c r="R1946" t="s">
        <v>66</v>
      </c>
      <c r="S1946" t="s">
        <v>50</v>
      </c>
      <c r="T1946" t="s">
        <v>63</v>
      </c>
      <c r="U1946" t="s">
        <v>30</v>
      </c>
    </row>
    <row r="1947" spans="1:21" x14ac:dyDescent="0.35">
      <c r="A1947" t="s">
        <v>2026</v>
      </c>
      <c r="B1947" s="1">
        <v>46243</v>
      </c>
      <c r="C1947" t="str">
        <f>TEXT(tblData[[#This Row],[Rental Date]],"mmm")</f>
        <v>Aug</v>
      </c>
      <c r="D1947" t="str">
        <f>TEXT(tblData[[#This Row],[Rental Date]],"mmmm")</f>
        <v>August</v>
      </c>
      <c r="E1947" t="s">
        <v>68</v>
      </c>
      <c r="F1947" t="str">
        <f>TEXT(WEEKNUM(tblData[[#This Row],[Rental Date]]),"00")</f>
        <v>33</v>
      </c>
      <c r="G1947" s="1">
        <f>EOMONTH(tblData[[#This Row],[Rental Date]],0)</f>
        <v>46265</v>
      </c>
      <c r="H1947" t="s">
        <v>749</v>
      </c>
      <c r="I1947" t="s">
        <v>48</v>
      </c>
      <c r="J1947" t="s">
        <v>127</v>
      </c>
      <c r="K1947" t="s">
        <v>92</v>
      </c>
      <c r="L1947">
        <v>1</v>
      </c>
      <c r="M1947" s="2">
        <v>40.799999999999997</v>
      </c>
      <c r="N1947" t="s">
        <v>26</v>
      </c>
      <c r="O1947" s="3">
        <v>0</v>
      </c>
      <c r="P1947" s="3">
        <v>0</v>
      </c>
      <c r="Q1947" s="2">
        <v>40.799999999999997</v>
      </c>
      <c r="R1947" t="s">
        <v>62</v>
      </c>
      <c r="S1947" t="s">
        <v>54</v>
      </c>
      <c r="T1947" t="s">
        <v>51</v>
      </c>
      <c r="U1947" t="s">
        <v>58</v>
      </c>
    </row>
    <row r="1948" spans="1:21" x14ac:dyDescent="0.35">
      <c r="A1948" t="s">
        <v>2027</v>
      </c>
      <c r="B1948" s="1">
        <v>46243</v>
      </c>
      <c r="C1948" t="str">
        <f>TEXT(tblData[[#This Row],[Rental Date]],"mmm")</f>
        <v>Aug</v>
      </c>
      <c r="D1948" t="str">
        <f>TEXT(tblData[[#This Row],[Rental Date]],"mmmm")</f>
        <v>August</v>
      </c>
      <c r="E1948" t="s">
        <v>68</v>
      </c>
      <c r="F1948" t="str">
        <f>TEXT(WEEKNUM(tblData[[#This Row],[Rental Date]]),"00")</f>
        <v>33</v>
      </c>
      <c r="G1948" s="1">
        <f>EOMONTH(tblData[[#This Row],[Rental Date]],0)</f>
        <v>46265</v>
      </c>
      <c r="H1948" t="s">
        <v>749</v>
      </c>
      <c r="I1948" t="s">
        <v>23</v>
      </c>
      <c r="J1948" t="s">
        <v>78</v>
      </c>
      <c r="K1948" t="s">
        <v>40</v>
      </c>
      <c r="L1948">
        <v>1</v>
      </c>
      <c r="M1948" s="2">
        <v>74.400000000000006</v>
      </c>
      <c r="N1948" t="s">
        <v>75</v>
      </c>
      <c r="O1948" s="3">
        <v>12</v>
      </c>
      <c r="P1948" s="3">
        <v>0</v>
      </c>
      <c r="Q1948" s="2">
        <v>86.4</v>
      </c>
      <c r="R1948" t="s">
        <v>62</v>
      </c>
      <c r="S1948" t="s">
        <v>46</v>
      </c>
      <c r="T1948" t="s">
        <v>29</v>
      </c>
      <c r="U1948" t="s">
        <v>58</v>
      </c>
    </row>
    <row r="1949" spans="1:21" x14ac:dyDescent="0.35">
      <c r="A1949" t="s">
        <v>2028</v>
      </c>
      <c r="B1949" s="1">
        <v>46243</v>
      </c>
      <c r="C1949" t="str">
        <f>TEXT(tblData[[#This Row],[Rental Date]],"mmm")</f>
        <v>Aug</v>
      </c>
      <c r="D1949" t="str">
        <f>TEXT(tblData[[#This Row],[Rental Date]],"mmmm")</f>
        <v>August</v>
      </c>
      <c r="E1949" t="s">
        <v>68</v>
      </c>
      <c r="F1949" t="str">
        <f>TEXT(WEEKNUM(tblData[[#This Row],[Rental Date]]),"00")</f>
        <v>33</v>
      </c>
      <c r="G1949" s="1">
        <f>EOMONTH(tblData[[#This Row],[Rental Date]],0)</f>
        <v>46265</v>
      </c>
      <c r="H1949" t="s">
        <v>749</v>
      </c>
      <c r="I1949" t="s">
        <v>32</v>
      </c>
      <c r="J1949" t="s">
        <v>24</v>
      </c>
      <c r="K1949" t="s">
        <v>40</v>
      </c>
      <c r="L1949">
        <v>1</v>
      </c>
      <c r="M1949" s="2">
        <v>91.2</v>
      </c>
      <c r="N1949" t="s">
        <v>26</v>
      </c>
      <c r="O1949" s="3">
        <v>0</v>
      </c>
      <c r="P1949" s="3">
        <v>0</v>
      </c>
      <c r="Q1949" s="2">
        <v>91.2</v>
      </c>
      <c r="R1949" t="s">
        <v>57</v>
      </c>
      <c r="S1949" t="s">
        <v>54</v>
      </c>
      <c r="T1949" t="s">
        <v>90</v>
      </c>
      <c r="U1949" t="s">
        <v>30</v>
      </c>
    </row>
    <row r="1950" spans="1:21" x14ac:dyDescent="0.35">
      <c r="A1950" t="s">
        <v>2029</v>
      </c>
      <c r="B1950" s="1">
        <v>46243</v>
      </c>
      <c r="C1950" t="str">
        <f>TEXT(tblData[[#This Row],[Rental Date]],"mmm")</f>
        <v>Aug</v>
      </c>
      <c r="D1950" t="str">
        <f>TEXT(tblData[[#This Row],[Rental Date]],"mmmm")</f>
        <v>August</v>
      </c>
      <c r="E1950" t="s">
        <v>68</v>
      </c>
      <c r="F1950" t="str">
        <f>TEXT(WEEKNUM(tblData[[#This Row],[Rental Date]]),"00")</f>
        <v>33</v>
      </c>
      <c r="G1950" s="1">
        <f>EOMONTH(tblData[[#This Row],[Rental Date]],0)</f>
        <v>46265</v>
      </c>
      <c r="H1950" t="s">
        <v>749</v>
      </c>
      <c r="I1950" t="s">
        <v>48</v>
      </c>
      <c r="J1950" t="s">
        <v>24</v>
      </c>
      <c r="K1950" t="s">
        <v>25</v>
      </c>
      <c r="L1950">
        <v>1</v>
      </c>
      <c r="M1950" s="2">
        <v>60</v>
      </c>
      <c r="N1950" t="s">
        <v>26</v>
      </c>
      <c r="O1950" s="3">
        <v>0</v>
      </c>
      <c r="P1950" s="3">
        <v>0</v>
      </c>
      <c r="Q1950" s="2">
        <v>60</v>
      </c>
      <c r="R1950" t="s">
        <v>57</v>
      </c>
      <c r="S1950" t="s">
        <v>28</v>
      </c>
      <c r="T1950" t="s">
        <v>63</v>
      </c>
      <c r="U1950" t="s">
        <v>30</v>
      </c>
    </row>
    <row r="1951" spans="1:21" x14ac:dyDescent="0.35">
      <c r="A1951" t="s">
        <v>2030</v>
      </c>
      <c r="B1951" s="1">
        <v>46243</v>
      </c>
      <c r="C1951" t="str">
        <f>TEXT(tblData[[#This Row],[Rental Date]],"mmm")</f>
        <v>Aug</v>
      </c>
      <c r="D1951" t="str">
        <f>TEXT(tblData[[#This Row],[Rental Date]],"mmmm")</f>
        <v>August</v>
      </c>
      <c r="E1951" t="s">
        <v>68</v>
      </c>
      <c r="F1951" t="str">
        <f>TEXT(WEEKNUM(tblData[[#This Row],[Rental Date]]),"00")</f>
        <v>33</v>
      </c>
      <c r="G1951" s="1">
        <f>EOMONTH(tblData[[#This Row],[Rental Date]],0)</f>
        <v>46265</v>
      </c>
      <c r="H1951" t="s">
        <v>749</v>
      </c>
      <c r="I1951" t="s">
        <v>39</v>
      </c>
      <c r="J1951" t="s">
        <v>44</v>
      </c>
      <c r="K1951" t="s">
        <v>25</v>
      </c>
      <c r="L1951">
        <v>1</v>
      </c>
      <c r="M1951" s="2">
        <v>62.4</v>
      </c>
      <c r="N1951" t="s">
        <v>70</v>
      </c>
      <c r="O1951" s="3">
        <v>7</v>
      </c>
      <c r="P1951" s="3">
        <v>3.47</v>
      </c>
      <c r="Q1951" s="2">
        <v>65.930000000000007</v>
      </c>
      <c r="R1951" t="s">
        <v>94</v>
      </c>
      <c r="S1951" t="s">
        <v>28</v>
      </c>
      <c r="T1951" t="s">
        <v>29</v>
      </c>
      <c r="U1951" t="s">
        <v>30</v>
      </c>
    </row>
    <row r="1952" spans="1:21" x14ac:dyDescent="0.35">
      <c r="A1952" t="s">
        <v>2031</v>
      </c>
      <c r="B1952" s="1">
        <v>46243</v>
      </c>
      <c r="C1952" t="str">
        <f>TEXT(tblData[[#This Row],[Rental Date]],"mmm")</f>
        <v>Aug</v>
      </c>
      <c r="D1952" t="str">
        <f>TEXT(tblData[[#This Row],[Rental Date]],"mmmm")</f>
        <v>August</v>
      </c>
      <c r="E1952" t="s">
        <v>68</v>
      </c>
      <c r="F1952" t="str">
        <f>TEXT(WEEKNUM(tblData[[#This Row],[Rental Date]]),"00")</f>
        <v>33</v>
      </c>
      <c r="G1952" s="1">
        <f>EOMONTH(tblData[[#This Row],[Rental Date]],0)</f>
        <v>46265</v>
      </c>
      <c r="H1952" t="s">
        <v>749</v>
      </c>
      <c r="I1952" t="s">
        <v>32</v>
      </c>
      <c r="J1952" t="s">
        <v>78</v>
      </c>
      <c r="K1952" t="s">
        <v>40</v>
      </c>
      <c r="L1952">
        <v>1</v>
      </c>
      <c r="M1952" s="2">
        <v>74.400000000000006</v>
      </c>
      <c r="N1952" t="s">
        <v>89</v>
      </c>
      <c r="O1952" s="3">
        <v>6</v>
      </c>
      <c r="P1952" s="3">
        <v>0</v>
      </c>
      <c r="Q1952" s="2">
        <v>80.400000000000006</v>
      </c>
      <c r="R1952" t="s">
        <v>76</v>
      </c>
      <c r="S1952" t="s">
        <v>46</v>
      </c>
      <c r="T1952" t="s">
        <v>63</v>
      </c>
      <c r="U1952" t="s">
        <v>30</v>
      </c>
    </row>
    <row r="1953" spans="1:21" x14ac:dyDescent="0.35">
      <c r="A1953" t="s">
        <v>2032</v>
      </c>
      <c r="B1953" s="1">
        <v>46243</v>
      </c>
      <c r="C1953" t="str">
        <f>TEXT(tblData[[#This Row],[Rental Date]],"mmm")</f>
        <v>Aug</v>
      </c>
      <c r="D1953" t="str">
        <f>TEXT(tblData[[#This Row],[Rental Date]],"mmmm")</f>
        <v>August</v>
      </c>
      <c r="E1953" t="s">
        <v>68</v>
      </c>
      <c r="F1953" t="str">
        <f>TEXT(WEEKNUM(tblData[[#This Row],[Rental Date]]),"00")</f>
        <v>33</v>
      </c>
      <c r="G1953" s="1">
        <f>EOMONTH(tblData[[#This Row],[Rental Date]],0)</f>
        <v>46265</v>
      </c>
      <c r="H1953" t="s">
        <v>749</v>
      </c>
      <c r="I1953" t="s">
        <v>23</v>
      </c>
      <c r="J1953" t="s">
        <v>78</v>
      </c>
      <c r="K1953" t="s">
        <v>60</v>
      </c>
      <c r="L1953">
        <v>1</v>
      </c>
      <c r="M1953" s="2">
        <v>31.2</v>
      </c>
      <c r="N1953" t="s">
        <v>26</v>
      </c>
      <c r="O1953" s="3">
        <v>0</v>
      </c>
      <c r="P1953" s="3">
        <v>0</v>
      </c>
      <c r="Q1953" s="2">
        <v>31.2</v>
      </c>
      <c r="R1953" t="s">
        <v>57</v>
      </c>
      <c r="S1953" t="s">
        <v>50</v>
      </c>
      <c r="T1953" t="s">
        <v>29</v>
      </c>
      <c r="U1953" t="s">
        <v>30</v>
      </c>
    </row>
    <row r="1954" spans="1:21" x14ac:dyDescent="0.35">
      <c r="A1954" t="s">
        <v>2033</v>
      </c>
      <c r="B1954" s="1">
        <v>46243</v>
      </c>
      <c r="C1954" t="str">
        <f>TEXT(tblData[[#This Row],[Rental Date]],"mmm")</f>
        <v>Aug</v>
      </c>
      <c r="D1954" t="str">
        <f>TEXT(tblData[[#This Row],[Rental Date]],"mmmm")</f>
        <v>August</v>
      </c>
      <c r="E1954" t="s">
        <v>68</v>
      </c>
      <c r="F1954" t="str">
        <f>TEXT(WEEKNUM(tblData[[#This Row],[Rental Date]]),"00")</f>
        <v>33</v>
      </c>
      <c r="G1954" s="1">
        <f>EOMONTH(tblData[[#This Row],[Rental Date]],0)</f>
        <v>46265</v>
      </c>
      <c r="H1954" t="s">
        <v>749</v>
      </c>
      <c r="I1954" t="s">
        <v>53</v>
      </c>
      <c r="J1954" t="s">
        <v>78</v>
      </c>
      <c r="K1954" t="s">
        <v>60</v>
      </c>
      <c r="L1954">
        <v>1</v>
      </c>
      <c r="M1954" s="2">
        <v>31.2</v>
      </c>
      <c r="N1954" t="s">
        <v>89</v>
      </c>
      <c r="O1954" s="3">
        <v>6</v>
      </c>
      <c r="P1954" s="3">
        <v>5.58</v>
      </c>
      <c r="Q1954" s="2">
        <v>31.62</v>
      </c>
      <c r="R1954" t="s">
        <v>62</v>
      </c>
      <c r="S1954" t="s">
        <v>54</v>
      </c>
      <c r="T1954" t="s">
        <v>63</v>
      </c>
      <c r="U1954" t="s">
        <v>30</v>
      </c>
    </row>
    <row r="1955" spans="1:21" x14ac:dyDescent="0.35">
      <c r="A1955" t="s">
        <v>2034</v>
      </c>
      <c r="B1955" s="1">
        <v>46243</v>
      </c>
      <c r="C1955" t="str">
        <f>TEXT(tblData[[#This Row],[Rental Date]],"mmm")</f>
        <v>Aug</v>
      </c>
      <c r="D1955" t="str">
        <f>TEXT(tblData[[#This Row],[Rental Date]],"mmmm")</f>
        <v>August</v>
      </c>
      <c r="E1955" t="s">
        <v>68</v>
      </c>
      <c r="F1955" t="str">
        <f>TEXT(WEEKNUM(tblData[[#This Row],[Rental Date]]),"00")</f>
        <v>33</v>
      </c>
      <c r="G1955" s="1">
        <f>EOMONTH(tblData[[#This Row],[Rental Date]],0)</f>
        <v>46265</v>
      </c>
      <c r="H1955" t="s">
        <v>749</v>
      </c>
      <c r="I1955" t="s">
        <v>39</v>
      </c>
      <c r="J1955" t="s">
        <v>49</v>
      </c>
      <c r="K1955" t="s">
        <v>40</v>
      </c>
      <c r="L1955">
        <v>1</v>
      </c>
      <c r="M1955" s="2">
        <v>64.8</v>
      </c>
      <c r="N1955" t="s">
        <v>26</v>
      </c>
      <c r="O1955" s="3">
        <v>0</v>
      </c>
      <c r="P1955" s="3">
        <v>0</v>
      </c>
      <c r="Q1955" s="2">
        <v>64.8</v>
      </c>
      <c r="R1955" t="s">
        <v>94</v>
      </c>
      <c r="S1955" t="s">
        <v>46</v>
      </c>
      <c r="T1955" t="s">
        <v>51</v>
      </c>
      <c r="U1955" t="s">
        <v>30</v>
      </c>
    </row>
    <row r="1956" spans="1:21" x14ac:dyDescent="0.35">
      <c r="A1956" t="s">
        <v>2035</v>
      </c>
      <c r="B1956" s="1">
        <v>46243</v>
      </c>
      <c r="C1956" t="str">
        <f>TEXT(tblData[[#This Row],[Rental Date]],"mmm")</f>
        <v>Aug</v>
      </c>
      <c r="D1956" t="str">
        <f>TEXT(tblData[[#This Row],[Rental Date]],"mmmm")</f>
        <v>August</v>
      </c>
      <c r="E1956" t="s">
        <v>68</v>
      </c>
      <c r="F1956" t="str">
        <f>TEXT(WEEKNUM(tblData[[#This Row],[Rental Date]]),"00")</f>
        <v>33</v>
      </c>
      <c r="G1956" s="1">
        <f>EOMONTH(tblData[[#This Row],[Rental Date]],0)</f>
        <v>46265</v>
      </c>
      <c r="H1956" t="s">
        <v>749</v>
      </c>
      <c r="I1956" t="s">
        <v>48</v>
      </c>
      <c r="J1956" t="s">
        <v>65</v>
      </c>
      <c r="K1956" t="s">
        <v>25</v>
      </c>
      <c r="L1956">
        <v>1</v>
      </c>
      <c r="M1956" s="2">
        <v>21.6</v>
      </c>
      <c r="N1956" t="s">
        <v>41</v>
      </c>
      <c r="O1956" s="3">
        <v>5</v>
      </c>
      <c r="P1956" s="3">
        <v>0</v>
      </c>
      <c r="Q1956" s="2">
        <v>26.6</v>
      </c>
      <c r="R1956" t="s">
        <v>34</v>
      </c>
      <c r="S1956" t="s">
        <v>28</v>
      </c>
      <c r="T1956" t="s">
        <v>63</v>
      </c>
      <c r="U1956" t="s">
        <v>30</v>
      </c>
    </row>
    <row r="1957" spans="1:21" x14ac:dyDescent="0.35">
      <c r="A1957" t="s">
        <v>2036</v>
      </c>
      <c r="B1957" s="1">
        <v>46243</v>
      </c>
      <c r="C1957" t="str">
        <f>TEXT(tblData[[#This Row],[Rental Date]],"mmm")</f>
        <v>Aug</v>
      </c>
      <c r="D1957" t="str">
        <f>TEXT(tblData[[#This Row],[Rental Date]],"mmmm")</f>
        <v>August</v>
      </c>
      <c r="E1957" t="s">
        <v>68</v>
      </c>
      <c r="F1957" t="str">
        <f>TEXT(WEEKNUM(tblData[[#This Row],[Rental Date]]),"00")</f>
        <v>33</v>
      </c>
      <c r="G1957" s="1">
        <f>EOMONTH(tblData[[#This Row],[Rental Date]],0)</f>
        <v>46265</v>
      </c>
      <c r="H1957" t="s">
        <v>749</v>
      </c>
      <c r="I1957" t="s">
        <v>39</v>
      </c>
      <c r="J1957" t="s">
        <v>78</v>
      </c>
      <c r="K1957" t="s">
        <v>25</v>
      </c>
      <c r="L1957">
        <v>1</v>
      </c>
      <c r="M1957" s="2">
        <v>50.4</v>
      </c>
      <c r="N1957" t="s">
        <v>87</v>
      </c>
      <c r="O1957" s="3">
        <v>10</v>
      </c>
      <c r="P1957" s="3">
        <v>0</v>
      </c>
      <c r="Q1957" s="2">
        <v>60.4</v>
      </c>
      <c r="R1957" t="s">
        <v>34</v>
      </c>
      <c r="S1957" t="s">
        <v>35</v>
      </c>
      <c r="T1957" t="s">
        <v>51</v>
      </c>
      <c r="U1957" t="s">
        <v>58</v>
      </c>
    </row>
    <row r="1958" spans="1:21" x14ac:dyDescent="0.35">
      <c r="A1958" t="s">
        <v>2037</v>
      </c>
      <c r="B1958" s="1">
        <v>46243</v>
      </c>
      <c r="C1958" t="str">
        <f>TEXT(tblData[[#This Row],[Rental Date]],"mmm")</f>
        <v>Aug</v>
      </c>
      <c r="D1958" t="str">
        <f>TEXT(tblData[[#This Row],[Rental Date]],"mmmm")</f>
        <v>August</v>
      </c>
      <c r="E1958" t="s">
        <v>68</v>
      </c>
      <c r="F1958" t="str">
        <f>TEXT(WEEKNUM(tblData[[#This Row],[Rental Date]]),"00")</f>
        <v>33</v>
      </c>
      <c r="G1958" s="1">
        <f>EOMONTH(tblData[[#This Row],[Rental Date]],0)</f>
        <v>46265</v>
      </c>
      <c r="H1958" t="s">
        <v>749</v>
      </c>
      <c r="I1958" t="s">
        <v>48</v>
      </c>
      <c r="J1958" t="s">
        <v>33</v>
      </c>
      <c r="K1958" t="s">
        <v>60</v>
      </c>
      <c r="L1958">
        <v>1</v>
      </c>
      <c r="M1958" s="2">
        <v>28.8</v>
      </c>
      <c r="N1958" t="s">
        <v>26</v>
      </c>
      <c r="O1958" s="3">
        <v>0</v>
      </c>
      <c r="P1958" s="3">
        <v>0</v>
      </c>
      <c r="Q1958" s="2">
        <v>28.8</v>
      </c>
      <c r="R1958" t="s">
        <v>27</v>
      </c>
      <c r="S1958" t="s">
        <v>28</v>
      </c>
      <c r="T1958" t="s">
        <v>90</v>
      </c>
      <c r="U1958" t="s">
        <v>30</v>
      </c>
    </row>
    <row r="1959" spans="1:21" x14ac:dyDescent="0.35">
      <c r="A1959" t="s">
        <v>2038</v>
      </c>
      <c r="B1959" s="1">
        <v>46243</v>
      </c>
      <c r="C1959" t="str">
        <f>TEXT(tblData[[#This Row],[Rental Date]],"mmm")</f>
        <v>Aug</v>
      </c>
      <c r="D1959" t="str">
        <f>TEXT(tblData[[#This Row],[Rental Date]],"mmmm")</f>
        <v>August</v>
      </c>
      <c r="E1959" t="s">
        <v>68</v>
      </c>
      <c r="F1959" t="str">
        <f>TEXT(WEEKNUM(tblData[[#This Row],[Rental Date]]),"00")</f>
        <v>33</v>
      </c>
      <c r="G1959" s="1">
        <f>EOMONTH(tblData[[#This Row],[Rental Date]],0)</f>
        <v>46265</v>
      </c>
      <c r="H1959" t="s">
        <v>749</v>
      </c>
      <c r="I1959" t="s">
        <v>39</v>
      </c>
      <c r="J1959" t="s">
        <v>33</v>
      </c>
      <c r="K1959" t="s">
        <v>60</v>
      </c>
      <c r="L1959">
        <v>1</v>
      </c>
      <c r="M1959" s="2">
        <v>28.8</v>
      </c>
      <c r="N1959" t="s">
        <v>26</v>
      </c>
      <c r="O1959" s="3">
        <v>0</v>
      </c>
      <c r="P1959" s="3">
        <v>0</v>
      </c>
      <c r="Q1959" s="2">
        <v>28.8</v>
      </c>
      <c r="R1959" t="s">
        <v>66</v>
      </c>
      <c r="S1959" t="s">
        <v>28</v>
      </c>
      <c r="T1959" t="s">
        <v>90</v>
      </c>
      <c r="U1959" t="s">
        <v>30</v>
      </c>
    </row>
    <row r="1960" spans="1:21" x14ac:dyDescent="0.35">
      <c r="A1960" t="s">
        <v>2039</v>
      </c>
      <c r="B1960" s="1">
        <v>46243</v>
      </c>
      <c r="C1960" t="str">
        <f>TEXT(tblData[[#This Row],[Rental Date]],"mmm")</f>
        <v>Aug</v>
      </c>
      <c r="D1960" t="str">
        <f>TEXT(tblData[[#This Row],[Rental Date]],"mmmm")</f>
        <v>August</v>
      </c>
      <c r="E1960" t="s">
        <v>68</v>
      </c>
      <c r="F1960" t="str">
        <f>TEXT(WEEKNUM(tblData[[#This Row],[Rental Date]]),"00")</f>
        <v>33</v>
      </c>
      <c r="G1960" s="1">
        <f>EOMONTH(tblData[[#This Row],[Rental Date]],0)</f>
        <v>46265</v>
      </c>
      <c r="H1960" t="s">
        <v>749</v>
      </c>
      <c r="I1960" t="s">
        <v>48</v>
      </c>
      <c r="J1960" t="s">
        <v>33</v>
      </c>
      <c r="K1960" t="s">
        <v>92</v>
      </c>
      <c r="L1960">
        <v>1</v>
      </c>
      <c r="M1960" s="2">
        <v>100.8</v>
      </c>
      <c r="N1960" t="s">
        <v>26</v>
      </c>
      <c r="O1960" s="3">
        <v>0</v>
      </c>
      <c r="P1960" s="3">
        <v>0</v>
      </c>
      <c r="Q1960" s="2">
        <v>100.8</v>
      </c>
      <c r="R1960" t="s">
        <v>94</v>
      </c>
      <c r="S1960" t="s">
        <v>28</v>
      </c>
      <c r="T1960" t="s">
        <v>29</v>
      </c>
      <c r="U1960" t="s">
        <v>79</v>
      </c>
    </row>
    <row r="1961" spans="1:21" x14ac:dyDescent="0.35">
      <c r="A1961" t="s">
        <v>2040</v>
      </c>
      <c r="B1961" s="1">
        <v>46243</v>
      </c>
      <c r="C1961" t="str">
        <f>TEXT(tblData[[#This Row],[Rental Date]],"mmm")</f>
        <v>Aug</v>
      </c>
      <c r="D1961" t="str">
        <f>TEXT(tblData[[#This Row],[Rental Date]],"mmmm")</f>
        <v>August</v>
      </c>
      <c r="E1961" t="s">
        <v>68</v>
      </c>
      <c r="F1961" t="str">
        <f>TEXT(WEEKNUM(tblData[[#This Row],[Rental Date]]),"00")</f>
        <v>33</v>
      </c>
      <c r="G1961" s="1">
        <f>EOMONTH(tblData[[#This Row],[Rental Date]],0)</f>
        <v>46265</v>
      </c>
      <c r="H1961" t="s">
        <v>749</v>
      </c>
      <c r="I1961" t="s">
        <v>48</v>
      </c>
      <c r="J1961" t="s">
        <v>33</v>
      </c>
      <c r="K1961" t="s">
        <v>40</v>
      </c>
      <c r="L1961">
        <v>1</v>
      </c>
      <c r="M1961" s="2">
        <v>69.599999999999994</v>
      </c>
      <c r="N1961" t="s">
        <v>26</v>
      </c>
      <c r="O1961" s="3">
        <v>0</v>
      </c>
      <c r="P1961" s="3">
        <v>0</v>
      </c>
      <c r="Q1961" s="2">
        <v>69.599999999999994</v>
      </c>
      <c r="R1961" t="s">
        <v>76</v>
      </c>
      <c r="S1961" t="s">
        <v>35</v>
      </c>
      <c r="T1961" t="s">
        <v>29</v>
      </c>
      <c r="U1961" t="s">
        <v>30</v>
      </c>
    </row>
    <row r="1962" spans="1:21" x14ac:dyDescent="0.35">
      <c r="A1962" t="s">
        <v>2041</v>
      </c>
      <c r="B1962" s="1">
        <v>46243</v>
      </c>
      <c r="C1962" t="str">
        <f>TEXT(tblData[[#This Row],[Rental Date]],"mmm")</f>
        <v>Aug</v>
      </c>
      <c r="D1962" t="str">
        <f>TEXT(tblData[[#This Row],[Rental Date]],"mmmm")</f>
        <v>August</v>
      </c>
      <c r="E1962" t="s">
        <v>68</v>
      </c>
      <c r="F1962" t="str">
        <f>TEXT(WEEKNUM(tblData[[#This Row],[Rental Date]]),"00")</f>
        <v>33</v>
      </c>
      <c r="G1962" s="1">
        <f>EOMONTH(tblData[[#This Row],[Rental Date]],0)</f>
        <v>46265</v>
      </c>
      <c r="H1962" t="s">
        <v>749</v>
      </c>
      <c r="I1962" t="s">
        <v>39</v>
      </c>
      <c r="J1962" t="s">
        <v>78</v>
      </c>
      <c r="K1962" t="s">
        <v>25</v>
      </c>
      <c r="L1962">
        <v>1</v>
      </c>
      <c r="M1962" s="2">
        <v>50.4</v>
      </c>
      <c r="N1962" t="s">
        <v>41</v>
      </c>
      <c r="O1962" s="3">
        <v>5</v>
      </c>
      <c r="P1962" s="3">
        <v>0</v>
      </c>
      <c r="Q1962" s="2">
        <v>55.4</v>
      </c>
      <c r="R1962" t="s">
        <v>57</v>
      </c>
      <c r="S1962" t="s">
        <v>46</v>
      </c>
      <c r="T1962" t="s">
        <v>29</v>
      </c>
      <c r="U1962" t="s">
        <v>30</v>
      </c>
    </row>
    <row r="1963" spans="1:21" x14ac:dyDescent="0.35">
      <c r="A1963" t="s">
        <v>2042</v>
      </c>
      <c r="B1963" s="1">
        <v>46243</v>
      </c>
      <c r="C1963" t="str">
        <f>TEXT(tblData[[#This Row],[Rental Date]],"mmm")</f>
        <v>Aug</v>
      </c>
      <c r="D1963" t="str">
        <f>TEXT(tblData[[#This Row],[Rental Date]],"mmmm")</f>
        <v>August</v>
      </c>
      <c r="E1963" t="s">
        <v>68</v>
      </c>
      <c r="F1963" t="str">
        <f>TEXT(WEEKNUM(tblData[[#This Row],[Rental Date]]),"00")</f>
        <v>33</v>
      </c>
      <c r="G1963" s="1">
        <f>EOMONTH(tblData[[#This Row],[Rental Date]],0)</f>
        <v>46265</v>
      </c>
      <c r="H1963" t="s">
        <v>749</v>
      </c>
      <c r="I1963" t="s">
        <v>48</v>
      </c>
      <c r="J1963" t="s">
        <v>86</v>
      </c>
      <c r="K1963" t="s">
        <v>25</v>
      </c>
      <c r="L1963">
        <v>1</v>
      </c>
      <c r="M1963" s="2">
        <v>69.599999999999994</v>
      </c>
      <c r="N1963" t="s">
        <v>26</v>
      </c>
      <c r="O1963" s="3">
        <v>0</v>
      </c>
      <c r="P1963" s="3">
        <v>3.48</v>
      </c>
      <c r="Q1963" s="2">
        <v>66.12</v>
      </c>
      <c r="R1963" t="s">
        <v>42</v>
      </c>
      <c r="S1963" t="s">
        <v>28</v>
      </c>
      <c r="T1963" t="s">
        <v>51</v>
      </c>
      <c r="U1963" t="s">
        <v>30</v>
      </c>
    </row>
    <row r="1964" spans="1:21" x14ac:dyDescent="0.35">
      <c r="A1964" t="s">
        <v>2043</v>
      </c>
      <c r="B1964" s="1">
        <v>46243</v>
      </c>
      <c r="C1964" t="str">
        <f>TEXT(tblData[[#This Row],[Rental Date]],"mmm")</f>
        <v>Aug</v>
      </c>
      <c r="D1964" t="str">
        <f>TEXT(tblData[[#This Row],[Rental Date]],"mmmm")</f>
        <v>August</v>
      </c>
      <c r="E1964" t="s">
        <v>68</v>
      </c>
      <c r="F1964" t="str">
        <f>TEXT(WEEKNUM(tblData[[#This Row],[Rental Date]]),"00")</f>
        <v>33</v>
      </c>
      <c r="G1964" s="1">
        <f>EOMONTH(tblData[[#This Row],[Rental Date]],0)</f>
        <v>46265</v>
      </c>
      <c r="H1964" t="s">
        <v>749</v>
      </c>
      <c r="I1964" t="s">
        <v>48</v>
      </c>
      <c r="J1964" t="s">
        <v>127</v>
      </c>
      <c r="K1964" t="s">
        <v>60</v>
      </c>
      <c r="L1964">
        <v>1</v>
      </c>
      <c r="M1964" s="2">
        <v>12</v>
      </c>
      <c r="N1964" t="s">
        <v>70</v>
      </c>
      <c r="O1964" s="3">
        <v>7</v>
      </c>
      <c r="P1964" s="3">
        <v>0</v>
      </c>
      <c r="Q1964" s="2">
        <v>19</v>
      </c>
      <c r="R1964" t="s">
        <v>45</v>
      </c>
      <c r="S1964" t="s">
        <v>46</v>
      </c>
      <c r="T1964" t="s">
        <v>90</v>
      </c>
      <c r="U1964" t="s">
        <v>30</v>
      </c>
    </row>
    <row r="1965" spans="1:21" x14ac:dyDescent="0.35">
      <c r="A1965" t="s">
        <v>2044</v>
      </c>
      <c r="B1965" s="1">
        <v>46244</v>
      </c>
      <c r="C1965" t="str">
        <f>TEXT(tblData[[#This Row],[Rental Date]],"mmm")</f>
        <v>Aug</v>
      </c>
      <c r="D1965" t="str">
        <f>TEXT(tblData[[#This Row],[Rental Date]],"mmmm")</f>
        <v>August</v>
      </c>
      <c r="E1965" t="s">
        <v>74</v>
      </c>
      <c r="F1965" t="str">
        <f>TEXT(WEEKNUM(tblData[[#This Row],[Rental Date]]),"00")</f>
        <v>33</v>
      </c>
      <c r="G1965" s="1">
        <f>EOMONTH(tblData[[#This Row],[Rental Date]],0)</f>
        <v>46265</v>
      </c>
      <c r="H1965" t="s">
        <v>749</v>
      </c>
      <c r="I1965" t="s">
        <v>39</v>
      </c>
      <c r="J1965" t="s">
        <v>65</v>
      </c>
      <c r="K1965" t="s">
        <v>40</v>
      </c>
      <c r="L1965">
        <v>1</v>
      </c>
      <c r="M1965" s="2">
        <v>31.36</v>
      </c>
      <c r="N1965" t="s">
        <v>75</v>
      </c>
      <c r="O1965" s="3">
        <v>12</v>
      </c>
      <c r="P1965" s="3">
        <v>0</v>
      </c>
      <c r="Q1965" s="2">
        <v>43.36</v>
      </c>
      <c r="R1965" t="s">
        <v>34</v>
      </c>
      <c r="S1965" t="s">
        <v>35</v>
      </c>
      <c r="T1965" t="s">
        <v>29</v>
      </c>
      <c r="U1965" t="s">
        <v>30</v>
      </c>
    </row>
    <row r="1966" spans="1:21" x14ac:dyDescent="0.35">
      <c r="A1966" t="s">
        <v>2045</v>
      </c>
      <c r="B1966" s="1">
        <v>46244</v>
      </c>
      <c r="C1966" t="str">
        <f>TEXT(tblData[[#This Row],[Rental Date]],"mmm")</f>
        <v>Aug</v>
      </c>
      <c r="D1966" t="str">
        <f>TEXT(tblData[[#This Row],[Rental Date]],"mmmm")</f>
        <v>August</v>
      </c>
      <c r="E1966" t="s">
        <v>74</v>
      </c>
      <c r="F1966" t="str">
        <f>TEXT(WEEKNUM(tblData[[#This Row],[Rental Date]]),"00")</f>
        <v>33</v>
      </c>
      <c r="G1966" s="1">
        <f>EOMONTH(tblData[[#This Row],[Rental Date]],0)</f>
        <v>46265</v>
      </c>
      <c r="H1966" t="s">
        <v>749</v>
      </c>
      <c r="I1966" t="s">
        <v>39</v>
      </c>
      <c r="J1966" t="s">
        <v>78</v>
      </c>
      <c r="K1966" t="s">
        <v>60</v>
      </c>
      <c r="L1966">
        <v>1</v>
      </c>
      <c r="M1966" s="2">
        <v>29.12</v>
      </c>
      <c r="N1966" t="s">
        <v>26</v>
      </c>
      <c r="O1966" s="3">
        <v>0</v>
      </c>
      <c r="P1966" s="3">
        <v>0</v>
      </c>
      <c r="Q1966" s="2">
        <v>29.12</v>
      </c>
      <c r="R1966" t="s">
        <v>57</v>
      </c>
      <c r="S1966" t="s">
        <v>35</v>
      </c>
      <c r="T1966" t="s">
        <v>29</v>
      </c>
      <c r="U1966" t="s">
        <v>30</v>
      </c>
    </row>
    <row r="1967" spans="1:21" x14ac:dyDescent="0.35">
      <c r="A1967" t="s">
        <v>2046</v>
      </c>
      <c r="B1967" s="1">
        <v>46244</v>
      </c>
      <c r="C1967" t="str">
        <f>TEXT(tblData[[#This Row],[Rental Date]],"mmm")</f>
        <v>Aug</v>
      </c>
      <c r="D1967" t="str">
        <f>TEXT(tblData[[#This Row],[Rental Date]],"mmmm")</f>
        <v>August</v>
      </c>
      <c r="E1967" t="s">
        <v>74</v>
      </c>
      <c r="F1967" t="str">
        <f>TEXT(WEEKNUM(tblData[[#This Row],[Rental Date]]),"00")</f>
        <v>33</v>
      </c>
      <c r="G1967" s="1">
        <f>EOMONTH(tblData[[#This Row],[Rental Date]],0)</f>
        <v>46265</v>
      </c>
      <c r="H1967" t="s">
        <v>749</v>
      </c>
      <c r="I1967" t="s">
        <v>39</v>
      </c>
      <c r="J1967" t="s">
        <v>86</v>
      </c>
      <c r="K1967" t="s">
        <v>25</v>
      </c>
      <c r="L1967">
        <v>1</v>
      </c>
      <c r="M1967" s="2">
        <v>64.959999999999994</v>
      </c>
      <c r="N1967" t="s">
        <v>75</v>
      </c>
      <c r="O1967" s="3">
        <v>12</v>
      </c>
      <c r="P1967" s="3">
        <v>0</v>
      </c>
      <c r="Q1967" s="2">
        <v>76.959999999999994</v>
      </c>
      <c r="R1967" t="s">
        <v>66</v>
      </c>
      <c r="S1967" t="s">
        <v>35</v>
      </c>
      <c r="T1967" t="s">
        <v>51</v>
      </c>
      <c r="U1967" t="s">
        <v>30</v>
      </c>
    </row>
    <row r="1968" spans="1:21" x14ac:dyDescent="0.35">
      <c r="A1968" t="s">
        <v>2047</v>
      </c>
      <c r="B1968" s="1">
        <v>46244</v>
      </c>
      <c r="C1968" t="str">
        <f>TEXT(tblData[[#This Row],[Rental Date]],"mmm")</f>
        <v>Aug</v>
      </c>
      <c r="D1968" t="str">
        <f>TEXT(tblData[[#This Row],[Rental Date]],"mmmm")</f>
        <v>August</v>
      </c>
      <c r="E1968" t="s">
        <v>74</v>
      </c>
      <c r="F1968" t="str">
        <f>TEXT(WEEKNUM(tblData[[#This Row],[Rental Date]]),"00")</f>
        <v>33</v>
      </c>
      <c r="G1968" s="1">
        <f>EOMONTH(tblData[[#This Row],[Rental Date]],0)</f>
        <v>46265</v>
      </c>
      <c r="H1968" t="s">
        <v>749</v>
      </c>
      <c r="I1968" t="s">
        <v>48</v>
      </c>
      <c r="J1968" t="s">
        <v>78</v>
      </c>
      <c r="K1968" t="s">
        <v>40</v>
      </c>
      <c r="L1968">
        <v>1</v>
      </c>
      <c r="M1968" s="2">
        <v>69.44</v>
      </c>
      <c r="N1968" t="s">
        <v>26</v>
      </c>
      <c r="O1968" s="3">
        <v>0</v>
      </c>
      <c r="P1968" s="3">
        <v>0</v>
      </c>
      <c r="Q1968" s="2">
        <v>69.44</v>
      </c>
      <c r="R1968" t="s">
        <v>57</v>
      </c>
      <c r="S1968" t="s">
        <v>54</v>
      </c>
      <c r="T1968" t="s">
        <v>90</v>
      </c>
      <c r="U1968" t="s">
        <v>30</v>
      </c>
    </row>
    <row r="1969" spans="1:21" x14ac:dyDescent="0.35">
      <c r="A1969" t="s">
        <v>2048</v>
      </c>
      <c r="B1969" s="1">
        <v>46244</v>
      </c>
      <c r="C1969" t="str">
        <f>TEXT(tblData[[#This Row],[Rental Date]],"mmm")</f>
        <v>Aug</v>
      </c>
      <c r="D1969" t="str">
        <f>TEXT(tblData[[#This Row],[Rental Date]],"mmmm")</f>
        <v>August</v>
      </c>
      <c r="E1969" t="s">
        <v>74</v>
      </c>
      <c r="F1969" t="str">
        <f>TEXT(WEEKNUM(tblData[[#This Row],[Rental Date]]),"00")</f>
        <v>33</v>
      </c>
      <c r="G1969" s="1">
        <f>EOMONTH(tblData[[#This Row],[Rental Date]],0)</f>
        <v>46265</v>
      </c>
      <c r="H1969" t="s">
        <v>749</v>
      </c>
      <c r="I1969" t="s">
        <v>39</v>
      </c>
      <c r="J1969" t="s">
        <v>44</v>
      </c>
      <c r="K1969" t="s">
        <v>25</v>
      </c>
      <c r="L1969">
        <v>1</v>
      </c>
      <c r="M1969" s="2">
        <v>58.24</v>
      </c>
      <c r="N1969" t="s">
        <v>75</v>
      </c>
      <c r="O1969" s="3">
        <v>12</v>
      </c>
      <c r="P1969" s="3">
        <v>0</v>
      </c>
      <c r="Q1969" s="2">
        <v>70.239999999999995</v>
      </c>
      <c r="R1969" t="s">
        <v>62</v>
      </c>
      <c r="S1969" t="s">
        <v>46</v>
      </c>
      <c r="T1969" t="s">
        <v>51</v>
      </c>
      <c r="U1969" t="s">
        <v>58</v>
      </c>
    </row>
    <row r="1970" spans="1:21" x14ac:dyDescent="0.35">
      <c r="A1970" t="s">
        <v>2049</v>
      </c>
      <c r="B1970" s="1">
        <v>46244</v>
      </c>
      <c r="C1970" t="str">
        <f>TEXT(tblData[[#This Row],[Rental Date]],"mmm")</f>
        <v>Aug</v>
      </c>
      <c r="D1970" t="str">
        <f>TEXT(tblData[[#This Row],[Rental Date]],"mmmm")</f>
        <v>August</v>
      </c>
      <c r="E1970" t="s">
        <v>74</v>
      </c>
      <c r="F1970" t="str">
        <f>TEXT(WEEKNUM(tblData[[#This Row],[Rental Date]]),"00")</f>
        <v>33</v>
      </c>
      <c r="G1970" s="1">
        <f>EOMONTH(tblData[[#This Row],[Rental Date]],0)</f>
        <v>46265</v>
      </c>
      <c r="H1970" t="s">
        <v>749</v>
      </c>
      <c r="I1970" t="s">
        <v>23</v>
      </c>
      <c r="J1970" t="s">
        <v>78</v>
      </c>
      <c r="K1970" t="s">
        <v>25</v>
      </c>
      <c r="L1970">
        <v>1</v>
      </c>
      <c r="M1970" s="2">
        <v>47.04</v>
      </c>
      <c r="N1970" t="s">
        <v>26</v>
      </c>
      <c r="O1970" s="3">
        <v>0</v>
      </c>
      <c r="P1970" s="3">
        <v>0</v>
      </c>
      <c r="Q1970" s="2">
        <v>47.04</v>
      </c>
      <c r="R1970" t="s">
        <v>57</v>
      </c>
      <c r="S1970" t="s">
        <v>50</v>
      </c>
      <c r="T1970" t="s">
        <v>90</v>
      </c>
      <c r="U1970" t="s">
        <v>30</v>
      </c>
    </row>
    <row r="1971" spans="1:21" x14ac:dyDescent="0.35">
      <c r="A1971" t="s">
        <v>2050</v>
      </c>
      <c r="B1971" s="1">
        <v>46244</v>
      </c>
      <c r="C1971" t="str">
        <f>TEXT(tblData[[#This Row],[Rental Date]],"mmm")</f>
        <v>Aug</v>
      </c>
      <c r="D1971" t="str">
        <f>TEXT(tblData[[#This Row],[Rental Date]],"mmmm")</f>
        <v>August</v>
      </c>
      <c r="E1971" t="s">
        <v>74</v>
      </c>
      <c r="F1971" t="str">
        <f>TEXT(WEEKNUM(tblData[[#This Row],[Rental Date]]),"00")</f>
        <v>33</v>
      </c>
      <c r="G1971" s="1">
        <f>EOMONTH(tblData[[#This Row],[Rental Date]],0)</f>
        <v>46265</v>
      </c>
      <c r="H1971" t="s">
        <v>749</v>
      </c>
      <c r="I1971" t="s">
        <v>48</v>
      </c>
      <c r="J1971" t="s">
        <v>33</v>
      </c>
      <c r="K1971" t="s">
        <v>60</v>
      </c>
      <c r="L1971">
        <v>1</v>
      </c>
      <c r="M1971" s="2">
        <v>26.88</v>
      </c>
      <c r="N1971" t="s">
        <v>26</v>
      </c>
      <c r="O1971" s="3">
        <v>0</v>
      </c>
      <c r="P1971" s="3">
        <v>0</v>
      </c>
      <c r="Q1971" s="2">
        <v>26.88</v>
      </c>
      <c r="R1971" t="s">
        <v>45</v>
      </c>
      <c r="S1971" t="s">
        <v>28</v>
      </c>
      <c r="T1971" t="s">
        <v>29</v>
      </c>
      <c r="U1971" t="s">
        <v>30</v>
      </c>
    </row>
    <row r="1972" spans="1:21" x14ac:dyDescent="0.35">
      <c r="A1972" t="s">
        <v>2051</v>
      </c>
      <c r="B1972" s="1">
        <v>46244</v>
      </c>
      <c r="C1972" t="str">
        <f>TEXT(tblData[[#This Row],[Rental Date]],"mmm")</f>
        <v>Aug</v>
      </c>
      <c r="D1972" t="str">
        <f>TEXT(tblData[[#This Row],[Rental Date]],"mmmm")</f>
        <v>August</v>
      </c>
      <c r="E1972" t="s">
        <v>74</v>
      </c>
      <c r="F1972" t="str">
        <f>TEXT(WEEKNUM(tblData[[#This Row],[Rental Date]]),"00")</f>
        <v>33</v>
      </c>
      <c r="G1972" s="1">
        <f>EOMONTH(tblData[[#This Row],[Rental Date]],0)</f>
        <v>46265</v>
      </c>
      <c r="H1972" t="s">
        <v>749</v>
      </c>
      <c r="I1972" t="s">
        <v>48</v>
      </c>
      <c r="J1972" t="s">
        <v>44</v>
      </c>
      <c r="K1972" t="s">
        <v>40</v>
      </c>
      <c r="L1972">
        <v>1</v>
      </c>
      <c r="M1972" s="2">
        <v>87.36</v>
      </c>
      <c r="N1972" t="s">
        <v>89</v>
      </c>
      <c r="O1972" s="3">
        <v>6</v>
      </c>
      <c r="P1972" s="3">
        <v>0</v>
      </c>
      <c r="Q1972" s="2">
        <v>93.36</v>
      </c>
      <c r="R1972" t="s">
        <v>45</v>
      </c>
      <c r="S1972" t="s">
        <v>35</v>
      </c>
      <c r="T1972" t="s">
        <v>51</v>
      </c>
      <c r="U1972" t="s">
        <v>30</v>
      </c>
    </row>
    <row r="1973" spans="1:21" x14ac:dyDescent="0.35">
      <c r="A1973" t="s">
        <v>2052</v>
      </c>
      <c r="B1973" s="1">
        <v>46244</v>
      </c>
      <c r="C1973" t="str">
        <f>TEXT(tblData[[#This Row],[Rental Date]],"mmm")</f>
        <v>Aug</v>
      </c>
      <c r="D1973" t="str">
        <f>TEXT(tblData[[#This Row],[Rental Date]],"mmmm")</f>
        <v>August</v>
      </c>
      <c r="E1973" t="s">
        <v>74</v>
      </c>
      <c r="F1973" t="str">
        <f>TEXT(WEEKNUM(tblData[[#This Row],[Rental Date]]),"00")</f>
        <v>33</v>
      </c>
      <c r="G1973" s="1">
        <f>EOMONTH(tblData[[#This Row],[Rental Date]],0)</f>
        <v>46265</v>
      </c>
      <c r="H1973" t="s">
        <v>749</v>
      </c>
      <c r="I1973" t="s">
        <v>48</v>
      </c>
      <c r="J1973" t="s">
        <v>24</v>
      </c>
      <c r="K1973" t="s">
        <v>25</v>
      </c>
      <c r="L1973">
        <v>1</v>
      </c>
      <c r="M1973" s="2">
        <v>56</v>
      </c>
      <c r="N1973" t="s">
        <v>26</v>
      </c>
      <c r="O1973" s="3">
        <v>0</v>
      </c>
      <c r="P1973" s="3">
        <v>0</v>
      </c>
      <c r="Q1973" s="2">
        <v>56</v>
      </c>
      <c r="R1973" t="s">
        <v>94</v>
      </c>
      <c r="S1973" t="s">
        <v>28</v>
      </c>
      <c r="T1973" t="s">
        <v>90</v>
      </c>
      <c r="U1973" t="s">
        <v>30</v>
      </c>
    </row>
    <row r="1974" spans="1:21" x14ac:dyDescent="0.35">
      <c r="A1974" t="s">
        <v>2053</v>
      </c>
      <c r="B1974" s="1">
        <v>46244</v>
      </c>
      <c r="C1974" t="str">
        <f>TEXT(tblData[[#This Row],[Rental Date]],"mmm")</f>
        <v>Aug</v>
      </c>
      <c r="D1974" t="str">
        <f>TEXT(tblData[[#This Row],[Rental Date]],"mmmm")</f>
        <v>August</v>
      </c>
      <c r="E1974" t="s">
        <v>74</v>
      </c>
      <c r="F1974" t="str">
        <f>TEXT(WEEKNUM(tblData[[#This Row],[Rental Date]]),"00")</f>
        <v>33</v>
      </c>
      <c r="G1974" s="1">
        <f>EOMONTH(tblData[[#This Row],[Rental Date]],0)</f>
        <v>46265</v>
      </c>
      <c r="H1974" t="s">
        <v>749</v>
      </c>
      <c r="I1974" t="s">
        <v>23</v>
      </c>
      <c r="J1974" t="s">
        <v>33</v>
      </c>
      <c r="K1974" t="s">
        <v>25</v>
      </c>
      <c r="L1974">
        <v>1</v>
      </c>
      <c r="M1974" s="2">
        <v>42.56</v>
      </c>
      <c r="N1974" t="s">
        <v>26</v>
      </c>
      <c r="O1974" s="3">
        <v>0</v>
      </c>
      <c r="P1974" s="3">
        <v>0</v>
      </c>
      <c r="Q1974" s="2">
        <v>42.56</v>
      </c>
      <c r="R1974" t="s">
        <v>45</v>
      </c>
      <c r="S1974" t="s">
        <v>50</v>
      </c>
      <c r="T1974" t="s">
        <v>63</v>
      </c>
      <c r="U1974" t="s">
        <v>30</v>
      </c>
    </row>
    <row r="1975" spans="1:21" x14ac:dyDescent="0.35">
      <c r="A1975" t="s">
        <v>2054</v>
      </c>
      <c r="B1975" s="1">
        <v>46244</v>
      </c>
      <c r="C1975" t="str">
        <f>TEXT(tblData[[#This Row],[Rental Date]],"mmm")</f>
        <v>Aug</v>
      </c>
      <c r="D1975" t="str">
        <f>TEXT(tblData[[#This Row],[Rental Date]],"mmmm")</f>
        <v>August</v>
      </c>
      <c r="E1975" t="s">
        <v>74</v>
      </c>
      <c r="F1975" t="str">
        <f>TEXT(WEEKNUM(tblData[[#This Row],[Rental Date]]),"00")</f>
        <v>33</v>
      </c>
      <c r="G1975" s="1">
        <f>EOMONTH(tblData[[#This Row],[Rental Date]],0)</f>
        <v>46265</v>
      </c>
      <c r="H1975" t="s">
        <v>749</v>
      </c>
      <c r="I1975" t="s">
        <v>48</v>
      </c>
      <c r="J1975" t="s">
        <v>65</v>
      </c>
      <c r="K1975" t="s">
        <v>92</v>
      </c>
      <c r="L1975">
        <v>1</v>
      </c>
      <c r="M1975" s="2">
        <v>44.8</v>
      </c>
      <c r="N1975" t="s">
        <v>89</v>
      </c>
      <c r="O1975" s="3">
        <v>6</v>
      </c>
      <c r="P1975" s="3">
        <v>0</v>
      </c>
      <c r="Q1975" s="2">
        <v>50.8</v>
      </c>
      <c r="R1975" t="s">
        <v>42</v>
      </c>
      <c r="S1975" t="s">
        <v>54</v>
      </c>
      <c r="T1975" t="s">
        <v>63</v>
      </c>
      <c r="U1975" t="s">
        <v>30</v>
      </c>
    </row>
    <row r="1976" spans="1:21" x14ac:dyDescent="0.35">
      <c r="A1976" t="s">
        <v>2055</v>
      </c>
      <c r="B1976" s="1">
        <v>46245</v>
      </c>
      <c r="C1976" t="str">
        <f>TEXT(tblData[[#This Row],[Rental Date]],"mmm")</f>
        <v>Aug</v>
      </c>
      <c r="D1976" t="str">
        <f>TEXT(tblData[[#This Row],[Rental Date]],"mmmm")</f>
        <v>August</v>
      </c>
      <c r="E1976" t="s">
        <v>102</v>
      </c>
      <c r="F1976" t="str">
        <f>TEXT(WEEKNUM(tblData[[#This Row],[Rental Date]]),"00")</f>
        <v>33</v>
      </c>
      <c r="G1976" s="1">
        <f>EOMONTH(tblData[[#This Row],[Rental Date]],0)</f>
        <v>46265</v>
      </c>
      <c r="H1976" t="s">
        <v>749</v>
      </c>
      <c r="I1976" t="s">
        <v>48</v>
      </c>
      <c r="J1976" t="s">
        <v>44</v>
      </c>
      <c r="K1976" t="s">
        <v>60</v>
      </c>
      <c r="L1976">
        <v>1</v>
      </c>
      <c r="M1976" s="2">
        <v>38.08</v>
      </c>
      <c r="N1976" t="s">
        <v>89</v>
      </c>
      <c r="O1976" s="3">
        <v>6</v>
      </c>
      <c r="P1976" s="3">
        <v>0</v>
      </c>
      <c r="Q1976" s="2">
        <v>44.08</v>
      </c>
      <c r="R1976" t="s">
        <v>94</v>
      </c>
      <c r="S1976" t="s">
        <v>28</v>
      </c>
      <c r="T1976" t="s">
        <v>90</v>
      </c>
      <c r="U1976" t="s">
        <v>79</v>
      </c>
    </row>
    <row r="1977" spans="1:21" x14ac:dyDescent="0.35">
      <c r="A1977" t="s">
        <v>2056</v>
      </c>
      <c r="B1977" s="1">
        <v>46245</v>
      </c>
      <c r="C1977" t="str">
        <f>TEXT(tblData[[#This Row],[Rental Date]],"mmm")</f>
        <v>Aug</v>
      </c>
      <c r="D1977" t="str">
        <f>TEXT(tblData[[#This Row],[Rental Date]],"mmmm")</f>
        <v>August</v>
      </c>
      <c r="E1977" t="s">
        <v>102</v>
      </c>
      <c r="F1977" t="str">
        <f>TEXT(WEEKNUM(tblData[[#This Row],[Rental Date]]),"00")</f>
        <v>33</v>
      </c>
      <c r="G1977" s="1">
        <f>EOMONTH(tblData[[#This Row],[Rental Date]],0)</f>
        <v>46265</v>
      </c>
      <c r="H1977" t="s">
        <v>749</v>
      </c>
      <c r="I1977" t="s">
        <v>39</v>
      </c>
      <c r="J1977" t="s">
        <v>33</v>
      </c>
      <c r="K1977" t="s">
        <v>25</v>
      </c>
      <c r="L1977">
        <v>1</v>
      </c>
      <c r="M1977" s="2">
        <v>42.56</v>
      </c>
      <c r="N1977" t="s">
        <v>26</v>
      </c>
      <c r="O1977" s="3">
        <v>0</v>
      </c>
      <c r="P1977" s="3">
        <v>0</v>
      </c>
      <c r="Q1977" s="2">
        <v>42.56</v>
      </c>
      <c r="R1977" t="s">
        <v>62</v>
      </c>
      <c r="S1977" t="s">
        <v>50</v>
      </c>
      <c r="T1977" t="s">
        <v>29</v>
      </c>
      <c r="U1977" t="s">
        <v>30</v>
      </c>
    </row>
    <row r="1978" spans="1:21" x14ac:dyDescent="0.35">
      <c r="A1978" t="s">
        <v>2057</v>
      </c>
      <c r="B1978" s="1">
        <v>46245</v>
      </c>
      <c r="C1978" t="str">
        <f>TEXT(tblData[[#This Row],[Rental Date]],"mmm")</f>
        <v>Aug</v>
      </c>
      <c r="D1978" t="str">
        <f>TEXT(tblData[[#This Row],[Rental Date]],"mmmm")</f>
        <v>August</v>
      </c>
      <c r="E1978" t="s">
        <v>102</v>
      </c>
      <c r="F1978" t="str">
        <f>TEXT(WEEKNUM(tblData[[#This Row],[Rental Date]]),"00")</f>
        <v>33</v>
      </c>
      <c r="G1978" s="1">
        <f>EOMONTH(tblData[[#This Row],[Rental Date]],0)</f>
        <v>46265</v>
      </c>
      <c r="H1978" t="s">
        <v>749</v>
      </c>
      <c r="I1978" t="s">
        <v>39</v>
      </c>
      <c r="J1978" t="s">
        <v>65</v>
      </c>
      <c r="K1978" t="s">
        <v>40</v>
      </c>
      <c r="L1978">
        <v>1</v>
      </c>
      <c r="M1978" s="2">
        <v>31.36</v>
      </c>
      <c r="N1978" t="s">
        <v>87</v>
      </c>
      <c r="O1978" s="3">
        <v>10</v>
      </c>
      <c r="P1978" s="3">
        <v>0</v>
      </c>
      <c r="Q1978" s="2">
        <v>41.36</v>
      </c>
      <c r="R1978" t="s">
        <v>66</v>
      </c>
      <c r="S1978" t="s">
        <v>28</v>
      </c>
      <c r="T1978" t="s">
        <v>51</v>
      </c>
      <c r="U1978" t="s">
        <v>30</v>
      </c>
    </row>
    <row r="1979" spans="1:21" x14ac:dyDescent="0.35">
      <c r="A1979" t="s">
        <v>2058</v>
      </c>
      <c r="B1979" s="1">
        <v>46245</v>
      </c>
      <c r="C1979" t="str">
        <f>TEXT(tblData[[#This Row],[Rental Date]],"mmm")</f>
        <v>Aug</v>
      </c>
      <c r="D1979" t="str">
        <f>TEXT(tblData[[#This Row],[Rental Date]],"mmmm")</f>
        <v>August</v>
      </c>
      <c r="E1979" t="s">
        <v>102</v>
      </c>
      <c r="F1979" t="str">
        <f>TEXT(WEEKNUM(tblData[[#This Row],[Rental Date]]),"00")</f>
        <v>33</v>
      </c>
      <c r="G1979" s="1">
        <f>EOMONTH(tblData[[#This Row],[Rental Date]],0)</f>
        <v>46265</v>
      </c>
      <c r="H1979" t="s">
        <v>749</v>
      </c>
      <c r="I1979" t="s">
        <v>48</v>
      </c>
      <c r="J1979" t="s">
        <v>78</v>
      </c>
      <c r="K1979" t="s">
        <v>25</v>
      </c>
      <c r="L1979">
        <v>1</v>
      </c>
      <c r="M1979" s="2">
        <v>47.04</v>
      </c>
      <c r="N1979" t="s">
        <v>41</v>
      </c>
      <c r="O1979" s="3">
        <v>5</v>
      </c>
      <c r="P1979" s="3">
        <v>0</v>
      </c>
      <c r="Q1979" s="2">
        <v>52.04</v>
      </c>
      <c r="R1979" t="s">
        <v>42</v>
      </c>
      <c r="S1979" t="s">
        <v>50</v>
      </c>
      <c r="T1979" t="s">
        <v>63</v>
      </c>
      <c r="U1979" t="s">
        <v>30</v>
      </c>
    </row>
    <row r="1980" spans="1:21" x14ac:dyDescent="0.35">
      <c r="A1980" t="s">
        <v>2059</v>
      </c>
      <c r="B1980" s="1">
        <v>46245</v>
      </c>
      <c r="C1980" t="str">
        <f>TEXT(tblData[[#This Row],[Rental Date]],"mmm")</f>
        <v>Aug</v>
      </c>
      <c r="D1980" t="str">
        <f>TEXT(tblData[[#This Row],[Rental Date]],"mmmm")</f>
        <v>August</v>
      </c>
      <c r="E1980" t="s">
        <v>102</v>
      </c>
      <c r="F1980" t="str">
        <f>TEXT(WEEKNUM(tblData[[#This Row],[Rental Date]]),"00")</f>
        <v>33</v>
      </c>
      <c r="G1980" s="1">
        <f>EOMONTH(tblData[[#This Row],[Rental Date]],0)</f>
        <v>46265</v>
      </c>
      <c r="H1980" t="s">
        <v>749</v>
      </c>
      <c r="I1980" t="s">
        <v>39</v>
      </c>
      <c r="J1980" t="s">
        <v>24</v>
      </c>
      <c r="K1980" t="s">
        <v>40</v>
      </c>
      <c r="L1980">
        <v>1</v>
      </c>
      <c r="M1980" s="2">
        <v>85.12</v>
      </c>
      <c r="N1980" t="s">
        <v>26</v>
      </c>
      <c r="O1980" s="3">
        <v>0</v>
      </c>
      <c r="P1980" s="3">
        <v>0</v>
      </c>
      <c r="Q1980" s="2">
        <v>85.12</v>
      </c>
      <c r="R1980" t="s">
        <v>71</v>
      </c>
      <c r="S1980" t="s">
        <v>54</v>
      </c>
      <c r="T1980" t="s">
        <v>29</v>
      </c>
      <c r="U1980" t="s">
        <v>30</v>
      </c>
    </row>
    <row r="1981" spans="1:21" x14ac:dyDescent="0.35">
      <c r="A1981" t="s">
        <v>2060</v>
      </c>
      <c r="B1981" s="1">
        <v>46245</v>
      </c>
      <c r="C1981" t="str">
        <f>TEXT(tblData[[#This Row],[Rental Date]],"mmm")</f>
        <v>Aug</v>
      </c>
      <c r="D1981" t="str">
        <f>TEXT(tblData[[#This Row],[Rental Date]],"mmmm")</f>
        <v>August</v>
      </c>
      <c r="E1981" t="s">
        <v>102</v>
      </c>
      <c r="F1981" t="str">
        <f>TEXT(WEEKNUM(tblData[[#This Row],[Rental Date]]),"00")</f>
        <v>33</v>
      </c>
      <c r="G1981" s="1">
        <f>EOMONTH(tblData[[#This Row],[Rental Date]],0)</f>
        <v>46265</v>
      </c>
      <c r="H1981" t="s">
        <v>749</v>
      </c>
      <c r="I1981" t="s">
        <v>23</v>
      </c>
      <c r="J1981" t="s">
        <v>33</v>
      </c>
      <c r="K1981" t="s">
        <v>25</v>
      </c>
      <c r="L1981">
        <v>1</v>
      </c>
      <c r="M1981" s="2">
        <v>42.56</v>
      </c>
      <c r="N1981" t="s">
        <v>89</v>
      </c>
      <c r="O1981" s="3">
        <v>6</v>
      </c>
      <c r="P1981" s="3">
        <v>0</v>
      </c>
      <c r="Q1981" s="2">
        <v>48.56</v>
      </c>
      <c r="R1981" t="s">
        <v>71</v>
      </c>
      <c r="S1981" t="s">
        <v>54</v>
      </c>
      <c r="T1981" t="s">
        <v>29</v>
      </c>
      <c r="U1981" t="s">
        <v>58</v>
      </c>
    </row>
    <row r="1982" spans="1:21" x14ac:dyDescent="0.35">
      <c r="A1982" t="s">
        <v>2061</v>
      </c>
      <c r="B1982" s="1">
        <v>46245</v>
      </c>
      <c r="C1982" t="str">
        <f>TEXT(tblData[[#This Row],[Rental Date]],"mmm")</f>
        <v>Aug</v>
      </c>
      <c r="D1982" t="str">
        <f>TEXT(tblData[[#This Row],[Rental Date]],"mmmm")</f>
        <v>August</v>
      </c>
      <c r="E1982" t="s">
        <v>102</v>
      </c>
      <c r="F1982" t="str">
        <f>TEXT(WEEKNUM(tblData[[#This Row],[Rental Date]]),"00")</f>
        <v>33</v>
      </c>
      <c r="G1982" s="1">
        <f>EOMONTH(tblData[[#This Row],[Rental Date]],0)</f>
        <v>46265</v>
      </c>
      <c r="H1982" t="s">
        <v>749</v>
      </c>
      <c r="I1982" t="s">
        <v>39</v>
      </c>
      <c r="J1982" t="s">
        <v>44</v>
      </c>
      <c r="K1982" t="s">
        <v>60</v>
      </c>
      <c r="L1982">
        <v>1</v>
      </c>
      <c r="M1982" s="2">
        <v>38.08</v>
      </c>
      <c r="N1982" t="s">
        <v>89</v>
      </c>
      <c r="O1982" s="3">
        <v>6</v>
      </c>
      <c r="P1982" s="3">
        <v>0</v>
      </c>
      <c r="Q1982" s="2">
        <v>44.08</v>
      </c>
      <c r="R1982" t="s">
        <v>57</v>
      </c>
      <c r="S1982" t="s">
        <v>35</v>
      </c>
      <c r="T1982" t="s">
        <v>29</v>
      </c>
      <c r="U1982" t="s">
        <v>79</v>
      </c>
    </row>
    <row r="1983" spans="1:21" x14ac:dyDescent="0.35">
      <c r="A1983" t="s">
        <v>2062</v>
      </c>
      <c r="B1983" s="1">
        <v>46245</v>
      </c>
      <c r="C1983" t="str">
        <f>TEXT(tblData[[#This Row],[Rental Date]],"mmm")</f>
        <v>Aug</v>
      </c>
      <c r="D1983" t="str">
        <f>TEXT(tblData[[#This Row],[Rental Date]],"mmmm")</f>
        <v>August</v>
      </c>
      <c r="E1983" t="s">
        <v>102</v>
      </c>
      <c r="F1983" t="str">
        <f>TEXT(WEEKNUM(tblData[[#This Row],[Rental Date]]),"00")</f>
        <v>33</v>
      </c>
      <c r="G1983" s="1">
        <f>EOMONTH(tblData[[#This Row],[Rental Date]],0)</f>
        <v>46265</v>
      </c>
      <c r="H1983" t="s">
        <v>749</v>
      </c>
      <c r="I1983" t="s">
        <v>48</v>
      </c>
      <c r="J1983" t="s">
        <v>65</v>
      </c>
      <c r="K1983" t="s">
        <v>60</v>
      </c>
      <c r="L1983">
        <v>1</v>
      </c>
      <c r="M1983" s="2">
        <v>13.44</v>
      </c>
      <c r="N1983" t="s">
        <v>26</v>
      </c>
      <c r="O1983" s="3">
        <v>0</v>
      </c>
      <c r="P1983" s="3">
        <v>0</v>
      </c>
      <c r="Q1983" s="2">
        <v>13.44</v>
      </c>
      <c r="R1983" t="s">
        <v>34</v>
      </c>
      <c r="S1983" t="s">
        <v>35</v>
      </c>
      <c r="T1983" t="s">
        <v>51</v>
      </c>
      <c r="U1983" t="s">
        <v>30</v>
      </c>
    </row>
    <row r="1984" spans="1:21" x14ac:dyDescent="0.35">
      <c r="A1984" t="s">
        <v>2063</v>
      </c>
      <c r="B1984" s="1">
        <v>46245</v>
      </c>
      <c r="C1984" t="str">
        <f>TEXT(tblData[[#This Row],[Rental Date]],"mmm")</f>
        <v>Aug</v>
      </c>
      <c r="D1984" t="str">
        <f>TEXT(tblData[[#This Row],[Rental Date]],"mmmm")</f>
        <v>August</v>
      </c>
      <c r="E1984" t="s">
        <v>102</v>
      </c>
      <c r="F1984" t="str">
        <f>TEXT(WEEKNUM(tblData[[#This Row],[Rental Date]]),"00")</f>
        <v>33</v>
      </c>
      <c r="G1984" s="1">
        <f>EOMONTH(tblData[[#This Row],[Rental Date]],0)</f>
        <v>46265</v>
      </c>
      <c r="H1984" t="s">
        <v>749</v>
      </c>
      <c r="I1984" t="s">
        <v>39</v>
      </c>
      <c r="J1984" t="s">
        <v>78</v>
      </c>
      <c r="K1984" t="s">
        <v>40</v>
      </c>
      <c r="L1984">
        <v>1</v>
      </c>
      <c r="M1984" s="2">
        <v>69.44</v>
      </c>
      <c r="N1984" t="s">
        <v>26</v>
      </c>
      <c r="O1984" s="3">
        <v>0</v>
      </c>
      <c r="P1984" s="3">
        <v>0</v>
      </c>
      <c r="Q1984" s="2">
        <v>69.44</v>
      </c>
      <c r="R1984" t="s">
        <v>45</v>
      </c>
      <c r="S1984" t="s">
        <v>28</v>
      </c>
      <c r="T1984" t="s">
        <v>63</v>
      </c>
      <c r="U1984" t="s">
        <v>30</v>
      </c>
    </row>
    <row r="1985" spans="1:21" x14ac:dyDescent="0.35">
      <c r="A1985" t="s">
        <v>2064</v>
      </c>
      <c r="B1985" s="1">
        <v>46245</v>
      </c>
      <c r="C1985" t="str">
        <f>TEXT(tblData[[#This Row],[Rental Date]],"mmm")</f>
        <v>Aug</v>
      </c>
      <c r="D1985" t="str">
        <f>TEXT(tblData[[#This Row],[Rental Date]],"mmmm")</f>
        <v>August</v>
      </c>
      <c r="E1985" t="s">
        <v>102</v>
      </c>
      <c r="F1985" t="str">
        <f>TEXT(WEEKNUM(tblData[[#This Row],[Rental Date]]),"00")</f>
        <v>33</v>
      </c>
      <c r="G1985" s="1">
        <f>EOMONTH(tblData[[#This Row],[Rental Date]],0)</f>
        <v>46265</v>
      </c>
      <c r="H1985" t="s">
        <v>749</v>
      </c>
      <c r="I1985" t="s">
        <v>48</v>
      </c>
      <c r="J1985" t="s">
        <v>49</v>
      </c>
      <c r="K1985" t="s">
        <v>25</v>
      </c>
      <c r="L1985">
        <v>1</v>
      </c>
      <c r="M1985" s="2">
        <v>40.32</v>
      </c>
      <c r="N1985" t="s">
        <v>26</v>
      </c>
      <c r="O1985" s="3">
        <v>0</v>
      </c>
      <c r="P1985" s="3">
        <v>0</v>
      </c>
      <c r="Q1985" s="2">
        <v>40.32</v>
      </c>
      <c r="R1985" t="s">
        <v>62</v>
      </c>
      <c r="S1985" t="s">
        <v>46</v>
      </c>
      <c r="T1985" t="s">
        <v>51</v>
      </c>
      <c r="U1985" t="s">
        <v>30</v>
      </c>
    </row>
    <row r="1986" spans="1:21" x14ac:dyDescent="0.35">
      <c r="A1986" t="s">
        <v>2065</v>
      </c>
      <c r="B1986" s="1">
        <v>46246</v>
      </c>
      <c r="C1986" t="str">
        <f>TEXT(tblData[[#This Row],[Rental Date]],"mmm")</f>
        <v>Aug</v>
      </c>
      <c r="D1986" t="str">
        <f>TEXT(tblData[[#This Row],[Rental Date]],"mmmm")</f>
        <v>August</v>
      </c>
      <c r="E1986" t="s">
        <v>109</v>
      </c>
      <c r="F1986" t="str">
        <f>TEXT(WEEKNUM(tblData[[#This Row],[Rental Date]]),"00")</f>
        <v>33</v>
      </c>
      <c r="G1986" s="1">
        <f>EOMONTH(tblData[[#This Row],[Rental Date]],0)</f>
        <v>46265</v>
      </c>
      <c r="H1986" t="s">
        <v>749</v>
      </c>
      <c r="I1986" t="s">
        <v>48</v>
      </c>
      <c r="J1986" t="s">
        <v>65</v>
      </c>
      <c r="K1986" t="s">
        <v>25</v>
      </c>
      <c r="L1986">
        <v>1</v>
      </c>
      <c r="M1986" s="2">
        <v>20.16</v>
      </c>
      <c r="N1986" t="s">
        <v>61</v>
      </c>
      <c r="O1986" s="3">
        <v>8</v>
      </c>
      <c r="P1986" s="3">
        <v>0</v>
      </c>
      <c r="Q1986" s="2">
        <v>28.16</v>
      </c>
      <c r="R1986" t="s">
        <v>57</v>
      </c>
      <c r="S1986" t="s">
        <v>46</v>
      </c>
      <c r="T1986" t="s">
        <v>29</v>
      </c>
      <c r="U1986" t="s">
        <v>30</v>
      </c>
    </row>
    <row r="1987" spans="1:21" x14ac:dyDescent="0.35">
      <c r="A1987" t="s">
        <v>2066</v>
      </c>
      <c r="B1987" s="1">
        <v>46246</v>
      </c>
      <c r="C1987" t="str">
        <f>TEXT(tblData[[#This Row],[Rental Date]],"mmm")</f>
        <v>Aug</v>
      </c>
      <c r="D1987" t="str">
        <f>TEXT(tblData[[#This Row],[Rental Date]],"mmmm")</f>
        <v>August</v>
      </c>
      <c r="E1987" t="s">
        <v>109</v>
      </c>
      <c r="F1987" t="str">
        <f>TEXT(WEEKNUM(tblData[[#This Row],[Rental Date]]),"00")</f>
        <v>33</v>
      </c>
      <c r="G1987" s="1">
        <f>EOMONTH(tblData[[#This Row],[Rental Date]],0)</f>
        <v>46265</v>
      </c>
      <c r="H1987" t="s">
        <v>749</v>
      </c>
      <c r="I1987" t="s">
        <v>39</v>
      </c>
      <c r="J1987" t="s">
        <v>33</v>
      </c>
      <c r="K1987" t="s">
        <v>25</v>
      </c>
      <c r="L1987">
        <v>1</v>
      </c>
      <c r="M1987" s="2">
        <v>42.56</v>
      </c>
      <c r="N1987" t="s">
        <v>26</v>
      </c>
      <c r="O1987" s="3">
        <v>0</v>
      </c>
      <c r="P1987" s="3">
        <v>2.13</v>
      </c>
      <c r="Q1987" s="2">
        <v>40.43</v>
      </c>
      <c r="R1987" t="s">
        <v>66</v>
      </c>
      <c r="S1987" t="s">
        <v>50</v>
      </c>
      <c r="T1987" t="s">
        <v>29</v>
      </c>
      <c r="U1987" t="s">
        <v>30</v>
      </c>
    </row>
    <row r="1988" spans="1:21" x14ac:dyDescent="0.35">
      <c r="A1988" t="s">
        <v>2067</v>
      </c>
      <c r="B1988" s="1">
        <v>46246</v>
      </c>
      <c r="C1988" t="str">
        <f>TEXT(tblData[[#This Row],[Rental Date]],"mmm")</f>
        <v>Aug</v>
      </c>
      <c r="D1988" t="str">
        <f>TEXT(tblData[[#This Row],[Rental Date]],"mmmm")</f>
        <v>August</v>
      </c>
      <c r="E1988" t="s">
        <v>109</v>
      </c>
      <c r="F1988" t="str">
        <f>TEXT(WEEKNUM(tblData[[#This Row],[Rental Date]]),"00")</f>
        <v>33</v>
      </c>
      <c r="G1988" s="1">
        <f>EOMONTH(tblData[[#This Row],[Rental Date]],0)</f>
        <v>46265</v>
      </c>
      <c r="H1988" t="s">
        <v>749</v>
      </c>
      <c r="I1988" t="s">
        <v>39</v>
      </c>
      <c r="J1988" t="s">
        <v>33</v>
      </c>
      <c r="K1988" t="s">
        <v>25</v>
      </c>
      <c r="L1988">
        <v>1</v>
      </c>
      <c r="M1988" s="2">
        <v>42.56</v>
      </c>
      <c r="N1988" t="s">
        <v>75</v>
      </c>
      <c r="O1988" s="3">
        <v>12</v>
      </c>
      <c r="P1988" s="3">
        <v>0</v>
      </c>
      <c r="Q1988" s="2">
        <v>54.56</v>
      </c>
      <c r="R1988" t="s">
        <v>27</v>
      </c>
      <c r="S1988" t="s">
        <v>35</v>
      </c>
      <c r="T1988" t="s">
        <v>51</v>
      </c>
      <c r="U1988" t="s">
        <v>30</v>
      </c>
    </row>
    <row r="1989" spans="1:21" x14ac:dyDescent="0.35">
      <c r="A1989" t="s">
        <v>2068</v>
      </c>
      <c r="B1989" s="1">
        <v>46246</v>
      </c>
      <c r="C1989" t="str">
        <f>TEXT(tblData[[#This Row],[Rental Date]],"mmm")</f>
        <v>Aug</v>
      </c>
      <c r="D1989" t="str">
        <f>TEXT(tblData[[#This Row],[Rental Date]],"mmmm")</f>
        <v>August</v>
      </c>
      <c r="E1989" t="s">
        <v>109</v>
      </c>
      <c r="F1989" t="str">
        <f>TEXT(WEEKNUM(tblData[[#This Row],[Rental Date]]),"00")</f>
        <v>33</v>
      </c>
      <c r="G1989" s="1">
        <f>EOMONTH(tblData[[#This Row],[Rental Date]],0)</f>
        <v>46265</v>
      </c>
      <c r="H1989" t="s">
        <v>749</v>
      </c>
      <c r="I1989" t="s">
        <v>23</v>
      </c>
      <c r="J1989" t="s">
        <v>33</v>
      </c>
      <c r="K1989" t="s">
        <v>60</v>
      </c>
      <c r="L1989">
        <v>1</v>
      </c>
      <c r="M1989" s="2">
        <v>26.88</v>
      </c>
      <c r="N1989" t="s">
        <v>41</v>
      </c>
      <c r="O1989" s="3">
        <v>5</v>
      </c>
      <c r="P1989" s="3">
        <v>0</v>
      </c>
      <c r="Q1989" s="2">
        <v>31.88</v>
      </c>
      <c r="R1989" t="s">
        <v>62</v>
      </c>
      <c r="S1989" t="s">
        <v>28</v>
      </c>
      <c r="T1989" t="s">
        <v>29</v>
      </c>
      <c r="U1989" t="s">
        <v>30</v>
      </c>
    </row>
    <row r="1990" spans="1:21" x14ac:dyDescent="0.35">
      <c r="A1990" t="s">
        <v>2069</v>
      </c>
      <c r="B1990" s="1">
        <v>46246</v>
      </c>
      <c r="C1990" t="str">
        <f>TEXT(tblData[[#This Row],[Rental Date]],"mmm")</f>
        <v>Aug</v>
      </c>
      <c r="D1990" t="str">
        <f>TEXT(tblData[[#This Row],[Rental Date]],"mmmm")</f>
        <v>August</v>
      </c>
      <c r="E1990" t="s">
        <v>109</v>
      </c>
      <c r="F1990" t="str">
        <f>TEXT(WEEKNUM(tblData[[#This Row],[Rental Date]]),"00")</f>
        <v>33</v>
      </c>
      <c r="G1990" s="1">
        <f>EOMONTH(tblData[[#This Row],[Rental Date]],0)</f>
        <v>46265</v>
      </c>
      <c r="H1990" t="s">
        <v>749</v>
      </c>
      <c r="I1990" t="s">
        <v>23</v>
      </c>
      <c r="J1990" t="s">
        <v>44</v>
      </c>
      <c r="K1990" t="s">
        <v>60</v>
      </c>
      <c r="L1990">
        <v>1</v>
      </c>
      <c r="M1990" s="2">
        <v>38.08</v>
      </c>
      <c r="N1990" t="s">
        <v>41</v>
      </c>
      <c r="O1990" s="3">
        <v>5</v>
      </c>
      <c r="P1990" s="3">
        <v>0</v>
      </c>
      <c r="Q1990" s="2">
        <v>43.08</v>
      </c>
      <c r="R1990" t="s">
        <v>76</v>
      </c>
      <c r="S1990" t="s">
        <v>46</v>
      </c>
      <c r="T1990" t="s">
        <v>83</v>
      </c>
      <c r="U1990" t="s">
        <v>58</v>
      </c>
    </row>
    <row r="1991" spans="1:21" x14ac:dyDescent="0.35">
      <c r="A1991" t="s">
        <v>2070</v>
      </c>
      <c r="B1991" s="1">
        <v>46246</v>
      </c>
      <c r="C1991" t="str">
        <f>TEXT(tblData[[#This Row],[Rental Date]],"mmm")</f>
        <v>Aug</v>
      </c>
      <c r="D1991" t="str">
        <f>TEXT(tblData[[#This Row],[Rental Date]],"mmmm")</f>
        <v>August</v>
      </c>
      <c r="E1991" t="s">
        <v>109</v>
      </c>
      <c r="F1991" t="str">
        <f>TEXT(WEEKNUM(tblData[[#This Row],[Rental Date]]),"00")</f>
        <v>33</v>
      </c>
      <c r="G1991" s="1">
        <f>EOMONTH(tblData[[#This Row],[Rental Date]],0)</f>
        <v>46265</v>
      </c>
      <c r="H1991" t="s">
        <v>749</v>
      </c>
      <c r="I1991" t="s">
        <v>39</v>
      </c>
      <c r="J1991" t="s">
        <v>65</v>
      </c>
      <c r="K1991" t="s">
        <v>60</v>
      </c>
      <c r="L1991">
        <v>1</v>
      </c>
      <c r="M1991" s="2">
        <v>13.44</v>
      </c>
      <c r="N1991" t="s">
        <v>61</v>
      </c>
      <c r="O1991" s="3">
        <v>8</v>
      </c>
      <c r="P1991" s="3">
        <v>0</v>
      </c>
      <c r="Q1991" s="2">
        <v>21.44</v>
      </c>
      <c r="R1991" t="s">
        <v>76</v>
      </c>
      <c r="S1991" t="s">
        <v>54</v>
      </c>
      <c r="T1991" t="s">
        <v>29</v>
      </c>
      <c r="U1991" t="s">
        <v>79</v>
      </c>
    </row>
    <row r="1992" spans="1:21" x14ac:dyDescent="0.35">
      <c r="A1992" t="s">
        <v>2071</v>
      </c>
      <c r="B1992" s="1">
        <v>46246</v>
      </c>
      <c r="C1992" t="str">
        <f>TEXT(tblData[[#This Row],[Rental Date]],"mmm")</f>
        <v>Aug</v>
      </c>
      <c r="D1992" t="str">
        <f>TEXT(tblData[[#This Row],[Rental Date]],"mmmm")</f>
        <v>August</v>
      </c>
      <c r="E1992" t="s">
        <v>109</v>
      </c>
      <c r="F1992" t="str">
        <f>TEXT(WEEKNUM(tblData[[#This Row],[Rental Date]]),"00")</f>
        <v>33</v>
      </c>
      <c r="G1992" s="1">
        <f>EOMONTH(tblData[[#This Row],[Rental Date]],0)</f>
        <v>46265</v>
      </c>
      <c r="H1992" t="s">
        <v>749</v>
      </c>
      <c r="I1992" t="s">
        <v>48</v>
      </c>
      <c r="J1992" t="s">
        <v>111</v>
      </c>
      <c r="K1992" t="s">
        <v>25</v>
      </c>
      <c r="L1992">
        <v>1</v>
      </c>
      <c r="M1992" s="2">
        <v>24.64</v>
      </c>
      <c r="N1992" t="s">
        <v>61</v>
      </c>
      <c r="O1992" s="3">
        <v>8</v>
      </c>
      <c r="P1992" s="3">
        <v>0</v>
      </c>
      <c r="Q1992" s="2">
        <v>32.64</v>
      </c>
      <c r="R1992" t="s">
        <v>71</v>
      </c>
      <c r="S1992" t="s">
        <v>54</v>
      </c>
      <c r="T1992" t="s">
        <v>29</v>
      </c>
      <c r="U1992" t="s">
        <v>30</v>
      </c>
    </row>
    <row r="1993" spans="1:21" x14ac:dyDescent="0.35">
      <c r="A1993" t="s">
        <v>2072</v>
      </c>
      <c r="B1993" s="1">
        <v>46246</v>
      </c>
      <c r="C1993" t="str">
        <f>TEXT(tblData[[#This Row],[Rental Date]],"mmm")</f>
        <v>Aug</v>
      </c>
      <c r="D1993" t="str">
        <f>TEXT(tblData[[#This Row],[Rental Date]],"mmmm")</f>
        <v>August</v>
      </c>
      <c r="E1993" t="s">
        <v>109</v>
      </c>
      <c r="F1993" t="str">
        <f>TEXT(WEEKNUM(tblData[[#This Row],[Rental Date]]),"00")</f>
        <v>33</v>
      </c>
      <c r="G1993" s="1">
        <f>EOMONTH(tblData[[#This Row],[Rental Date]],0)</f>
        <v>46265</v>
      </c>
      <c r="H1993" t="s">
        <v>749</v>
      </c>
      <c r="I1993" t="s">
        <v>39</v>
      </c>
      <c r="J1993" t="s">
        <v>24</v>
      </c>
      <c r="K1993" t="s">
        <v>25</v>
      </c>
      <c r="L1993">
        <v>1</v>
      </c>
      <c r="M1993" s="2">
        <v>56</v>
      </c>
      <c r="N1993" t="s">
        <v>26</v>
      </c>
      <c r="O1993" s="3">
        <v>0</v>
      </c>
      <c r="P1993" s="3">
        <v>0</v>
      </c>
      <c r="Q1993" s="2">
        <v>56</v>
      </c>
      <c r="R1993" t="s">
        <v>62</v>
      </c>
      <c r="S1993" t="s">
        <v>46</v>
      </c>
      <c r="T1993" t="s">
        <v>63</v>
      </c>
      <c r="U1993" t="s">
        <v>30</v>
      </c>
    </row>
    <row r="1994" spans="1:21" x14ac:dyDescent="0.35">
      <c r="A1994" t="s">
        <v>2073</v>
      </c>
      <c r="B1994" s="1">
        <v>46246</v>
      </c>
      <c r="C1994" t="str">
        <f>TEXT(tblData[[#This Row],[Rental Date]],"mmm")</f>
        <v>Aug</v>
      </c>
      <c r="D1994" t="str">
        <f>TEXT(tblData[[#This Row],[Rental Date]],"mmmm")</f>
        <v>August</v>
      </c>
      <c r="E1994" t="s">
        <v>109</v>
      </c>
      <c r="F1994" t="str">
        <f>TEXT(WEEKNUM(tblData[[#This Row],[Rental Date]]),"00")</f>
        <v>33</v>
      </c>
      <c r="G1994" s="1">
        <f>EOMONTH(tblData[[#This Row],[Rental Date]],0)</f>
        <v>46265</v>
      </c>
      <c r="H1994" t="s">
        <v>749</v>
      </c>
      <c r="I1994" t="s">
        <v>23</v>
      </c>
      <c r="J1994" t="s">
        <v>33</v>
      </c>
      <c r="K1994" t="s">
        <v>92</v>
      </c>
      <c r="L1994">
        <v>1</v>
      </c>
      <c r="M1994" s="2">
        <v>94.08</v>
      </c>
      <c r="N1994" t="s">
        <v>87</v>
      </c>
      <c r="O1994" s="3">
        <v>10</v>
      </c>
      <c r="P1994" s="3">
        <v>0</v>
      </c>
      <c r="Q1994" s="2">
        <v>104.08</v>
      </c>
      <c r="R1994" t="s">
        <v>42</v>
      </c>
      <c r="S1994" t="s">
        <v>28</v>
      </c>
      <c r="T1994" t="s">
        <v>29</v>
      </c>
      <c r="U1994" t="s">
        <v>30</v>
      </c>
    </row>
    <row r="1995" spans="1:21" x14ac:dyDescent="0.35">
      <c r="A1995" t="s">
        <v>2074</v>
      </c>
      <c r="B1995" s="1">
        <v>46246</v>
      </c>
      <c r="C1995" t="str">
        <f>TEXT(tblData[[#This Row],[Rental Date]],"mmm")</f>
        <v>Aug</v>
      </c>
      <c r="D1995" t="str">
        <f>TEXT(tblData[[#This Row],[Rental Date]],"mmmm")</f>
        <v>August</v>
      </c>
      <c r="E1995" t="s">
        <v>109</v>
      </c>
      <c r="F1995" t="str">
        <f>TEXT(WEEKNUM(tblData[[#This Row],[Rental Date]]),"00")</f>
        <v>33</v>
      </c>
      <c r="G1995" s="1">
        <f>EOMONTH(tblData[[#This Row],[Rental Date]],0)</f>
        <v>46265</v>
      </c>
      <c r="H1995" t="s">
        <v>749</v>
      </c>
      <c r="I1995" t="s">
        <v>23</v>
      </c>
      <c r="J1995" t="s">
        <v>33</v>
      </c>
      <c r="K1995" t="s">
        <v>60</v>
      </c>
      <c r="L1995">
        <v>1</v>
      </c>
      <c r="M1995" s="2">
        <v>26.88</v>
      </c>
      <c r="N1995" t="s">
        <v>89</v>
      </c>
      <c r="O1995" s="3">
        <v>6</v>
      </c>
      <c r="P1995" s="3">
        <v>0</v>
      </c>
      <c r="Q1995" s="2">
        <v>32.880000000000003</v>
      </c>
      <c r="R1995" t="s">
        <v>57</v>
      </c>
      <c r="S1995" t="s">
        <v>46</v>
      </c>
      <c r="T1995" t="s">
        <v>29</v>
      </c>
      <c r="U1995" t="s">
        <v>30</v>
      </c>
    </row>
    <row r="1996" spans="1:21" x14ac:dyDescent="0.35">
      <c r="A1996" t="s">
        <v>2075</v>
      </c>
      <c r="B1996" s="1">
        <v>46247</v>
      </c>
      <c r="C1996" t="str">
        <f>TEXT(tblData[[#This Row],[Rental Date]],"mmm")</f>
        <v>Aug</v>
      </c>
      <c r="D1996" t="str">
        <f>TEXT(tblData[[#This Row],[Rental Date]],"mmmm")</f>
        <v>August</v>
      </c>
      <c r="E1996" t="s">
        <v>21</v>
      </c>
      <c r="F1996" t="str">
        <f>TEXT(WEEKNUM(tblData[[#This Row],[Rental Date]]),"00")</f>
        <v>33</v>
      </c>
      <c r="G1996" s="1">
        <f>EOMONTH(tblData[[#This Row],[Rental Date]],0)</f>
        <v>46265</v>
      </c>
      <c r="H1996" t="s">
        <v>749</v>
      </c>
      <c r="I1996" t="s">
        <v>48</v>
      </c>
      <c r="J1996" t="s">
        <v>49</v>
      </c>
      <c r="K1996" t="s">
        <v>25</v>
      </c>
      <c r="L1996">
        <v>1</v>
      </c>
      <c r="M1996" s="2">
        <v>40.32</v>
      </c>
      <c r="N1996" t="s">
        <v>26</v>
      </c>
      <c r="O1996" s="3">
        <v>0</v>
      </c>
      <c r="P1996" s="3">
        <v>0</v>
      </c>
      <c r="Q1996" s="2">
        <v>40.32</v>
      </c>
      <c r="R1996" t="s">
        <v>57</v>
      </c>
      <c r="S1996" t="s">
        <v>28</v>
      </c>
      <c r="T1996" t="s">
        <v>29</v>
      </c>
      <c r="U1996" t="s">
        <v>58</v>
      </c>
    </row>
    <row r="1997" spans="1:21" x14ac:dyDescent="0.35">
      <c r="A1997" t="s">
        <v>2076</v>
      </c>
      <c r="B1997" s="1">
        <v>46247</v>
      </c>
      <c r="C1997" t="str">
        <f>TEXT(tblData[[#This Row],[Rental Date]],"mmm")</f>
        <v>Aug</v>
      </c>
      <c r="D1997" t="str">
        <f>TEXT(tblData[[#This Row],[Rental Date]],"mmmm")</f>
        <v>August</v>
      </c>
      <c r="E1997" t="s">
        <v>21</v>
      </c>
      <c r="F1997" t="str">
        <f>TEXT(WEEKNUM(tblData[[#This Row],[Rental Date]]),"00")</f>
        <v>33</v>
      </c>
      <c r="G1997" s="1">
        <f>EOMONTH(tblData[[#This Row],[Rental Date]],0)</f>
        <v>46265</v>
      </c>
      <c r="H1997" t="s">
        <v>749</v>
      </c>
      <c r="I1997" t="s">
        <v>39</v>
      </c>
      <c r="J1997" t="s">
        <v>65</v>
      </c>
      <c r="K1997" t="s">
        <v>25</v>
      </c>
      <c r="L1997">
        <v>1</v>
      </c>
      <c r="M1997" s="2">
        <v>20.16</v>
      </c>
      <c r="N1997" t="s">
        <v>26</v>
      </c>
      <c r="O1997" s="3">
        <v>0</v>
      </c>
      <c r="P1997" s="3">
        <v>0</v>
      </c>
      <c r="Q1997" s="2">
        <v>20.16</v>
      </c>
      <c r="R1997" t="s">
        <v>66</v>
      </c>
      <c r="S1997" t="s">
        <v>46</v>
      </c>
      <c r="T1997" t="s">
        <v>29</v>
      </c>
      <c r="U1997" t="s">
        <v>30</v>
      </c>
    </row>
    <row r="1998" spans="1:21" x14ac:dyDescent="0.35">
      <c r="A1998" t="s">
        <v>2077</v>
      </c>
      <c r="B1998" s="1">
        <v>46247</v>
      </c>
      <c r="C1998" t="str">
        <f>TEXT(tblData[[#This Row],[Rental Date]],"mmm")</f>
        <v>Aug</v>
      </c>
      <c r="D1998" t="str">
        <f>TEXT(tblData[[#This Row],[Rental Date]],"mmmm")</f>
        <v>August</v>
      </c>
      <c r="E1998" t="s">
        <v>21</v>
      </c>
      <c r="F1998" t="str">
        <f>TEXT(WEEKNUM(tblData[[#This Row],[Rental Date]]),"00")</f>
        <v>33</v>
      </c>
      <c r="G1998" s="1">
        <f>EOMONTH(tblData[[#This Row],[Rental Date]],0)</f>
        <v>46265</v>
      </c>
      <c r="H1998" t="s">
        <v>749</v>
      </c>
      <c r="I1998" t="s">
        <v>39</v>
      </c>
      <c r="J1998" t="s">
        <v>49</v>
      </c>
      <c r="K1998" t="s">
        <v>40</v>
      </c>
      <c r="L1998">
        <v>1</v>
      </c>
      <c r="M1998" s="2">
        <v>60.48</v>
      </c>
      <c r="N1998" t="s">
        <v>61</v>
      </c>
      <c r="O1998" s="3">
        <v>8</v>
      </c>
      <c r="P1998" s="3">
        <v>0</v>
      </c>
      <c r="Q1998" s="2">
        <v>68.48</v>
      </c>
      <c r="R1998" t="s">
        <v>34</v>
      </c>
      <c r="S1998" t="s">
        <v>28</v>
      </c>
      <c r="T1998" t="s">
        <v>51</v>
      </c>
      <c r="U1998" t="s">
        <v>30</v>
      </c>
    </row>
    <row r="1999" spans="1:21" x14ac:dyDescent="0.35">
      <c r="A1999" t="s">
        <v>2078</v>
      </c>
      <c r="B1999" s="1">
        <v>46247</v>
      </c>
      <c r="C1999" t="str">
        <f>TEXT(tblData[[#This Row],[Rental Date]],"mmm")</f>
        <v>Aug</v>
      </c>
      <c r="D1999" t="str">
        <f>TEXT(tblData[[#This Row],[Rental Date]],"mmmm")</f>
        <v>August</v>
      </c>
      <c r="E1999" t="s">
        <v>21</v>
      </c>
      <c r="F1999" t="str">
        <f>TEXT(WEEKNUM(tblData[[#This Row],[Rental Date]]),"00")</f>
        <v>33</v>
      </c>
      <c r="G1999" s="1">
        <f>EOMONTH(tblData[[#This Row],[Rental Date]],0)</f>
        <v>46265</v>
      </c>
      <c r="H1999" t="s">
        <v>749</v>
      </c>
      <c r="I1999" t="s">
        <v>48</v>
      </c>
      <c r="J1999" t="s">
        <v>78</v>
      </c>
      <c r="K1999" t="s">
        <v>40</v>
      </c>
      <c r="L1999">
        <v>1</v>
      </c>
      <c r="M1999" s="2">
        <v>69.44</v>
      </c>
      <c r="N1999" t="s">
        <v>41</v>
      </c>
      <c r="O1999" s="3">
        <v>5</v>
      </c>
      <c r="P1999" s="3">
        <v>0</v>
      </c>
      <c r="Q1999" s="2">
        <v>74.44</v>
      </c>
      <c r="R1999" t="s">
        <v>62</v>
      </c>
      <c r="S1999" t="s">
        <v>28</v>
      </c>
      <c r="T1999" t="s">
        <v>29</v>
      </c>
      <c r="U1999" t="s">
        <v>58</v>
      </c>
    </row>
    <row r="2000" spans="1:21" x14ac:dyDescent="0.35">
      <c r="A2000" t="s">
        <v>2079</v>
      </c>
      <c r="B2000" s="1">
        <v>46247</v>
      </c>
      <c r="C2000" t="str">
        <f>TEXT(tblData[[#This Row],[Rental Date]],"mmm")</f>
        <v>Aug</v>
      </c>
      <c r="D2000" t="str">
        <f>TEXT(tblData[[#This Row],[Rental Date]],"mmmm")</f>
        <v>August</v>
      </c>
      <c r="E2000" t="s">
        <v>21</v>
      </c>
      <c r="F2000" t="str">
        <f>TEXT(WEEKNUM(tblData[[#This Row],[Rental Date]]),"00")</f>
        <v>33</v>
      </c>
      <c r="G2000" s="1">
        <f>EOMONTH(tblData[[#This Row],[Rental Date]],0)</f>
        <v>46265</v>
      </c>
      <c r="H2000" t="s">
        <v>749</v>
      </c>
      <c r="I2000" t="s">
        <v>23</v>
      </c>
      <c r="J2000" t="s">
        <v>49</v>
      </c>
      <c r="K2000" t="s">
        <v>60</v>
      </c>
      <c r="L2000">
        <v>1</v>
      </c>
      <c r="M2000" s="2">
        <v>24.64</v>
      </c>
      <c r="N2000" t="s">
        <v>26</v>
      </c>
      <c r="O2000" s="3">
        <v>0</v>
      </c>
      <c r="P2000" s="3">
        <v>0</v>
      </c>
      <c r="Q2000" s="2">
        <v>24.64</v>
      </c>
      <c r="R2000" t="s">
        <v>76</v>
      </c>
      <c r="S2000" t="s">
        <v>46</v>
      </c>
      <c r="T2000" t="s">
        <v>29</v>
      </c>
      <c r="U2000" t="s">
        <v>30</v>
      </c>
    </row>
    <row r="2001" spans="1:21" x14ac:dyDescent="0.35">
      <c r="A2001" t="s">
        <v>2080</v>
      </c>
      <c r="B2001" s="1">
        <v>46247</v>
      </c>
      <c r="C2001" t="str">
        <f>TEXT(tblData[[#This Row],[Rental Date]],"mmm")</f>
        <v>Aug</v>
      </c>
      <c r="D2001" t="str">
        <f>TEXT(tblData[[#This Row],[Rental Date]],"mmmm")</f>
        <v>August</v>
      </c>
      <c r="E2001" t="s">
        <v>21</v>
      </c>
      <c r="F2001" t="str">
        <f>TEXT(WEEKNUM(tblData[[#This Row],[Rental Date]]),"00")</f>
        <v>33</v>
      </c>
      <c r="G2001" s="1">
        <f>EOMONTH(tblData[[#This Row],[Rental Date]],0)</f>
        <v>46265</v>
      </c>
      <c r="H2001" t="s">
        <v>749</v>
      </c>
      <c r="I2001" t="s">
        <v>39</v>
      </c>
      <c r="J2001" t="s">
        <v>33</v>
      </c>
      <c r="K2001" t="s">
        <v>40</v>
      </c>
      <c r="L2001">
        <v>1</v>
      </c>
      <c r="M2001" s="2">
        <v>64.959999999999994</v>
      </c>
      <c r="N2001" t="s">
        <v>26</v>
      </c>
      <c r="O2001" s="3">
        <v>0</v>
      </c>
      <c r="P2001" s="3">
        <v>0</v>
      </c>
      <c r="Q2001" s="2">
        <v>64.959999999999994</v>
      </c>
      <c r="R2001" t="s">
        <v>45</v>
      </c>
      <c r="S2001" t="s">
        <v>54</v>
      </c>
      <c r="T2001" t="s">
        <v>29</v>
      </c>
      <c r="U2001" t="s">
        <v>30</v>
      </c>
    </row>
    <row r="2002" spans="1:21" x14ac:dyDescent="0.35">
      <c r="A2002" t="s">
        <v>2081</v>
      </c>
      <c r="B2002" s="1">
        <v>46247</v>
      </c>
      <c r="C2002" t="str">
        <f>TEXT(tblData[[#This Row],[Rental Date]],"mmm")</f>
        <v>Aug</v>
      </c>
      <c r="D2002" t="str">
        <f>TEXT(tblData[[#This Row],[Rental Date]],"mmmm")</f>
        <v>August</v>
      </c>
      <c r="E2002" t="s">
        <v>21</v>
      </c>
      <c r="F2002" t="str">
        <f>TEXT(WEEKNUM(tblData[[#This Row],[Rental Date]]),"00")</f>
        <v>33</v>
      </c>
      <c r="G2002" s="1">
        <f>EOMONTH(tblData[[#This Row],[Rental Date]],0)</f>
        <v>46265</v>
      </c>
      <c r="H2002" t="s">
        <v>749</v>
      </c>
      <c r="I2002" t="s">
        <v>48</v>
      </c>
      <c r="J2002" t="s">
        <v>49</v>
      </c>
      <c r="K2002" t="s">
        <v>25</v>
      </c>
      <c r="L2002">
        <v>1</v>
      </c>
      <c r="M2002" s="2">
        <v>40.32</v>
      </c>
      <c r="N2002" t="s">
        <v>26</v>
      </c>
      <c r="O2002" s="3">
        <v>0</v>
      </c>
      <c r="P2002" s="3">
        <v>0</v>
      </c>
      <c r="Q2002" s="2">
        <v>40.32</v>
      </c>
      <c r="R2002" t="s">
        <v>66</v>
      </c>
      <c r="S2002" t="s">
        <v>28</v>
      </c>
      <c r="T2002" t="s">
        <v>29</v>
      </c>
      <c r="U2002" t="s">
        <v>30</v>
      </c>
    </row>
    <row r="2003" spans="1:21" x14ac:dyDescent="0.35">
      <c r="A2003" t="s">
        <v>2082</v>
      </c>
      <c r="B2003" s="1">
        <v>46247</v>
      </c>
      <c r="C2003" t="str">
        <f>TEXT(tblData[[#This Row],[Rental Date]],"mmm")</f>
        <v>Aug</v>
      </c>
      <c r="D2003" t="str">
        <f>TEXT(tblData[[#This Row],[Rental Date]],"mmmm")</f>
        <v>August</v>
      </c>
      <c r="E2003" t="s">
        <v>21</v>
      </c>
      <c r="F2003" t="str">
        <f>TEXT(WEEKNUM(tblData[[#This Row],[Rental Date]]),"00")</f>
        <v>33</v>
      </c>
      <c r="G2003" s="1">
        <f>EOMONTH(tblData[[#This Row],[Rental Date]],0)</f>
        <v>46265</v>
      </c>
      <c r="H2003" t="s">
        <v>749</v>
      </c>
      <c r="I2003" t="s">
        <v>39</v>
      </c>
      <c r="J2003" t="s">
        <v>78</v>
      </c>
      <c r="K2003" t="s">
        <v>25</v>
      </c>
      <c r="L2003">
        <v>1</v>
      </c>
      <c r="M2003" s="2">
        <v>47.04</v>
      </c>
      <c r="N2003" t="s">
        <v>26</v>
      </c>
      <c r="O2003" s="3">
        <v>0</v>
      </c>
      <c r="P2003" s="3">
        <v>0</v>
      </c>
      <c r="Q2003" s="2">
        <v>47.04</v>
      </c>
      <c r="R2003" t="s">
        <v>27</v>
      </c>
      <c r="S2003" t="s">
        <v>54</v>
      </c>
      <c r="T2003" t="s">
        <v>29</v>
      </c>
      <c r="U2003" t="s">
        <v>30</v>
      </c>
    </row>
    <row r="2004" spans="1:21" x14ac:dyDescent="0.35">
      <c r="A2004" t="s">
        <v>2083</v>
      </c>
      <c r="B2004" s="1">
        <v>46247</v>
      </c>
      <c r="C2004" t="str">
        <f>TEXT(tblData[[#This Row],[Rental Date]],"mmm")</f>
        <v>Aug</v>
      </c>
      <c r="D2004" t="str">
        <f>TEXT(tblData[[#This Row],[Rental Date]],"mmmm")</f>
        <v>August</v>
      </c>
      <c r="E2004" t="s">
        <v>21</v>
      </c>
      <c r="F2004" t="str">
        <f>TEXT(WEEKNUM(tblData[[#This Row],[Rental Date]]),"00")</f>
        <v>33</v>
      </c>
      <c r="G2004" s="1">
        <f>EOMONTH(tblData[[#This Row],[Rental Date]],0)</f>
        <v>46265</v>
      </c>
      <c r="H2004" t="s">
        <v>749</v>
      </c>
      <c r="I2004" t="s">
        <v>39</v>
      </c>
      <c r="J2004" t="s">
        <v>78</v>
      </c>
      <c r="K2004" t="s">
        <v>40</v>
      </c>
      <c r="L2004">
        <v>1</v>
      </c>
      <c r="M2004" s="2">
        <v>69.44</v>
      </c>
      <c r="N2004" t="s">
        <v>26</v>
      </c>
      <c r="O2004" s="3">
        <v>0</v>
      </c>
      <c r="P2004" s="3">
        <v>0</v>
      </c>
      <c r="Q2004" s="2">
        <v>69.44</v>
      </c>
      <c r="R2004" t="s">
        <v>71</v>
      </c>
      <c r="S2004" t="s">
        <v>35</v>
      </c>
      <c r="T2004" t="s">
        <v>29</v>
      </c>
      <c r="U2004" t="s">
        <v>30</v>
      </c>
    </row>
    <row r="2005" spans="1:21" x14ac:dyDescent="0.35">
      <c r="A2005" t="s">
        <v>2084</v>
      </c>
      <c r="B2005" s="1">
        <v>46247</v>
      </c>
      <c r="C2005" t="str">
        <f>TEXT(tblData[[#This Row],[Rental Date]],"mmm")</f>
        <v>Aug</v>
      </c>
      <c r="D2005" t="str">
        <f>TEXT(tblData[[#This Row],[Rental Date]],"mmmm")</f>
        <v>August</v>
      </c>
      <c r="E2005" t="s">
        <v>21</v>
      </c>
      <c r="F2005" t="str">
        <f>TEXT(WEEKNUM(tblData[[#This Row],[Rental Date]]),"00")</f>
        <v>33</v>
      </c>
      <c r="G2005" s="1">
        <f>EOMONTH(tblData[[#This Row],[Rental Date]],0)</f>
        <v>46265</v>
      </c>
      <c r="H2005" t="s">
        <v>749</v>
      </c>
      <c r="I2005" t="s">
        <v>23</v>
      </c>
      <c r="J2005" t="s">
        <v>111</v>
      </c>
      <c r="K2005" t="s">
        <v>25</v>
      </c>
      <c r="L2005">
        <v>1</v>
      </c>
      <c r="M2005" s="2">
        <v>24.64</v>
      </c>
      <c r="N2005" t="s">
        <v>61</v>
      </c>
      <c r="O2005" s="3">
        <v>8</v>
      </c>
      <c r="P2005" s="3">
        <v>0</v>
      </c>
      <c r="Q2005" s="2">
        <v>32.64</v>
      </c>
      <c r="R2005" t="s">
        <v>66</v>
      </c>
      <c r="S2005" t="s">
        <v>46</v>
      </c>
      <c r="T2005" t="s">
        <v>29</v>
      </c>
      <c r="U2005" t="s">
        <v>79</v>
      </c>
    </row>
    <row r="2006" spans="1:21" x14ac:dyDescent="0.35">
      <c r="A2006" t="s">
        <v>2085</v>
      </c>
      <c r="B2006" s="1">
        <v>46247</v>
      </c>
      <c r="C2006" t="str">
        <f>TEXT(tblData[[#This Row],[Rental Date]],"mmm")</f>
        <v>Aug</v>
      </c>
      <c r="D2006" t="str">
        <f>TEXT(tblData[[#This Row],[Rental Date]],"mmmm")</f>
        <v>August</v>
      </c>
      <c r="E2006" t="s">
        <v>21</v>
      </c>
      <c r="F2006" t="str">
        <f>TEXT(WEEKNUM(tblData[[#This Row],[Rental Date]]),"00")</f>
        <v>33</v>
      </c>
      <c r="G2006" s="1">
        <f>EOMONTH(tblData[[#This Row],[Rental Date]],0)</f>
        <v>46265</v>
      </c>
      <c r="H2006" t="s">
        <v>749</v>
      </c>
      <c r="I2006" t="s">
        <v>48</v>
      </c>
      <c r="J2006" t="s">
        <v>33</v>
      </c>
      <c r="K2006" t="s">
        <v>40</v>
      </c>
      <c r="L2006">
        <v>1</v>
      </c>
      <c r="M2006" s="2">
        <v>64.959999999999994</v>
      </c>
      <c r="N2006" t="s">
        <v>89</v>
      </c>
      <c r="O2006" s="3">
        <v>6</v>
      </c>
      <c r="P2006" s="3">
        <v>0</v>
      </c>
      <c r="Q2006" s="2">
        <v>70.959999999999994</v>
      </c>
      <c r="R2006" t="s">
        <v>76</v>
      </c>
      <c r="S2006" t="s">
        <v>50</v>
      </c>
      <c r="T2006" t="s">
        <v>29</v>
      </c>
      <c r="U2006" t="s">
        <v>30</v>
      </c>
    </row>
    <row r="2007" spans="1:21" x14ac:dyDescent="0.35">
      <c r="A2007" t="s">
        <v>2086</v>
      </c>
      <c r="B2007" s="1">
        <v>46247</v>
      </c>
      <c r="C2007" t="str">
        <f>TEXT(tblData[[#This Row],[Rental Date]],"mmm")</f>
        <v>Aug</v>
      </c>
      <c r="D2007" t="str">
        <f>TEXT(tblData[[#This Row],[Rental Date]],"mmmm")</f>
        <v>August</v>
      </c>
      <c r="E2007" t="s">
        <v>21</v>
      </c>
      <c r="F2007" t="str">
        <f>TEXT(WEEKNUM(tblData[[#This Row],[Rental Date]]),"00")</f>
        <v>33</v>
      </c>
      <c r="G2007" s="1">
        <f>EOMONTH(tblData[[#This Row],[Rental Date]],0)</f>
        <v>46265</v>
      </c>
      <c r="H2007" t="s">
        <v>749</v>
      </c>
      <c r="I2007" t="s">
        <v>32</v>
      </c>
      <c r="J2007" t="s">
        <v>44</v>
      </c>
      <c r="K2007" t="s">
        <v>25</v>
      </c>
      <c r="L2007">
        <v>1</v>
      </c>
      <c r="M2007" s="2">
        <v>58.24</v>
      </c>
      <c r="N2007" t="s">
        <v>26</v>
      </c>
      <c r="O2007" s="3">
        <v>0</v>
      </c>
      <c r="P2007" s="3">
        <v>0</v>
      </c>
      <c r="Q2007" s="2">
        <v>58.24</v>
      </c>
      <c r="R2007" t="s">
        <v>45</v>
      </c>
      <c r="S2007" t="s">
        <v>46</v>
      </c>
      <c r="T2007" t="s">
        <v>29</v>
      </c>
      <c r="U2007" t="s">
        <v>79</v>
      </c>
    </row>
    <row r="2008" spans="1:21" x14ac:dyDescent="0.35">
      <c r="A2008" t="s">
        <v>2087</v>
      </c>
      <c r="B2008" s="1">
        <v>46247</v>
      </c>
      <c r="C2008" t="str">
        <f>TEXT(tblData[[#This Row],[Rental Date]],"mmm")</f>
        <v>Aug</v>
      </c>
      <c r="D2008" t="str">
        <f>TEXT(tblData[[#This Row],[Rental Date]],"mmmm")</f>
        <v>August</v>
      </c>
      <c r="E2008" t="s">
        <v>21</v>
      </c>
      <c r="F2008" t="str">
        <f>TEXT(WEEKNUM(tblData[[#This Row],[Rental Date]]),"00")</f>
        <v>33</v>
      </c>
      <c r="G2008" s="1">
        <f>EOMONTH(tblData[[#This Row],[Rental Date]],0)</f>
        <v>46265</v>
      </c>
      <c r="H2008" t="s">
        <v>749</v>
      </c>
      <c r="I2008" t="s">
        <v>48</v>
      </c>
      <c r="J2008" t="s">
        <v>49</v>
      </c>
      <c r="K2008" t="s">
        <v>60</v>
      </c>
      <c r="L2008">
        <v>1</v>
      </c>
      <c r="M2008" s="2">
        <v>24.64</v>
      </c>
      <c r="N2008" t="s">
        <v>89</v>
      </c>
      <c r="O2008" s="3">
        <v>6</v>
      </c>
      <c r="P2008" s="3">
        <v>0</v>
      </c>
      <c r="Q2008" s="2">
        <v>30.64</v>
      </c>
      <c r="R2008" t="s">
        <v>57</v>
      </c>
      <c r="S2008" t="s">
        <v>54</v>
      </c>
      <c r="T2008" t="s">
        <v>51</v>
      </c>
      <c r="U2008" t="s">
        <v>58</v>
      </c>
    </row>
    <row r="2009" spans="1:21" x14ac:dyDescent="0.35">
      <c r="A2009" t="s">
        <v>2088</v>
      </c>
      <c r="B2009" s="1">
        <v>46247</v>
      </c>
      <c r="C2009" t="str">
        <f>TEXT(tblData[[#This Row],[Rental Date]],"mmm")</f>
        <v>Aug</v>
      </c>
      <c r="D2009" t="str">
        <f>TEXT(tblData[[#This Row],[Rental Date]],"mmmm")</f>
        <v>August</v>
      </c>
      <c r="E2009" t="s">
        <v>21</v>
      </c>
      <c r="F2009" t="str">
        <f>TEXT(WEEKNUM(tblData[[#This Row],[Rental Date]]),"00")</f>
        <v>33</v>
      </c>
      <c r="G2009" s="1">
        <f>EOMONTH(tblData[[#This Row],[Rental Date]],0)</f>
        <v>46265</v>
      </c>
      <c r="H2009" t="s">
        <v>749</v>
      </c>
      <c r="I2009" t="s">
        <v>48</v>
      </c>
      <c r="J2009" t="s">
        <v>24</v>
      </c>
      <c r="K2009" t="s">
        <v>25</v>
      </c>
      <c r="L2009">
        <v>1</v>
      </c>
      <c r="M2009" s="2">
        <v>56</v>
      </c>
      <c r="N2009" t="s">
        <v>41</v>
      </c>
      <c r="O2009" s="3">
        <v>5</v>
      </c>
      <c r="P2009" s="3">
        <v>0</v>
      </c>
      <c r="Q2009" s="2">
        <v>61</v>
      </c>
      <c r="R2009" t="s">
        <v>27</v>
      </c>
      <c r="S2009" t="s">
        <v>54</v>
      </c>
      <c r="T2009" t="s">
        <v>90</v>
      </c>
      <c r="U2009" t="s">
        <v>30</v>
      </c>
    </row>
    <row r="2010" spans="1:21" x14ac:dyDescent="0.35">
      <c r="A2010" t="s">
        <v>2089</v>
      </c>
      <c r="B2010" s="1">
        <v>46248</v>
      </c>
      <c r="C2010" t="str">
        <f>TEXT(tblData[[#This Row],[Rental Date]],"mmm")</f>
        <v>Aug</v>
      </c>
      <c r="D2010" t="str">
        <f>TEXT(tblData[[#This Row],[Rental Date]],"mmmm")</f>
        <v>August</v>
      </c>
      <c r="E2010" t="s">
        <v>38</v>
      </c>
      <c r="F2010" t="str">
        <f>TEXT(WEEKNUM(tblData[[#This Row],[Rental Date]]),"00")</f>
        <v>33</v>
      </c>
      <c r="G2010" s="1">
        <f>EOMONTH(tblData[[#This Row],[Rental Date]],0)</f>
        <v>46265</v>
      </c>
      <c r="H2010" t="s">
        <v>749</v>
      </c>
      <c r="I2010" t="s">
        <v>23</v>
      </c>
      <c r="J2010" t="s">
        <v>65</v>
      </c>
      <c r="K2010" t="s">
        <v>25</v>
      </c>
      <c r="L2010">
        <v>1</v>
      </c>
      <c r="M2010" s="2">
        <v>20.16</v>
      </c>
      <c r="N2010" t="s">
        <v>26</v>
      </c>
      <c r="O2010" s="3">
        <v>0</v>
      </c>
      <c r="P2010" s="3">
        <v>0</v>
      </c>
      <c r="Q2010" s="2">
        <v>20.16</v>
      </c>
      <c r="R2010" t="s">
        <v>42</v>
      </c>
      <c r="S2010" t="s">
        <v>46</v>
      </c>
      <c r="T2010" t="s">
        <v>51</v>
      </c>
      <c r="U2010" t="s">
        <v>30</v>
      </c>
    </row>
    <row r="2011" spans="1:21" x14ac:dyDescent="0.35">
      <c r="A2011" t="s">
        <v>2090</v>
      </c>
      <c r="B2011" s="1">
        <v>46248</v>
      </c>
      <c r="C2011" t="str">
        <f>TEXT(tblData[[#This Row],[Rental Date]],"mmm")</f>
        <v>Aug</v>
      </c>
      <c r="D2011" t="str">
        <f>TEXT(tblData[[#This Row],[Rental Date]],"mmmm")</f>
        <v>August</v>
      </c>
      <c r="E2011" t="s">
        <v>38</v>
      </c>
      <c r="F2011" t="str">
        <f>TEXT(WEEKNUM(tblData[[#This Row],[Rental Date]]),"00")</f>
        <v>33</v>
      </c>
      <c r="G2011" s="1">
        <f>EOMONTH(tblData[[#This Row],[Rental Date]],0)</f>
        <v>46265</v>
      </c>
      <c r="H2011" t="s">
        <v>749</v>
      </c>
      <c r="I2011" t="s">
        <v>39</v>
      </c>
      <c r="J2011" t="s">
        <v>49</v>
      </c>
      <c r="K2011" t="s">
        <v>40</v>
      </c>
      <c r="L2011">
        <v>1</v>
      </c>
      <c r="M2011" s="2">
        <v>60.48</v>
      </c>
      <c r="N2011" t="s">
        <v>61</v>
      </c>
      <c r="O2011" s="3">
        <v>8</v>
      </c>
      <c r="P2011" s="3">
        <v>0</v>
      </c>
      <c r="Q2011" s="2">
        <v>68.48</v>
      </c>
      <c r="R2011" t="s">
        <v>57</v>
      </c>
      <c r="S2011" t="s">
        <v>46</v>
      </c>
      <c r="T2011" t="s">
        <v>51</v>
      </c>
      <c r="U2011" t="s">
        <v>30</v>
      </c>
    </row>
    <row r="2012" spans="1:21" x14ac:dyDescent="0.35">
      <c r="A2012" t="s">
        <v>2091</v>
      </c>
      <c r="B2012" s="1">
        <v>46248</v>
      </c>
      <c r="C2012" t="str">
        <f>TEXT(tblData[[#This Row],[Rental Date]],"mmm")</f>
        <v>Aug</v>
      </c>
      <c r="D2012" t="str">
        <f>TEXT(tblData[[#This Row],[Rental Date]],"mmmm")</f>
        <v>August</v>
      </c>
      <c r="E2012" t="s">
        <v>38</v>
      </c>
      <c r="F2012" t="str">
        <f>TEXT(WEEKNUM(tblData[[#This Row],[Rental Date]]),"00")</f>
        <v>33</v>
      </c>
      <c r="G2012" s="1">
        <f>EOMONTH(tblData[[#This Row],[Rental Date]],0)</f>
        <v>46265</v>
      </c>
      <c r="H2012" t="s">
        <v>749</v>
      </c>
      <c r="I2012" t="s">
        <v>39</v>
      </c>
      <c r="J2012" t="s">
        <v>86</v>
      </c>
      <c r="K2012" t="s">
        <v>25</v>
      </c>
      <c r="L2012">
        <v>1</v>
      </c>
      <c r="M2012" s="2">
        <v>64.959999999999994</v>
      </c>
      <c r="N2012" t="s">
        <v>26</v>
      </c>
      <c r="O2012" s="3">
        <v>0</v>
      </c>
      <c r="P2012" s="3">
        <v>0</v>
      </c>
      <c r="Q2012" s="2">
        <v>64.959999999999994</v>
      </c>
      <c r="R2012" t="s">
        <v>45</v>
      </c>
      <c r="S2012" t="s">
        <v>28</v>
      </c>
      <c r="T2012" t="s">
        <v>90</v>
      </c>
      <c r="U2012" t="s">
        <v>58</v>
      </c>
    </row>
    <row r="2013" spans="1:21" x14ac:dyDescent="0.35">
      <c r="A2013" t="s">
        <v>2092</v>
      </c>
      <c r="B2013" s="1">
        <v>46248</v>
      </c>
      <c r="C2013" t="str">
        <f>TEXT(tblData[[#This Row],[Rental Date]],"mmm")</f>
        <v>Aug</v>
      </c>
      <c r="D2013" t="str">
        <f>TEXT(tblData[[#This Row],[Rental Date]],"mmmm")</f>
        <v>August</v>
      </c>
      <c r="E2013" t="s">
        <v>38</v>
      </c>
      <c r="F2013" t="str">
        <f>TEXT(WEEKNUM(tblData[[#This Row],[Rental Date]]),"00")</f>
        <v>33</v>
      </c>
      <c r="G2013" s="1">
        <f>EOMONTH(tblData[[#This Row],[Rental Date]],0)</f>
        <v>46265</v>
      </c>
      <c r="H2013" t="s">
        <v>749</v>
      </c>
      <c r="I2013" t="s">
        <v>48</v>
      </c>
      <c r="J2013" t="s">
        <v>49</v>
      </c>
      <c r="K2013" t="s">
        <v>25</v>
      </c>
      <c r="L2013">
        <v>1</v>
      </c>
      <c r="M2013" s="2">
        <v>40.32</v>
      </c>
      <c r="N2013" t="s">
        <v>26</v>
      </c>
      <c r="O2013" s="3">
        <v>0</v>
      </c>
      <c r="P2013" s="3">
        <v>0</v>
      </c>
      <c r="Q2013" s="2">
        <v>40.32</v>
      </c>
      <c r="R2013" t="s">
        <v>45</v>
      </c>
      <c r="S2013" t="s">
        <v>50</v>
      </c>
      <c r="T2013" t="s">
        <v>29</v>
      </c>
      <c r="U2013" t="s">
        <v>30</v>
      </c>
    </row>
    <row r="2014" spans="1:21" x14ac:dyDescent="0.35">
      <c r="A2014" t="s">
        <v>2093</v>
      </c>
      <c r="B2014" s="1">
        <v>46248</v>
      </c>
      <c r="C2014" t="str">
        <f>TEXT(tblData[[#This Row],[Rental Date]],"mmm")</f>
        <v>Aug</v>
      </c>
      <c r="D2014" t="str">
        <f>TEXT(tblData[[#This Row],[Rental Date]],"mmmm")</f>
        <v>August</v>
      </c>
      <c r="E2014" t="s">
        <v>38</v>
      </c>
      <c r="F2014" t="str">
        <f>TEXT(WEEKNUM(tblData[[#This Row],[Rental Date]]),"00")</f>
        <v>33</v>
      </c>
      <c r="G2014" s="1">
        <f>EOMONTH(tblData[[#This Row],[Rental Date]],0)</f>
        <v>46265</v>
      </c>
      <c r="H2014" t="s">
        <v>749</v>
      </c>
      <c r="I2014" t="s">
        <v>23</v>
      </c>
      <c r="J2014" t="s">
        <v>33</v>
      </c>
      <c r="K2014" t="s">
        <v>40</v>
      </c>
      <c r="L2014">
        <v>1</v>
      </c>
      <c r="M2014" s="2">
        <v>64.959999999999994</v>
      </c>
      <c r="N2014" t="s">
        <v>26</v>
      </c>
      <c r="O2014" s="3">
        <v>0</v>
      </c>
      <c r="P2014" s="3">
        <v>0</v>
      </c>
      <c r="Q2014" s="2">
        <v>64.959999999999994</v>
      </c>
      <c r="R2014" t="s">
        <v>57</v>
      </c>
      <c r="S2014" t="s">
        <v>35</v>
      </c>
      <c r="T2014" t="s">
        <v>63</v>
      </c>
      <c r="U2014" t="s">
        <v>30</v>
      </c>
    </row>
    <row r="2015" spans="1:21" x14ac:dyDescent="0.35">
      <c r="A2015" t="s">
        <v>2094</v>
      </c>
      <c r="B2015" s="1">
        <v>46248</v>
      </c>
      <c r="C2015" t="str">
        <f>TEXT(tblData[[#This Row],[Rental Date]],"mmm")</f>
        <v>Aug</v>
      </c>
      <c r="D2015" t="str">
        <f>TEXT(tblData[[#This Row],[Rental Date]],"mmmm")</f>
        <v>August</v>
      </c>
      <c r="E2015" t="s">
        <v>38</v>
      </c>
      <c r="F2015" t="str">
        <f>TEXT(WEEKNUM(tblData[[#This Row],[Rental Date]]),"00")</f>
        <v>33</v>
      </c>
      <c r="G2015" s="1">
        <f>EOMONTH(tblData[[#This Row],[Rental Date]],0)</f>
        <v>46265</v>
      </c>
      <c r="H2015" t="s">
        <v>749</v>
      </c>
      <c r="I2015" t="s">
        <v>39</v>
      </c>
      <c r="J2015" t="s">
        <v>33</v>
      </c>
      <c r="K2015" t="s">
        <v>92</v>
      </c>
      <c r="L2015">
        <v>1</v>
      </c>
      <c r="M2015" s="2">
        <v>94.08</v>
      </c>
      <c r="N2015" t="s">
        <v>87</v>
      </c>
      <c r="O2015" s="3">
        <v>10</v>
      </c>
      <c r="P2015" s="3">
        <v>0</v>
      </c>
      <c r="Q2015" s="2">
        <v>104.08</v>
      </c>
      <c r="R2015" t="s">
        <v>66</v>
      </c>
      <c r="S2015" t="s">
        <v>50</v>
      </c>
      <c r="T2015" t="s">
        <v>51</v>
      </c>
      <c r="U2015" t="s">
        <v>58</v>
      </c>
    </row>
    <row r="2016" spans="1:21" x14ac:dyDescent="0.35">
      <c r="A2016" t="s">
        <v>2095</v>
      </c>
      <c r="B2016" s="1">
        <v>46248</v>
      </c>
      <c r="C2016" t="str">
        <f>TEXT(tblData[[#This Row],[Rental Date]],"mmm")</f>
        <v>Aug</v>
      </c>
      <c r="D2016" t="str">
        <f>TEXT(tblData[[#This Row],[Rental Date]],"mmmm")</f>
        <v>August</v>
      </c>
      <c r="E2016" t="s">
        <v>38</v>
      </c>
      <c r="F2016" t="str">
        <f>TEXT(WEEKNUM(tblData[[#This Row],[Rental Date]]),"00")</f>
        <v>33</v>
      </c>
      <c r="G2016" s="1">
        <f>EOMONTH(tblData[[#This Row],[Rental Date]],0)</f>
        <v>46265</v>
      </c>
      <c r="H2016" t="s">
        <v>749</v>
      </c>
      <c r="I2016" t="s">
        <v>39</v>
      </c>
      <c r="J2016" t="s">
        <v>78</v>
      </c>
      <c r="K2016" t="s">
        <v>25</v>
      </c>
      <c r="L2016">
        <v>1</v>
      </c>
      <c r="M2016" s="2">
        <v>47.04</v>
      </c>
      <c r="N2016" t="s">
        <v>89</v>
      </c>
      <c r="O2016" s="3">
        <v>6</v>
      </c>
      <c r="P2016" s="3">
        <v>0</v>
      </c>
      <c r="Q2016" s="2">
        <v>53.04</v>
      </c>
      <c r="R2016" t="s">
        <v>57</v>
      </c>
      <c r="S2016" t="s">
        <v>35</v>
      </c>
      <c r="T2016" t="s">
        <v>51</v>
      </c>
      <c r="U2016" t="s">
        <v>30</v>
      </c>
    </row>
    <row r="2017" spans="1:21" x14ac:dyDescent="0.35">
      <c r="A2017" t="s">
        <v>2096</v>
      </c>
      <c r="B2017" s="1">
        <v>46248</v>
      </c>
      <c r="C2017" t="str">
        <f>TEXT(tblData[[#This Row],[Rental Date]],"mmm")</f>
        <v>Aug</v>
      </c>
      <c r="D2017" t="str">
        <f>TEXT(tblData[[#This Row],[Rental Date]],"mmmm")</f>
        <v>August</v>
      </c>
      <c r="E2017" t="s">
        <v>38</v>
      </c>
      <c r="F2017" t="str">
        <f>TEXT(WEEKNUM(tblData[[#This Row],[Rental Date]]),"00")</f>
        <v>33</v>
      </c>
      <c r="G2017" s="1">
        <f>EOMONTH(tblData[[#This Row],[Rental Date]],0)</f>
        <v>46265</v>
      </c>
      <c r="H2017" t="s">
        <v>749</v>
      </c>
      <c r="I2017" t="s">
        <v>48</v>
      </c>
      <c r="J2017" t="s">
        <v>44</v>
      </c>
      <c r="K2017" t="s">
        <v>40</v>
      </c>
      <c r="L2017">
        <v>1</v>
      </c>
      <c r="M2017" s="2">
        <v>87.36</v>
      </c>
      <c r="N2017" t="s">
        <v>61</v>
      </c>
      <c r="O2017" s="3">
        <v>8</v>
      </c>
      <c r="P2017" s="3">
        <v>0</v>
      </c>
      <c r="Q2017" s="2">
        <v>95.36</v>
      </c>
      <c r="R2017" t="s">
        <v>42</v>
      </c>
      <c r="S2017" t="s">
        <v>35</v>
      </c>
      <c r="T2017" t="s">
        <v>51</v>
      </c>
      <c r="U2017" t="s">
        <v>58</v>
      </c>
    </row>
    <row r="2018" spans="1:21" x14ac:dyDescent="0.35">
      <c r="A2018" t="s">
        <v>2097</v>
      </c>
      <c r="B2018" s="1">
        <v>46248</v>
      </c>
      <c r="C2018" t="str">
        <f>TEXT(tblData[[#This Row],[Rental Date]],"mmm")</f>
        <v>Aug</v>
      </c>
      <c r="D2018" t="str">
        <f>TEXT(tblData[[#This Row],[Rental Date]],"mmmm")</f>
        <v>August</v>
      </c>
      <c r="E2018" t="s">
        <v>38</v>
      </c>
      <c r="F2018" t="str">
        <f>TEXT(WEEKNUM(tblData[[#This Row],[Rental Date]]),"00")</f>
        <v>33</v>
      </c>
      <c r="G2018" s="1">
        <f>EOMONTH(tblData[[#This Row],[Rental Date]],0)</f>
        <v>46265</v>
      </c>
      <c r="H2018" t="s">
        <v>749</v>
      </c>
      <c r="I2018" t="s">
        <v>39</v>
      </c>
      <c r="J2018" t="s">
        <v>44</v>
      </c>
      <c r="K2018" t="s">
        <v>60</v>
      </c>
      <c r="L2018">
        <v>1</v>
      </c>
      <c r="M2018" s="2">
        <v>38.08</v>
      </c>
      <c r="N2018" t="s">
        <v>26</v>
      </c>
      <c r="O2018" s="3">
        <v>0</v>
      </c>
      <c r="P2018" s="3">
        <v>1.9</v>
      </c>
      <c r="Q2018" s="2">
        <v>36.18</v>
      </c>
      <c r="R2018" t="s">
        <v>76</v>
      </c>
      <c r="S2018" t="s">
        <v>50</v>
      </c>
      <c r="T2018" t="s">
        <v>51</v>
      </c>
      <c r="U2018" t="s">
        <v>79</v>
      </c>
    </row>
    <row r="2019" spans="1:21" x14ac:dyDescent="0.35">
      <c r="A2019" t="s">
        <v>2098</v>
      </c>
      <c r="B2019" s="1">
        <v>46248</v>
      </c>
      <c r="C2019" t="str">
        <f>TEXT(tblData[[#This Row],[Rental Date]],"mmm")</f>
        <v>Aug</v>
      </c>
      <c r="D2019" t="str">
        <f>TEXT(tblData[[#This Row],[Rental Date]],"mmmm")</f>
        <v>August</v>
      </c>
      <c r="E2019" t="s">
        <v>38</v>
      </c>
      <c r="F2019" t="str">
        <f>TEXT(WEEKNUM(tblData[[#This Row],[Rental Date]]),"00")</f>
        <v>33</v>
      </c>
      <c r="G2019" s="1">
        <f>EOMONTH(tblData[[#This Row],[Rental Date]],0)</f>
        <v>46265</v>
      </c>
      <c r="H2019" t="s">
        <v>749</v>
      </c>
      <c r="I2019" t="s">
        <v>39</v>
      </c>
      <c r="J2019" t="s">
        <v>44</v>
      </c>
      <c r="K2019" t="s">
        <v>40</v>
      </c>
      <c r="L2019">
        <v>1</v>
      </c>
      <c r="M2019" s="2">
        <v>87.36</v>
      </c>
      <c r="N2019" t="s">
        <v>26</v>
      </c>
      <c r="O2019" s="3">
        <v>0</v>
      </c>
      <c r="P2019" s="3">
        <v>0</v>
      </c>
      <c r="Q2019" s="2">
        <v>87.36</v>
      </c>
      <c r="R2019" t="s">
        <v>76</v>
      </c>
      <c r="S2019" t="s">
        <v>50</v>
      </c>
      <c r="T2019" t="s">
        <v>51</v>
      </c>
      <c r="U2019" t="s">
        <v>30</v>
      </c>
    </row>
    <row r="2020" spans="1:21" x14ac:dyDescent="0.35">
      <c r="A2020" t="s">
        <v>2099</v>
      </c>
      <c r="B2020" s="1">
        <v>46248</v>
      </c>
      <c r="C2020" t="str">
        <f>TEXT(tblData[[#This Row],[Rental Date]],"mmm")</f>
        <v>Aug</v>
      </c>
      <c r="D2020" t="str">
        <f>TEXT(tblData[[#This Row],[Rental Date]],"mmmm")</f>
        <v>August</v>
      </c>
      <c r="E2020" t="s">
        <v>38</v>
      </c>
      <c r="F2020" t="str">
        <f>TEXT(WEEKNUM(tblData[[#This Row],[Rental Date]]),"00")</f>
        <v>33</v>
      </c>
      <c r="G2020" s="1">
        <f>EOMONTH(tblData[[#This Row],[Rental Date]],0)</f>
        <v>46265</v>
      </c>
      <c r="H2020" t="s">
        <v>749</v>
      </c>
      <c r="I2020" t="s">
        <v>53</v>
      </c>
      <c r="J2020" t="s">
        <v>78</v>
      </c>
      <c r="K2020" t="s">
        <v>25</v>
      </c>
      <c r="L2020">
        <v>1</v>
      </c>
      <c r="M2020" s="2">
        <v>47.04</v>
      </c>
      <c r="N2020" t="s">
        <v>26</v>
      </c>
      <c r="O2020" s="3">
        <v>0</v>
      </c>
      <c r="P2020" s="3">
        <v>7.06</v>
      </c>
      <c r="Q2020" s="2">
        <v>39.979999999999997</v>
      </c>
      <c r="R2020" t="s">
        <v>34</v>
      </c>
      <c r="S2020" t="s">
        <v>35</v>
      </c>
      <c r="T2020" t="s">
        <v>51</v>
      </c>
      <c r="U2020" t="s">
        <v>58</v>
      </c>
    </row>
    <row r="2021" spans="1:21" x14ac:dyDescent="0.35">
      <c r="A2021" t="s">
        <v>2100</v>
      </c>
      <c r="B2021" s="1">
        <v>46248</v>
      </c>
      <c r="C2021" t="str">
        <f>TEXT(tblData[[#This Row],[Rental Date]],"mmm")</f>
        <v>Aug</v>
      </c>
      <c r="D2021" t="str">
        <f>TEXT(tblData[[#This Row],[Rental Date]],"mmmm")</f>
        <v>August</v>
      </c>
      <c r="E2021" t="s">
        <v>38</v>
      </c>
      <c r="F2021" t="str">
        <f>TEXT(WEEKNUM(tblData[[#This Row],[Rental Date]]),"00")</f>
        <v>33</v>
      </c>
      <c r="G2021" s="1">
        <f>EOMONTH(tblData[[#This Row],[Rental Date]],0)</f>
        <v>46265</v>
      </c>
      <c r="H2021" t="s">
        <v>749</v>
      </c>
      <c r="I2021" t="s">
        <v>48</v>
      </c>
      <c r="J2021" t="s">
        <v>78</v>
      </c>
      <c r="K2021" t="s">
        <v>60</v>
      </c>
      <c r="L2021">
        <v>1</v>
      </c>
      <c r="M2021" s="2">
        <v>29.12</v>
      </c>
      <c r="N2021" t="s">
        <v>89</v>
      </c>
      <c r="O2021" s="3">
        <v>6</v>
      </c>
      <c r="P2021" s="3">
        <v>0</v>
      </c>
      <c r="Q2021" s="2">
        <v>35.119999999999997</v>
      </c>
      <c r="R2021" t="s">
        <v>66</v>
      </c>
      <c r="S2021" t="s">
        <v>46</v>
      </c>
      <c r="T2021" t="s">
        <v>51</v>
      </c>
      <c r="U2021" t="s">
        <v>30</v>
      </c>
    </row>
    <row r="2022" spans="1:21" x14ac:dyDescent="0.35">
      <c r="A2022" t="s">
        <v>2101</v>
      </c>
      <c r="B2022" s="1">
        <v>46248</v>
      </c>
      <c r="C2022" t="str">
        <f>TEXT(tblData[[#This Row],[Rental Date]],"mmm")</f>
        <v>Aug</v>
      </c>
      <c r="D2022" t="str">
        <f>TEXT(tblData[[#This Row],[Rental Date]],"mmmm")</f>
        <v>August</v>
      </c>
      <c r="E2022" t="s">
        <v>38</v>
      </c>
      <c r="F2022" t="str">
        <f>TEXT(WEEKNUM(tblData[[#This Row],[Rental Date]]),"00")</f>
        <v>33</v>
      </c>
      <c r="G2022" s="1">
        <f>EOMONTH(tblData[[#This Row],[Rental Date]],0)</f>
        <v>46265</v>
      </c>
      <c r="H2022" t="s">
        <v>749</v>
      </c>
      <c r="I2022" t="s">
        <v>48</v>
      </c>
      <c r="J2022" t="s">
        <v>65</v>
      </c>
      <c r="K2022" t="s">
        <v>25</v>
      </c>
      <c r="L2022">
        <v>1</v>
      </c>
      <c r="M2022" s="2">
        <v>20.16</v>
      </c>
      <c r="N2022" t="s">
        <v>26</v>
      </c>
      <c r="O2022" s="3">
        <v>0</v>
      </c>
      <c r="P2022" s="3">
        <v>0</v>
      </c>
      <c r="Q2022" s="2">
        <v>20.16</v>
      </c>
      <c r="R2022" t="s">
        <v>27</v>
      </c>
      <c r="S2022" t="s">
        <v>35</v>
      </c>
      <c r="T2022" t="s">
        <v>51</v>
      </c>
      <c r="U2022" t="s">
        <v>30</v>
      </c>
    </row>
    <row r="2023" spans="1:21" x14ac:dyDescent="0.35">
      <c r="A2023" t="s">
        <v>2102</v>
      </c>
      <c r="B2023" s="1">
        <v>46248</v>
      </c>
      <c r="C2023" t="str">
        <f>TEXT(tblData[[#This Row],[Rental Date]],"mmm")</f>
        <v>Aug</v>
      </c>
      <c r="D2023" t="str">
        <f>TEXT(tblData[[#This Row],[Rental Date]],"mmmm")</f>
        <v>August</v>
      </c>
      <c r="E2023" t="s">
        <v>38</v>
      </c>
      <c r="F2023" t="str">
        <f>TEXT(WEEKNUM(tblData[[#This Row],[Rental Date]]),"00")</f>
        <v>33</v>
      </c>
      <c r="G2023" s="1">
        <f>EOMONTH(tblData[[#This Row],[Rental Date]],0)</f>
        <v>46265</v>
      </c>
      <c r="H2023" t="s">
        <v>749</v>
      </c>
      <c r="I2023" t="s">
        <v>32</v>
      </c>
      <c r="J2023" t="s">
        <v>78</v>
      </c>
      <c r="K2023" t="s">
        <v>25</v>
      </c>
      <c r="L2023">
        <v>1</v>
      </c>
      <c r="M2023" s="2">
        <v>47.04</v>
      </c>
      <c r="N2023" t="s">
        <v>26</v>
      </c>
      <c r="O2023" s="3">
        <v>0</v>
      </c>
      <c r="P2023" s="3">
        <v>2.35</v>
      </c>
      <c r="Q2023" s="2">
        <v>44.69</v>
      </c>
      <c r="R2023" t="s">
        <v>66</v>
      </c>
      <c r="S2023" t="s">
        <v>28</v>
      </c>
      <c r="T2023" t="s">
        <v>51</v>
      </c>
      <c r="U2023" t="s">
        <v>30</v>
      </c>
    </row>
    <row r="2024" spans="1:21" x14ac:dyDescent="0.35">
      <c r="A2024" t="s">
        <v>2103</v>
      </c>
      <c r="B2024" s="1">
        <v>46248</v>
      </c>
      <c r="C2024" t="str">
        <f>TEXT(tblData[[#This Row],[Rental Date]],"mmm")</f>
        <v>Aug</v>
      </c>
      <c r="D2024" t="str">
        <f>TEXT(tblData[[#This Row],[Rental Date]],"mmmm")</f>
        <v>August</v>
      </c>
      <c r="E2024" t="s">
        <v>38</v>
      </c>
      <c r="F2024" t="str">
        <f>TEXT(WEEKNUM(tblData[[#This Row],[Rental Date]]),"00")</f>
        <v>33</v>
      </c>
      <c r="G2024" s="1">
        <f>EOMONTH(tblData[[#This Row],[Rental Date]],0)</f>
        <v>46265</v>
      </c>
      <c r="H2024" t="s">
        <v>749</v>
      </c>
      <c r="I2024" t="s">
        <v>39</v>
      </c>
      <c r="J2024" t="s">
        <v>78</v>
      </c>
      <c r="K2024" t="s">
        <v>25</v>
      </c>
      <c r="L2024">
        <v>1</v>
      </c>
      <c r="M2024" s="2">
        <v>47.04</v>
      </c>
      <c r="N2024" t="s">
        <v>61</v>
      </c>
      <c r="O2024" s="3">
        <v>8</v>
      </c>
      <c r="P2024" s="3">
        <v>0</v>
      </c>
      <c r="Q2024" s="2">
        <v>55.04</v>
      </c>
      <c r="R2024" t="s">
        <v>62</v>
      </c>
      <c r="S2024" t="s">
        <v>54</v>
      </c>
      <c r="T2024" t="s">
        <v>51</v>
      </c>
      <c r="U2024" t="s">
        <v>30</v>
      </c>
    </row>
    <row r="2025" spans="1:21" x14ac:dyDescent="0.35">
      <c r="A2025" t="s">
        <v>2104</v>
      </c>
      <c r="B2025" s="1">
        <v>46248</v>
      </c>
      <c r="C2025" t="str">
        <f>TEXT(tblData[[#This Row],[Rental Date]],"mmm")</f>
        <v>Aug</v>
      </c>
      <c r="D2025" t="str">
        <f>TEXT(tblData[[#This Row],[Rental Date]],"mmmm")</f>
        <v>August</v>
      </c>
      <c r="E2025" t="s">
        <v>38</v>
      </c>
      <c r="F2025" t="str">
        <f>TEXT(WEEKNUM(tblData[[#This Row],[Rental Date]]),"00")</f>
        <v>33</v>
      </c>
      <c r="G2025" s="1">
        <f>EOMONTH(tblData[[#This Row],[Rental Date]],0)</f>
        <v>46265</v>
      </c>
      <c r="H2025" t="s">
        <v>749</v>
      </c>
      <c r="I2025" t="s">
        <v>39</v>
      </c>
      <c r="J2025" t="s">
        <v>65</v>
      </c>
      <c r="K2025" t="s">
        <v>92</v>
      </c>
      <c r="L2025">
        <v>1</v>
      </c>
      <c r="M2025" s="2">
        <v>44.8</v>
      </c>
      <c r="N2025" t="s">
        <v>75</v>
      </c>
      <c r="O2025" s="3">
        <v>12</v>
      </c>
      <c r="P2025" s="3">
        <v>0</v>
      </c>
      <c r="Q2025" s="2">
        <v>56.8</v>
      </c>
      <c r="R2025" t="s">
        <v>62</v>
      </c>
      <c r="S2025" t="s">
        <v>35</v>
      </c>
      <c r="T2025" t="s">
        <v>29</v>
      </c>
      <c r="U2025" t="s">
        <v>30</v>
      </c>
    </row>
    <row r="2026" spans="1:21" x14ac:dyDescent="0.35">
      <c r="A2026" t="s">
        <v>2105</v>
      </c>
      <c r="B2026" s="1">
        <v>46248</v>
      </c>
      <c r="C2026" t="str">
        <f>TEXT(tblData[[#This Row],[Rental Date]],"mmm")</f>
        <v>Aug</v>
      </c>
      <c r="D2026" t="str">
        <f>TEXT(tblData[[#This Row],[Rental Date]],"mmmm")</f>
        <v>August</v>
      </c>
      <c r="E2026" t="s">
        <v>38</v>
      </c>
      <c r="F2026" t="str">
        <f>TEXT(WEEKNUM(tblData[[#This Row],[Rental Date]]),"00")</f>
        <v>33</v>
      </c>
      <c r="G2026" s="1">
        <f>EOMONTH(tblData[[#This Row],[Rental Date]],0)</f>
        <v>46265</v>
      </c>
      <c r="H2026" t="s">
        <v>749</v>
      </c>
      <c r="I2026" t="s">
        <v>32</v>
      </c>
      <c r="J2026" t="s">
        <v>33</v>
      </c>
      <c r="K2026" t="s">
        <v>25</v>
      </c>
      <c r="L2026">
        <v>1</v>
      </c>
      <c r="M2026" s="2">
        <v>42.56</v>
      </c>
      <c r="N2026" t="s">
        <v>70</v>
      </c>
      <c r="O2026" s="3">
        <v>7</v>
      </c>
      <c r="P2026" s="3">
        <v>2.48</v>
      </c>
      <c r="Q2026" s="2">
        <v>47.08</v>
      </c>
      <c r="R2026" t="s">
        <v>76</v>
      </c>
      <c r="S2026" t="s">
        <v>35</v>
      </c>
      <c r="T2026" t="s">
        <v>29</v>
      </c>
      <c r="U2026" t="s">
        <v>30</v>
      </c>
    </row>
    <row r="2027" spans="1:21" x14ac:dyDescent="0.35">
      <c r="A2027" t="s">
        <v>2106</v>
      </c>
      <c r="B2027" s="1">
        <v>46248</v>
      </c>
      <c r="C2027" t="str">
        <f>TEXT(tblData[[#This Row],[Rental Date]],"mmm")</f>
        <v>Aug</v>
      </c>
      <c r="D2027" t="str">
        <f>TEXT(tblData[[#This Row],[Rental Date]],"mmmm")</f>
        <v>August</v>
      </c>
      <c r="E2027" t="s">
        <v>38</v>
      </c>
      <c r="F2027" t="str">
        <f>TEXT(WEEKNUM(tblData[[#This Row],[Rental Date]]),"00")</f>
        <v>33</v>
      </c>
      <c r="G2027" s="1">
        <f>EOMONTH(tblData[[#This Row],[Rental Date]],0)</f>
        <v>46265</v>
      </c>
      <c r="H2027" t="s">
        <v>749</v>
      </c>
      <c r="I2027" t="s">
        <v>48</v>
      </c>
      <c r="J2027" t="s">
        <v>33</v>
      </c>
      <c r="K2027" t="s">
        <v>25</v>
      </c>
      <c r="L2027">
        <v>1</v>
      </c>
      <c r="M2027" s="2">
        <v>42.56</v>
      </c>
      <c r="N2027" t="s">
        <v>41</v>
      </c>
      <c r="O2027" s="3">
        <v>5</v>
      </c>
      <c r="P2027" s="3">
        <v>0</v>
      </c>
      <c r="Q2027" s="2">
        <v>47.56</v>
      </c>
      <c r="R2027" t="s">
        <v>27</v>
      </c>
      <c r="S2027" t="s">
        <v>54</v>
      </c>
      <c r="T2027" t="s">
        <v>29</v>
      </c>
      <c r="U2027" t="s">
        <v>30</v>
      </c>
    </row>
    <row r="2028" spans="1:21" x14ac:dyDescent="0.35">
      <c r="A2028" t="s">
        <v>2107</v>
      </c>
      <c r="B2028" s="1">
        <v>46248</v>
      </c>
      <c r="C2028" t="str">
        <f>TEXT(tblData[[#This Row],[Rental Date]],"mmm")</f>
        <v>Aug</v>
      </c>
      <c r="D2028" t="str">
        <f>TEXT(tblData[[#This Row],[Rental Date]],"mmmm")</f>
        <v>August</v>
      </c>
      <c r="E2028" t="s">
        <v>38</v>
      </c>
      <c r="F2028" t="str">
        <f>TEXT(WEEKNUM(tblData[[#This Row],[Rental Date]]),"00")</f>
        <v>33</v>
      </c>
      <c r="G2028" s="1">
        <f>EOMONTH(tblData[[#This Row],[Rental Date]],0)</f>
        <v>46265</v>
      </c>
      <c r="H2028" t="s">
        <v>749</v>
      </c>
      <c r="I2028" t="s">
        <v>39</v>
      </c>
      <c r="J2028" t="s">
        <v>33</v>
      </c>
      <c r="K2028" t="s">
        <v>92</v>
      </c>
      <c r="L2028">
        <v>1</v>
      </c>
      <c r="M2028" s="2">
        <v>94.08</v>
      </c>
      <c r="N2028" t="s">
        <v>41</v>
      </c>
      <c r="O2028" s="3">
        <v>5</v>
      </c>
      <c r="P2028" s="3">
        <v>0</v>
      </c>
      <c r="Q2028" s="2">
        <v>99.08</v>
      </c>
      <c r="R2028" t="s">
        <v>27</v>
      </c>
      <c r="S2028" t="s">
        <v>50</v>
      </c>
      <c r="T2028" t="s">
        <v>29</v>
      </c>
      <c r="U2028" t="s">
        <v>79</v>
      </c>
    </row>
    <row r="2029" spans="1:21" x14ac:dyDescent="0.35">
      <c r="A2029" t="s">
        <v>2108</v>
      </c>
      <c r="B2029" s="1">
        <v>46248</v>
      </c>
      <c r="C2029" t="str">
        <f>TEXT(tblData[[#This Row],[Rental Date]],"mmm")</f>
        <v>Aug</v>
      </c>
      <c r="D2029" t="str">
        <f>TEXT(tblData[[#This Row],[Rental Date]],"mmmm")</f>
        <v>August</v>
      </c>
      <c r="E2029" t="s">
        <v>38</v>
      </c>
      <c r="F2029" t="str">
        <f>TEXT(WEEKNUM(tblData[[#This Row],[Rental Date]]),"00")</f>
        <v>33</v>
      </c>
      <c r="G2029" s="1">
        <f>EOMONTH(tblData[[#This Row],[Rental Date]],0)</f>
        <v>46265</v>
      </c>
      <c r="H2029" t="s">
        <v>749</v>
      </c>
      <c r="I2029" t="s">
        <v>48</v>
      </c>
      <c r="J2029" t="s">
        <v>111</v>
      </c>
      <c r="K2029" t="s">
        <v>60</v>
      </c>
      <c r="L2029">
        <v>1</v>
      </c>
      <c r="M2029" s="2">
        <v>15.68</v>
      </c>
      <c r="N2029" t="s">
        <v>89</v>
      </c>
      <c r="O2029" s="3">
        <v>6</v>
      </c>
      <c r="P2029" s="3">
        <v>0</v>
      </c>
      <c r="Q2029" s="2">
        <v>21.68</v>
      </c>
      <c r="R2029" t="s">
        <v>94</v>
      </c>
      <c r="S2029" t="s">
        <v>50</v>
      </c>
      <c r="T2029" t="s">
        <v>29</v>
      </c>
      <c r="U2029" t="s">
        <v>30</v>
      </c>
    </row>
    <row r="2030" spans="1:21" x14ac:dyDescent="0.35">
      <c r="A2030" t="s">
        <v>2109</v>
      </c>
      <c r="B2030" s="1">
        <v>46248</v>
      </c>
      <c r="C2030" t="str">
        <f>TEXT(tblData[[#This Row],[Rental Date]],"mmm")</f>
        <v>Aug</v>
      </c>
      <c r="D2030" t="str">
        <f>TEXT(tblData[[#This Row],[Rental Date]],"mmmm")</f>
        <v>August</v>
      </c>
      <c r="E2030" t="s">
        <v>38</v>
      </c>
      <c r="F2030" t="str">
        <f>TEXT(WEEKNUM(tblData[[#This Row],[Rental Date]]),"00")</f>
        <v>33</v>
      </c>
      <c r="G2030" s="1">
        <f>EOMONTH(tblData[[#This Row],[Rental Date]],0)</f>
        <v>46265</v>
      </c>
      <c r="H2030" t="s">
        <v>749</v>
      </c>
      <c r="I2030" t="s">
        <v>39</v>
      </c>
      <c r="J2030" t="s">
        <v>49</v>
      </c>
      <c r="K2030" t="s">
        <v>60</v>
      </c>
      <c r="L2030">
        <v>1</v>
      </c>
      <c r="M2030" s="2">
        <v>24.64</v>
      </c>
      <c r="N2030" t="s">
        <v>26</v>
      </c>
      <c r="O2030" s="3">
        <v>0</v>
      </c>
      <c r="P2030" s="3">
        <v>0</v>
      </c>
      <c r="Q2030" s="2">
        <v>24.64</v>
      </c>
      <c r="R2030" t="s">
        <v>76</v>
      </c>
      <c r="S2030" t="s">
        <v>50</v>
      </c>
      <c r="T2030" t="s">
        <v>90</v>
      </c>
      <c r="U2030" t="s">
        <v>30</v>
      </c>
    </row>
    <row r="2031" spans="1:21" x14ac:dyDescent="0.35">
      <c r="A2031" t="s">
        <v>2110</v>
      </c>
      <c r="B2031" s="1">
        <v>46248</v>
      </c>
      <c r="C2031" t="str">
        <f>TEXT(tblData[[#This Row],[Rental Date]],"mmm")</f>
        <v>Aug</v>
      </c>
      <c r="D2031" t="str">
        <f>TEXT(tblData[[#This Row],[Rental Date]],"mmmm")</f>
        <v>August</v>
      </c>
      <c r="E2031" t="s">
        <v>38</v>
      </c>
      <c r="F2031" t="str">
        <f>TEXT(WEEKNUM(tblData[[#This Row],[Rental Date]]),"00")</f>
        <v>33</v>
      </c>
      <c r="G2031" s="1">
        <f>EOMONTH(tblData[[#This Row],[Rental Date]],0)</f>
        <v>46265</v>
      </c>
      <c r="H2031" t="s">
        <v>749</v>
      </c>
      <c r="I2031" t="s">
        <v>39</v>
      </c>
      <c r="J2031" t="s">
        <v>33</v>
      </c>
      <c r="K2031" t="s">
        <v>40</v>
      </c>
      <c r="L2031">
        <v>1</v>
      </c>
      <c r="M2031" s="2">
        <v>64.959999999999994</v>
      </c>
      <c r="N2031" t="s">
        <v>26</v>
      </c>
      <c r="O2031" s="3">
        <v>0</v>
      </c>
      <c r="P2031" s="3">
        <v>0</v>
      </c>
      <c r="Q2031" s="2">
        <v>64.959999999999994</v>
      </c>
      <c r="R2031" t="s">
        <v>42</v>
      </c>
      <c r="S2031" t="s">
        <v>35</v>
      </c>
      <c r="T2031" t="s">
        <v>29</v>
      </c>
      <c r="U2031" t="s">
        <v>30</v>
      </c>
    </row>
    <row r="2032" spans="1:21" x14ac:dyDescent="0.35">
      <c r="A2032" t="s">
        <v>2111</v>
      </c>
      <c r="B2032" s="1">
        <v>46248</v>
      </c>
      <c r="C2032" t="str">
        <f>TEXT(tblData[[#This Row],[Rental Date]],"mmm")</f>
        <v>Aug</v>
      </c>
      <c r="D2032" t="str">
        <f>TEXT(tblData[[#This Row],[Rental Date]],"mmmm")</f>
        <v>August</v>
      </c>
      <c r="E2032" t="s">
        <v>38</v>
      </c>
      <c r="F2032" t="str">
        <f>TEXT(WEEKNUM(tblData[[#This Row],[Rental Date]]),"00")</f>
        <v>33</v>
      </c>
      <c r="G2032" s="1">
        <f>EOMONTH(tblData[[#This Row],[Rental Date]],0)</f>
        <v>46265</v>
      </c>
      <c r="H2032" t="s">
        <v>749</v>
      </c>
      <c r="I2032" t="s">
        <v>48</v>
      </c>
      <c r="J2032" t="s">
        <v>33</v>
      </c>
      <c r="K2032" t="s">
        <v>40</v>
      </c>
      <c r="L2032">
        <v>1</v>
      </c>
      <c r="M2032" s="2">
        <v>64.959999999999994</v>
      </c>
      <c r="N2032" t="s">
        <v>75</v>
      </c>
      <c r="O2032" s="3">
        <v>12</v>
      </c>
      <c r="P2032" s="3">
        <v>0</v>
      </c>
      <c r="Q2032" s="2">
        <v>76.959999999999994</v>
      </c>
      <c r="R2032" t="s">
        <v>66</v>
      </c>
      <c r="S2032" t="s">
        <v>28</v>
      </c>
      <c r="T2032" t="s">
        <v>29</v>
      </c>
      <c r="U2032" t="s">
        <v>30</v>
      </c>
    </row>
    <row r="2033" spans="1:21" x14ac:dyDescent="0.35">
      <c r="A2033" t="s">
        <v>2112</v>
      </c>
      <c r="B2033" s="1">
        <v>46248</v>
      </c>
      <c r="C2033" t="str">
        <f>TEXT(tblData[[#This Row],[Rental Date]],"mmm")</f>
        <v>Aug</v>
      </c>
      <c r="D2033" t="str">
        <f>TEXT(tblData[[#This Row],[Rental Date]],"mmmm")</f>
        <v>August</v>
      </c>
      <c r="E2033" t="s">
        <v>38</v>
      </c>
      <c r="F2033" t="str">
        <f>TEXT(WEEKNUM(tblData[[#This Row],[Rental Date]]),"00")</f>
        <v>33</v>
      </c>
      <c r="G2033" s="1">
        <f>EOMONTH(tblData[[#This Row],[Rental Date]],0)</f>
        <v>46265</v>
      </c>
      <c r="H2033" t="s">
        <v>749</v>
      </c>
      <c r="I2033" t="s">
        <v>39</v>
      </c>
      <c r="J2033" t="s">
        <v>138</v>
      </c>
      <c r="K2033" t="s">
        <v>25</v>
      </c>
      <c r="L2033">
        <v>1</v>
      </c>
      <c r="M2033" s="2">
        <v>53.76</v>
      </c>
      <c r="N2033" t="s">
        <v>41</v>
      </c>
      <c r="O2033" s="3">
        <v>5</v>
      </c>
      <c r="P2033" s="3">
        <v>0</v>
      </c>
      <c r="Q2033" s="2">
        <v>58.76</v>
      </c>
      <c r="R2033" t="s">
        <v>42</v>
      </c>
      <c r="S2033" t="s">
        <v>54</v>
      </c>
      <c r="T2033" t="s">
        <v>90</v>
      </c>
      <c r="U2033" t="s">
        <v>30</v>
      </c>
    </row>
    <row r="2034" spans="1:21" x14ac:dyDescent="0.35">
      <c r="A2034" t="s">
        <v>2113</v>
      </c>
      <c r="B2034" s="1">
        <v>46248</v>
      </c>
      <c r="C2034" t="str">
        <f>TEXT(tblData[[#This Row],[Rental Date]],"mmm")</f>
        <v>Aug</v>
      </c>
      <c r="D2034" t="str">
        <f>TEXT(tblData[[#This Row],[Rental Date]],"mmmm")</f>
        <v>August</v>
      </c>
      <c r="E2034" t="s">
        <v>38</v>
      </c>
      <c r="F2034" t="str">
        <f>TEXT(WEEKNUM(tblData[[#This Row],[Rental Date]]),"00")</f>
        <v>33</v>
      </c>
      <c r="G2034" s="1">
        <f>EOMONTH(tblData[[#This Row],[Rental Date]],0)</f>
        <v>46265</v>
      </c>
      <c r="H2034" t="s">
        <v>749</v>
      </c>
      <c r="I2034" t="s">
        <v>23</v>
      </c>
      <c r="J2034" t="s">
        <v>33</v>
      </c>
      <c r="K2034" t="s">
        <v>40</v>
      </c>
      <c r="L2034">
        <v>1</v>
      </c>
      <c r="M2034" s="2">
        <v>64.959999999999994</v>
      </c>
      <c r="N2034" t="s">
        <v>75</v>
      </c>
      <c r="O2034" s="3">
        <v>12</v>
      </c>
      <c r="P2034" s="3">
        <v>0</v>
      </c>
      <c r="Q2034" s="2">
        <v>76.959999999999994</v>
      </c>
      <c r="R2034" t="s">
        <v>57</v>
      </c>
      <c r="S2034" t="s">
        <v>28</v>
      </c>
      <c r="T2034" t="s">
        <v>29</v>
      </c>
      <c r="U2034" t="s">
        <v>30</v>
      </c>
    </row>
    <row r="2035" spans="1:21" x14ac:dyDescent="0.35">
      <c r="A2035" t="s">
        <v>2114</v>
      </c>
      <c r="B2035" s="1">
        <v>46248</v>
      </c>
      <c r="C2035" t="str">
        <f>TEXT(tblData[[#This Row],[Rental Date]],"mmm")</f>
        <v>Aug</v>
      </c>
      <c r="D2035" t="str">
        <f>TEXT(tblData[[#This Row],[Rental Date]],"mmmm")</f>
        <v>August</v>
      </c>
      <c r="E2035" t="s">
        <v>38</v>
      </c>
      <c r="F2035" t="str">
        <f>TEXT(WEEKNUM(tblData[[#This Row],[Rental Date]]),"00")</f>
        <v>33</v>
      </c>
      <c r="G2035" s="1">
        <f>EOMONTH(tblData[[#This Row],[Rental Date]],0)</f>
        <v>46265</v>
      </c>
      <c r="H2035" t="s">
        <v>749</v>
      </c>
      <c r="I2035" t="s">
        <v>48</v>
      </c>
      <c r="J2035" t="s">
        <v>49</v>
      </c>
      <c r="K2035" t="s">
        <v>92</v>
      </c>
      <c r="L2035">
        <v>1</v>
      </c>
      <c r="M2035" s="2">
        <v>85.12</v>
      </c>
      <c r="N2035" t="s">
        <v>26</v>
      </c>
      <c r="O2035" s="3">
        <v>0</v>
      </c>
      <c r="P2035" s="3">
        <v>0</v>
      </c>
      <c r="Q2035" s="2">
        <v>85.12</v>
      </c>
      <c r="R2035" t="s">
        <v>62</v>
      </c>
      <c r="S2035" t="s">
        <v>50</v>
      </c>
      <c r="T2035" t="s">
        <v>90</v>
      </c>
      <c r="U2035" t="s">
        <v>30</v>
      </c>
    </row>
    <row r="2036" spans="1:21" x14ac:dyDescent="0.35">
      <c r="A2036" t="s">
        <v>2115</v>
      </c>
      <c r="B2036" s="1">
        <v>46249</v>
      </c>
      <c r="C2036" t="str">
        <f>TEXT(tblData[[#This Row],[Rental Date]],"mmm")</f>
        <v>Aug</v>
      </c>
      <c r="D2036" t="str">
        <f>TEXT(tblData[[#This Row],[Rental Date]],"mmmm")</f>
        <v>August</v>
      </c>
      <c r="E2036" t="s">
        <v>56</v>
      </c>
      <c r="F2036" t="str">
        <f>TEXT(WEEKNUM(tblData[[#This Row],[Rental Date]]),"00")</f>
        <v>33</v>
      </c>
      <c r="G2036" s="1">
        <f>EOMONTH(tblData[[#This Row],[Rental Date]],0)</f>
        <v>46265</v>
      </c>
      <c r="H2036" t="s">
        <v>749</v>
      </c>
      <c r="I2036" t="s">
        <v>23</v>
      </c>
      <c r="J2036" t="s">
        <v>78</v>
      </c>
      <c r="K2036" t="s">
        <v>40</v>
      </c>
      <c r="L2036">
        <v>1</v>
      </c>
      <c r="M2036" s="2">
        <v>74.400000000000006</v>
      </c>
      <c r="N2036" t="s">
        <v>26</v>
      </c>
      <c r="O2036" s="3">
        <v>0</v>
      </c>
      <c r="P2036" s="3">
        <v>0</v>
      </c>
      <c r="Q2036" s="2">
        <v>74.400000000000006</v>
      </c>
      <c r="R2036" t="s">
        <v>71</v>
      </c>
      <c r="S2036" t="s">
        <v>35</v>
      </c>
      <c r="T2036" t="s">
        <v>29</v>
      </c>
      <c r="U2036" t="s">
        <v>30</v>
      </c>
    </row>
    <row r="2037" spans="1:21" x14ac:dyDescent="0.35">
      <c r="A2037" t="s">
        <v>2116</v>
      </c>
      <c r="B2037" s="1">
        <v>46249</v>
      </c>
      <c r="C2037" t="str">
        <f>TEXT(tblData[[#This Row],[Rental Date]],"mmm")</f>
        <v>Aug</v>
      </c>
      <c r="D2037" t="str">
        <f>TEXT(tblData[[#This Row],[Rental Date]],"mmmm")</f>
        <v>August</v>
      </c>
      <c r="E2037" t="s">
        <v>56</v>
      </c>
      <c r="F2037" t="str">
        <f>TEXT(WEEKNUM(tblData[[#This Row],[Rental Date]]),"00")</f>
        <v>33</v>
      </c>
      <c r="G2037" s="1">
        <f>EOMONTH(tblData[[#This Row],[Rental Date]],0)</f>
        <v>46265</v>
      </c>
      <c r="H2037" t="s">
        <v>749</v>
      </c>
      <c r="I2037" t="s">
        <v>32</v>
      </c>
      <c r="J2037" t="s">
        <v>44</v>
      </c>
      <c r="K2037" t="s">
        <v>60</v>
      </c>
      <c r="L2037">
        <v>1</v>
      </c>
      <c r="M2037" s="2">
        <v>40.799999999999997</v>
      </c>
      <c r="N2037" t="s">
        <v>87</v>
      </c>
      <c r="O2037" s="3">
        <v>10</v>
      </c>
      <c r="P2037" s="3">
        <v>2.54</v>
      </c>
      <c r="Q2037" s="2">
        <v>48.26</v>
      </c>
      <c r="R2037" t="s">
        <v>62</v>
      </c>
      <c r="S2037" t="s">
        <v>28</v>
      </c>
      <c r="T2037" t="s">
        <v>29</v>
      </c>
      <c r="U2037" t="s">
        <v>58</v>
      </c>
    </row>
    <row r="2038" spans="1:21" x14ac:dyDescent="0.35">
      <c r="A2038" t="s">
        <v>2117</v>
      </c>
      <c r="B2038" s="1">
        <v>46249</v>
      </c>
      <c r="C2038" t="str">
        <f>TEXT(tblData[[#This Row],[Rental Date]],"mmm")</f>
        <v>Aug</v>
      </c>
      <c r="D2038" t="str">
        <f>TEXT(tblData[[#This Row],[Rental Date]],"mmmm")</f>
        <v>August</v>
      </c>
      <c r="E2038" t="s">
        <v>56</v>
      </c>
      <c r="F2038" t="str">
        <f>TEXT(WEEKNUM(tblData[[#This Row],[Rental Date]]),"00")</f>
        <v>33</v>
      </c>
      <c r="G2038" s="1">
        <f>EOMONTH(tblData[[#This Row],[Rental Date]],0)</f>
        <v>46265</v>
      </c>
      <c r="H2038" t="s">
        <v>749</v>
      </c>
      <c r="I2038" t="s">
        <v>23</v>
      </c>
      <c r="J2038" t="s">
        <v>44</v>
      </c>
      <c r="K2038" t="s">
        <v>40</v>
      </c>
      <c r="L2038">
        <v>1</v>
      </c>
      <c r="M2038" s="2">
        <v>93.6</v>
      </c>
      <c r="N2038" t="s">
        <v>61</v>
      </c>
      <c r="O2038" s="3">
        <v>8</v>
      </c>
      <c r="P2038" s="3">
        <v>0</v>
      </c>
      <c r="Q2038" s="2">
        <v>101.6</v>
      </c>
      <c r="R2038" t="s">
        <v>71</v>
      </c>
      <c r="S2038" t="s">
        <v>28</v>
      </c>
      <c r="T2038" t="s">
        <v>51</v>
      </c>
      <c r="U2038" t="s">
        <v>79</v>
      </c>
    </row>
    <row r="2039" spans="1:21" x14ac:dyDescent="0.35">
      <c r="A2039" t="s">
        <v>2118</v>
      </c>
      <c r="B2039" s="1">
        <v>46249</v>
      </c>
      <c r="C2039" t="str">
        <f>TEXT(tblData[[#This Row],[Rental Date]],"mmm")</f>
        <v>Aug</v>
      </c>
      <c r="D2039" t="str">
        <f>TEXT(tblData[[#This Row],[Rental Date]],"mmmm")</f>
        <v>August</v>
      </c>
      <c r="E2039" t="s">
        <v>56</v>
      </c>
      <c r="F2039" t="str">
        <f>TEXT(WEEKNUM(tblData[[#This Row],[Rental Date]]),"00")</f>
        <v>33</v>
      </c>
      <c r="G2039" s="1">
        <f>EOMONTH(tblData[[#This Row],[Rental Date]],0)</f>
        <v>46265</v>
      </c>
      <c r="H2039" t="s">
        <v>749</v>
      </c>
      <c r="I2039" t="s">
        <v>48</v>
      </c>
      <c r="J2039" t="s">
        <v>86</v>
      </c>
      <c r="K2039" t="s">
        <v>40</v>
      </c>
      <c r="L2039">
        <v>1</v>
      </c>
      <c r="M2039" s="2">
        <v>103.2</v>
      </c>
      <c r="N2039" t="s">
        <v>87</v>
      </c>
      <c r="O2039" s="3">
        <v>10</v>
      </c>
      <c r="P2039" s="3">
        <v>0</v>
      </c>
      <c r="Q2039" s="2">
        <v>113.2</v>
      </c>
      <c r="R2039" t="s">
        <v>57</v>
      </c>
      <c r="S2039" t="s">
        <v>28</v>
      </c>
      <c r="T2039" t="s">
        <v>90</v>
      </c>
      <c r="U2039" t="s">
        <v>30</v>
      </c>
    </row>
    <row r="2040" spans="1:21" x14ac:dyDescent="0.35">
      <c r="A2040" t="s">
        <v>2119</v>
      </c>
      <c r="B2040" s="1">
        <v>46249</v>
      </c>
      <c r="C2040" t="str">
        <f>TEXT(tblData[[#This Row],[Rental Date]],"mmm")</f>
        <v>Aug</v>
      </c>
      <c r="D2040" t="str">
        <f>TEXT(tblData[[#This Row],[Rental Date]],"mmmm")</f>
        <v>August</v>
      </c>
      <c r="E2040" t="s">
        <v>56</v>
      </c>
      <c r="F2040" t="str">
        <f>TEXT(WEEKNUM(tblData[[#This Row],[Rental Date]]),"00")</f>
        <v>33</v>
      </c>
      <c r="G2040" s="1">
        <f>EOMONTH(tblData[[#This Row],[Rental Date]],0)</f>
        <v>46265</v>
      </c>
      <c r="H2040" t="s">
        <v>749</v>
      </c>
      <c r="I2040" t="s">
        <v>39</v>
      </c>
      <c r="J2040" t="s">
        <v>127</v>
      </c>
      <c r="K2040" t="s">
        <v>60</v>
      </c>
      <c r="L2040">
        <v>1</v>
      </c>
      <c r="M2040" s="2">
        <v>12</v>
      </c>
      <c r="N2040" t="s">
        <v>75</v>
      </c>
      <c r="O2040" s="3">
        <v>12</v>
      </c>
      <c r="P2040" s="3">
        <v>0</v>
      </c>
      <c r="Q2040" s="2">
        <v>24</v>
      </c>
      <c r="R2040" t="s">
        <v>57</v>
      </c>
      <c r="S2040" t="s">
        <v>46</v>
      </c>
      <c r="T2040" t="s">
        <v>90</v>
      </c>
      <c r="U2040" t="s">
        <v>30</v>
      </c>
    </row>
    <row r="2041" spans="1:21" x14ac:dyDescent="0.35">
      <c r="A2041" t="s">
        <v>2120</v>
      </c>
      <c r="B2041" s="1">
        <v>46249</v>
      </c>
      <c r="C2041" t="str">
        <f>TEXT(tblData[[#This Row],[Rental Date]],"mmm")</f>
        <v>Aug</v>
      </c>
      <c r="D2041" t="str">
        <f>TEXT(tblData[[#This Row],[Rental Date]],"mmmm")</f>
        <v>August</v>
      </c>
      <c r="E2041" t="s">
        <v>56</v>
      </c>
      <c r="F2041" t="str">
        <f>TEXT(WEEKNUM(tblData[[#This Row],[Rental Date]]),"00")</f>
        <v>33</v>
      </c>
      <c r="G2041" s="1">
        <f>EOMONTH(tblData[[#This Row],[Rental Date]],0)</f>
        <v>46265</v>
      </c>
      <c r="H2041" t="s">
        <v>749</v>
      </c>
      <c r="I2041" t="s">
        <v>39</v>
      </c>
      <c r="J2041" t="s">
        <v>33</v>
      </c>
      <c r="K2041" t="s">
        <v>25</v>
      </c>
      <c r="L2041">
        <v>1</v>
      </c>
      <c r="M2041" s="2">
        <v>45.6</v>
      </c>
      <c r="N2041" t="s">
        <v>61</v>
      </c>
      <c r="O2041" s="3">
        <v>8</v>
      </c>
      <c r="P2041" s="3">
        <v>0</v>
      </c>
      <c r="Q2041" s="2">
        <v>53.6</v>
      </c>
      <c r="R2041" t="s">
        <v>94</v>
      </c>
      <c r="S2041" t="s">
        <v>50</v>
      </c>
      <c r="T2041" t="s">
        <v>29</v>
      </c>
      <c r="U2041" t="s">
        <v>30</v>
      </c>
    </row>
    <row r="2042" spans="1:21" x14ac:dyDescent="0.35">
      <c r="A2042" t="s">
        <v>2121</v>
      </c>
      <c r="B2042" s="1">
        <v>46249</v>
      </c>
      <c r="C2042" t="str">
        <f>TEXT(tblData[[#This Row],[Rental Date]],"mmm")</f>
        <v>Aug</v>
      </c>
      <c r="D2042" t="str">
        <f>TEXT(tblData[[#This Row],[Rental Date]],"mmmm")</f>
        <v>August</v>
      </c>
      <c r="E2042" t="s">
        <v>56</v>
      </c>
      <c r="F2042" t="str">
        <f>TEXT(WEEKNUM(tblData[[#This Row],[Rental Date]]),"00")</f>
        <v>33</v>
      </c>
      <c r="G2042" s="1">
        <f>EOMONTH(tblData[[#This Row],[Rental Date]],0)</f>
        <v>46265</v>
      </c>
      <c r="H2042" t="s">
        <v>749</v>
      </c>
      <c r="I2042" t="s">
        <v>53</v>
      </c>
      <c r="J2042" t="s">
        <v>44</v>
      </c>
      <c r="K2042" t="s">
        <v>40</v>
      </c>
      <c r="L2042">
        <v>1</v>
      </c>
      <c r="M2042" s="2">
        <v>93.6</v>
      </c>
      <c r="N2042" t="s">
        <v>87</v>
      </c>
      <c r="O2042" s="3">
        <v>10</v>
      </c>
      <c r="P2042" s="3">
        <v>10.36</v>
      </c>
      <c r="Q2042" s="2">
        <v>93.24</v>
      </c>
      <c r="R2042" t="s">
        <v>57</v>
      </c>
      <c r="S2042" t="s">
        <v>35</v>
      </c>
      <c r="T2042" t="s">
        <v>90</v>
      </c>
      <c r="U2042" t="s">
        <v>30</v>
      </c>
    </row>
    <row r="2043" spans="1:21" x14ac:dyDescent="0.35">
      <c r="A2043" t="s">
        <v>2122</v>
      </c>
      <c r="B2043" s="1">
        <v>46249</v>
      </c>
      <c r="C2043" t="str">
        <f>TEXT(tblData[[#This Row],[Rental Date]],"mmm")</f>
        <v>Aug</v>
      </c>
      <c r="D2043" t="str">
        <f>TEXT(tblData[[#This Row],[Rental Date]],"mmmm")</f>
        <v>August</v>
      </c>
      <c r="E2043" t="s">
        <v>56</v>
      </c>
      <c r="F2043" t="str">
        <f>TEXT(WEEKNUM(tblData[[#This Row],[Rental Date]]),"00")</f>
        <v>33</v>
      </c>
      <c r="G2043" s="1">
        <f>EOMONTH(tblData[[#This Row],[Rental Date]],0)</f>
        <v>46265</v>
      </c>
      <c r="H2043" t="s">
        <v>749</v>
      </c>
      <c r="I2043" t="s">
        <v>53</v>
      </c>
      <c r="J2043" t="s">
        <v>78</v>
      </c>
      <c r="K2043" t="s">
        <v>60</v>
      </c>
      <c r="L2043">
        <v>1</v>
      </c>
      <c r="M2043" s="2">
        <v>31.2</v>
      </c>
      <c r="N2043" t="s">
        <v>89</v>
      </c>
      <c r="O2043" s="3">
        <v>6</v>
      </c>
      <c r="P2043" s="3">
        <v>3.72</v>
      </c>
      <c r="Q2043" s="2">
        <v>33.479999999999997</v>
      </c>
      <c r="R2043" t="s">
        <v>62</v>
      </c>
      <c r="S2043" t="s">
        <v>54</v>
      </c>
      <c r="T2043" t="s">
        <v>29</v>
      </c>
      <c r="U2043" t="s">
        <v>79</v>
      </c>
    </row>
    <row r="2044" spans="1:21" x14ac:dyDescent="0.35">
      <c r="A2044" t="s">
        <v>2123</v>
      </c>
      <c r="B2044" s="1">
        <v>46249</v>
      </c>
      <c r="C2044" t="str">
        <f>TEXT(tblData[[#This Row],[Rental Date]],"mmm")</f>
        <v>Aug</v>
      </c>
      <c r="D2044" t="str">
        <f>TEXT(tblData[[#This Row],[Rental Date]],"mmmm")</f>
        <v>August</v>
      </c>
      <c r="E2044" t="s">
        <v>56</v>
      </c>
      <c r="F2044" t="str">
        <f>TEXT(WEEKNUM(tblData[[#This Row],[Rental Date]]),"00")</f>
        <v>33</v>
      </c>
      <c r="G2044" s="1">
        <f>EOMONTH(tblData[[#This Row],[Rental Date]],0)</f>
        <v>46265</v>
      </c>
      <c r="H2044" t="s">
        <v>749</v>
      </c>
      <c r="I2044" t="s">
        <v>39</v>
      </c>
      <c r="J2044" t="s">
        <v>127</v>
      </c>
      <c r="K2044" t="s">
        <v>25</v>
      </c>
      <c r="L2044">
        <v>1</v>
      </c>
      <c r="M2044" s="2">
        <v>19.2</v>
      </c>
      <c r="N2044" t="s">
        <v>26</v>
      </c>
      <c r="O2044" s="3">
        <v>0</v>
      </c>
      <c r="P2044" s="3">
        <v>0</v>
      </c>
      <c r="Q2044" s="2">
        <v>19.2</v>
      </c>
      <c r="R2044" t="s">
        <v>34</v>
      </c>
      <c r="S2044" t="s">
        <v>50</v>
      </c>
      <c r="T2044" t="s">
        <v>90</v>
      </c>
      <c r="U2044" t="s">
        <v>79</v>
      </c>
    </row>
    <row r="2045" spans="1:21" x14ac:dyDescent="0.35">
      <c r="A2045" t="s">
        <v>2124</v>
      </c>
      <c r="B2045" s="1">
        <v>46249</v>
      </c>
      <c r="C2045" t="str">
        <f>TEXT(tblData[[#This Row],[Rental Date]],"mmm")</f>
        <v>Aug</v>
      </c>
      <c r="D2045" t="str">
        <f>TEXT(tblData[[#This Row],[Rental Date]],"mmmm")</f>
        <v>August</v>
      </c>
      <c r="E2045" t="s">
        <v>56</v>
      </c>
      <c r="F2045" t="str">
        <f>TEXT(WEEKNUM(tblData[[#This Row],[Rental Date]]),"00")</f>
        <v>33</v>
      </c>
      <c r="G2045" s="1">
        <f>EOMONTH(tblData[[#This Row],[Rental Date]],0)</f>
        <v>46265</v>
      </c>
      <c r="H2045" t="s">
        <v>749</v>
      </c>
      <c r="I2045" t="s">
        <v>32</v>
      </c>
      <c r="J2045" t="s">
        <v>111</v>
      </c>
      <c r="K2045" t="s">
        <v>60</v>
      </c>
      <c r="L2045">
        <v>1</v>
      </c>
      <c r="M2045" s="2">
        <v>16.8</v>
      </c>
      <c r="N2045" t="s">
        <v>89</v>
      </c>
      <c r="O2045" s="3">
        <v>6</v>
      </c>
      <c r="P2045" s="3">
        <v>2.2799999999999998</v>
      </c>
      <c r="Q2045" s="2">
        <v>20.52</v>
      </c>
      <c r="R2045" t="s">
        <v>34</v>
      </c>
      <c r="S2045" t="s">
        <v>46</v>
      </c>
      <c r="T2045" t="s">
        <v>29</v>
      </c>
      <c r="U2045" t="s">
        <v>30</v>
      </c>
    </row>
    <row r="2046" spans="1:21" x14ac:dyDescent="0.35">
      <c r="A2046" t="s">
        <v>2125</v>
      </c>
      <c r="B2046" s="1">
        <v>46249</v>
      </c>
      <c r="C2046" t="str">
        <f>TEXT(tblData[[#This Row],[Rental Date]],"mmm")</f>
        <v>Aug</v>
      </c>
      <c r="D2046" t="str">
        <f>TEXT(tblData[[#This Row],[Rental Date]],"mmmm")</f>
        <v>August</v>
      </c>
      <c r="E2046" t="s">
        <v>56</v>
      </c>
      <c r="F2046" t="str">
        <f>TEXT(WEEKNUM(tblData[[#This Row],[Rental Date]]),"00")</f>
        <v>33</v>
      </c>
      <c r="G2046" s="1">
        <f>EOMONTH(tblData[[#This Row],[Rental Date]],0)</f>
        <v>46265</v>
      </c>
      <c r="H2046" t="s">
        <v>749</v>
      </c>
      <c r="I2046" t="s">
        <v>39</v>
      </c>
      <c r="J2046" t="s">
        <v>78</v>
      </c>
      <c r="K2046" t="s">
        <v>92</v>
      </c>
      <c r="L2046">
        <v>1</v>
      </c>
      <c r="M2046" s="2">
        <v>105.6</v>
      </c>
      <c r="N2046" t="s">
        <v>26</v>
      </c>
      <c r="O2046" s="3">
        <v>0</v>
      </c>
      <c r="P2046" s="3">
        <v>0</v>
      </c>
      <c r="Q2046" s="2">
        <v>105.6</v>
      </c>
      <c r="R2046" t="s">
        <v>34</v>
      </c>
      <c r="S2046" t="s">
        <v>28</v>
      </c>
      <c r="T2046" t="s">
        <v>90</v>
      </c>
      <c r="U2046" t="s">
        <v>30</v>
      </c>
    </row>
    <row r="2047" spans="1:21" x14ac:dyDescent="0.35">
      <c r="A2047" t="s">
        <v>2126</v>
      </c>
      <c r="B2047" s="1">
        <v>46249</v>
      </c>
      <c r="C2047" t="str">
        <f>TEXT(tblData[[#This Row],[Rental Date]],"mmm")</f>
        <v>Aug</v>
      </c>
      <c r="D2047" t="str">
        <f>TEXT(tblData[[#This Row],[Rental Date]],"mmmm")</f>
        <v>August</v>
      </c>
      <c r="E2047" t="s">
        <v>56</v>
      </c>
      <c r="F2047" t="str">
        <f>TEXT(WEEKNUM(tblData[[#This Row],[Rental Date]]),"00")</f>
        <v>33</v>
      </c>
      <c r="G2047" s="1">
        <f>EOMONTH(tblData[[#This Row],[Rental Date]],0)</f>
        <v>46265</v>
      </c>
      <c r="H2047" t="s">
        <v>749</v>
      </c>
      <c r="I2047" t="s">
        <v>39</v>
      </c>
      <c r="J2047" t="s">
        <v>44</v>
      </c>
      <c r="K2047" t="s">
        <v>60</v>
      </c>
      <c r="L2047">
        <v>1</v>
      </c>
      <c r="M2047" s="2">
        <v>40.799999999999997</v>
      </c>
      <c r="N2047" t="s">
        <v>26</v>
      </c>
      <c r="O2047" s="3">
        <v>0</v>
      </c>
      <c r="P2047" s="3">
        <v>0</v>
      </c>
      <c r="Q2047" s="2">
        <v>40.799999999999997</v>
      </c>
      <c r="R2047" t="s">
        <v>71</v>
      </c>
      <c r="S2047" t="s">
        <v>50</v>
      </c>
      <c r="T2047" t="s">
        <v>63</v>
      </c>
      <c r="U2047" t="s">
        <v>30</v>
      </c>
    </row>
    <row r="2048" spans="1:21" x14ac:dyDescent="0.35">
      <c r="A2048" t="s">
        <v>2127</v>
      </c>
      <c r="B2048" s="1">
        <v>46249</v>
      </c>
      <c r="C2048" t="str">
        <f>TEXT(tblData[[#This Row],[Rental Date]],"mmm")</f>
        <v>Aug</v>
      </c>
      <c r="D2048" t="str">
        <f>TEXT(tblData[[#This Row],[Rental Date]],"mmmm")</f>
        <v>August</v>
      </c>
      <c r="E2048" t="s">
        <v>56</v>
      </c>
      <c r="F2048" t="str">
        <f>TEXT(WEEKNUM(tblData[[#This Row],[Rental Date]]),"00")</f>
        <v>33</v>
      </c>
      <c r="G2048" s="1">
        <f>EOMONTH(tblData[[#This Row],[Rental Date]],0)</f>
        <v>46265</v>
      </c>
      <c r="H2048" t="s">
        <v>749</v>
      </c>
      <c r="I2048" t="s">
        <v>48</v>
      </c>
      <c r="J2048" t="s">
        <v>44</v>
      </c>
      <c r="K2048" t="s">
        <v>25</v>
      </c>
      <c r="L2048">
        <v>1</v>
      </c>
      <c r="M2048" s="2">
        <v>62.4</v>
      </c>
      <c r="N2048" t="s">
        <v>61</v>
      </c>
      <c r="O2048" s="3">
        <v>8</v>
      </c>
      <c r="P2048" s="3">
        <v>0</v>
      </c>
      <c r="Q2048" s="2">
        <v>70.400000000000006</v>
      </c>
      <c r="R2048" t="s">
        <v>66</v>
      </c>
      <c r="S2048" t="s">
        <v>54</v>
      </c>
      <c r="T2048" t="s">
        <v>29</v>
      </c>
      <c r="U2048" t="s">
        <v>30</v>
      </c>
    </row>
    <row r="2049" spans="1:21" x14ac:dyDescent="0.35">
      <c r="A2049" t="s">
        <v>2128</v>
      </c>
      <c r="B2049" s="1">
        <v>46249</v>
      </c>
      <c r="C2049" t="str">
        <f>TEXT(tblData[[#This Row],[Rental Date]],"mmm")</f>
        <v>Aug</v>
      </c>
      <c r="D2049" t="str">
        <f>TEXT(tblData[[#This Row],[Rental Date]],"mmmm")</f>
        <v>August</v>
      </c>
      <c r="E2049" t="s">
        <v>56</v>
      </c>
      <c r="F2049" t="str">
        <f>TEXT(WEEKNUM(tblData[[#This Row],[Rental Date]]),"00")</f>
        <v>33</v>
      </c>
      <c r="G2049" s="1">
        <f>EOMONTH(tblData[[#This Row],[Rental Date]],0)</f>
        <v>46265</v>
      </c>
      <c r="H2049" t="s">
        <v>749</v>
      </c>
      <c r="I2049" t="s">
        <v>23</v>
      </c>
      <c r="J2049" t="s">
        <v>33</v>
      </c>
      <c r="K2049" t="s">
        <v>60</v>
      </c>
      <c r="L2049">
        <v>1</v>
      </c>
      <c r="M2049" s="2">
        <v>28.8</v>
      </c>
      <c r="N2049" t="s">
        <v>41</v>
      </c>
      <c r="O2049" s="3">
        <v>5</v>
      </c>
      <c r="P2049" s="3">
        <v>0</v>
      </c>
      <c r="Q2049" s="2">
        <v>33.799999999999997</v>
      </c>
      <c r="R2049" t="s">
        <v>94</v>
      </c>
      <c r="S2049" t="s">
        <v>50</v>
      </c>
      <c r="T2049" t="s">
        <v>63</v>
      </c>
      <c r="U2049" t="s">
        <v>79</v>
      </c>
    </row>
    <row r="2050" spans="1:21" x14ac:dyDescent="0.35">
      <c r="A2050" t="s">
        <v>2129</v>
      </c>
      <c r="B2050" s="1">
        <v>46249</v>
      </c>
      <c r="C2050" t="str">
        <f>TEXT(tblData[[#This Row],[Rental Date]],"mmm")</f>
        <v>Aug</v>
      </c>
      <c r="D2050" t="str">
        <f>TEXT(tblData[[#This Row],[Rental Date]],"mmmm")</f>
        <v>August</v>
      </c>
      <c r="E2050" t="s">
        <v>56</v>
      </c>
      <c r="F2050" t="str">
        <f>TEXT(WEEKNUM(tblData[[#This Row],[Rental Date]]),"00")</f>
        <v>33</v>
      </c>
      <c r="G2050" s="1">
        <f>EOMONTH(tblData[[#This Row],[Rental Date]],0)</f>
        <v>46265</v>
      </c>
      <c r="H2050" t="s">
        <v>749</v>
      </c>
      <c r="I2050" t="s">
        <v>23</v>
      </c>
      <c r="J2050" t="s">
        <v>127</v>
      </c>
      <c r="K2050" t="s">
        <v>60</v>
      </c>
      <c r="L2050">
        <v>1</v>
      </c>
      <c r="M2050" s="2">
        <v>12</v>
      </c>
      <c r="N2050" t="s">
        <v>26</v>
      </c>
      <c r="O2050" s="3">
        <v>0</v>
      </c>
      <c r="P2050" s="3">
        <v>0.6</v>
      </c>
      <c r="Q2050" s="2">
        <v>11.4</v>
      </c>
      <c r="R2050" t="s">
        <v>45</v>
      </c>
      <c r="S2050" t="s">
        <v>50</v>
      </c>
      <c r="T2050" t="s">
        <v>29</v>
      </c>
      <c r="U2050" t="s">
        <v>30</v>
      </c>
    </row>
    <row r="2051" spans="1:21" x14ac:dyDescent="0.35">
      <c r="A2051" t="s">
        <v>2130</v>
      </c>
      <c r="B2051" s="1">
        <v>46249</v>
      </c>
      <c r="C2051" t="str">
        <f>TEXT(tblData[[#This Row],[Rental Date]],"mmm")</f>
        <v>Aug</v>
      </c>
      <c r="D2051" t="str">
        <f>TEXT(tblData[[#This Row],[Rental Date]],"mmmm")</f>
        <v>August</v>
      </c>
      <c r="E2051" t="s">
        <v>56</v>
      </c>
      <c r="F2051" t="str">
        <f>TEXT(WEEKNUM(tblData[[#This Row],[Rental Date]]),"00")</f>
        <v>33</v>
      </c>
      <c r="G2051" s="1">
        <f>EOMONTH(tblData[[#This Row],[Rental Date]],0)</f>
        <v>46265</v>
      </c>
      <c r="H2051" t="s">
        <v>749</v>
      </c>
      <c r="I2051" t="s">
        <v>39</v>
      </c>
      <c r="J2051" t="s">
        <v>33</v>
      </c>
      <c r="K2051" t="s">
        <v>25</v>
      </c>
      <c r="L2051">
        <v>1</v>
      </c>
      <c r="M2051" s="2">
        <v>45.6</v>
      </c>
      <c r="N2051" t="s">
        <v>26</v>
      </c>
      <c r="O2051" s="3">
        <v>0</v>
      </c>
      <c r="P2051" s="3">
        <v>0</v>
      </c>
      <c r="Q2051" s="2">
        <v>45.6</v>
      </c>
      <c r="R2051" t="s">
        <v>27</v>
      </c>
      <c r="S2051" t="s">
        <v>54</v>
      </c>
      <c r="T2051" t="s">
        <v>29</v>
      </c>
      <c r="U2051" t="s">
        <v>30</v>
      </c>
    </row>
    <row r="2052" spans="1:21" x14ac:dyDescent="0.35">
      <c r="A2052" t="s">
        <v>2131</v>
      </c>
      <c r="B2052" s="1">
        <v>46249</v>
      </c>
      <c r="C2052" t="str">
        <f>TEXT(tblData[[#This Row],[Rental Date]],"mmm")</f>
        <v>Aug</v>
      </c>
      <c r="D2052" t="str">
        <f>TEXT(tblData[[#This Row],[Rental Date]],"mmmm")</f>
        <v>August</v>
      </c>
      <c r="E2052" t="s">
        <v>56</v>
      </c>
      <c r="F2052" t="str">
        <f>TEXT(WEEKNUM(tblData[[#This Row],[Rental Date]]),"00")</f>
        <v>33</v>
      </c>
      <c r="G2052" s="1">
        <f>EOMONTH(tblData[[#This Row],[Rental Date]],0)</f>
        <v>46265</v>
      </c>
      <c r="H2052" t="s">
        <v>749</v>
      </c>
      <c r="I2052" t="s">
        <v>32</v>
      </c>
      <c r="J2052" t="s">
        <v>78</v>
      </c>
      <c r="K2052" t="s">
        <v>25</v>
      </c>
      <c r="L2052">
        <v>1</v>
      </c>
      <c r="M2052" s="2">
        <v>50.4</v>
      </c>
      <c r="N2052" t="s">
        <v>26</v>
      </c>
      <c r="O2052" s="3">
        <v>0</v>
      </c>
      <c r="P2052" s="3">
        <v>0</v>
      </c>
      <c r="Q2052" s="2">
        <v>50.4</v>
      </c>
      <c r="R2052" t="s">
        <v>71</v>
      </c>
      <c r="S2052" t="s">
        <v>46</v>
      </c>
      <c r="T2052" t="s">
        <v>29</v>
      </c>
      <c r="U2052" t="s">
        <v>30</v>
      </c>
    </row>
    <row r="2053" spans="1:21" x14ac:dyDescent="0.35">
      <c r="A2053" t="s">
        <v>2132</v>
      </c>
      <c r="B2053" s="1">
        <v>46249</v>
      </c>
      <c r="C2053" t="str">
        <f>TEXT(tblData[[#This Row],[Rental Date]],"mmm")</f>
        <v>Aug</v>
      </c>
      <c r="D2053" t="str">
        <f>TEXT(tblData[[#This Row],[Rental Date]],"mmmm")</f>
        <v>August</v>
      </c>
      <c r="E2053" t="s">
        <v>56</v>
      </c>
      <c r="F2053" t="str">
        <f>TEXT(WEEKNUM(tblData[[#This Row],[Rental Date]]),"00")</f>
        <v>33</v>
      </c>
      <c r="G2053" s="1">
        <f>EOMONTH(tblData[[#This Row],[Rental Date]],0)</f>
        <v>46265</v>
      </c>
      <c r="H2053" t="s">
        <v>749</v>
      </c>
      <c r="I2053" t="s">
        <v>48</v>
      </c>
      <c r="J2053" t="s">
        <v>49</v>
      </c>
      <c r="K2053" t="s">
        <v>40</v>
      </c>
      <c r="L2053">
        <v>1</v>
      </c>
      <c r="M2053" s="2">
        <v>64.8</v>
      </c>
      <c r="N2053" t="s">
        <v>89</v>
      </c>
      <c r="O2053" s="3">
        <v>6</v>
      </c>
      <c r="P2053" s="3">
        <v>0</v>
      </c>
      <c r="Q2053" s="2">
        <v>70.8</v>
      </c>
      <c r="R2053" t="s">
        <v>27</v>
      </c>
      <c r="S2053" t="s">
        <v>35</v>
      </c>
      <c r="T2053" t="s">
        <v>51</v>
      </c>
      <c r="U2053" t="s">
        <v>30</v>
      </c>
    </row>
    <row r="2054" spans="1:21" x14ac:dyDescent="0.35">
      <c r="A2054" t="s">
        <v>2133</v>
      </c>
      <c r="B2054" s="1">
        <v>46249</v>
      </c>
      <c r="C2054" t="str">
        <f>TEXT(tblData[[#This Row],[Rental Date]],"mmm")</f>
        <v>Aug</v>
      </c>
      <c r="D2054" t="str">
        <f>TEXT(tblData[[#This Row],[Rental Date]],"mmmm")</f>
        <v>August</v>
      </c>
      <c r="E2054" t="s">
        <v>56</v>
      </c>
      <c r="F2054" t="str">
        <f>TEXT(WEEKNUM(tblData[[#This Row],[Rental Date]]),"00")</f>
        <v>33</v>
      </c>
      <c r="G2054" s="1">
        <f>EOMONTH(tblData[[#This Row],[Rental Date]],0)</f>
        <v>46265</v>
      </c>
      <c r="H2054" t="s">
        <v>749</v>
      </c>
      <c r="I2054" t="s">
        <v>23</v>
      </c>
      <c r="J2054" t="s">
        <v>78</v>
      </c>
      <c r="K2054" t="s">
        <v>25</v>
      </c>
      <c r="L2054">
        <v>1</v>
      </c>
      <c r="M2054" s="2">
        <v>50.4</v>
      </c>
      <c r="N2054" t="s">
        <v>41</v>
      </c>
      <c r="O2054" s="3">
        <v>5</v>
      </c>
      <c r="P2054" s="3">
        <v>0</v>
      </c>
      <c r="Q2054" s="2">
        <v>55.4</v>
      </c>
      <c r="R2054" t="s">
        <v>66</v>
      </c>
      <c r="S2054" t="s">
        <v>54</v>
      </c>
      <c r="T2054" t="s">
        <v>29</v>
      </c>
      <c r="U2054" t="s">
        <v>79</v>
      </c>
    </row>
    <row r="2055" spans="1:21" x14ac:dyDescent="0.35">
      <c r="A2055" t="s">
        <v>2134</v>
      </c>
      <c r="B2055" s="1">
        <v>46249</v>
      </c>
      <c r="C2055" t="str">
        <f>TEXT(tblData[[#This Row],[Rental Date]],"mmm")</f>
        <v>Aug</v>
      </c>
      <c r="D2055" t="str">
        <f>TEXT(tblData[[#This Row],[Rental Date]],"mmmm")</f>
        <v>August</v>
      </c>
      <c r="E2055" t="s">
        <v>56</v>
      </c>
      <c r="F2055" t="str">
        <f>TEXT(WEEKNUM(tblData[[#This Row],[Rental Date]]),"00")</f>
        <v>33</v>
      </c>
      <c r="G2055" s="1">
        <f>EOMONTH(tblData[[#This Row],[Rental Date]],0)</f>
        <v>46265</v>
      </c>
      <c r="H2055" t="s">
        <v>749</v>
      </c>
      <c r="I2055" t="s">
        <v>39</v>
      </c>
      <c r="J2055" t="s">
        <v>127</v>
      </c>
      <c r="K2055" t="s">
        <v>40</v>
      </c>
      <c r="L2055">
        <v>1</v>
      </c>
      <c r="M2055" s="2">
        <v>28.8</v>
      </c>
      <c r="N2055" t="s">
        <v>70</v>
      </c>
      <c r="O2055" s="3">
        <v>7</v>
      </c>
      <c r="P2055" s="3">
        <v>0</v>
      </c>
      <c r="Q2055" s="2">
        <v>35.799999999999997</v>
      </c>
      <c r="R2055" t="s">
        <v>76</v>
      </c>
      <c r="S2055" t="s">
        <v>28</v>
      </c>
      <c r="T2055" t="s">
        <v>29</v>
      </c>
      <c r="U2055" t="s">
        <v>30</v>
      </c>
    </row>
    <row r="2056" spans="1:21" x14ac:dyDescent="0.35">
      <c r="A2056" t="s">
        <v>2135</v>
      </c>
      <c r="B2056" s="1">
        <v>46249</v>
      </c>
      <c r="C2056" t="str">
        <f>TEXT(tblData[[#This Row],[Rental Date]],"mmm")</f>
        <v>Aug</v>
      </c>
      <c r="D2056" t="str">
        <f>TEXT(tblData[[#This Row],[Rental Date]],"mmmm")</f>
        <v>August</v>
      </c>
      <c r="E2056" t="s">
        <v>56</v>
      </c>
      <c r="F2056" t="str">
        <f>TEXT(WEEKNUM(tblData[[#This Row],[Rental Date]]),"00")</f>
        <v>33</v>
      </c>
      <c r="G2056" s="1">
        <f>EOMONTH(tblData[[#This Row],[Rental Date]],0)</f>
        <v>46265</v>
      </c>
      <c r="H2056" t="s">
        <v>749</v>
      </c>
      <c r="I2056" t="s">
        <v>39</v>
      </c>
      <c r="J2056" t="s">
        <v>33</v>
      </c>
      <c r="K2056" t="s">
        <v>25</v>
      </c>
      <c r="L2056">
        <v>1</v>
      </c>
      <c r="M2056" s="2">
        <v>45.6</v>
      </c>
      <c r="N2056" t="s">
        <v>41</v>
      </c>
      <c r="O2056" s="3">
        <v>5</v>
      </c>
      <c r="P2056" s="3">
        <v>2.5299999999999998</v>
      </c>
      <c r="Q2056" s="2">
        <v>48.07</v>
      </c>
      <c r="R2056" t="s">
        <v>34</v>
      </c>
      <c r="S2056" t="s">
        <v>54</v>
      </c>
      <c r="T2056" t="s">
        <v>29</v>
      </c>
      <c r="U2056" t="s">
        <v>30</v>
      </c>
    </row>
    <row r="2057" spans="1:21" x14ac:dyDescent="0.35">
      <c r="A2057" t="s">
        <v>2136</v>
      </c>
      <c r="B2057" s="1">
        <v>46249</v>
      </c>
      <c r="C2057" t="str">
        <f>TEXT(tblData[[#This Row],[Rental Date]],"mmm")</f>
        <v>Aug</v>
      </c>
      <c r="D2057" t="str">
        <f>TEXT(tblData[[#This Row],[Rental Date]],"mmmm")</f>
        <v>August</v>
      </c>
      <c r="E2057" t="s">
        <v>56</v>
      </c>
      <c r="F2057" t="str">
        <f>TEXT(WEEKNUM(tblData[[#This Row],[Rental Date]]),"00")</f>
        <v>33</v>
      </c>
      <c r="G2057" s="1">
        <f>EOMONTH(tblData[[#This Row],[Rental Date]],0)</f>
        <v>46265</v>
      </c>
      <c r="H2057" t="s">
        <v>749</v>
      </c>
      <c r="I2057" t="s">
        <v>48</v>
      </c>
      <c r="J2057" t="s">
        <v>49</v>
      </c>
      <c r="K2057" t="s">
        <v>92</v>
      </c>
      <c r="L2057">
        <v>1</v>
      </c>
      <c r="M2057" s="2">
        <v>91.2</v>
      </c>
      <c r="N2057" t="s">
        <v>61</v>
      </c>
      <c r="O2057" s="3">
        <v>8</v>
      </c>
      <c r="P2057" s="3">
        <v>0</v>
      </c>
      <c r="Q2057" s="2">
        <v>99.2</v>
      </c>
      <c r="R2057" t="s">
        <v>76</v>
      </c>
      <c r="S2057" t="s">
        <v>28</v>
      </c>
      <c r="T2057" t="s">
        <v>90</v>
      </c>
      <c r="U2057" t="s">
        <v>30</v>
      </c>
    </row>
    <row r="2058" spans="1:21" x14ac:dyDescent="0.35">
      <c r="A2058" t="s">
        <v>2137</v>
      </c>
      <c r="B2058" s="1">
        <v>46249</v>
      </c>
      <c r="C2058" t="str">
        <f>TEXT(tblData[[#This Row],[Rental Date]],"mmm")</f>
        <v>Aug</v>
      </c>
      <c r="D2058" t="str">
        <f>TEXT(tblData[[#This Row],[Rental Date]],"mmmm")</f>
        <v>August</v>
      </c>
      <c r="E2058" t="s">
        <v>56</v>
      </c>
      <c r="F2058" t="str">
        <f>TEXT(WEEKNUM(tblData[[#This Row],[Rental Date]]),"00")</f>
        <v>33</v>
      </c>
      <c r="G2058" s="1">
        <f>EOMONTH(tblData[[#This Row],[Rental Date]],0)</f>
        <v>46265</v>
      </c>
      <c r="H2058" t="s">
        <v>749</v>
      </c>
      <c r="I2058" t="s">
        <v>39</v>
      </c>
      <c r="J2058" t="s">
        <v>44</v>
      </c>
      <c r="K2058" t="s">
        <v>92</v>
      </c>
      <c r="L2058">
        <v>1</v>
      </c>
      <c r="M2058" s="2">
        <v>134.4</v>
      </c>
      <c r="N2058" t="s">
        <v>26</v>
      </c>
      <c r="O2058" s="3">
        <v>0</v>
      </c>
      <c r="P2058" s="3">
        <v>0</v>
      </c>
      <c r="Q2058" s="2">
        <v>134.4</v>
      </c>
      <c r="R2058" t="s">
        <v>45</v>
      </c>
      <c r="S2058" t="s">
        <v>35</v>
      </c>
      <c r="T2058" t="s">
        <v>51</v>
      </c>
      <c r="U2058" t="s">
        <v>30</v>
      </c>
    </row>
    <row r="2059" spans="1:21" x14ac:dyDescent="0.35">
      <c r="A2059" t="s">
        <v>2138</v>
      </c>
      <c r="B2059" s="1">
        <v>46249</v>
      </c>
      <c r="C2059" t="str">
        <f>TEXT(tblData[[#This Row],[Rental Date]],"mmm")</f>
        <v>Aug</v>
      </c>
      <c r="D2059" t="str">
        <f>TEXT(tblData[[#This Row],[Rental Date]],"mmmm")</f>
        <v>August</v>
      </c>
      <c r="E2059" t="s">
        <v>56</v>
      </c>
      <c r="F2059" t="str">
        <f>TEXT(WEEKNUM(tblData[[#This Row],[Rental Date]]),"00")</f>
        <v>33</v>
      </c>
      <c r="G2059" s="1">
        <f>EOMONTH(tblData[[#This Row],[Rental Date]],0)</f>
        <v>46265</v>
      </c>
      <c r="H2059" t="s">
        <v>749</v>
      </c>
      <c r="I2059" t="s">
        <v>48</v>
      </c>
      <c r="J2059" t="s">
        <v>49</v>
      </c>
      <c r="K2059" t="s">
        <v>40</v>
      </c>
      <c r="L2059">
        <v>1</v>
      </c>
      <c r="M2059" s="2">
        <v>64.8</v>
      </c>
      <c r="N2059" t="s">
        <v>26</v>
      </c>
      <c r="O2059" s="3">
        <v>0</v>
      </c>
      <c r="P2059" s="3">
        <v>0</v>
      </c>
      <c r="Q2059" s="2">
        <v>64.8</v>
      </c>
      <c r="R2059" t="s">
        <v>57</v>
      </c>
      <c r="S2059" t="s">
        <v>46</v>
      </c>
      <c r="T2059" t="s">
        <v>29</v>
      </c>
      <c r="U2059" t="s">
        <v>36</v>
      </c>
    </row>
    <row r="2060" spans="1:21" x14ac:dyDescent="0.35">
      <c r="A2060" t="s">
        <v>2139</v>
      </c>
      <c r="B2060" s="1">
        <v>46249</v>
      </c>
      <c r="C2060" t="str">
        <f>TEXT(tblData[[#This Row],[Rental Date]],"mmm")</f>
        <v>Aug</v>
      </c>
      <c r="D2060" t="str">
        <f>TEXT(tblData[[#This Row],[Rental Date]],"mmmm")</f>
        <v>August</v>
      </c>
      <c r="E2060" t="s">
        <v>56</v>
      </c>
      <c r="F2060" t="str">
        <f>TEXT(WEEKNUM(tblData[[#This Row],[Rental Date]]),"00")</f>
        <v>33</v>
      </c>
      <c r="G2060" s="1">
        <f>EOMONTH(tblData[[#This Row],[Rental Date]],0)</f>
        <v>46265</v>
      </c>
      <c r="H2060" t="s">
        <v>749</v>
      </c>
      <c r="I2060" t="s">
        <v>48</v>
      </c>
      <c r="J2060" t="s">
        <v>78</v>
      </c>
      <c r="K2060" t="s">
        <v>60</v>
      </c>
      <c r="L2060">
        <v>1</v>
      </c>
      <c r="M2060" s="2">
        <v>31.2</v>
      </c>
      <c r="N2060" t="s">
        <v>89</v>
      </c>
      <c r="O2060" s="3">
        <v>6</v>
      </c>
      <c r="P2060" s="3">
        <v>0</v>
      </c>
      <c r="Q2060" s="2">
        <v>37.200000000000003</v>
      </c>
      <c r="R2060" t="s">
        <v>66</v>
      </c>
      <c r="S2060" t="s">
        <v>46</v>
      </c>
      <c r="T2060" t="s">
        <v>51</v>
      </c>
      <c r="U2060" t="s">
        <v>58</v>
      </c>
    </row>
    <row r="2061" spans="1:21" x14ac:dyDescent="0.35">
      <c r="A2061" t="s">
        <v>2140</v>
      </c>
      <c r="B2061" s="1">
        <v>46249</v>
      </c>
      <c r="C2061" t="str">
        <f>TEXT(tblData[[#This Row],[Rental Date]],"mmm")</f>
        <v>Aug</v>
      </c>
      <c r="D2061" t="str">
        <f>TEXT(tblData[[#This Row],[Rental Date]],"mmmm")</f>
        <v>August</v>
      </c>
      <c r="E2061" t="s">
        <v>56</v>
      </c>
      <c r="F2061" t="str">
        <f>TEXT(WEEKNUM(tblData[[#This Row],[Rental Date]]),"00")</f>
        <v>33</v>
      </c>
      <c r="G2061" s="1">
        <f>EOMONTH(tblData[[#This Row],[Rental Date]],0)</f>
        <v>46265</v>
      </c>
      <c r="H2061" t="s">
        <v>749</v>
      </c>
      <c r="I2061" t="s">
        <v>23</v>
      </c>
      <c r="J2061" t="s">
        <v>65</v>
      </c>
      <c r="K2061" t="s">
        <v>25</v>
      </c>
      <c r="L2061">
        <v>1</v>
      </c>
      <c r="M2061" s="2">
        <v>21.6</v>
      </c>
      <c r="N2061" t="s">
        <v>89</v>
      </c>
      <c r="O2061" s="3">
        <v>6</v>
      </c>
      <c r="P2061" s="3">
        <v>0</v>
      </c>
      <c r="Q2061" s="2">
        <v>27.6</v>
      </c>
      <c r="R2061" t="s">
        <v>57</v>
      </c>
      <c r="S2061" t="s">
        <v>54</v>
      </c>
      <c r="T2061" t="s">
        <v>29</v>
      </c>
      <c r="U2061" t="s">
        <v>30</v>
      </c>
    </row>
    <row r="2062" spans="1:21" x14ac:dyDescent="0.35">
      <c r="A2062" t="s">
        <v>2141</v>
      </c>
      <c r="B2062" s="1">
        <v>46249</v>
      </c>
      <c r="C2062" t="str">
        <f>TEXT(tblData[[#This Row],[Rental Date]],"mmm")</f>
        <v>Aug</v>
      </c>
      <c r="D2062" t="str">
        <f>TEXT(tblData[[#This Row],[Rental Date]],"mmmm")</f>
        <v>August</v>
      </c>
      <c r="E2062" t="s">
        <v>56</v>
      </c>
      <c r="F2062" t="str">
        <f>TEXT(WEEKNUM(tblData[[#This Row],[Rental Date]]),"00")</f>
        <v>33</v>
      </c>
      <c r="G2062" s="1">
        <f>EOMONTH(tblData[[#This Row],[Rental Date]],0)</f>
        <v>46265</v>
      </c>
      <c r="H2062" t="s">
        <v>749</v>
      </c>
      <c r="I2062" t="s">
        <v>53</v>
      </c>
      <c r="J2062" t="s">
        <v>33</v>
      </c>
      <c r="K2062" t="s">
        <v>60</v>
      </c>
      <c r="L2062">
        <v>1</v>
      </c>
      <c r="M2062" s="2">
        <v>28.8</v>
      </c>
      <c r="N2062" t="s">
        <v>26</v>
      </c>
      <c r="O2062" s="3">
        <v>0</v>
      </c>
      <c r="P2062" s="3">
        <v>4.32</v>
      </c>
      <c r="Q2062" s="2">
        <v>24.48</v>
      </c>
      <c r="R2062" t="s">
        <v>45</v>
      </c>
      <c r="S2062" t="s">
        <v>50</v>
      </c>
      <c r="T2062" t="s">
        <v>29</v>
      </c>
      <c r="U2062" t="s">
        <v>30</v>
      </c>
    </row>
    <row r="2063" spans="1:21" x14ac:dyDescent="0.35">
      <c r="A2063" t="s">
        <v>2142</v>
      </c>
      <c r="B2063" s="1">
        <v>46250</v>
      </c>
      <c r="C2063" t="str">
        <f>TEXT(tblData[[#This Row],[Rental Date]],"mmm")</f>
        <v>Aug</v>
      </c>
      <c r="D2063" t="str">
        <f>TEXT(tblData[[#This Row],[Rental Date]],"mmmm")</f>
        <v>August</v>
      </c>
      <c r="E2063" t="s">
        <v>68</v>
      </c>
      <c r="F2063" t="str">
        <f>TEXT(WEEKNUM(tblData[[#This Row],[Rental Date]]),"00")</f>
        <v>34</v>
      </c>
      <c r="G2063" s="1">
        <f>EOMONTH(tblData[[#This Row],[Rental Date]],0)</f>
        <v>46265</v>
      </c>
      <c r="H2063" t="s">
        <v>749</v>
      </c>
      <c r="I2063" t="s">
        <v>53</v>
      </c>
      <c r="J2063" t="s">
        <v>78</v>
      </c>
      <c r="K2063" t="s">
        <v>25</v>
      </c>
      <c r="L2063">
        <v>1</v>
      </c>
      <c r="M2063" s="2">
        <v>50.4</v>
      </c>
      <c r="N2063" t="s">
        <v>26</v>
      </c>
      <c r="O2063" s="3">
        <v>0</v>
      </c>
      <c r="P2063" s="3">
        <v>5.04</v>
      </c>
      <c r="Q2063" s="2">
        <v>45.36</v>
      </c>
      <c r="R2063" t="s">
        <v>71</v>
      </c>
      <c r="S2063" t="s">
        <v>28</v>
      </c>
      <c r="T2063" t="s">
        <v>83</v>
      </c>
      <c r="U2063" t="s">
        <v>79</v>
      </c>
    </row>
    <row r="2064" spans="1:21" x14ac:dyDescent="0.35">
      <c r="A2064" t="s">
        <v>2143</v>
      </c>
      <c r="B2064" s="1">
        <v>46250</v>
      </c>
      <c r="C2064" t="str">
        <f>TEXT(tblData[[#This Row],[Rental Date]],"mmm")</f>
        <v>Aug</v>
      </c>
      <c r="D2064" t="str">
        <f>TEXT(tblData[[#This Row],[Rental Date]],"mmmm")</f>
        <v>August</v>
      </c>
      <c r="E2064" t="s">
        <v>68</v>
      </c>
      <c r="F2064" t="str">
        <f>TEXT(WEEKNUM(tblData[[#This Row],[Rental Date]]),"00")</f>
        <v>34</v>
      </c>
      <c r="G2064" s="1">
        <f>EOMONTH(tblData[[#This Row],[Rental Date]],0)</f>
        <v>46265</v>
      </c>
      <c r="H2064" t="s">
        <v>749</v>
      </c>
      <c r="I2064" t="s">
        <v>39</v>
      </c>
      <c r="J2064" t="s">
        <v>86</v>
      </c>
      <c r="K2064" t="s">
        <v>40</v>
      </c>
      <c r="L2064">
        <v>1</v>
      </c>
      <c r="M2064" s="2">
        <v>103.2</v>
      </c>
      <c r="N2064" t="s">
        <v>26</v>
      </c>
      <c r="O2064" s="3">
        <v>0</v>
      </c>
      <c r="P2064" s="3">
        <v>0</v>
      </c>
      <c r="Q2064" s="2">
        <v>103.2</v>
      </c>
      <c r="R2064" t="s">
        <v>34</v>
      </c>
      <c r="S2064" t="s">
        <v>54</v>
      </c>
      <c r="T2064" t="s">
        <v>51</v>
      </c>
      <c r="U2064" t="s">
        <v>79</v>
      </c>
    </row>
    <row r="2065" spans="1:21" x14ac:dyDescent="0.35">
      <c r="A2065" t="s">
        <v>2144</v>
      </c>
      <c r="B2065" s="1">
        <v>46250</v>
      </c>
      <c r="C2065" t="str">
        <f>TEXT(tblData[[#This Row],[Rental Date]],"mmm")</f>
        <v>Aug</v>
      </c>
      <c r="D2065" t="str">
        <f>TEXT(tblData[[#This Row],[Rental Date]],"mmmm")</f>
        <v>August</v>
      </c>
      <c r="E2065" t="s">
        <v>68</v>
      </c>
      <c r="F2065" t="str">
        <f>TEXT(WEEKNUM(tblData[[#This Row],[Rental Date]]),"00")</f>
        <v>34</v>
      </c>
      <c r="G2065" s="1">
        <f>EOMONTH(tblData[[#This Row],[Rental Date]],0)</f>
        <v>46265</v>
      </c>
      <c r="H2065" t="s">
        <v>749</v>
      </c>
      <c r="I2065" t="s">
        <v>53</v>
      </c>
      <c r="J2065" t="s">
        <v>111</v>
      </c>
      <c r="K2065" t="s">
        <v>40</v>
      </c>
      <c r="L2065">
        <v>1</v>
      </c>
      <c r="M2065" s="2">
        <v>40.799999999999997</v>
      </c>
      <c r="N2065" t="s">
        <v>26</v>
      </c>
      <c r="O2065" s="3">
        <v>0</v>
      </c>
      <c r="P2065" s="3">
        <v>4.08</v>
      </c>
      <c r="Q2065" s="2">
        <v>36.72</v>
      </c>
      <c r="R2065" t="s">
        <v>66</v>
      </c>
      <c r="S2065" t="s">
        <v>46</v>
      </c>
      <c r="T2065" t="s">
        <v>90</v>
      </c>
      <c r="U2065" t="s">
        <v>30</v>
      </c>
    </row>
    <row r="2066" spans="1:21" x14ac:dyDescent="0.35">
      <c r="A2066" t="s">
        <v>2145</v>
      </c>
      <c r="B2066" s="1">
        <v>46250</v>
      </c>
      <c r="C2066" t="str">
        <f>TEXT(tblData[[#This Row],[Rental Date]],"mmm")</f>
        <v>Aug</v>
      </c>
      <c r="D2066" t="str">
        <f>TEXT(tblData[[#This Row],[Rental Date]],"mmmm")</f>
        <v>August</v>
      </c>
      <c r="E2066" t="s">
        <v>68</v>
      </c>
      <c r="F2066" t="str">
        <f>TEXT(WEEKNUM(tblData[[#This Row],[Rental Date]]),"00")</f>
        <v>34</v>
      </c>
      <c r="G2066" s="1">
        <f>EOMONTH(tblData[[#This Row],[Rental Date]],0)</f>
        <v>46265</v>
      </c>
      <c r="H2066" t="s">
        <v>749</v>
      </c>
      <c r="I2066" t="s">
        <v>48</v>
      </c>
      <c r="J2066" t="s">
        <v>33</v>
      </c>
      <c r="K2066" t="s">
        <v>25</v>
      </c>
      <c r="L2066">
        <v>1</v>
      </c>
      <c r="M2066" s="2">
        <v>45.6</v>
      </c>
      <c r="N2066" t="s">
        <v>26</v>
      </c>
      <c r="O2066" s="3">
        <v>0</v>
      </c>
      <c r="P2066" s="3">
        <v>0</v>
      </c>
      <c r="Q2066" s="2">
        <v>45.6</v>
      </c>
      <c r="R2066" t="s">
        <v>62</v>
      </c>
      <c r="S2066" t="s">
        <v>28</v>
      </c>
      <c r="T2066" t="s">
        <v>51</v>
      </c>
      <c r="U2066" t="s">
        <v>30</v>
      </c>
    </row>
    <row r="2067" spans="1:21" x14ac:dyDescent="0.35">
      <c r="A2067" t="s">
        <v>2146</v>
      </c>
      <c r="B2067" s="1">
        <v>46250</v>
      </c>
      <c r="C2067" t="str">
        <f>TEXT(tblData[[#This Row],[Rental Date]],"mmm")</f>
        <v>Aug</v>
      </c>
      <c r="D2067" t="str">
        <f>TEXT(tblData[[#This Row],[Rental Date]],"mmmm")</f>
        <v>August</v>
      </c>
      <c r="E2067" t="s">
        <v>68</v>
      </c>
      <c r="F2067" t="str">
        <f>TEXT(WEEKNUM(tblData[[#This Row],[Rental Date]]),"00")</f>
        <v>34</v>
      </c>
      <c r="G2067" s="1">
        <f>EOMONTH(tblData[[#This Row],[Rental Date]],0)</f>
        <v>46265</v>
      </c>
      <c r="H2067" t="s">
        <v>749</v>
      </c>
      <c r="I2067" t="s">
        <v>23</v>
      </c>
      <c r="J2067" t="s">
        <v>49</v>
      </c>
      <c r="K2067" t="s">
        <v>60</v>
      </c>
      <c r="L2067">
        <v>1</v>
      </c>
      <c r="M2067" s="2">
        <v>26.4</v>
      </c>
      <c r="N2067" t="s">
        <v>26</v>
      </c>
      <c r="O2067" s="3">
        <v>0</v>
      </c>
      <c r="P2067" s="3">
        <v>0</v>
      </c>
      <c r="Q2067" s="2">
        <v>26.4</v>
      </c>
      <c r="R2067" t="s">
        <v>42</v>
      </c>
      <c r="S2067" t="s">
        <v>28</v>
      </c>
      <c r="T2067" t="s">
        <v>63</v>
      </c>
      <c r="U2067" t="s">
        <v>30</v>
      </c>
    </row>
    <row r="2068" spans="1:21" x14ac:dyDescent="0.35">
      <c r="A2068" t="s">
        <v>2147</v>
      </c>
      <c r="B2068" s="1">
        <v>46250</v>
      </c>
      <c r="C2068" t="str">
        <f>TEXT(tblData[[#This Row],[Rental Date]],"mmm")</f>
        <v>Aug</v>
      </c>
      <c r="D2068" t="str">
        <f>TEXT(tblData[[#This Row],[Rental Date]],"mmmm")</f>
        <v>August</v>
      </c>
      <c r="E2068" t="s">
        <v>68</v>
      </c>
      <c r="F2068" t="str">
        <f>TEXT(WEEKNUM(tblData[[#This Row],[Rental Date]]),"00")</f>
        <v>34</v>
      </c>
      <c r="G2068" s="1">
        <f>EOMONTH(tblData[[#This Row],[Rental Date]],0)</f>
        <v>46265</v>
      </c>
      <c r="H2068" t="s">
        <v>749</v>
      </c>
      <c r="I2068" t="s">
        <v>23</v>
      </c>
      <c r="J2068" t="s">
        <v>111</v>
      </c>
      <c r="K2068" t="s">
        <v>60</v>
      </c>
      <c r="L2068">
        <v>1</v>
      </c>
      <c r="M2068" s="2">
        <v>16.8</v>
      </c>
      <c r="N2068" t="s">
        <v>75</v>
      </c>
      <c r="O2068" s="3">
        <v>12</v>
      </c>
      <c r="P2068" s="3">
        <v>1.44</v>
      </c>
      <c r="Q2068" s="2">
        <v>27.36</v>
      </c>
      <c r="R2068" t="s">
        <v>42</v>
      </c>
      <c r="S2068" t="s">
        <v>54</v>
      </c>
      <c r="T2068" t="s">
        <v>29</v>
      </c>
      <c r="U2068" t="s">
        <v>30</v>
      </c>
    </row>
    <row r="2069" spans="1:21" x14ac:dyDescent="0.35">
      <c r="A2069" t="s">
        <v>2148</v>
      </c>
      <c r="B2069" s="1">
        <v>46250</v>
      </c>
      <c r="C2069" t="str">
        <f>TEXT(tblData[[#This Row],[Rental Date]],"mmm")</f>
        <v>Aug</v>
      </c>
      <c r="D2069" t="str">
        <f>TEXT(tblData[[#This Row],[Rental Date]],"mmmm")</f>
        <v>August</v>
      </c>
      <c r="E2069" t="s">
        <v>68</v>
      </c>
      <c r="F2069" t="str">
        <f>TEXT(WEEKNUM(tblData[[#This Row],[Rental Date]]),"00")</f>
        <v>34</v>
      </c>
      <c r="G2069" s="1">
        <f>EOMONTH(tblData[[#This Row],[Rental Date]],0)</f>
        <v>46265</v>
      </c>
      <c r="H2069" t="s">
        <v>749</v>
      </c>
      <c r="I2069" t="s">
        <v>23</v>
      </c>
      <c r="J2069" t="s">
        <v>49</v>
      </c>
      <c r="K2069" t="s">
        <v>92</v>
      </c>
      <c r="L2069">
        <v>1</v>
      </c>
      <c r="M2069" s="2">
        <v>91.2</v>
      </c>
      <c r="N2069" t="s">
        <v>41</v>
      </c>
      <c r="O2069" s="3">
        <v>5</v>
      </c>
      <c r="P2069" s="3">
        <v>0</v>
      </c>
      <c r="Q2069" s="2">
        <v>96.2</v>
      </c>
      <c r="R2069" t="s">
        <v>45</v>
      </c>
      <c r="S2069" t="s">
        <v>50</v>
      </c>
      <c r="T2069" t="s">
        <v>29</v>
      </c>
      <c r="U2069" t="s">
        <v>30</v>
      </c>
    </row>
    <row r="2070" spans="1:21" x14ac:dyDescent="0.35">
      <c r="A2070" t="s">
        <v>2149</v>
      </c>
      <c r="B2070" s="1">
        <v>46250</v>
      </c>
      <c r="C2070" t="str">
        <f>TEXT(tblData[[#This Row],[Rental Date]],"mmm")</f>
        <v>Aug</v>
      </c>
      <c r="D2070" t="str">
        <f>TEXT(tblData[[#This Row],[Rental Date]],"mmmm")</f>
        <v>August</v>
      </c>
      <c r="E2070" t="s">
        <v>68</v>
      </c>
      <c r="F2070" t="str">
        <f>TEXT(WEEKNUM(tblData[[#This Row],[Rental Date]]),"00")</f>
        <v>34</v>
      </c>
      <c r="G2070" s="1">
        <f>EOMONTH(tblData[[#This Row],[Rental Date]],0)</f>
        <v>46265</v>
      </c>
      <c r="H2070" t="s">
        <v>749</v>
      </c>
      <c r="I2070" t="s">
        <v>23</v>
      </c>
      <c r="J2070" t="s">
        <v>65</v>
      </c>
      <c r="K2070" t="s">
        <v>25</v>
      </c>
      <c r="L2070">
        <v>1</v>
      </c>
      <c r="M2070" s="2">
        <v>21.6</v>
      </c>
      <c r="N2070" t="s">
        <v>89</v>
      </c>
      <c r="O2070" s="3">
        <v>6</v>
      </c>
      <c r="P2070" s="3">
        <v>0</v>
      </c>
      <c r="Q2070" s="2">
        <v>27.6</v>
      </c>
      <c r="R2070" t="s">
        <v>71</v>
      </c>
      <c r="S2070" t="s">
        <v>35</v>
      </c>
      <c r="T2070" t="s">
        <v>51</v>
      </c>
      <c r="U2070" t="s">
        <v>30</v>
      </c>
    </row>
    <row r="2071" spans="1:21" x14ac:dyDescent="0.35">
      <c r="A2071" t="s">
        <v>2150</v>
      </c>
      <c r="B2071" s="1">
        <v>46250</v>
      </c>
      <c r="C2071" t="str">
        <f>TEXT(tblData[[#This Row],[Rental Date]],"mmm")</f>
        <v>Aug</v>
      </c>
      <c r="D2071" t="str">
        <f>TEXT(tblData[[#This Row],[Rental Date]],"mmmm")</f>
        <v>August</v>
      </c>
      <c r="E2071" t="s">
        <v>68</v>
      </c>
      <c r="F2071" t="str">
        <f>TEXT(WEEKNUM(tblData[[#This Row],[Rental Date]]),"00")</f>
        <v>34</v>
      </c>
      <c r="G2071" s="1">
        <f>EOMONTH(tblData[[#This Row],[Rental Date]],0)</f>
        <v>46265</v>
      </c>
      <c r="H2071" t="s">
        <v>749</v>
      </c>
      <c r="I2071" t="s">
        <v>32</v>
      </c>
      <c r="J2071" t="s">
        <v>78</v>
      </c>
      <c r="K2071" t="s">
        <v>60</v>
      </c>
      <c r="L2071">
        <v>1</v>
      </c>
      <c r="M2071" s="2">
        <v>31.2</v>
      </c>
      <c r="N2071" t="s">
        <v>41</v>
      </c>
      <c r="O2071" s="3">
        <v>5</v>
      </c>
      <c r="P2071" s="3">
        <v>0</v>
      </c>
      <c r="Q2071" s="2">
        <v>36.200000000000003</v>
      </c>
      <c r="R2071" t="s">
        <v>42</v>
      </c>
      <c r="S2071" t="s">
        <v>50</v>
      </c>
      <c r="T2071" t="s">
        <v>51</v>
      </c>
      <c r="U2071" t="s">
        <v>30</v>
      </c>
    </row>
    <row r="2072" spans="1:21" x14ac:dyDescent="0.35">
      <c r="A2072" t="s">
        <v>2151</v>
      </c>
      <c r="B2072" s="1">
        <v>46250</v>
      </c>
      <c r="C2072" t="str">
        <f>TEXT(tblData[[#This Row],[Rental Date]],"mmm")</f>
        <v>Aug</v>
      </c>
      <c r="D2072" t="str">
        <f>TEXT(tblData[[#This Row],[Rental Date]],"mmmm")</f>
        <v>August</v>
      </c>
      <c r="E2072" t="s">
        <v>68</v>
      </c>
      <c r="F2072" t="str">
        <f>TEXT(WEEKNUM(tblData[[#This Row],[Rental Date]]),"00")</f>
        <v>34</v>
      </c>
      <c r="G2072" s="1">
        <f>EOMONTH(tblData[[#This Row],[Rental Date]],0)</f>
        <v>46265</v>
      </c>
      <c r="H2072" t="s">
        <v>749</v>
      </c>
      <c r="I2072" t="s">
        <v>23</v>
      </c>
      <c r="J2072" t="s">
        <v>44</v>
      </c>
      <c r="K2072" t="s">
        <v>92</v>
      </c>
      <c r="L2072">
        <v>1</v>
      </c>
      <c r="M2072" s="2">
        <v>134.4</v>
      </c>
      <c r="N2072" t="s">
        <v>41</v>
      </c>
      <c r="O2072" s="3">
        <v>5</v>
      </c>
      <c r="P2072" s="3">
        <v>0</v>
      </c>
      <c r="Q2072" s="2">
        <v>139.4</v>
      </c>
      <c r="R2072" t="s">
        <v>62</v>
      </c>
      <c r="S2072" t="s">
        <v>54</v>
      </c>
      <c r="T2072" t="s">
        <v>29</v>
      </c>
      <c r="U2072" t="s">
        <v>30</v>
      </c>
    </row>
    <row r="2073" spans="1:21" x14ac:dyDescent="0.35">
      <c r="A2073" t="s">
        <v>2152</v>
      </c>
      <c r="B2073" s="1">
        <v>46250</v>
      </c>
      <c r="C2073" t="str">
        <f>TEXT(tblData[[#This Row],[Rental Date]],"mmm")</f>
        <v>Aug</v>
      </c>
      <c r="D2073" t="str">
        <f>TEXT(tblData[[#This Row],[Rental Date]],"mmmm")</f>
        <v>August</v>
      </c>
      <c r="E2073" t="s">
        <v>68</v>
      </c>
      <c r="F2073" t="str">
        <f>TEXT(WEEKNUM(tblData[[#This Row],[Rental Date]]),"00")</f>
        <v>34</v>
      </c>
      <c r="G2073" s="1">
        <f>EOMONTH(tblData[[#This Row],[Rental Date]],0)</f>
        <v>46265</v>
      </c>
      <c r="H2073" t="s">
        <v>749</v>
      </c>
      <c r="I2073" t="s">
        <v>39</v>
      </c>
      <c r="J2073" t="s">
        <v>44</v>
      </c>
      <c r="K2073" t="s">
        <v>92</v>
      </c>
      <c r="L2073">
        <v>1</v>
      </c>
      <c r="M2073" s="2">
        <v>134.4</v>
      </c>
      <c r="N2073" t="s">
        <v>41</v>
      </c>
      <c r="O2073" s="3">
        <v>5</v>
      </c>
      <c r="P2073" s="3">
        <v>0</v>
      </c>
      <c r="Q2073" s="2">
        <v>139.4</v>
      </c>
      <c r="R2073" t="s">
        <v>57</v>
      </c>
      <c r="S2073" t="s">
        <v>46</v>
      </c>
      <c r="T2073" t="s">
        <v>63</v>
      </c>
      <c r="U2073" t="s">
        <v>30</v>
      </c>
    </row>
    <row r="2074" spans="1:21" x14ac:dyDescent="0.35">
      <c r="A2074" t="s">
        <v>2153</v>
      </c>
      <c r="B2074" s="1">
        <v>46250</v>
      </c>
      <c r="C2074" t="str">
        <f>TEXT(tblData[[#This Row],[Rental Date]],"mmm")</f>
        <v>Aug</v>
      </c>
      <c r="D2074" t="str">
        <f>TEXT(tblData[[#This Row],[Rental Date]],"mmmm")</f>
        <v>August</v>
      </c>
      <c r="E2074" t="s">
        <v>68</v>
      </c>
      <c r="F2074" t="str">
        <f>TEXT(WEEKNUM(tblData[[#This Row],[Rental Date]]),"00")</f>
        <v>34</v>
      </c>
      <c r="G2074" s="1">
        <f>EOMONTH(tblData[[#This Row],[Rental Date]],0)</f>
        <v>46265</v>
      </c>
      <c r="H2074" t="s">
        <v>749</v>
      </c>
      <c r="I2074" t="s">
        <v>32</v>
      </c>
      <c r="J2074" t="s">
        <v>78</v>
      </c>
      <c r="K2074" t="s">
        <v>60</v>
      </c>
      <c r="L2074">
        <v>1</v>
      </c>
      <c r="M2074" s="2">
        <v>31.2</v>
      </c>
      <c r="N2074" t="s">
        <v>89</v>
      </c>
      <c r="O2074" s="3">
        <v>6</v>
      </c>
      <c r="P2074" s="3">
        <v>1.86</v>
      </c>
      <c r="Q2074" s="2">
        <v>35.340000000000003</v>
      </c>
      <c r="R2074" t="s">
        <v>45</v>
      </c>
      <c r="S2074" t="s">
        <v>35</v>
      </c>
      <c r="T2074" t="s">
        <v>51</v>
      </c>
      <c r="U2074" t="s">
        <v>30</v>
      </c>
    </row>
    <row r="2075" spans="1:21" x14ac:dyDescent="0.35">
      <c r="A2075" t="s">
        <v>2154</v>
      </c>
      <c r="B2075" s="1">
        <v>46250</v>
      </c>
      <c r="C2075" t="str">
        <f>TEXT(tblData[[#This Row],[Rental Date]],"mmm")</f>
        <v>Aug</v>
      </c>
      <c r="D2075" t="str">
        <f>TEXT(tblData[[#This Row],[Rental Date]],"mmmm")</f>
        <v>August</v>
      </c>
      <c r="E2075" t="s">
        <v>68</v>
      </c>
      <c r="F2075" t="str">
        <f>TEXT(WEEKNUM(tblData[[#This Row],[Rental Date]]),"00")</f>
        <v>34</v>
      </c>
      <c r="G2075" s="1">
        <f>EOMONTH(tblData[[#This Row],[Rental Date]],0)</f>
        <v>46265</v>
      </c>
      <c r="H2075" t="s">
        <v>749</v>
      </c>
      <c r="I2075" t="s">
        <v>39</v>
      </c>
      <c r="J2075" t="s">
        <v>33</v>
      </c>
      <c r="K2075" t="s">
        <v>40</v>
      </c>
      <c r="L2075">
        <v>1</v>
      </c>
      <c r="M2075" s="2">
        <v>69.599999999999994</v>
      </c>
      <c r="N2075" t="s">
        <v>26</v>
      </c>
      <c r="O2075" s="3">
        <v>0</v>
      </c>
      <c r="P2075" s="3">
        <v>0</v>
      </c>
      <c r="Q2075" s="2">
        <v>69.599999999999994</v>
      </c>
      <c r="R2075" t="s">
        <v>34</v>
      </c>
      <c r="S2075" t="s">
        <v>54</v>
      </c>
      <c r="T2075" t="s">
        <v>83</v>
      </c>
      <c r="U2075" t="s">
        <v>30</v>
      </c>
    </row>
    <row r="2076" spans="1:21" x14ac:dyDescent="0.35">
      <c r="A2076" t="s">
        <v>2155</v>
      </c>
      <c r="B2076" s="1">
        <v>46250</v>
      </c>
      <c r="C2076" t="str">
        <f>TEXT(tblData[[#This Row],[Rental Date]],"mmm")</f>
        <v>Aug</v>
      </c>
      <c r="D2076" t="str">
        <f>TEXT(tblData[[#This Row],[Rental Date]],"mmmm")</f>
        <v>August</v>
      </c>
      <c r="E2076" t="s">
        <v>68</v>
      </c>
      <c r="F2076" t="str">
        <f>TEXT(WEEKNUM(tblData[[#This Row],[Rental Date]]),"00")</f>
        <v>34</v>
      </c>
      <c r="G2076" s="1">
        <f>EOMONTH(tblData[[#This Row],[Rental Date]],0)</f>
        <v>46265</v>
      </c>
      <c r="H2076" t="s">
        <v>749</v>
      </c>
      <c r="I2076" t="s">
        <v>23</v>
      </c>
      <c r="J2076" t="s">
        <v>33</v>
      </c>
      <c r="K2076" t="s">
        <v>92</v>
      </c>
      <c r="L2076">
        <v>1</v>
      </c>
      <c r="M2076" s="2">
        <v>100.8</v>
      </c>
      <c r="N2076" t="s">
        <v>89</v>
      </c>
      <c r="O2076" s="3">
        <v>6</v>
      </c>
      <c r="P2076" s="3">
        <v>0</v>
      </c>
      <c r="Q2076" s="2">
        <v>106.8</v>
      </c>
      <c r="R2076" t="s">
        <v>34</v>
      </c>
      <c r="S2076" t="s">
        <v>28</v>
      </c>
      <c r="T2076" t="s">
        <v>90</v>
      </c>
      <c r="U2076" t="s">
        <v>30</v>
      </c>
    </row>
    <row r="2077" spans="1:21" x14ac:dyDescent="0.35">
      <c r="A2077" t="s">
        <v>2156</v>
      </c>
      <c r="B2077" s="1">
        <v>46250</v>
      </c>
      <c r="C2077" t="str">
        <f>TEXT(tblData[[#This Row],[Rental Date]],"mmm")</f>
        <v>Aug</v>
      </c>
      <c r="D2077" t="str">
        <f>TEXT(tblData[[#This Row],[Rental Date]],"mmmm")</f>
        <v>August</v>
      </c>
      <c r="E2077" t="s">
        <v>68</v>
      </c>
      <c r="F2077" t="str">
        <f>TEXT(WEEKNUM(tblData[[#This Row],[Rental Date]]),"00")</f>
        <v>34</v>
      </c>
      <c r="G2077" s="1">
        <f>EOMONTH(tblData[[#This Row],[Rental Date]],0)</f>
        <v>46265</v>
      </c>
      <c r="H2077" t="s">
        <v>749</v>
      </c>
      <c r="I2077" t="s">
        <v>48</v>
      </c>
      <c r="J2077" t="s">
        <v>44</v>
      </c>
      <c r="K2077" t="s">
        <v>40</v>
      </c>
      <c r="L2077">
        <v>1</v>
      </c>
      <c r="M2077" s="2">
        <v>93.6</v>
      </c>
      <c r="N2077" t="s">
        <v>26</v>
      </c>
      <c r="O2077" s="3">
        <v>0</v>
      </c>
      <c r="P2077" s="3">
        <v>0</v>
      </c>
      <c r="Q2077" s="2">
        <v>93.6</v>
      </c>
      <c r="R2077" t="s">
        <v>94</v>
      </c>
      <c r="S2077" t="s">
        <v>28</v>
      </c>
      <c r="T2077" t="s">
        <v>51</v>
      </c>
      <c r="U2077" t="s">
        <v>30</v>
      </c>
    </row>
    <row r="2078" spans="1:21" x14ac:dyDescent="0.35">
      <c r="A2078" t="s">
        <v>2157</v>
      </c>
      <c r="B2078" s="1">
        <v>46250</v>
      </c>
      <c r="C2078" t="str">
        <f>TEXT(tblData[[#This Row],[Rental Date]],"mmm")</f>
        <v>Aug</v>
      </c>
      <c r="D2078" t="str">
        <f>TEXT(tblData[[#This Row],[Rental Date]],"mmmm")</f>
        <v>August</v>
      </c>
      <c r="E2078" t="s">
        <v>68</v>
      </c>
      <c r="F2078" t="str">
        <f>TEXT(WEEKNUM(tblData[[#This Row],[Rental Date]]),"00")</f>
        <v>34</v>
      </c>
      <c r="G2078" s="1">
        <f>EOMONTH(tblData[[#This Row],[Rental Date]],0)</f>
        <v>46265</v>
      </c>
      <c r="H2078" t="s">
        <v>749</v>
      </c>
      <c r="I2078" t="s">
        <v>48</v>
      </c>
      <c r="J2078" t="s">
        <v>78</v>
      </c>
      <c r="K2078" t="s">
        <v>40</v>
      </c>
      <c r="L2078">
        <v>1</v>
      </c>
      <c r="M2078" s="2">
        <v>74.400000000000006</v>
      </c>
      <c r="N2078" t="s">
        <v>41</v>
      </c>
      <c r="O2078" s="3">
        <v>5</v>
      </c>
      <c r="P2078" s="3">
        <v>0</v>
      </c>
      <c r="Q2078" s="2">
        <v>79.400000000000006</v>
      </c>
      <c r="R2078" t="s">
        <v>76</v>
      </c>
      <c r="S2078" t="s">
        <v>35</v>
      </c>
      <c r="T2078" t="s">
        <v>29</v>
      </c>
      <c r="U2078" t="s">
        <v>30</v>
      </c>
    </row>
    <row r="2079" spans="1:21" x14ac:dyDescent="0.35">
      <c r="A2079" t="s">
        <v>2158</v>
      </c>
      <c r="B2079" s="1">
        <v>46250</v>
      </c>
      <c r="C2079" t="str">
        <f>TEXT(tblData[[#This Row],[Rental Date]],"mmm")</f>
        <v>Aug</v>
      </c>
      <c r="D2079" t="str">
        <f>TEXT(tblData[[#This Row],[Rental Date]],"mmmm")</f>
        <v>August</v>
      </c>
      <c r="E2079" t="s">
        <v>68</v>
      </c>
      <c r="F2079" t="str">
        <f>TEXT(WEEKNUM(tblData[[#This Row],[Rental Date]]),"00")</f>
        <v>34</v>
      </c>
      <c r="G2079" s="1">
        <f>EOMONTH(tblData[[#This Row],[Rental Date]],0)</f>
        <v>46265</v>
      </c>
      <c r="H2079" t="s">
        <v>749</v>
      </c>
      <c r="I2079" t="s">
        <v>48</v>
      </c>
      <c r="J2079" t="s">
        <v>111</v>
      </c>
      <c r="K2079" t="s">
        <v>92</v>
      </c>
      <c r="L2079">
        <v>1</v>
      </c>
      <c r="M2079" s="2">
        <v>57.6</v>
      </c>
      <c r="N2079" t="s">
        <v>26</v>
      </c>
      <c r="O2079" s="3">
        <v>0</v>
      </c>
      <c r="P2079" s="3">
        <v>0</v>
      </c>
      <c r="Q2079" s="2">
        <v>57.6</v>
      </c>
      <c r="R2079" t="s">
        <v>42</v>
      </c>
      <c r="S2079" t="s">
        <v>35</v>
      </c>
      <c r="T2079" t="s">
        <v>51</v>
      </c>
      <c r="U2079" t="s">
        <v>79</v>
      </c>
    </row>
    <row r="2080" spans="1:21" x14ac:dyDescent="0.35">
      <c r="A2080" t="s">
        <v>2159</v>
      </c>
      <c r="B2080" s="1">
        <v>46250</v>
      </c>
      <c r="C2080" t="str">
        <f>TEXT(tblData[[#This Row],[Rental Date]],"mmm")</f>
        <v>Aug</v>
      </c>
      <c r="D2080" t="str">
        <f>TEXT(tblData[[#This Row],[Rental Date]],"mmmm")</f>
        <v>August</v>
      </c>
      <c r="E2080" t="s">
        <v>68</v>
      </c>
      <c r="F2080" t="str">
        <f>TEXT(WEEKNUM(tblData[[#This Row],[Rental Date]]),"00")</f>
        <v>34</v>
      </c>
      <c r="G2080" s="1">
        <f>EOMONTH(tblData[[#This Row],[Rental Date]],0)</f>
        <v>46265</v>
      </c>
      <c r="H2080" t="s">
        <v>749</v>
      </c>
      <c r="I2080" t="s">
        <v>39</v>
      </c>
      <c r="J2080" t="s">
        <v>78</v>
      </c>
      <c r="K2080" t="s">
        <v>60</v>
      </c>
      <c r="L2080">
        <v>1</v>
      </c>
      <c r="M2080" s="2">
        <v>31.2</v>
      </c>
      <c r="N2080" t="s">
        <v>41</v>
      </c>
      <c r="O2080" s="3">
        <v>5</v>
      </c>
      <c r="P2080" s="3">
        <v>0</v>
      </c>
      <c r="Q2080" s="2">
        <v>36.200000000000003</v>
      </c>
      <c r="R2080" t="s">
        <v>27</v>
      </c>
      <c r="S2080" t="s">
        <v>46</v>
      </c>
      <c r="T2080" t="s">
        <v>90</v>
      </c>
      <c r="U2080" t="s">
        <v>58</v>
      </c>
    </row>
    <row r="2081" spans="1:21" x14ac:dyDescent="0.35">
      <c r="A2081" t="s">
        <v>2160</v>
      </c>
      <c r="B2081" s="1">
        <v>46250</v>
      </c>
      <c r="C2081" t="str">
        <f>TEXT(tblData[[#This Row],[Rental Date]],"mmm")</f>
        <v>Aug</v>
      </c>
      <c r="D2081" t="str">
        <f>TEXT(tblData[[#This Row],[Rental Date]],"mmmm")</f>
        <v>August</v>
      </c>
      <c r="E2081" t="s">
        <v>68</v>
      </c>
      <c r="F2081" t="str">
        <f>TEXT(WEEKNUM(tblData[[#This Row],[Rental Date]]),"00")</f>
        <v>34</v>
      </c>
      <c r="G2081" s="1">
        <f>EOMONTH(tblData[[#This Row],[Rental Date]],0)</f>
        <v>46265</v>
      </c>
      <c r="H2081" t="s">
        <v>749</v>
      </c>
      <c r="I2081" t="s">
        <v>48</v>
      </c>
      <c r="J2081" t="s">
        <v>33</v>
      </c>
      <c r="K2081" t="s">
        <v>40</v>
      </c>
      <c r="L2081">
        <v>1</v>
      </c>
      <c r="M2081" s="2">
        <v>69.599999999999994</v>
      </c>
      <c r="N2081" t="s">
        <v>61</v>
      </c>
      <c r="O2081" s="3">
        <v>8</v>
      </c>
      <c r="P2081" s="3">
        <v>0</v>
      </c>
      <c r="Q2081" s="2">
        <v>77.599999999999994</v>
      </c>
      <c r="R2081" t="s">
        <v>34</v>
      </c>
      <c r="S2081" t="s">
        <v>46</v>
      </c>
      <c r="T2081" t="s">
        <v>51</v>
      </c>
      <c r="U2081" t="s">
        <v>30</v>
      </c>
    </row>
    <row r="2082" spans="1:21" x14ac:dyDescent="0.35">
      <c r="A2082" t="s">
        <v>2161</v>
      </c>
      <c r="B2082" s="1">
        <v>46250</v>
      </c>
      <c r="C2082" t="str">
        <f>TEXT(tblData[[#This Row],[Rental Date]],"mmm")</f>
        <v>Aug</v>
      </c>
      <c r="D2082" t="str">
        <f>TEXT(tblData[[#This Row],[Rental Date]],"mmmm")</f>
        <v>August</v>
      </c>
      <c r="E2082" t="s">
        <v>68</v>
      </c>
      <c r="F2082" t="str">
        <f>TEXT(WEEKNUM(tblData[[#This Row],[Rental Date]]),"00")</f>
        <v>34</v>
      </c>
      <c r="G2082" s="1">
        <f>EOMONTH(tblData[[#This Row],[Rental Date]],0)</f>
        <v>46265</v>
      </c>
      <c r="H2082" t="s">
        <v>749</v>
      </c>
      <c r="I2082" t="s">
        <v>53</v>
      </c>
      <c r="J2082" t="s">
        <v>65</v>
      </c>
      <c r="K2082" t="s">
        <v>40</v>
      </c>
      <c r="L2082">
        <v>1</v>
      </c>
      <c r="M2082" s="2">
        <v>33.6</v>
      </c>
      <c r="N2082" t="s">
        <v>26</v>
      </c>
      <c r="O2082" s="3">
        <v>0</v>
      </c>
      <c r="P2082" s="3">
        <v>5.04</v>
      </c>
      <c r="Q2082" s="2">
        <v>28.56</v>
      </c>
      <c r="R2082" t="s">
        <v>57</v>
      </c>
      <c r="S2082" t="s">
        <v>28</v>
      </c>
      <c r="T2082" t="s">
        <v>51</v>
      </c>
      <c r="U2082" t="s">
        <v>30</v>
      </c>
    </row>
    <row r="2083" spans="1:21" x14ac:dyDescent="0.35">
      <c r="A2083" t="s">
        <v>2162</v>
      </c>
      <c r="B2083" s="1">
        <v>46250</v>
      </c>
      <c r="C2083" t="str">
        <f>TEXT(tblData[[#This Row],[Rental Date]],"mmm")</f>
        <v>Aug</v>
      </c>
      <c r="D2083" t="str">
        <f>TEXT(tblData[[#This Row],[Rental Date]],"mmmm")</f>
        <v>August</v>
      </c>
      <c r="E2083" t="s">
        <v>68</v>
      </c>
      <c r="F2083" t="str">
        <f>TEXT(WEEKNUM(tblData[[#This Row],[Rental Date]]),"00")</f>
        <v>34</v>
      </c>
      <c r="G2083" s="1">
        <f>EOMONTH(tblData[[#This Row],[Rental Date]],0)</f>
        <v>46265</v>
      </c>
      <c r="H2083" t="s">
        <v>749</v>
      </c>
      <c r="I2083" t="s">
        <v>53</v>
      </c>
      <c r="J2083" t="s">
        <v>24</v>
      </c>
      <c r="K2083" t="s">
        <v>25</v>
      </c>
      <c r="L2083">
        <v>1</v>
      </c>
      <c r="M2083" s="2">
        <v>60</v>
      </c>
      <c r="N2083" t="s">
        <v>26</v>
      </c>
      <c r="O2083" s="3">
        <v>0</v>
      </c>
      <c r="P2083" s="3">
        <v>9</v>
      </c>
      <c r="Q2083" s="2">
        <v>51</v>
      </c>
      <c r="R2083" t="s">
        <v>62</v>
      </c>
      <c r="S2083" t="s">
        <v>50</v>
      </c>
      <c r="T2083" t="s">
        <v>29</v>
      </c>
      <c r="U2083" t="s">
        <v>30</v>
      </c>
    </row>
    <row r="2084" spans="1:21" x14ac:dyDescent="0.35">
      <c r="A2084" t="s">
        <v>2163</v>
      </c>
      <c r="B2084" s="1">
        <v>46250</v>
      </c>
      <c r="C2084" t="str">
        <f>TEXT(tblData[[#This Row],[Rental Date]],"mmm")</f>
        <v>Aug</v>
      </c>
      <c r="D2084" t="str">
        <f>TEXT(tblData[[#This Row],[Rental Date]],"mmmm")</f>
        <v>August</v>
      </c>
      <c r="E2084" t="s">
        <v>68</v>
      </c>
      <c r="F2084" t="str">
        <f>TEXT(WEEKNUM(tblData[[#This Row],[Rental Date]]),"00")</f>
        <v>34</v>
      </c>
      <c r="G2084" s="1">
        <f>EOMONTH(tblData[[#This Row],[Rental Date]],0)</f>
        <v>46265</v>
      </c>
      <c r="H2084" t="s">
        <v>749</v>
      </c>
      <c r="I2084" t="s">
        <v>39</v>
      </c>
      <c r="J2084" t="s">
        <v>78</v>
      </c>
      <c r="K2084" t="s">
        <v>25</v>
      </c>
      <c r="L2084">
        <v>1</v>
      </c>
      <c r="M2084" s="2">
        <v>50.4</v>
      </c>
      <c r="N2084" t="s">
        <v>26</v>
      </c>
      <c r="O2084" s="3">
        <v>0</v>
      </c>
      <c r="P2084" s="3">
        <v>0</v>
      </c>
      <c r="Q2084" s="2">
        <v>50.4</v>
      </c>
      <c r="R2084" t="s">
        <v>94</v>
      </c>
      <c r="S2084" t="s">
        <v>28</v>
      </c>
      <c r="T2084" t="s">
        <v>90</v>
      </c>
      <c r="U2084" t="s">
        <v>30</v>
      </c>
    </row>
    <row r="2085" spans="1:21" x14ac:dyDescent="0.35">
      <c r="A2085" t="s">
        <v>2164</v>
      </c>
      <c r="B2085" s="1">
        <v>46250</v>
      </c>
      <c r="C2085" t="str">
        <f>TEXT(tblData[[#This Row],[Rental Date]],"mmm")</f>
        <v>Aug</v>
      </c>
      <c r="D2085" t="str">
        <f>TEXT(tblData[[#This Row],[Rental Date]],"mmmm")</f>
        <v>August</v>
      </c>
      <c r="E2085" t="s">
        <v>68</v>
      </c>
      <c r="F2085" t="str">
        <f>TEXT(WEEKNUM(tblData[[#This Row],[Rental Date]]),"00")</f>
        <v>34</v>
      </c>
      <c r="G2085" s="1">
        <f>EOMONTH(tblData[[#This Row],[Rental Date]],0)</f>
        <v>46265</v>
      </c>
      <c r="H2085" t="s">
        <v>749</v>
      </c>
      <c r="I2085" t="s">
        <v>48</v>
      </c>
      <c r="J2085" t="s">
        <v>44</v>
      </c>
      <c r="K2085" t="s">
        <v>25</v>
      </c>
      <c r="L2085">
        <v>1</v>
      </c>
      <c r="M2085" s="2">
        <v>62.4</v>
      </c>
      <c r="N2085" t="s">
        <v>87</v>
      </c>
      <c r="O2085" s="3">
        <v>10</v>
      </c>
      <c r="P2085" s="3">
        <v>0</v>
      </c>
      <c r="Q2085" s="2">
        <v>72.400000000000006</v>
      </c>
      <c r="R2085" t="s">
        <v>57</v>
      </c>
      <c r="S2085" t="s">
        <v>50</v>
      </c>
      <c r="T2085" t="s">
        <v>90</v>
      </c>
      <c r="U2085" t="s">
        <v>30</v>
      </c>
    </row>
    <row r="2086" spans="1:21" x14ac:dyDescent="0.35">
      <c r="A2086" t="s">
        <v>2165</v>
      </c>
      <c r="B2086" s="1">
        <v>46250</v>
      </c>
      <c r="C2086" t="str">
        <f>TEXT(tblData[[#This Row],[Rental Date]],"mmm")</f>
        <v>Aug</v>
      </c>
      <c r="D2086" t="str">
        <f>TEXT(tblData[[#This Row],[Rental Date]],"mmmm")</f>
        <v>August</v>
      </c>
      <c r="E2086" t="s">
        <v>68</v>
      </c>
      <c r="F2086" t="str">
        <f>TEXT(WEEKNUM(tblData[[#This Row],[Rental Date]]),"00")</f>
        <v>34</v>
      </c>
      <c r="G2086" s="1">
        <f>EOMONTH(tblData[[#This Row],[Rental Date]],0)</f>
        <v>46265</v>
      </c>
      <c r="H2086" t="s">
        <v>749</v>
      </c>
      <c r="I2086" t="s">
        <v>48</v>
      </c>
      <c r="J2086" t="s">
        <v>49</v>
      </c>
      <c r="K2086" t="s">
        <v>60</v>
      </c>
      <c r="L2086">
        <v>1</v>
      </c>
      <c r="M2086" s="2">
        <v>26.4</v>
      </c>
      <c r="N2086" t="s">
        <v>89</v>
      </c>
      <c r="O2086" s="3">
        <v>6</v>
      </c>
      <c r="P2086" s="3">
        <v>0</v>
      </c>
      <c r="Q2086" s="2">
        <v>32.4</v>
      </c>
      <c r="R2086" t="s">
        <v>27</v>
      </c>
      <c r="S2086" t="s">
        <v>50</v>
      </c>
      <c r="T2086" t="s">
        <v>29</v>
      </c>
      <c r="U2086" t="s">
        <v>30</v>
      </c>
    </row>
    <row r="2087" spans="1:21" x14ac:dyDescent="0.35">
      <c r="A2087" t="s">
        <v>2166</v>
      </c>
      <c r="B2087" s="1">
        <v>46250</v>
      </c>
      <c r="C2087" t="str">
        <f>TEXT(tblData[[#This Row],[Rental Date]],"mmm")</f>
        <v>Aug</v>
      </c>
      <c r="D2087" t="str">
        <f>TEXT(tblData[[#This Row],[Rental Date]],"mmmm")</f>
        <v>August</v>
      </c>
      <c r="E2087" t="s">
        <v>68</v>
      </c>
      <c r="F2087" t="str">
        <f>TEXT(WEEKNUM(tblData[[#This Row],[Rental Date]]),"00")</f>
        <v>34</v>
      </c>
      <c r="G2087" s="1">
        <f>EOMONTH(tblData[[#This Row],[Rental Date]],0)</f>
        <v>46265</v>
      </c>
      <c r="H2087" t="s">
        <v>749</v>
      </c>
      <c r="I2087" t="s">
        <v>48</v>
      </c>
      <c r="J2087" t="s">
        <v>33</v>
      </c>
      <c r="K2087" t="s">
        <v>40</v>
      </c>
      <c r="L2087">
        <v>1</v>
      </c>
      <c r="M2087" s="2">
        <v>69.599999999999994</v>
      </c>
      <c r="N2087" t="s">
        <v>26</v>
      </c>
      <c r="O2087" s="3">
        <v>0</v>
      </c>
      <c r="P2087" s="3">
        <v>0</v>
      </c>
      <c r="Q2087" s="2">
        <v>69.599999999999994</v>
      </c>
      <c r="R2087" t="s">
        <v>62</v>
      </c>
      <c r="S2087" t="s">
        <v>28</v>
      </c>
      <c r="T2087" t="s">
        <v>29</v>
      </c>
      <c r="U2087" t="s">
        <v>30</v>
      </c>
    </row>
    <row r="2088" spans="1:21" x14ac:dyDescent="0.35">
      <c r="A2088" t="s">
        <v>2167</v>
      </c>
      <c r="B2088" s="1">
        <v>46250</v>
      </c>
      <c r="C2088" t="str">
        <f>TEXT(tblData[[#This Row],[Rental Date]],"mmm")</f>
        <v>Aug</v>
      </c>
      <c r="D2088" t="str">
        <f>TEXT(tblData[[#This Row],[Rental Date]],"mmmm")</f>
        <v>August</v>
      </c>
      <c r="E2088" t="s">
        <v>68</v>
      </c>
      <c r="F2088" t="str">
        <f>TEXT(WEEKNUM(tblData[[#This Row],[Rental Date]]),"00")</f>
        <v>34</v>
      </c>
      <c r="G2088" s="1">
        <f>EOMONTH(tblData[[#This Row],[Rental Date]],0)</f>
        <v>46265</v>
      </c>
      <c r="H2088" t="s">
        <v>749</v>
      </c>
      <c r="I2088" t="s">
        <v>39</v>
      </c>
      <c r="J2088" t="s">
        <v>65</v>
      </c>
      <c r="K2088" t="s">
        <v>25</v>
      </c>
      <c r="L2088">
        <v>1</v>
      </c>
      <c r="M2088" s="2">
        <v>21.6</v>
      </c>
      <c r="N2088" t="s">
        <v>26</v>
      </c>
      <c r="O2088" s="3">
        <v>0</v>
      </c>
      <c r="P2088" s="3">
        <v>0</v>
      </c>
      <c r="Q2088" s="2">
        <v>21.6</v>
      </c>
      <c r="R2088" t="s">
        <v>45</v>
      </c>
      <c r="S2088" t="s">
        <v>35</v>
      </c>
      <c r="T2088" t="s">
        <v>51</v>
      </c>
      <c r="U2088" t="s">
        <v>58</v>
      </c>
    </row>
    <row r="2089" spans="1:21" x14ac:dyDescent="0.35">
      <c r="A2089" t="s">
        <v>2168</v>
      </c>
      <c r="B2089" s="1">
        <v>46250</v>
      </c>
      <c r="C2089" t="str">
        <f>TEXT(tblData[[#This Row],[Rental Date]],"mmm")</f>
        <v>Aug</v>
      </c>
      <c r="D2089" t="str">
        <f>TEXT(tblData[[#This Row],[Rental Date]],"mmmm")</f>
        <v>August</v>
      </c>
      <c r="E2089" t="s">
        <v>68</v>
      </c>
      <c r="F2089" t="str">
        <f>TEXT(WEEKNUM(tblData[[#This Row],[Rental Date]]),"00")</f>
        <v>34</v>
      </c>
      <c r="G2089" s="1">
        <f>EOMONTH(tblData[[#This Row],[Rental Date]],0)</f>
        <v>46265</v>
      </c>
      <c r="H2089" t="s">
        <v>749</v>
      </c>
      <c r="I2089" t="s">
        <v>39</v>
      </c>
      <c r="J2089" t="s">
        <v>127</v>
      </c>
      <c r="K2089" t="s">
        <v>60</v>
      </c>
      <c r="L2089">
        <v>1</v>
      </c>
      <c r="M2089" s="2">
        <v>12</v>
      </c>
      <c r="N2089" t="s">
        <v>89</v>
      </c>
      <c r="O2089" s="3">
        <v>6</v>
      </c>
      <c r="P2089" s="3">
        <v>0.9</v>
      </c>
      <c r="Q2089" s="2">
        <v>17.100000000000001</v>
      </c>
      <c r="R2089" t="s">
        <v>27</v>
      </c>
      <c r="S2089" t="s">
        <v>54</v>
      </c>
      <c r="T2089" t="s">
        <v>29</v>
      </c>
      <c r="U2089" t="s">
        <v>58</v>
      </c>
    </row>
    <row r="2090" spans="1:21" x14ac:dyDescent="0.35">
      <c r="A2090" t="s">
        <v>2169</v>
      </c>
      <c r="B2090" s="1">
        <v>46250</v>
      </c>
      <c r="C2090" t="str">
        <f>TEXT(tblData[[#This Row],[Rental Date]],"mmm")</f>
        <v>Aug</v>
      </c>
      <c r="D2090" t="str">
        <f>TEXT(tblData[[#This Row],[Rental Date]],"mmmm")</f>
        <v>August</v>
      </c>
      <c r="E2090" t="s">
        <v>68</v>
      </c>
      <c r="F2090" t="str">
        <f>TEXT(WEEKNUM(tblData[[#This Row],[Rental Date]]),"00")</f>
        <v>34</v>
      </c>
      <c r="G2090" s="1">
        <f>EOMONTH(tblData[[#This Row],[Rental Date]],0)</f>
        <v>46265</v>
      </c>
      <c r="H2090" t="s">
        <v>749</v>
      </c>
      <c r="I2090" t="s">
        <v>39</v>
      </c>
      <c r="J2090" t="s">
        <v>78</v>
      </c>
      <c r="K2090" t="s">
        <v>60</v>
      </c>
      <c r="L2090">
        <v>1</v>
      </c>
      <c r="M2090" s="2">
        <v>31.2</v>
      </c>
      <c r="N2090" t="s">
        <v>61</v>
      </c>
      <c r="O2090" s="3">
        <v>8</v>
      </c>
      <c r="P2090" s="3">
        <v>0</v>
      </c>
      <c r="Q2090" s="2">
        <v>39.200000000000003</v>
      </c>
      <c r="R2090" t="s">
        <v>34</v>
      </c>
      <c r="S2090" t="s">
        <v>46</v>
      </c>
      <c r="T2090" t="s">
        <v>29</v>
      </c>
      <c r="U2090" t="s">
        <v>30</v>
      </c>
    </row>
    <row r="2091" spans="1:21" x14ac:dyDescent="0.35">
      <c r="A2091" t="s">
        <v>2170</v>
      </c>
      <c r="B2091" s="1">
        <v>46250</v>
      </c>
      <c r="C2091" t="str">
        <f>TEXT(tblData[[#This Row],[Rental Date]],"mmm")</f>
        <v>Aug</v>
      </c>
      <c r="D2091" t="str">
        <f>TEXT(tblData[[#This Row],[Rental Date]],"mmmm")</f>
        <v>August</v>
      </c>
      <c r="E2091" t="s">
        <v>68</v>
      </c>
      <c r="F2091" t="str">
        <f>TEXT(WEEKNUM(tblData[[#This Row],[Rental Date]]),"00")</f>
        <v>34</v>
      </c>
      <c r="G2091" s="1">
        <f>EOMONTH(tblData[[#This Row],[Rental Date]],0)</f>
        <v>46265</v>
      </c>
      <c r="H2091" t="s">
        <v>749</v>
      </c>
      <c r="I2091" t="s">
        <v>23</v>
      </c>
      <c r="J2091" t="s">
        <v>49</v>
      </c>
      <c r="K2091" t="s">
        <v>25</v>
      </c>
      <c r="L2091">
        <v>1</v>
      </c>
      <c r="M2091" s="2">
        <v>43.2</v>
      </c>
      <c r="N2091" t="s">
        <v>75</v>
      </c>
      <c r="O2091" s="3">
        <v>12</v>
      </c>
      <c r="P2091" s="3">
        <v>0</v>
      </c>
      <c r="Q2091" s="2">
        <v>55.2</v>
      </c>
      <c r="R2091" t="s">
        <v>62</v>
      </c>
      <c r="S2091" t="s">
        <v>50</v>
      </c>
      <c r="T2091" t="s">
        <v>29</v>
      </c>
      <c r="U2091" t="s">
        <v>30</v>
      </c>
    </row>
    <row r="2092" spans="1:21" x14ac:dyDescent="0.35">
      <c r="A2092" t="s">
        <v>2171</v>
      </c>
      <c r="B2092" s="1">
        <v>46250</v>
      </c>
      <c r="C2092" t="str">
        <f>TEXT(tblData[[#This Row],[Rental Date]],"mmm")</f>
        <v>Aug</v>
      </c>
      <c r="D2092" t="str">
        <f>TEXT(tblData[[#This Row],[Rental Date]],"mmmm")</f>
        <v>August</v>
      </c>
      <c r="E2092" t="s">
        <v>68</v>
      </c>
      <c r="F2092" t="str">
        <f>TEXT(WEEKNUM(tblData[[#This Row],[Rental Date]]),"00")</f>
        <v>34</v>
      </c>
      <c r="G2092" s="1">
        <f>EOMONTH(tblData[[#This Row],[Rental Date]],0)</f>
        <v>46265</v>
      </c>
      <c r="H2092" t="s">
        <v>749</v>
      </c>
      <c r="I2092" t="s">
        <v>39</v>
      </c>
      <c r="J2092" t="s">
        <v>111</v>
      </c>
      <c r="K2092" t="s">
        <v>25</v>
      </c>
      <c r="L2092">
        <v>1</v>
      </c>
      <c r="M2092" s="2">
        <v>26.4</v>
      </c>
      <c r="N2092" t="s">
        <v>26</v>
      </c>
      <c r="O2092" s="3">
        <v>0</v>
      </c>
      <c r="P2092" s="3">
        <v>0</v>
      </c>
      <c r="Q2092" s="2">
        <v>26.4</v>
      </c>
      <c r="R2092" t="s">
        <v>27</v>
      </c>
      <c r="S2092" t="s">
        <v>28</v>
      </c>
      <c r="T2092" t="s">
        <v>63</v>
      </c>
      <c r="U2092" t="s">
        <v>30</v>
      </c>
    </row>
    <row r="2093" spans="1:21" x14ac:dyDescent="0.35">
      <c r="A2093" t="s">
        <v>2172</v>
      </c>
      <c r="B2093" s="1">
        <v>46251</v>
      </c>
      <c r="C2093" t="str">
        <f>TEXT(tblData[[#This Row],[Rental Date]],"mmm")</f>
        <v>Aug</v>
      </c>
      <c r="D2093" t="str">
        <f>TEXT(tblData[[#This Row],[Rental Date]],"mmmm")</f>
        <v>August</v>
      </c>
      <c r="E2093" t="s">
        <v>74</v>
      </c>
      <c r="F2093" t="str">
        <f>TEXT(WEEKNUM(tblData[[#This Row],[Rental Date]]),"00")</f>
        <v>34</v>
      </c>
      <c r="G2093" s="1">
        <f>EOMONTH(tblData[[#This Row],[Rental Date]],0)</f>
        <v>46265</v>
      </c>
      <c r="H2093" t="s">
        <v>749</v>
      </c>
      <c r="I2093" t="s">
        <v>39</v>
      </c>
      <c r="J2093" t="s">
        <v>78</v>
      </c>
      <c r="K2093" t="s">
        <v>40</v>
      </c>
      <c r="L2093">
        <v>1</v>
      </c>
      <c r="M2093" s="2">
        <v>69.44</v>
      </c>
      <c r="N2093" t="s">
        <v>41</v>
      </c>
      <c r="O2093" s="3">
        <v>5</v>
      </c>
      <c r="P2093" s="3">
        <v>0</v>
      </c>
      <c r="Q2093" s="2">
        <v>74.44</v>
      </c>
      <c r="R2093" t="s">
        <v>42</v>
      </c>
      <c r="S2093" t="s">
        <v>54</v>
      </c>
      <c r="T2093" t="s">
        <v>29</v>
      </c>
      <c r="U2093" t="s">
        <v>30</v>
      </c>
    </row>
    <row r="2094" spans="1:21" x14ac:dyDescent="0.35">
      <c r="A2094" t="s">
        <v>2173</v>
      </c>
      <c r="B2094" s="1">
        <v>46251</v>
      </c>
      <c r="C2094" t="str">
        <f>TEXT(tblData[[#This Row],[Rental Date]],"mmm")</f>
        <v>Aug</v>
      </c>
      <c r="D2094" t="str">
        <f>TEXT(tblData[[#This Row],[Rental Date]],"mmmm")</f>
        <v>August</v>
      </c>
      <c r="E2094" t="s">
        <v>74</v>
      </c>
      <c r="F2094" t="str">
        <f>TEXT(WEEKNUM(tblData[[#This Row],[Rental Date]]),"00")</f>
        <v>34</v>
      </c>
      <c r="G2094" s="1">
        <f>EOMONTH(tblData[[#This Row],[Rental Date]],0)</f>
        <v>46265</v>
      </c>
      <c r="H2094" t="s">
        <v>749</v>
      </c>
      <c r="I2094" t="s">
        <v>23</v>
      </c>
      <c r="J2094" t="s">
        <v>78</v>
      </c>
      <c r="K2094" t="s">
        <v>60</v>
      </c>
      <c r="L2094">
        <v>1</v>
      </c>
      <c r="M2094" s="2">
        <v>29.12</v>
      </c>
      <c r="N2094" t="s">
        <v>26</v>
      </c>
      <c r="O2094" s="3">
        <v>0</v>
      </c>
      <c r="P2094" s="3">
        <v>0</v>
      </c>
      <c r="Q2094" s="2">
        <v>29.12</v>
      </c>
      <c r="R2094" t="s">
        <v>57</v>
      </c>
      <c r="S2094" t="s">
        <v>50</v>
      </c>
      <c r="T2094" t="s">
        <v>29</v>
      </c>
      <c r="U2094" t="s">
        <v>30</v>
      </c>
    </row>
    <row r="2095" spans="1:21" x14ac:dyDescent="0.35">
      <c r="A2095" t="s">
        <v>2174</v>
      </c>
      <c r="B2095" s="1">
        <v>46251</v>
      </c>
      <c r="C2095" t="str">
        <f>TEXT(tblData[[#This Row],[Rental Date]],"mmm")</f>
        <v>Aug</v>
      </c>
      <c r="D2095" t="str">
        <f>TEXT(tblData[[#This Row],[Rental Date]],"mmmm")</f>
        <v>August</v>
      </c>
      <c r="E2095" t="s">
        <v>74</v>
      </c>
      <c r="F2095" t="str">
        <f>TEXT(WEEKNUM(tblData[[#This Row],[Rental Date]]),"00")</f>
        <v>34</v>
      </c>
      <c r="G2095" s="1">
        <f>EOMONTH(tblData[[#This Row],[Rental Date]],0)</f>
        <v>46265</v>
      </c>
      <c r="H2095" t="s">
        <v>749</v>
      </c>
      <c r="I2095" t="s">
        <v>48</v>
      </c>
      <c r="J2095" t="s">
        <v>44</v>
      </c>
      <c r="K2095" t="s">
        <v>40</v>
      </c>
      <c r="L2095">
        <v>1</v>
      </c>
      <c r="M2095" s="2">
        <v>87.36</v>
      </c>
      <c r="N2095" t="s">
        <v>26</v>
      </c>
      <c r="O2095" s="3">
        <v>0</v>
      </c>
      <c r="P2095" s="3">
        <v>0</v>
      </c>
      <c r="Q2095" s="2">
        <v>87.36</v>
      </c>
      <c r="R2095" t="s">
        <v>62</v>
      </c>
      <c r="S2095" t="s">
        <v>46</v>
      </c>
      <c r="T2095" t="s">
        <v>29</v>
      </c>
      <c r="U2095" t="s">
        <v>36</v>
      </c>
    </row>
    <row r="2096" spans="1:21" x14ac:dyDescent="0.35">
      <c r="A2096" t="s">
        <v>2175</v>
      </c>
      <c r="B2096" s="1">
        <v>46251</v>
      </c>
      <c r="C2096" t="str">
        <f>TEXT(tblData[[#This Row],[Rental Date]],"mmm")</f>
        <v>Aug</v>
      </c>
      <c r="D2096" t="str">
        <f>TEXT(tblData[[#This Row],[Rental Date]],"mmmm")</f>
        <v>August</v>
      </c>
      <c r="E2096" t="s">
        <v>74</v>
      </c>
      <c r="F2096" t="str">
        <f>TEXT(WEEKNUM(tblData[[#This Row],[Rental Date]]),"00")</f>
        <v>34</v>
      </c>
      <c r="G2096" s="1">
        <f>EOMONTH(tblData[[#This Row],[Rental Date]],0)</f>
        <v>46265</v>
      </c>
      <c r="H2096" t="s">
        <v>749</v>
      </c>
      <c r="I2096" t="s">
        <v>48</v>
      </c>
      <c r="J2096" t="s">
        <v>78</v>
      </c>
      <c r="K2096" t="s">
        <v>25</v>
      </c>
      <c r="L2096">
        <v>1</v>
      </c>
      <c r="M2096" s="2">
        <v>47.04</v>
      </c>
      <c r="N2096" t="s">
        <v>70</v>
      </c>
      <c r="O2096" s="3">
        <v>7</v>
      </c>
      <c r="P2096" s="3">
        <v>0</v>
      </c>
      <c r="Q2096" s="2">
        <v>54.04</v>
      </c>
      <c r="R2096" t="s">
        <v>62</v>
      </c>
      <c r="S2096" t="s">
        <v>46</v>
      </c>
      <c r="T2096" t="s">
        <v>51</v>
      </c>
      <c r="U2096" t="s">
        <v>30</v>
      </c>
    </row>
    <row r="2097" spans="1:21" x14ac:dyDescent="0.35">
      <c r="A2097" t="s">
        <v>2176</v>
      </c>
      <c r="B2097" s="1">
        <v>46251</v>
      </c>
      <c r="C2097" t="str">
        <f>TEXT(tblData[[#This Row],[Rental Date]],"mmm")</f>
        <v>Aug</v>
      </c>
      <c r="D2097" t="str">
        <f>TEXT(tblData[[#This Row],[Rental Date]],"mmmm")</f>
        <v>August</v>
      </c>
      <c r="E2097" t="s">
        <v>74</v>
      </c>
      <c r="F2097" t="str">
        <f>TEXT(WEEKNUM(tblData[[#This Row],[Rental Date]]),"00")</f>
        <v>34</v>
      </c>
      <c r="G2097" s="1">
        <f>EOMONTH(tblData[[#This Row],[Rental Date]],0)</f>
        <v>46265</v>
      </c>
      <c r="H2097" t="s">
        <v>749</v>
      </c>
      <c r="I2097" t="s">
        <v>48</v>
      </c>
      <c r="J2097" t="s">
        <v>33</v>
      </c>
      <c r="K2097" t="s">
        <v>25</v>
      </c>
      <c r="L2097">
        <v>1</v>
      </c>
      <c r="M2097" s="2">
        <v>42.56</v>
      </c>
      <c r="N2097" t="s">
        <v>26</v>
      </c>
      <c r="O2097" s="3">
        <v>0</v>
      </c>
      <c r="P2097" s="3">
        <v>0</v>
      </c>
      <c r="Q2097" s="2">
        <v>42.56</v>
      </c>
      <c r="R2097" t="s">
        <v>42</v>
      </c>
      <c r="S2097" t="s">
        <v>35</v>
      </c>
      <c r="T2097" t="s">
        <v>29</v>
      </c>
      <c r="U2097" t="s">
        <v>30</v>
      </c>
    </row>
    <row r="2098" spans="1:21" x14ac:dyDescent="0.35">
      <c r="A2098" t="s">
        <v>2177</v>
      </c>
      <c r="B2098" s="1">
        <v>46251</v>
      </c>
      <c r="C2098" t="str">
        <f>TEXT(tblData[[#This Row],[Rental Date]],"mmm")</f>
        <v>Aug</v>
      </c>
      <c r="D2098" t="str">
        <f>TEXT(tblData[[#This Row],[Rental Date]],"mmmm")</f>
        <v>August</v>
      </c>
      <c r="E2098" t="s">
        <v>74</v>
      </c>
      <c r="F2098" t="str">
        <f>TEXT(WEEKNUM(tblData[[#This Row],[Rental Date]]),"00")</f>
        <v>34</v>
      </c>
      <c r="G2098" s="1">
        <f>EOMONTH(tblData[[#This Row],[Rental Date]],0)</f>
        <v>46265</v>
      </c>
      <c r="H2098" t="s">
        <v>749</v>
      </c>
      <c r="I2098" t="s">
        <v>39</v>
      </c>
      <c r="J2098" t="s">
        <v>44</v>
      </c>
      <c r="K2098" t="s">
        <v>60</v>
      </c>
      <c r="L2098">
        <v>1</v>
      </c>
      <c r="M2098" s="2">
        <v>38.08</v>
      </c>
      <c r="N2098" t="s">
        <v>26</v>
      </c>
      <c r="O2098" s="3">
        <v>0</v>
      </c>
      <c r="P2098" s="3">
        <v>0</v>
      </c>
      <c r="Q2098" s="2">
        <v>38.08</v>
      </c>
      <c r="R2098" t="s">
        <v>62</v>
      </c>
      <c r="S2098" t="s">
        <v>54</v>
      </c>
      <c r="T2098" t="s">
        <v>90</v>
      </c>
      <c r="U2098" t="s">
        <v>30</v>
      </c>
    </row>
    <row r="2099" spans="1:21" x14ac:dyDescent="0.35">
      <c r="A2099" t="s">
        <v>2178</v>
      </c>
      <c r="B2099" s="1">
        <v>46251</v>
      </c>
      <c r="C2099" t="str">
        <f>TEXT(tblData[[#This Row],[Rental Date]],"mmm")</f>
        <v>Aug</v>
      </c>
      <c r="D2099" t="str">
        <f>TEXT(tblData[[#This Row],[Rental Date]],"mmmm")</f>
        <v>August</v>
      </c>
      <c r="E2099" t="s">
        <v>74</v>
      </c>
      <c r="F2099" t="str">
        <f>TEXT(WEEKNUM(tblData[[#This Row],[Rental Date]]),"00")</f>
        <v>34</v>
      </c>
      <c r="G2099" s="1">
        <f>EOMONTH(tblData[[#This Row],[Rental Date]],0)</f>
        <v>46265</v>
      </c>
      <c r="H2099" t="s">
        <v>749</v>
      </c>
      <c r="I2099" t="s">
        <v>23</v>
      </c>
      <c r="J2099" t="s">
        <v>78</v>
      </c>
      <c r="K2099" t="s">
        <v>60</v>
      </c>
      <c r="L2099">
        <v>1</v>
      </c>
      <c r="M2099" s="2">
        <v>29.12</v>
      </c>
      <c r="N2099" t="s">
        <v>41</v>
      </c>
      <c r="O2099" s="3">
        <v>5</v>
      </c>
      <c r="P2099" s="3">
        <v>0</v>
      </c>
      <c r="Q2099" s="2">
        <v>34.119999999999997</v>
      </c>
      <c r="R2099" t="s">
        <v>42</v>
      </c>
      <c r="S2099" t="s">
        <v>35</v>
      </c>
      <c r="T2099" t="s">
        <v>29</v>
      </c>
      <c r="U2099" t="s">
        <v>30</v>
      </c>
    </row>
    <row r="2100" spans="1:21" x14ac:dyDescent="0.35">
      <c r="A2100" t="s">
        <v>2179</v>
      </c>
      <c r="B2100" s="1">
        <v>46251</v>
      </c>
      <c r="C2100" t="str">
        <f>TEXT(tblData[[#This Row],[Rental Date]],"mmm")</f>
        <v>Aug</v>
      </c>
      <c r="D2100" t="str">
        <f>TEXT(tblData[[#This Row],[Rental Date]],"mmmm")</f>
        <v>August</v>
      </c>
      <c r="E2100" t="s">
        <v>74</v>
      </c>
      <c r="F2100" t="str">
        <f>TEXT(WEEKNUM(tblData[[#This Row],[Rental Date]]),"00")</f>
        <v>34</v>
      </c>
      <c r="G2100" s="1">
        <f>EOMONTH(tblData[[#This Row],[Rental Date]],0)</f>
        <v>46265</v>
      </c>
      <c r="H2100" t="s">
        <v>749</v>
      </c>
      <c r="I2100" t="s">
        <v>23</v>
      </c>
      <c r="J2100" t="s">
        <v>49</v>
      </c>
      <c r="K2100" t="s">
        <v>40</v>
      </c>
      <c r="L2100">
        <v>1</v>
      </c>
      <c r="M2100" s="2">
        <v>60.48</v>
      </c>
      <c r="N2100" t="s">
        <v>75</v>
      </c>
      <c r="O2100" s="3">
        <v>12</v>
      </c>
      <c r="P2100" s="3">
        <v>0</v>
      </c>
      <c r="Q2100" s="2">
        <v>72.48</v>
      </c>
      <c r="R2100" t="s">
        <v>42</v>
      </c>
      <c r="S2100" t="s">
        <v>54</v>
      </c>
      <c r="T2100" t="s">
        <v>90</v>
      </c>
      <c r="U2100" t="s">
        <v>79</v>
      </c>
    </row>
    <row r="2101" spans="1:21" x14ac:dyDescent="0.35">
      <c r="A2101" t="s">
        <v>2180</v>
      </c>
      <c r="B2101" s="1">
        <v>46251</v>
      </c>
      <c r="C2101" t="str">
        <f>TEXT(tblData[[#This Row],[Rental Date]],"mmm")</f>
        <v>Aug</v>
      </c>
      <c r="D2101" t="str">
        <f>TEXT(tblData[[#This Row],[Rental Date]],"mmmm")</f>
        <v>August</v>
      </c>
      <c r="E2101" t="s">
        <v>74</v>
      </c>
      <c r="F2101" t="str">
        <f>TEXT(WEEKNUM(tblData[[#This Row],[Rental Date]]),"00")</f>
        <v>34</v>
      </c>
      <c r="G2101" s="1">
        <f>EOMONTH(tblData[[#This Row],[Rental Date]],0)</f>
        <v>46265</v>
      </c>
      <c r="H2101" t="s">
        <v>749</v>
      </c>
      <c r="I2101" t="s">
        <v>48</v>
      </c>
      <c r="J2101" t="s">
        <v>86</v>
      </c>
      <c r="K2101" t="s">
        <v>25</v>
      </c>
      <c r="L2101">
        <v>1</v>
      </c>
      <c r="M2101" s="2">
        <v>64.959999999999994</v>
      </c>
      <c r="N2101" t="s">
        <v>26</v>
      </c>
      <c r="O2101" s="3">
        <v>0</v>
      </c>
      <c r="P2101" s="3">
        <v>0</v>
      </c>
      <c r="Q2101" s="2">
        <v>64.959999999999994</v>
      </c>
      <c r="R2101" t="s">
        <v>34</v>
      </c>
      <c r="S2101" t="s">
        <v>46</v>
      </c>
      <c r="T2101" t="s">
        <v>90</v>
      </c>
      <c r="U2101" t="s">
        <v>30</v>
      </c>
    </row>
    <row r="2102" spans="1:21" x14ac:dyDescent="0.35">
      <c r="A2102" t="s">
        <v>2181</v>
      </c>
      <c r="B2102" s="1">
        <v>46251</v>
      </c>
      <c r="C2102" t="str">
        <f>TEXT(tblData[[#This Row],[Rental Date]],"mmm")</f>
        <v>Aug</v>
      </c>
      <c r="D2102" t="str">
        <f>TEXT(tblData[[#This Row],[Rental Date]],"mmmm")</f>
        <v>August</v>
      </c>
      <c r="E2102" t="s">
        <v>74</v>
      </c>
      <c r="F2102" t="str">
        <f>TEXT(WEEKNUM(tblData[[#This Row],[Rental Date]]),"00")</f>
        <v>34</v>
      </c>
      <c r="G2102" s="1">
        <f>EOMONTH(tblData[[#This Row],[Rental Date]],0)</f>
        <v>46265</v>
      </c>
      <c r="H2102" t="s">
        <v>749</v>
      </c>
      <c r="I2102" t="s">
        <v>39</v>
      </c>
      <c r="J2102" t="s">
        <v>78</v>
      </c>
      <c r="K2102" t="s">
        <v>25</v>
      </c>
      <c r="L2102">
        <v>1</v>
      </c>
      <c r="M2102" s="2">
        <v>47.04</v>
      </c>
      <c r="N2102" t="s">
        <v>26</v>
      </c>
      <c r="O2102" s="3">
        <v>0</v>
      </c>
      <c r="P2102" s="3">
        <v>0</v>
      </c>
      <c r="Q2102" s="2">
        <v>47.04</v>
      </c>
      <c r="R2102" t="s">
        <v>94</v>
      </c>
      <c r="S2102" t="s">
        <v>54</v>
      </c>
      <c r="T2102" t="s">
        <v>29</v>
      </c>
      <c r="U2102" t="s">
        <v>30</v>
      </c>
    </row>
    <row r="2103" spans="1:21" x14ac:dyDescent="0.35">
      <c r="A2103" t="s">
        <v>2182</v>
      </c>
      <c r="B2103" s="1">
        <v>46251</v>
      </c>
      <c r="C2103" t="str">
        <f>TEXT(tblData[[#This Row],[Rental Date]],"mmm")</f>
        <v>Aug</v>
      </c>
      <c r="D2103" t="str">
        <f>TEXT(tblData[[#This Row],[Rental Date]],"mmmm")</f>
        <v>August</v>
      </c>
      <c r="E2103" t="s">
        <v>74</v>
      </c>
      <c r="F2103" t="str">
        <f>TEXT(WEEKNUM(tblData[[#This Row],[Rental Date]]),"00")</f>
        <v>34</v>
      </c>
      <c r="G2103" s="1">
        <f>EOMONTH(tblData[[#This Row],[Rental Date]],0)</f>
        <v>46265</v>
      </c>
      <c r="H2103" t="s">
        <v>749</v>
      </c>
      <c r="I2103" t="s">
        <v>39</v>
      </c>
      <c r="J2103" t="s">
        <v>44</v>
      </c>
      <c r="K2103" t="s">
        <v>40</v>
      </c>
      <c r="L2103">
        <v>1</v>
      </c>
      <c r="M2103" s="2">
        <v>87.36</v>
      </c>
      <c r="N2103" t="s">
        <v>26</v>
      </c>
      <c r="O2103" s="3">
        <v>0</v>
      </c>
      <c r="P2103" s="3">
        <v>0</v>
      </c>
      <c r="Q2103" s="2">
        <v>87.36</v>
      </c>
      <c r="R2103" t="s">
        <v>34</v>
      </c>
      <c r="S2103" t="s">
        <v>46</v>
      </c>
      <c r="T2103" t="s">
        <v>90</v>
      </c>
      <c r="U2103" t="s">
        <v>58</v>
      </c>
    </row>
    <row r="2104" spans="1:21" x14ac:dyDescent="0.35">
      <c r="A2104" t="s">
        <v>2183</v>
      </c>
      <c r="B2104" s="1">
        <v>46251</v>
      </c>
      <c r="C2104" t="str">
        <f>TEXT(tblData[[#This Row],[Rental Date]],"mmm")</f>
        <v>Aug</v>
      </c>
      <c r="D2104" t="str">
        <f>TEXT(tblData[[#This Row],[Rental Date]],"mmmm")</f>
        <v>August</v>
      </c>
      <c r="E2104" t="s">
        <v>74</v>
      </c>
      <c r="F2104" t="str">
        <f>TEXT(WEEKNUM(tblData[[#This Row],[Rental Date]]),"00")</f>
        <v>34</v>
      </c>
      <c r="G2104" s="1">
        <f>EOMONTH(tblData[[#This Row],[Rental Date]],0)</f>
        <v>46265</v>
      </c>
      <c r="H2104" t="s">
        <v>749</v>
      </c>
      <c r="I2104" t="s">
        <v>48</v>
      </c>
      <c r="J2104" t="s">
        <v>33</v>
      </c>
      <c r="K2104" t="s">
        <v>60</v>
      </c>
      <c r="L2104">
        <v>1</v>
      </c>
      <c r="M2104" s="2">
        <v>26.88</v>
      </c>
      <c r="N2104" t="s">
        <v>26</v>
      </c>
      <c r="O2104" s="3">
        <v>0</v>
      </c>
      <c r="P2104" s="3">
        <v>0</v>
      </c>
      <c r="Q2104" s="2">
        <v>26.88</v>
      </c>
      <c r="R2104" t="s">
        <v>57</v>
      </c>
      <c r="S2104" t="s">
        <v>46</v>
      </c>
      <c r="T2104" t="s">
        <v>51</v>
      </c>
      <c r="U2104" t="s">
        <v>30</v>
      </c>
    </row>
    <row r="2105" spans="1:21" x14ac:dyDescent="0.35">
      <c r="A2105" t="s">
        <v>2184</v>
      </c>
      <c r="B2105" s="1">
        <v>46251</v>
      </c>
      <c r="C2105" t="str">
        <f>TEXT(tblData[[#This Row],[Rental Date]],"mmm")</f>
        <v>Aug</v>
      </c>
      <c r="D2105" t="str">
        <f>TEXT(tblData[[#This Row],[Rental Date]],"mmmm")</f>
        <v>August</v>
      </c>
      <c r="E2105" t="s">
        <v>74</v>
      </c>
      <c r="F2105" t="str">
        <f>TEXT(WEEKNUM(tblData[[#This Row],[Rental Date]]),"00")</f>
        <v>34</v>
      </c>
      <c r="G2105" s="1">
        <f>EOMONTH(tblData[[#This Row],[Rental Date]],0)</f>
        <v>46265</v>
      </c>
      <c r="H2105" t="s">
        <v>749</v>
      </c>
      <c r="I2105" t="s">
        <v>48</v>
      </c>
      <c r="J2105" t="s">
        <v>78</v>
      </c>
      <c r="K2105" t="s">
        <v>40</v>
      </c>
      <c r="L2105">
        <v>1</v>
      </c>
      <c r="M2105" s="2">
        <v>69.44</v>
      </c>
      <c r="N2105" t="s">
        <v>89</v>
      </c>
      <c r="O2105" s="3">
        <v>6</v>
      </c>
      <c r="P2105" s="3">
        <v>0</v>
      </c>
      <c r="Q2105" s="2">
        <v>75.44</v>
      </c>
      <c r="R2105" t="s">
        <v>45</v>
      </c>
      <c r="S2105" t="s">
        <v>35</v>
      </c>
      <c r="T2105" t="s">
        <v>29</v>
      </c>
      <c r="U2105" t="s">
        <v>30</v>
      </c>
    </row>
    <row r="2106" spans="1:21" x14ac:dyDescent="0.35">
      <c r="A2106" t="s">
        <v>2185</v>
      </c>
      <c r="B2106" s="1">
        <v>46251</v>
      </c>
      <c r="C2106" t="str">
        <f>TEXT(tblData[[#This Row],[Rental Date]],"mmm")</f>
        <v>Aug</v>
      </c>
      <c r="D2106" t="str">
        <f>TEXT(tblData[[#This Row],[Rental Date]],"mmmm")</f>
        <v>August</v>
      </c>
      <c r="E2106" t="s">
        <v>74</v>
      </c>
      <c r="F2106" t="str">
        <f>TEXT(WEEKNUM(tblData[[#This Row],[Rental Date]]),"00")</f>
        <v>34</v>
      </c>
      <c r="G2106" s="1">
        <f>EOMONTH(tblData[[#This Row],[Rental Date]],0)</f>
        <v>46265</v>
      </c>
      <c r="H2106" t="s">
        <v>749</v>
      </c>
      <c r="I2106" t="s">
        <v>48</v>
      </c>
      <c r="J2106" t="s">
        <v>33</v>
      </c>
      <c r="K2106" t="s">
        <v>60</v>
      </c>
      <c r="L2106">
        <v>1</v>
      </c>
      <c r="M2106" s="2">
        <v>26.88</v>
      </c>
      <c r="N2106" t="s">
        <v>26</v>
      </c>
      <c r="O2106" s="3">
        <v>0</v>
      </c>
      <c r="P2106" s="3">
        <v>0</v>
      </c>
      <c r="Q2106" s="2">
        <v>26.88</v>
      </c>
      <c r="R2106" t="s">
        <v>66</v>
      </c>
      <c r="S2106" t="s">
        <v>54</v>
      </c>
      <c r="T2106" t="s">
        <v>51</v>
      </c>
      <c r="U2106" t="s">
        <v>30</v>
      </c>
    </row>
    <row r="2107" spans="1:21" x14ac:dyDescent="0.35">
      <c r="A2107" t="s">
        <v>2186</v>
      </c>
      <c r="B2107" s="1">
        <v>46251</v>
      </c>
      <c r="C2107" t="str">
        <f>TEXT(tblData[[#This Row],[Rental Date]],"mmm")</f>
        <v>Aug</v>
      </c>
      <c r="D2107" t="str">
        <f>TEXT(tblData[[#This Row],[Rental Date]],"mmmm")</f>
        <v>August</v>
      </c>
      <c r="E2107" t="s">
        <v>74</v>
      </c>
      <c r="F2107" t="str">
        <f>TEXT(WEEKNUM(tblData[[#This Row],[Rental Date]]),"00")</f>
        <v>34</v>
      </c>
      <c r="G2107" s="1">
        <f>EOMONTH(tblData[[#This Row],[Rental Date]],0)</f>
        <v>46265</v>
      </c>
      <c r="H2107" t="s">
        <v>749</v>
      </c>
      <c r="I2107" t="s">
        <v>39</v>
      </c>
      <c r="J2107" t="s">
        <v>33</v>
      </c>
      <c r="K2107" t="s">
        <v>60</v>
      </c>
      <c r="L2107">
        <v>1</v>
      </c>
      <c r="M2107" s="2">
        <v>26.88</v>
      </c>
      <c r="N2107" t="s">
        <v>26</v>
      </c>
      <c r="O2107" s="3">
        <v>0</v>
      </c>
      <c r="P2107" s="3">
        <v>0</v>
      </c>
      <c r="Q2107" s="2">
        <v>26.88</v>
      </c>
      <c r="R2107" t="s">
        <v>57</v>
      </c>
      <c r="S2107" t="s">
        <v>50</v>
      </c>
      <c r="T2107" t="s">
        <v>90</v>
      </c>
      <c r="U2107" t="s">
        <v>30</v>
      </c>
    </row>
    <row r="2108" spans="1:21" x14ac:dyDescent="0.35">
      <c r="A2108" t="s">
        <v>2187</v>
      </c>
      <c r="B2108" s="1">
        <v>46251</v>
      </c>
      <c r="C2108" t="str">
        <f>TEXT(tblData[[#This Row],[Rental Date]],"mmm")</f>
        <v>Aug</v>
      </c>
      <c r="D2108" t="str">
        <f>TEXT(tblData[[#This Row],[Rental Date]],"mmmm")</f>
        <v>August</v>
      </c>
      <c r="E2108" t="s">
        <v>74</v>
      </c>
      <c r="F2108" t="str">
        <f>TEXT(WEEKNUM(tblData[[#This Row],[Rental Date]]),"00")</f>
        <v>34</v>
      </c>
      <c r="G2108" s="1">
        <f>EOMONTH(tblData[[#This Row],[Rental Date]],0)</f>
        <v>46265</v>
      </c>
      <c r="H2108" t="s">
        <v>749</v>
      </c>
      <c r="I2108" t="s">
        <v>48</v>
      </c>
      <c r="J2108" t="s">
        <v>33</v>
      </c>
      <c r="K2108" t="s">
        <v>60</v>
      </c>
      <c r="L2108">
        <v>1</v>
      </c>
      <c r="M2108" s="2">
        <v>26.88</v>
      </c>
      <c r="N2108" t="s">
        <v>89</v>
      </c>
      <c r="O2108" s="3">
        <v>6</v>
      </c>
      <c r="P2108" s="3">
        <v>0</v>
      </c>
      <c r="Q2108" s="2">
        <v>32.880000000000003</v>
      </c>
      <c r="R2108" t="s">
        <v>66</v>
      </c>
      <c r="S2108" t="s">
        <v>35</v>
      </c>
      <c r="T2108" t="s">
        <v>29</v>
      </c>
      <c r="U2108" t="s">
        <v>30</v>
      </c>
    </row>
    <row r="2109" spans="1:21" x14ac:dyDescent="0.35">
      <c r="A2109" t="s">
        <v>2188</v>
      </c>
      <c r="B2109" s="1">
        <v>46251</v>
      </c>
      <c r="C2109" t="str">
        <f>TEXT(tblData[[#This Row],[Rental Date]],"mmm")</f>
        <v>Aug</v>
      </c>
      <c r="D2109" t="str">
        <f>TEXT(tblData[[#This Row],[Rental Date]],"mmmm")</f>
        <v>August</v>
      </c>
      <c r="E2109" t="s">
        <v>74</v>
      </c>
      <c r="F2109" t="str">
        <f>TEXT(WEEKNUM(tblData[[#This Row],[Rental Date]]),"00")</f>
        <v>34</v>
      </c>
      <c r="G2109" s="1">
        <f>EOMONTH(tblData[[#This Row],[Rental Date]],0)</f>
        <v>46265</v>
      </c>
      <c r="H2109" t="s">
        <v>749</v>
      </c>
      <c r="I2109" t="s">
        <v>48</v>
      </c>
      <c r="J2109" t="s">
        <v>65</v>
      </c>
      <c r="K2109" t="s">
        <v>60</v>
      </c>
      <c r="L2109">
        <v>1</v>
      </c>
      <c r="M2109" s="2">
        <v>13.44</v>
      </c>
      <c r="N2109" t="s">
        <v>26</v>
      </c>
      <c r="O2109" s="3">
        <v>0</v>
      </c>
      <c r="P2109" s="3">
        <v>0</v>
      </c>
      <c r="Q2109" s="2">
        <v>13.44</v>
      </c>
      <c r="R2109" t="s">
        <v>42</v>
      </c>
      <c r="S2109" t="s">
        <v>35</v>
      </c>
      <c r="T2109" t="s">
        <v>51</v>
      </c>
      <c r="U2109" t="s">
        <v>30</v>
      </c>
    </row>
    <row r="2110" spans="1:21" x14ac:dyDescent="0.35">
      <c r="A2110" t="s">
        <v>2189</v>
      </c>
      <c r="B2110" s="1">
        <v>46251</v>
      </c>
      <c r="C2110" t="str">
        <f>TEXT(tblData[[#This Row],[Rental Date]],"mmm")</f>
        <v>Aug</v>
      </c>
      <c r="D2110" t="str">
        <f>TEXT(tblData[[#This Row],[Rental Date]],"mmmm")</f>
        <v>August</v>
      </c>
      <c r="E2110" t="s">
        <v>74</v>
      </c>
      <c r="F2110" t="str">
        <f>TEXT(WEEKNUM(tblData[[#This Row],[Rental Date]]),"00")</f>
        <v>34</v>
      </c>
      <c r="G2110" s="1">
        <f>EOMONTH(tblData[[#This Row],[Rental Date]],0)</f>
        <v>46265</v>
      </c>
      <c r="H2110" t="s">
        <v>749</v>
      </c>
      <c r="I2110" t="s">
        <v>39</v>
      </c>
      <c r="J2110" t="s">
        <v>24</v>
      </c>
      <c r="K2110" t="s">
        <v>60</v>
      </c>
      <c r="L2110">
        <v>1</v>
      </c>
      <c r="M2110" s="2">
        <v>35.840000000000003</v>
      </c>
      <c r="N2110" t="s">
        <v>26</v>
      </c>
      <c r="O2110" s="3">
        <v>0</v>
      </c>
      <c r="P2110" s="3">
        <v>0</v>
      </c>
      <c r="Q2110" s="2">
        <v>35.840000000000003</v>
      </c>
      <c r="R2110" t="s">
        <v>62</v>
      </c>
      <c r="S2110" t="s">
        <v>28</v>
      </c>
      <c r="T2110" t="s">
        <v>51</v>
      </c>
      <c r="U2110" t="s">
        <v>30</v>
      </c>
    </row>
    <row r="2111" spans="1:21" x14ac:dyDescent="0.35">
      <c r="A2111" t="s">
        <v>2190</v>
      </c>
      <c r="B2111" s="1">
        <v>46252</v>
      </c>
      <c r="C2111" t="str">
        <f>TEXT(tblData[[#This Row],[Rental Date]],"mmm")</f>
        <v>Aug</v>
      </c>
      <c r="D2111" t="str">
        <f>TEXT(tblData[[#This Row],[Rental Date]],"mmmm")</f>
        <v>August</v>
      </c>
      <c r="E2111" t="s">
        <v>102</v>
      </c>
      <c r="F2111" t="str">
        <f>TEXT(WEEKNUM(tblData[[#This Row],[Rental Date]]),"00")</f>
        <v>34</v>
      </c>
      <c r="G2111" s="1">
        <f>EOMONTH(tblData[[#This Row],[Rental Date]],0)</f>
        <v>46265</v>
      </c>
      <c r="H2111" t="s">
        <v>749</v>
      </c>
      <c r="I2111" t="s">
        <v>39</v>
      </c>
      <c r="J2111" t="s">
        <v>78</v>
      </c>
      <c r="K2111" t="s">
        <v>92</v>
      </c>
      <c r="L2111">
        <v>1</v>
      </c>
      <c r="M2111" s="2">
        <v>98.56</v>
      </c>
      <c r="N2111" t="s">
        <v>26</v>
      </c>
      <c r="O2111" s="3">
        <v>0</v>
      </c>
      <c r="P2111" s="3">
        <v>0</v>
      </c>
      <c r="Q2111" s="2">
        <v>98.56</v>
      </c>
      <c r="R2111" t="s">
        <v>34</v>
      </c>
      <c r="S2111" t="s">
        <v>46</v>
      </c>
      <c r="T2111" t="s">
        <v>51</v>
      </c>
      <c r="U2111" t="s">
        <v>30</v>
      </c>
    </row>
    <row r="2112" spans="1:21" x14ac:dyDescent="0.35">
      <c r="A2112" t="s">
        <v>2191</v>
      </c>
      <c r="B2112" s="1">
        <v>46252</v>
      </c>
      <c r="C2112" t="str">
        <f>TEXT(tblData[[#This Row],[Rental Date]],"mmm")</f>
        <v>Aug</v>
      </c>
      <c r="D2112" t="str">
        <f>TEXT(tblData[[#This Row],[Rental Date]],"mmmm")</f>
        <v>August</v>
      </c>
      <c r="E2112" t="s">
        <v>102</v>
      </c>
      <c r="F2112" t="str">
        <f>TEXT(WEEKNUM(tblData[[#This Row],[Rental Date]]),"00")</f>
        <v>34</v>
      </c>
      <c r="G2112" s="1">
        <f>EOMONTH(tblData[[#This Row],[Rental Date]],0)</f>
        <v>46265</v>
      </c>
      <c r="H2112" t="s">
        <v>749</v>
      </c>
      <c r="I2112" t="s">
        <v>39</v>
      </c>
      <c r="J2112" t="s">
        <v>33</v>
      </c>
      <c r="K2112" t="s">
        <v>40</v>
      </c>
      <c r="L2112">
        <v>1</v>
      </c>
      <c r="M2112" s="2">
        <v>64.959999999999994</v>
      </c>
      <c r="N2112" t="s">
        <v>26</v>
      </c>
      <c r="O2112" s="3">
        <v>0</v>
      </c>
      <c r="P2112" s="3">
        <v>0</v>
      </c>
      <c r="Q2112" s="2">
        <v>64.959999999999994</v>
      </c>
      <c r="R2112" t="s">
        <v>76</v>
      </c>
      <c r="S2112" t="s">
        <v>46</v>
      </c>
      <c r="T2112" t="s">
        <v>63</v>
      </c>
      <c r="U2112" t="s">
        <v>30</v>
      </c>
    </row>
    <row r="2113" spans="1:21" x14ac:dyDescent="0.35">
      <c r="A2113" t="s">
        <v>2192</v>
      </c>
      <c r="B2113" s="1">
        <v>46252</v>
      </c>
      <c r="C2113" t="str">
        <f>TEXT(tblData[[#This Row],[Rental Date]],"mmm")</f>
        <v>Aug</v>
      </c>
      <c r="D2113" t="str">
        <f>TEXT(tblData[[#This Row],[Rental Date]],"mmmm")</f>
        <v>August</v>
      </c>
      <c r="E2113" t="s">
        <v>102</v>
      </c>
      <c r="F2113" t="str">
        <f>TEXT(WEEKNUM(tblData[[#This Row],[Rental Date]]),"00")</f>
        <v>34</v>
      </c>
      <c r="G2113" s="1">
        <f>EOMONTH(tblData[[#This Row],[Rental Date]],0)</f>
        <v>46265</v>
      </c>
      <c r="H2113" t="s">
        <v>749</v>
      </c>
      <c r="I2113" t="s">
        <v>32</v>
      </c>
      <c r="J2113" t="s">
        <v>49</v>
      </c>
      <c r="K2113" t="s">
        <v>40</v>
      </c>
      <c r="L2113">
        <v>1</v>
      </c>
      <c r="M2113" s="2">
        <v>60.48</v>
      </c>
      <c r="N2113" t="s">
        <v>89</v>
      </c>
      <c r="O2113" s="3">
        <v>6</v>
      </c>
      <c r="P2113" s="3">
        <v>3.32</v>
      </c>
      <c r="Q2113" s="2">
        <v>63.16</v>
      </c>
      <c r="R2113" t="s">
        <v>42</v>
      </c>
      <c r="S2113" t="s">
        <v>46</v>
      </c>
      <c r="T2113" t="s">
        <v>90</v>
      </c>
      <c r="U2113" t="s">
        <v>30</v>
      </c>
    </row>
    <row r="2114" spans="1:21" x14ac:dyDescent="0.35">
      <c r="A2114" t="s">
        <v>2193</v>
      </c>
      <c r="B2114" s="1">
        <v>46252</v>
      </c>
      <c r="C2114" t="str">
        <f>TEXT(tblData[[#This Row],[Rental Date]],"mmm")</f>
        <v>Aug</v>
      </c>
      <c r="D2114" t="str">
        <f>TEXT(tblData[[#This Row],[Rental Date]],"mmmm")</f>
        <v>August</v>
      </c>
      <c r="E2114" t="s">
        <v>102</v>
      </c>
      <c r="F2114" t="str">
        <f>TEXT(WEEKNUM(tblData[[#This Row],[Rental Date]]),"00")</f>
        <v>34</v>
      </c>
      <c r="G2114" s="1">
        <f>EOMONTH(tblData[[#This Row],[Rental Date]],0)</f>
        <v>46265</v>
      </c>
      <c r="H2114" t="s">
        <v>749</v>
      </c>
      <c r="I2114" t="s">
        <v>48</v>
      </c>
      <c r="J2114" t="s">
        <v>65</v>
      </c>
      <c r="K2114" t="s">
        <v>40</v>
      </c>
      <c r="L2114">
        <v>1</v>
      </c>
      <c r="M2114" s="2">
        <v>31.36</v>
      </c>
      <c r="N2114" t="s">
        <v>26</v>
      </c>
      <c r="O2114" s="3">
        <v>0</v>
      </c>
      <c r="P2114" s="3">
        <v>0</v>
      </c>
      <c r="Q2114" s="2">
        <v>31.36</v>
      </c>
      <c r="R2114" t="s">
        <v>76</v>
      </c>
      <c r="S2114" t="s">
        <v>35</v>
      </c>
      <c r="T2114" t="s">
        <v>90</v>
      </c>
      <c r="U2114" t="s">
        <v>30</v>
      </c>
    </row>
    <row r="2115" spans="1:21" x14ac:dyDescent="0.35">
      <c r="A2115" t="s">
        <v>2194</v>
      </c>
      <c r="B2115" s="1">
        <v>46252</v>
      </c>
      <c r="C2115" t="str">
        <f>TEXT(tblData[[#This Row],[Rental Date]],"mmm")</f>
        <v>Aug</v>
      </c>
      <c r="D2115" t="str">
        <f>TEXT(tblData[[#This Row],[Rental Date]],"mmmm")</f>
        <v>August</v>
      </c>
      <c r="E2115" t="s">
        <v>102</v>
      </c>
      <c r="F2115" t="str">
        <f>TEXT(WEEKNUM(tblData[[#This Row],[Rental Date]]),"00")</f>
        <v>34</v>
      </c>
      <c r="G2115" s="1">
        <f>EOMONTH(tblData[[#This Row],[Rental Date]],0)</f>
        <v>46265</v>
      </c>
      <c r="H2115" t="s">
        <v>749</v>
      </c>
      <c r="I2115" t="s">
        <v>48</v>
      </c>
      <c r="J2115" t="s">
        <v>44</v>
      </c>
      <c r="K2115" t="s">
        <v>25</v>
      </c>
      <c r="L2115">
        <v>1</v>
      </c>
      <c r="M2115" s="2">
        <v>58.24</v>
      </c>
      <c r="N2115" t="s">
        <v>61</v>
      </c>
      <c r="O2115" s="3">
        <v>8</v>
      </c>
      <c r="P2115" s="3">
        <v>0</v>
      </c>
      <c r="Q2115" s="2">
        <v>66.239999999999995</v>
      </c>
      <c r="R2115" t="s">
        <v>45</v>
      </c>
      <c r="S2115" t="s">
        <v>50</v>
      </c>
      <c r="T2115" t="s">
        <v>51</v>
      </c>
      <c r="U2115" t="s">
        <v>30</v>
      </c>
    </row>
    <row r="2116" spans="1:21" x14ac:dyDescent="0.35">
      <c r="A2116" t="s">
        <v>2195</v>
      </c>
      <c r="B2116" s="1">
        <v>46252</v>
      </c>
      <c r="C2116" t="str">
        <f>TEXT(tblData[[#This Row],[Rental Date]],"mmm")</f>
        <v>Aug</v>
      </c>
      <c r="D2116" t="str">
        <f>TEXT(tblData[[#This Row],[Rental Date]],"mmmm")</f>
        <v>August</v>
      </c>
      <c r="E2116" t="s">
        <v>102</v>
      </c>
      <c r="F2116" t="str">
        <f>TEXT(WEEKNUM(tblData[[#This Row],[Rental Date]]),"00")</f>
        <v>34</v>
      </c>
      <c r="G2116" s="1">
        <f>EOMONTH(tblData[[#This Row],[Rental Date]],0)</f>
        <v>46265</v>
      </c>
      <c r="H2116" t="s">
        <v>749</v>
      </c>
      <c r="I2116" t="s">
        <v>23</v>
      </c>
      <c r="J2116" t="s">
        <v>49</v>
      </c>
      <c r="K2116" t="s">
        <v>60</v>
      </c>
      <c r="L2116">
        <v>1</v>
      </c>
      <c r="M2116" s="2">
        <v>24.64</v>
      </c>
      <c r="N2116" t="s">
        <v>41</v>
      </c>
      <c r="O2116" s="3">
        <v>5</v>
      </c>
      <c r="P2116" s="3">
        <v>0</v>
      </c>
      <c r="Q2116" s="2">
        <v>29.64</v>
      </c>
      <c r="R2116" t="s">
        <v>45</v>
      </c>
      <c r="S2116" t="s">
        <v>35</v>
      </c>
      <c r="T2116" t="s">
        <v>29</v>
      </c>
      <c r="U2116" t="s">
        <v>30</v>
      </c>
    </row>
    <row r="2117" spans="1:21" x14ac:dyDescent="0.35">
      <c r="A2117" t="s">
        <v>2196</v>
      </c>
      <c r="B2117" s="1">
        <v>46252</v>
      </c>
      <c r="C2117" t="str">
        <f>TEXT(tblData[[#This Row],[Rental Date]],"mmm")</f>
        <v>Aug</v>
      </c>
      <c r="D2117" t="str">
        <f>TEXT(tblData[[#This Row],[Rental Date]],"mmmm")</f>
        <v>August</v>
      </c>
      <c r="E2117" t="s">
        <v>102</v>
      </c>
      <c r="F2117" t="str">
        <f>TEXT(WEEKNUM(tblData[[#This Row],[Rental Date]]),"00")</f>
        <v>34</v>
      </c>
      <c r="G2117" s="1">
        <f>EOMONTH(tblData[[#This Row],[Rental Date]],0)</f>
        <v>46265</v>
      </c>
      <c r="H2117" t="s">
        <v>749</v>
      </c>
      <c r="I2117" t="s">
        <v>39</v>
      </c>
      <c r="J2117" t="s">
        <v>33</v>
      </c>
      <c r="K2117" t="s">
        <v>25</v>
      </c>
      <c r="L2117">
        <v>1</v>
      </c>
      <c r="M2117" s="2">
        <v>42.56</v>
      </c>
      <c r="N2117" t="s">
        <v>61</v>
      </c>
      <c r="O2117" s="3">
        <v>8</v>
      </c>
      <c r="P2117" s="3">
        <v>0</v>
      </c>
      <c r="Q2117" s="2">
        <v>50.56</v>
      </c>
      <c r="R2117" t="s">
        <v>57</v>
      </c>
      <c r="S2117" t="s">
        <v>54</v>
      </c>
      <c r="T2117" t="s">
        <v>29</v>
      </c>
      <c r="U2117" t="s">
        <v>30</v>
      </c>
    </row>
    <row r="2118" spans="1:21" x14ac:dyDescent="0.35">
      <c r="A2118" t="s">
        <v>2197</v>
      </c>
      <c r="B2118" s="1">
        <v>46252</v>
      </c>
      <c r="C2118" t="str">
        <f>TEXT(tblData[[#This Row],[Rental Date]],"mmm")</f>
        <v>Aug</v>
      </c>
      <c r="D2118" t="str">
        <f>TEXT(tblData[[#This Row],[Rental Date]],"mmmm")</f>
        <v>August</v>
      </c>
      <c r="E2118" t="s">
        <v>102</v>
      </c>
      <c r="F2118" t="str">
        <f>TEXT(WEEKNUM(tblData[[#This Row],[Rental Date]]),"00")</f>
        <v>34</v>
      </c>
      <c r="G2118" s="1">
        <f>EOMONTH(tblData[[#This Row],[Rental Date]],0)</f>
        <v>46265</v>
      </c>
      <c r="H2118" t="s">
        <v>749</v>
      </c>
      <c r="I2118" t="s">
        <v>39</v>
      </c>
      <c r="J2118" t="s">
        <v>24</v>
      </c>
      <c r="K2118" t="s">
        <v>40</v>
      </c>
      <c r="L2118">
        <v>1</v>
      </c>
      <c r="M2118" s="2">
        <v>85.12</v>
      </c>
      <c r="N2118" t="s">
        <v>26</v>
      </c>
      <c r="O2118" s="3">
        <v>0</v>
      </c>
      <c r="P2118" s="3">
        <v>0</v>
      </c>
      <c r="Q2118" s="2">
        <v>85.12</v>
      </c>
      <c r="R2118" t="s">
        <v>45</v>
      </c>
      <c r="S2118" t="s">
        <v>54</v>
      </c>
      <c r="T2118" t="s">
        <v>29</v>
      </c>
      <c r="U2118" t="s">
        <v>30</v>
      </c>
    </row>
    <row r="2119" spans="1:21" x14ac:dyDescent="0.35">
      <c r="A2119" t="s">
        <v>2198</v>
      </c>
      <c r="B2119" s="1">
        <v>46252</v>
      </c>
      <c r="C2119" t="str">
        <f>TEXT(tblData[[#This Row],[Rental Date]],"mmm")</f>
        <v>Aug</v>
      </c>
      <c r="D2119" t="str">
        <f>TEXT(tblData[[#This Row],[Rental Date]],"mmmm")</f>
        <v>August</v>
      </c>
      <c r="E2119" t="s">
        <v>102</v>
      </c>
      <c r="F2119" t="str">
        <f>TEXT(WEEKNUM(tblData[[#This Row],[Rental Date]]),"00")</f>
        <v>34</v>
      </c>
      <c r="G2119" s="1">
        <f>EOMONTH(tblData[[#This Row],[Rental Date]],0)</f>
        <v>46265</v>
      </c>
      <c r="H2119" t="s">
        <v>749</v>
      </c>
      <c r="I2119" t="s">
        <v>23</v>
      </c>
      <c r="J2119" t="s">
        <v>127</v>
      </c>
      <c r="K2119" t="s">
        <v>25</v>
      </c>
      <c r="L2119">
        <v>1</v>
      </c>
      <c r="M2119" s="2">
        <v>17.920000000000002</v>
      </c>
      <c r="N2119" t="s">
        <v>70</v>
      </c>
      <c r="O2119" s="3">
        <v>7</v>
      </c>
      <c r="P2119" s="3">
        <v>0</v>
      </c>
      <c r="Q2119" s="2">
        <v>24.92</v>
      </c>
      <c r="R2119" t="s">
        <v>71</v>
      </c>
      <c r="S2119" t="s">
        <v>54</v>
      </c>
      <c r="T2119" t="s">
        <v>63</v>
      </c>
      <c r="U2119" t="s">
        <v>30</v>
      </c>
    </row>
    <row r="2120" spans="1:21" x14ac:dyDescent="0.35">
      <c r="A2120" t="s">
        <v>2199</v>
      </c>
      <c r="B2120" s="1">
        <v>46252</v>
      </c>
      <c r="C2120" t="str">
        <f>TEXT(tblData[[#This Row],[Rental Date]],"mmm")</f>
        <v>Aug</v>
      </c>
      <c r="D2120" t="str">
        <f>TEXT(tblData[[#This Row],[Rental Date]],"mmmm")</f>
        <v>August</v>
      </c>
      <c r="E2120" t="s">
        <v>102</v>
      </c>
      <c r="F2120" t="str">
        <f>TEXT(WEEKNUM(tblData[[#This Row],[Rental Date]]),"00")</f>
        <v>34</v>
      </c>
      <c r="G2120" s="1">
        <f>EOMONTH(tblData[[#This Row],[Rental Date]],0)</f>
        <v>46265</v>
      </c>
      <c r="H2120" t="s">
        <v>749</v>
      </c>
      <c r="I2120" t="s">
        <v>39</v>
      </c>
      <c r="J2120" t="s">
        <v>78</v>
      </c>
      <c r="K2120" t="s">
        <v>60</v>
      </c>
      <c r="L2120">
        <v>1</v>
      </c>
      <c r="M2120" s="2">
        <v>29.12</v>
      </c>
      <c r="N2120" t="s">
        <v>89</v>
      </c>
      <c r="O2120" s="3">
        <v>6</v>
      </c>
      <c r="P2120" s="3">
        <v>0</v>
      </c>
      <c r="Q2120" s="2">
        <v>35.119999999999997</v>
      </c>
      <c r="R2120" t="s">
        <v>66</v>
      </c>
      <c r="S2120" t="s">
        <v>50</v>
      </c>
      <c r="T2120" t="s">
        <v>51</v>
      </c>
      <c r="U2120" t="s">
        <v>30</v>
      </c>
    </row>
    <row r="2121" spans="1:21" x14ac:dyDescent="0.35">
      <c r="A2121" t="s">
        <v>2200</v>
      </c>
      <c r="B2121" s="1">
        <v>46252</v>
      </c>
      <c r="C2121" t="str">
        <f>TEXT(tblData[[#This Row],[Rental Date]],"mmm")</f>
        <v>Aug</v>
      </c>
      <c r="D2121" t="str">
        <f>TEXT(tblData[[#This Row],[Rental Date]],"mmmm")</f>
        <v>August</v>
      </c>
      <c r="E2121" t="s">
        <v>102</v>
      </c>
      <c r="F2121" t="str">
        <f>TEXT(WEEKNUM(tblData[[#This Row],[Rental Date]]),"00")</f>
        <v>34</v>
      </c>
      <c r="G2121" s="1">
        <f>EOMONTH(tblData[[#This Row],[Rental Date]],0)</f>
        <v>46265</v>
      </c>
      <c r="H2121" t="s">
        <v>749</v>
      </c>
      <c r="I2121" t="s">
        <v>39</v>
      </c>
      <c r="J2121" t="s">
        <v>78</v>
      </c>
      <c r="K2121" t="s">
        <v>25</v>
      </c>
      <c r="L2121">
        <v>1</v>
      </c>
      <c r="M2121" s="2">
        <v>47.04</v>
      </c>
      <c r="N2121" t="s">
        <v>26</v>
      </c>
      <c r="O2121" s="3">
        <v>0</v>
      </c>
      <c r="P2121" s="3">
        <v>0</v>
      </c>
      <c r="Q2121" s="2">
        <v>47.04</v>
      </c>
      <c r="R2121" t="s">
        <v>71</v>
      </c>
      <c r="S2121" t="s">
        <v>28</v>
      </c>
      <c r="T2121" t="s">
        <v>51</v>
      </c>
      <c r="U2121" t="s">
        <v>30</v>
      </c>
    </row>
    <row r="2122" spans="1:21" x14ac:dyDescent="0.35">
      <c r="A2122" t="s">
        <v>2201</v>
      </c>
      <c r="B2122" s="1">
        <v>46252</v>
      </c>
      <c r="C2122" t="str">
        <f>TEXT(tblData[[#This Row],[Rental Date]],"mmm")</f>
        <v>Aug</v>
      </c>
      <c r="D2122" t="str">
        <f>TEXT(tblData[[#This Row],[Rental Date]],"mmmm")</f>
        <v>August</v>
      </c>
      <c r="E2122" t="s">
        <v>102</v>
      </c>
      <c r="F2122" t="str">
        <f>TEXT(WEEKNUM(tblData[[#This Row],[Rental Date]]),"00")</f>
        <v>34</v>
      </c>
      <c r="G2122" s="1">
        <f>EOMONTH(tblData[[#This Row],[Rental Date]],0)</f>
        <v>46265</v>
      </c>
      <c r="H2122" t="s">
        <v>749</v>
      </c>
      <c r="I2122" t="s">
        <v>39</v>
      </c>
      <c r="J2122" t="s">
        <v>78</v>
      </c>
      <c r="K2122" t="s">
        <v>25</v>
      </c>
      <c r="L2122">
        <v>1</v>
      </c>
      <c r="M2122" s="2">
        <v>47.04</v>
      </c>
      <c r="N2122" t="s">
        <v>26</v>
      </c>
      <c r="O2122" s="3">
        <v>0</v>
      </c>
      <c r="P2122" s="3">
        <v>0</v>
      </c>
      <c r="Q2122" s="2">
        <v>47.04</v>
      </c>
      <c r="R2122" t="s">
        <v>27</v>
      </c>
      <c r="S2122" t="s">
        <v>50</v>
      </c>
      <c r="T2122" t="s">
        <v>51</v>
      </c>
      <c r="U2122" t="s">
        <v>30</v>
      </c>
    </row>
    <row r="2123" spans="1:21" x14ac:dyDescent="0.35">
      <c r="A2123" t="s">
        <v>2202</v>
      </c>
      <c r="B2123" s="1">
        <v>46253</v>
      </c>
      <c r="C2123" t="str">
        <f>TEXT(tblData[[#This Row],[Rental Date]],"mmm")</f>
        <v>Aug</v>
      </c>
      <c r="D2123" t="str">
        <f>TEXT(tblData[[#This Row],[Rental Date]],"mmmm")</f>
        <v>August</v>
      </c>
      <c r="E2123" t="s">
        <v>109</v>
      </c>
      <c r="F2123" t="str">
        <f>TEXT(WEEKNUM(tblData[[#This Row],[Rental Date]]),"00")</f>
        <v>34</v>
      </c>
      <c r="G2123" s="1">
        <f>EOMONTH(tblData[[#This Row],[Rental Date]],0)</f>
        <v>46265</v>
      </c>
      <c r="H2123" t="s">
        <v>749</v>
      </c>
      <c r="I2123" t="s">
        <v>32</v>
      </c>
      <c r="J2123" t="s">
        <v>33</v>
      </c>
      <c r="K2123" t="s">
        <v>25</v>
      </c>
      <c r="L2123">
        <v>1</v>
      </c>
      <c r="M2123" s="2">
        <v>42.56</v>
      </c>
      <c r="N2123" t="s">
        <v>26</v>
      </c>
      <c r="O2123" s="3">
        <v>0</v>
      </c>
      <c r="P2123" s="3">
        <v>0</v>
      </c>
      <c r="Q2123" s="2">
        <v>42.56</v>
      </c>
      <c r="R2123" t="s">
        <v>57</v>
      </c>
      <c r="S2123" t="s">
        <v>46</v>
      </c>
      <c r="T2123" t="s">
        <v>83</v>
      </c>
      <c r="U2123" t="s">
        <v>30</v>
      </c>
    </row>
    <row r="2124" spans="1:21" x14ac:dyDescent="0.35">
      <c r="A2124" t="s">
        <v>2203</v>
      </c>
      <c r="B2124" s="1">
        <v>46253</v>
      </c>
      <c r="C2124" t="str">
        <f>TEXT(tblData[[#This Row],[Rental Date]],"mmm")</f>
        <v>Aug</v>
      </c>
      <c r="D2124" t="str">
        <f>TEXT(tblData[[#This Row],[Rental Date]],"mmmm")</f>
        <v>August</v>
      </c>
      <c r="E2124" t="s">
        <v>109</v>
      </c>
      <c r="F2124" t="str">
        <f>TEXT(WEEKNUM(tblData[[#This Row],[Rental Date]]),"00")</f>
        <v>34</v>
      </c>
      <c r="G2124" s="1">
        <f>EOMONTH(tblData[[#This Row],[Rental Date]],0)</f>
        <v>46265</v>
      </c>
      <c r="H2124" t="s">
        <v>749</v>
      </c>
      <c r="I2124" t="s">
        <v>48</v>
      </c>
      <c r="J2124" t="s">
        <v>78</v>
      </c>
      <c r="K2124" t="s">
        <v>60</v>
      </c>
      <c r="L2124">
        <v>1</v>
      </c>
      <c r="M2124" s="2">
        <v>29.12</v>
      </c>
      <c r="N2124" t="s">
        <v>89</v>
      </c>
      <c r="O2124" s="3">
        <v>6</v>
      </c>
      <c r="P2124" s="3">
        <v>0</v>
      </c>
      <c r="Q2124" s="2">
        <v>35.119999999999997</v>
      </c>
      <c r="R2124" t="s">
        <v>27</v>
      </c>
      <c r="S2124" t="s">
        <v>35</v>
      </c>
      <c r="T2124" t="s">
        <v>51</v>
      </c>
      <c r="U2124" t="s">
        <v>79</v>
      </c>
    </row>
    <row r="2125" spans="1:21" x14ac:dyDescent="0.35">
      <c r="A2125" t="s">
        <v>2204</v>
      </c>
      <c r="B2125" s="1">
        <v>46253</v>
      </c>
      <c r="C2125" t="str">
        <f>TEXT(tblData[[#This Row],[Rental Date]],"mmm")</f>
        <v>Aug</v>
      </c>
      <c r="D2125" t="str">
        <f>TEXT(tblData[[#This Row],[Rental Date]],"mmmm")</f>
        <v>August</v>
      </c>
      <c r="E2125" t="s">
        <v>109</v>
      </c>
      <c r="F2125" t="str">
        <f>TEXT(WEEKNUM(tblData[[#This Row],[Rental Date]]),"00")</f>
        <v>34</v>
      </c>
      <c r="G2125" s="1">
        <f>EOMONTH(tblData[[#This Row],[Rental Date]],0)</f>
        <v>46265</v>
      </c>
      <c r="H2125" t="s">
        <v>749</v>
      </c>
      <c r="I2125" t="s">
        <v>32</v>
      </c>
      <c r="J2125" t="s">
        <v>78</v>
      </c>
      <c r="K2125" t="s">
        <v>60</v>
      </c>
      <c r="L2125">
        <v>1</v>
      </c>
      <c r="M2125" s="2">
        <v>29.12</v>
      </c>
      <c r="N2125" t="s">
        <v>26</v>
      </c>
      <c r="O2125" s="3">
        <v>0</v>
      </c>
      <c r="P2125" s="3">
        <v>0</v>
      </c>
      <c r="Q2125" s="2">
        <v>29.12</v>
      </c>
      <c r="R2125" t="s">
        <v>62</v>
      </c>
      <c r="S2125" t="s">
        <v>35</v>
      </c>
      <c r="T2125" t="s">
        <v>29</v>
      </c>
      <c r="U2125" t="s">
        <v>30</v>
      </c>
    </row>
    <row r="2126" spans="1:21" x14ac:dyDescent="0.35">
      <c r="A2126" t="s">
        <v>2205</v>
      </c>
      <c r="B2126" s="1">
        <v>46253</v>
      </c>
      <c r="C2126" t="str">
        <f>TEXT(tblData[[#This Row],[Rental Date]],"mmm")</f>
        <v>Aug</v>
      </c>
      <c r="D2126" t="str">
        <f>TEXT(tblData[[#This Row],[Rental Date]],"mmmm")</f>
        <v>August</v>
      </c>
      <c r="E2126" t="s">
        <v>109</v>
      </c>
      <c r="F2126" t="str">
        <f>TEXT(WEEKNUM(tblData[[#This Row],[Rental Date]]),"00")</f>
        <v>34</v>
      </c>
      <c r="G2126" s="1">
        <f>EOMONTH(tblData[[#This Row],[Rental Date]],0)</f>
        <v>46265</v>
      </c>
      <c r="H2126" t="s">
        <v>749</v>
      </c>
      <c r="I2126" t="s">
        <v>32</v>
      </c>
      <c r="J2126" t="s">
        <v>65</v>
      </c>
      <c r="K2126" t="s">
        <v>92</v>
      </c>
      <c r="L2126">
        <v>1</v>
      </c>
      <c r="M2126" s="2">
        <v>44.8</v>
      </c>
      <c r="N2126" t="s">
        <v>26</v>
      </c>
      <c r="O2126" s="3">
        <v>0</v>
      </c>
      <c r="P2126" s="3">
        <v>0</v>
      </c>
      <c r="Q2126" s="2">
        <v>44.8</v>
      </c>
      <c r="R2126" t="s">
        <v>71</v>
      </c>
      <c r="S2126" t="s">
        <v>50</v>
      </c>
      <c r="T2126" t="s">
        <v>51</v>
      </c>
      <c r="U2126" t="s">
        <v>30</v>
      </c>
    </row>
    <row r="2127" spans="1:21" x14ac:dyDescent="0.35">
      <c r="A2127" t="s">
        <v>2206</v>
      </c>
      <c r="B2127" s="1">
        <v>46253</v>
      </c>
      <c r="C2127" t="str">
        <f>TEXT(tblData[[#This Row],[Rental Date]],"mmm")</f>
        <v>Aug</v>
      </c>
      <c r="D2127" t="str">
        <f>TEXT(tblData[[#This Row],[Rental Date]],"mmmm")</f>
        <v>August</v>
      </c>
      <c r="E2127" t="s">
        <v>109</v>
      </c>
      <c r="F2127" t="str">
        <f>TEXT(WEEKNUM(tblData[[#This Row],[Rental Date]]),"00")</f>
        <v>34</v>
      </c>
      <c r="G2127" s="1">
        <f>EOMONTH(tblData[[#This Row],[Rental Date]],0)</f>
        <v>46265</v>
      </c>
      <c r="H2127" t="s">
        <v>749</v>
      </c>
      <c r="I2127" t="s">
        <v>32</v>
      </c>
      <c r="J2127" t="s">
        <v>78</v>
      </c>
      <c r="K2127" t="s">
        <v>60</v>
      </c>
      <c r="L2127">
        <v>1</v>
      </c>
      <c r="M2127" s="2">
        <v>29.12</v>
      </c>
      <c r="N2127" t="s">
        <v>41</v>
      </c>
      <c r="O2127" s="3">
        <v>5</v>
      </c>
      <c r="P2127" s="3">
        <v>1.71</v>
      </c>
      <c r="Q2127" s="2">
        <v>32.409999999999997</v>
      </c>
      <c r="R2127" t="s">
        <v>94</v>
      </c>
      <c r="S2127" t="s">
        <v>54</v>
      </c>
      <c r="T2127" t="s">
        <v>63</v>
      </c>
      <c r="U2127" t="s">
        <v>30</v>
      </c>
    </row>
    <row r="2128" spans="1:21" x14ac:dyDescent="0.35">
      <c r="A2128" t="s">
        <v>2207</v>
      </c>
      <c r="B2128" s="1">
        <v>46253</v>
      </c>
      <c r="C2128" t="str">
        <f>TEXT(tblData[[#This Row],[Rental Date]],"mmm")</f>
        <v>Aug</v>
      </c>
      <c r="D2128" t="str">
        <f>TEXT(tblData[[#This Row],[Rental Date]],"mmmm")</f>
        <v>August</v>
      </c>
      <c r="E2128" t="s">
        <v>109</v>
      </c>
      <c r="F2128" t="str">
        <f>TEXT(WEEKNUM(tblData[[#This Row],[Rental Date]]),"00")</f>
        <v>34</v>
      </c>
      <c r="G2128" s="1">
        <f>EOMONTH(tblData[[#This Row],[Rental Date]],0)</f>
        <v>46265</v>
      </c>
      <c r="H2128" t="s">
        <v>749</v>
      </c>
      <c r="I2128" t="s">
        <v>39</v>
      </c>
      <c r="J2128" t="s">
        <v>33</v>
      </c>
      <c r="K2128" t="s">
        <v>25</v>
      </c>
      <c r="L2128">
        <v>1</v>
      </c>
      <c r="M2128" s="2">
        <v>42.56</v>
      </c>
      <c r="N2128" t="s">
        <v>26</v>
      </c>
      <c r="O2128" s="3">
        <v>0</v>
      </c>
      <c r="P2128" s="3">
        <v>0</v>
      </c>
      <c r="Q2128" s="2">
        <v>42.56</v>
      </c>
      <c r="R2128" t="s">
        <v>57</v>
      </c>
      <c r="S2128" t="s">
        <v>50</v>
      </c>
      <c r="T2128" t="s">
        <v>51</v>
      </c>
      <c r="U2128" t="s">
        <v>30</v>
      </c>
    </row>
    <row r="2129" spans="1:21" x14ac:dyDescent="0.35">
      <c r="A2129" t="s">
        <v>2208</v>
      </c>
      <c r="B2129" s="1">
        <v>46253</v>
      </c>
      <c r="C2129" t="str">
        <f>TEXT(tblData[[#This Row],[Rental Date]],"mmm")</f>
        <v>Aug</v>
      </c>
      <c r="D2129" t="str">
        <f>TEXT(tblData[[#This Row],[Rental Date]],"mmmm")</f>
        <v>August</v>
      </c>
      <c r="E2129" t="s">
        <v>109</v>
      </c>
      <c r="F2129" t="str">
        <f>TEXT(WEEKNUM(tblData[[#This Row],[Rental Date]]),"00")</f>
        <v>34</v>
      </c>
      <c r="G2129" s="1">
        <f>EOMONTH(tblData[[#This Row],[Rental Date]],0)</f>
        <v>46265</v>
      </c>
      <c r="H2129" t="s">
        <v>749</v>
      </c>
      <c r="I2129" t="s">
        <v>53</v>
      </c>
      <c r="J2129" t="s">
        <v>33</v>
      </c>
      <c r="K2129" t="s">
        <v>25</v>
      </c>
      <c r="L2129">
        <v>1</v>
      </c>
      <c r="M2129" s="2">
        <v>42.56</v>
      </c>
      <c r="N2129" t="s">
        <v>26</v>
      </c>
      <c r="O2129" s="3">
        <v>0</v>
      </c>
      <c r="P2129" s="3">
        <v>6.38</v>
      </c>
      <c r="Q2129" s="2">
        <v>36.18</v>
      </c>
      <c r="R2129" t="s">
        <v>42</v>
      </c>
      <c r="S2129" t="s">
        <v>54</v>
      </c>
      <c r="T2129" t="s">
        <v>51</v>
      </c>
      <c r="U2129" t="s">
        <v>36</v>
      </c>
    </row>
    <row r="2130" spans="1:21" x14ac:dyDescent="0.35">
      <c r="A2130" t="s">
        <v>2209</v>
      </c>
      <c r="B2130" s="1">
        <v>46253</v>
      </c>
      <c r="C2130" t="str">
        <f>TEXT(tblData[[#This Row],[Rental Date]],"mmm")</f>
        <v>Aug</v>
      </c>
      <c r="D2130" t="str">
        <f>TEXT(tblData[[#This Row],[Rental Date]],"mmmm")</f>
        <v>August</v>
      </c>
      <c r="E2130" t="s">
        <v>109</v>
      </c>
      <c r="F2130" t="str">
        <f>TEXT(WEEKNUM(tblData[[#This Row],[Rental Date]]),"00")</f>
        <v>34</v>
      </c>
      <c r="G2130" s="1">
        <f>EOMONTH(tblData[[#This Row],[Rental Date]],0)</f>
        <v>46265</v>
      </c>
      <c r="H2130" t="s">
        <v>749</v>
      </c>
      <c r="I2130" t="s">
        <v>39</v>
      </c>
      <c r="J2130" t="s">
        <v>44</v>
      </c>
      <c r="K2130" t="s">
        <v>40</v>
      </c>
      <c r="L2130">
        <v>1</v>
      </c>
      <c r="M2130" s="2">
        <v>87.36</v>
      </c>
      <c r="N2130" t="s">
        <v>26</v>
      </c>
      <c r="O2130" s="3">
        <v>0</v>
      </c>
      <c r="P2130" s="3">
        <v>0</v>
      </c>
      <c r="Q2130" s="2">
        <v>87.36</v>
      </c>
      <c r="R2130" t="s">
        <v>71</v>
      </c>
      <c r="S2130" t="s">
        <v>50</v>
      </c>
      <c r="T2130" t="s">
        <v>51</v>
      </c>
      <c r="U2130" t="s">
        <v>79</v>
      </c>
    </row>
    <row r="2131" spans="1:21" x14ac:dyDescent="0.35">
      <c r="A2131" t="s">
        <v>2210</v>
      </c>
      <c r="B2131" s="1">
        <v>46253</v>
      </c>
      <c r="C2131" t="str">
        <f>TEXT(tblData[[#This Row],[Rental Date]],"mmm")</f>
        <v>Aug</v>
      </c>
      <c r="D2131" t="str">
        <f>TEXT(tblData[[#This Row],[Rental Date]],"mmmm")</f>
        <v>August</v>
      </c>
      <c r="E2131" t="s">
        <v>109</v>
      </c>
      <c r="F2131" t="str">
        <f>TEXT(WEEKNUM(tblData[[#This Row],[Rental Date]]),"00")</f>
        <v>34</v>
      </c>
      <c r="G2131" s="1">
        <f>EOMONTH(tblData[[#This Row],[Rental Date]],0)</f>
        <v>46265</v>
      </c>
      <c r="H2131" t="s">
        <v>749</v>
      </c>
      <c r="I2131" t="s">
        <v>23</v>
      </c>
      <c r="J2131" t="s">
        <v>127</v>
      </c>
      <c r="K2131" t="s">
        <v>25</v>
      </c>
      <c r="L2131">
        <v>1</v>
      </c>
      <c r="M2131" s="2">
        <v>17.920000000000002</v>
      </c>
      <c r="N2131" t="s">
        <v>26</v>
      </c>
      <c r="O2131" s="3">
        <v>0</v>
      </c>
      <c r="P2131" s="3">
        <v>0</v>
      </c>
      <c r="Q2131" s="2">
        <v>17.920000000000002</v>
      </c>
      <c r="R2131" t="s">
        <v>42</v>
      </c>
      <c r="S2131" t="s">
        <v>28</v>
      </c>
      <c r="T2131" t="s">
        <v>51</v>
      </c>
      <c r="U2131" t="s">
        <v>58</v>
      </c>
    </row>
    <row r="2132" spans="1:21" x14ac:dyDescent="0.35">
      <c r="A2132" t="s">
        <v>2211</v>
      </c>
      <c r="B2132" s="1">
        <v>46253</v>
      </c>
      <c r="C2132" t="str">
        <f>TEXT(tblData[[#This Row],[Rental Date]],"mmm")</f>
        <v>Aug</v>
      </c>
      <c r="D2132" t="str">
        <f>TEXT(tblData[[#This Row],[Rental Date]],"mmmm")</f>
        <v>August</v>
      </c>
      <c r="E2132" t="s">
        <v>109</v>
      </c>
      <c r="F2132" t="str">
        <f>TEXT(WEEKNUM(tblData[[#This Row],[Rental Date]]),"00")</f>
        <v>34</v>
      </c>
      <c r="G2132" s="1">
        <f>EOMONTH(tblData[[#This Row],[Rental Date]],0)</f>
        <v>46265</v>
      </c>
      <c r="H2132" t="s">
        <v>749</v>
      </c>
      <c r="I2132" t="s">
        <v>48</v>
      </c>
      <c r="J2132" t="s">
        <v>33</v>
      </c>
      <c r="K2132" t="s">
        <v>40</v>
      </c>
      <c r="L2132">
        <v>1</v>
      </c>
      <c r="M2132" s="2">
        <v>64.959999999999994</v>
      </c>
      <c r="N2132" t="s">
        <v>26</v>
      </c>
      <c r="O2132" s="3">
        <v>0</v>
      </c>
      <c r="P2132" s="3">
        <v>0</v>
      </c>
      <c r="Q2132" s="2">
        <v>64.959999999999994</v>
      </c>
      <c r="R2132" t="s">
        <v>66</v>
      </c>
      <c r="S2132" t="s">
        <v>46</v>
      </c>
      <c r="T2132" t="s">
        <v>29</v>
      </c>
      <c r="U2132" t="s">
        <v>58</v>
      </c>
    </row>
    <row r="2133" spans="1:21" x14ac:dyDescent="0.35">
      <c r="A2133" t="s">
        <v>2212</v>
      </c>
      <c r="B2133" s="1">
        <v>46253</v>
      </c>
      <c r="C2133" t="str">
        <f>TEXT(tblData[[#This Row],[Rental Date]],"mmm")</f>
        <v>Aug</v>
      </c>
      <c r="D2133" t="str">
        <f>TEXT(tblData[[#This Row],[Rental Date]],"mmmm")</f>
        <v>August</v>
      </c>
      <c r="E2133" t="s">
        <v>109</v>
      </c>
      <c r="F2133" t="str">
        <f>TEXT(WEEKNUM(tblData[[#This Row],[Rental Date]]),"00")</f>
        <v>34</v>
      </c>
      <c r="G2133" s="1">
        <f>EOMONTH(tblData[[#This Row],[Rental Date]],0)</f>
        <v>46265</v>
      </c>
      <c r="H2133" t="s">
        <v>749</v>
      </c>
      <c r="I2133" t="s">
        <v>39</v>
      </c>
      <c r="J2133" t="s">
        <v>33</v>
      </c>
      <c r="K2133" t="s">
        <v>25</v>
      </c>
      <c r="L2133">
        <v>1</v>
      </c>
      <c r="M2133" s="2">
        <v>42.56</v>
      </c>
      <c r="N2133" t="s">
        <v>26</v>
      </c>
      <c r="O2133" s="3">
        <v>0</v>
      </c>
      <c r="P2133" s="3">
        <v>0</v>
      </c>
      <c r="Q2133" s="2">
        <v>42.56</v>
      </c>
      <c r="R2133" t="s">
        <v>94</v>
      </c>
      <c r="S2133" t="s">
        <v>35</v>
      </c>
      <c r="T2133" t="s">
        <v>29</v>
      </c>
      <c r="U2133" t="s">
        <v>30</v>
      </c>
    </row>
    <row r="2134" spans="1:21" x14ac:dyDescent="0.35">
      <c r="A2134" t="s">
        <v>2213</v>
      </c>
      <c r="B2134" s="1">
        <v>46254</v>
      </c>
      <c r="C2134" t="str">
        <f>TEXT(tblData[[#This Row],[Rental Date]],"mmm")</f>
        <v>Aug</v>
      </c>
      <c r="D2134" t="str">
        <f>TEXT(tblData[[#This Row],[Rental Date]],"mmmm")</f>
        <v>August</v>
      </c>
      <c r="E2134" t="s">
        <v>21</v>
      </c>
      <c r="F2134" t="str">
        <f>TEXT(WEEKNUM(tblData[[#This Row],[Rental Date]]),"00")</f>
        <v>34</v>
      </c>
      <c r="G2134" s="1">
        <f>EOMONTH(tblData[[#This Row],[Rental Date]],0)</f>
        <v>46265</v>
      </c>
      <c r="H2134" t="s">
        <v>749</v>
      </c>
      <c r="I2134" t="s">
        <v>23</v>
      </c>
      <c r="J2134" t="s">
        <v>24</v>
      </c>
      <c r="K2134" t="s">
        <v>40</v>
      </c>
      <c r="L2134">
        <v>1</v>
      </c>
      <c r="M2134" s="2">
        <v>85.12</v>
      </c>
      <c r="N2134" t="s">
        <v>26</v>
      </c>
      <c r="O2134" s="3">
        <v>0</v>
      </c>
      <c r="P2134" s="3">
        <v>0</v>
      </c>
      <c r="Q2134" s="2">
        <v>85.12</v>
      </c>
      <c r="R2134" t="s">
        <v>42</v>
      </c>
      <c r="S2134" t="s">
        <v>50</v>
      </c>
      <c r="T2134" t="s">
        <v>90</v>
      </c>
      <c r="U2134" t="s">
        <v>30</v>
      </c>
    </row>
    <row r="2135" spans="1:21" x14ac:dyDescent="0.35">
      <c r="A2135" t="s">
        <v>2214</v>
      </c>
      <c r="B2135" s="1">
        <v>46254</v>
      </c>
      <c r="C2135" t="str">
        <f>TEXT(tblData[[#This Row],[Rental Date]],"mmm")</f>
        <v>Aug</v>
      </c>
      <c r="D2135" t="str">
        <f>TEXT(tblData[[#This Row],[Rental Date]],"mmmm")</f>
        <v>August</v>
      </c>
      <c r="E2135" t="s">
        <v>21</v>
      </c>
      <c r="F2135" t="str">
        <f>TEXT(WEEKNUM(tblData[[#This Row],[Rental Date]]),"00")</f>
        <v>34</v>
      </c>
      <c r="G2135" s="1">
        <f>EOMONTH(tblData[[#This Row],[Rental Date]],0)</f>
        <v>46265</v>
      </c>
      <c r="H2135" t="s">
        <v>749</v>
      </c>
      <c r="I2135" t="s">
        <v>39</v>
      </c>
      <c r="J2135" t="s">
        <v>65</v>
      </c>
      <c r="K2135" t="s">
        <v>25</v>
      </c>
      <c r="L2135">
        <v>1</v>
      </c>
      <c r="M2135" s="2">
        <v>20.16</v>
      </c>
      <c r="N2135" t="s">
        <v>26</v>
      </c>
      <c r="O2135" s="3">
        <v>0</v>
      </c>
      <c r="P2135" s="3">
        <v>0</v>
      </c>
      <c r="Q2135" s="2">
        <v>20.16</v>
      </c>
      <c r="R2135" t="s">
        <v>45</v>
      </c>
      <c r="S2135" t="s">
        <v>54</v>
      </c>
      <c r="T2135" t="s">
        <v>29</v>
      </c>
      <c r="U2135" t="s">
        <v>30</v>
      </c>
    </row>
    <row r="2136" spans="1:21" x14ac:dyDescent="0.35">
      <c r="A2136" t="s">
        <v>2215</v>
      </c>
      <c r="B2136" s="1">
        <v>46254</v>
      </c>
      <c r="C2136" t="str">
        <f>TEXT(tblData[[#This Row],[Rental Date]],"mmm")</f>
        <v>Aug</v>
      </c>
      <c r="D2136" t="str">
        <f>TEXT(tblData[[#This Row],[Rental Date]],"mmmm")</f>
        <v>August</v>
      </c>
      <c r="E2136" t="s">
        <v>21</v>
      </c>
      <c r="F2136" t="str">
        <f>TEXT(WEEKNUM(tblData[[#This Row],[Rental Date]]),"00")</f>
        <v>34</v>
      </c>
      <c r="G2136" s="1">
        <f>EOMONTH(tblData[[#This Row],[Rental Date]],0)</f>
        <v>46265</v>
      </c>
      <c r="H2136" t="s">
        <v>749</v>
      </c>
      <c r="I2136" t="s">
        <v>39</v>
      </c>
      <c r="J2136" t="s">
        <v>78</v>
      </c>
      <c r="K2136" t="s">
        <v>25</v>
      </c>
      <c r="L2136">
        <v>1</v>
      </c>
      <c r="M2136" s="2">
        <v>47.04</v>
      </c>
      <c r="N2136" t="s">
        <v>61</v>
      </c>
      <c r="O2136" s="3">
        <v>8</v>
      </c>
      <c r="P2136" s="3">
        <v>0</v>
      </c>
      <c r="Q2136" s="2">
        <v>55.04</v>
      </c>
      <c r="R2136" t="s">
        <v>27</v>
      </c>
      <c r="S2136" t="s">
        <v>28</v>
      </c>
      <c r="T2136" t="s">
        <v>51</v>
      </c>
      <c r="U2136" t="s">
        <v>30</v>
      </c>
    </row>
    <row r="2137" spans="1:21" x14ac:dyDescent="0.35">
      <c r="A2137" t="s">
        <v>2216</v>
      </c>
      <c r="B2137" s="1">
        <v>46254</v>
      </c>
      <c r="C2137" t="str">
        <f>TEXT(tblData[[#This Row],[Rental Date]],"mmm")</f>
        <v>Aug</v>
      </c>
      <c r="D2137" t="str">
        <f>TEXT(tblData[[#This Row],[Rental Date]],"mmmm")</f>
        <v>August</v>
      </c>
      <c r="E2137" t="s">
        <v>21</v>
      </c>
      <c r="F2137" t="str">
        <f>TEXT(WEEKNUM(tblData[[#This Row],[Rental Date]]),"00")</f>
        <v>34</v>
      </c>
      <c r="G2137" s="1">
        <f>EOMONTH(tblData[[#This Row],[Rental Date]],0)</f>
        <v>46265</v>
      </c>
      <c r="H2137" t="s">
        <v>749</v>
      </c>
      <c r="I2137" t="s">
        <v>48</v>
      </c>
      <c r="J2137" t="s">
        <v>78</v>
      </c>
      <c r="K2137" t="s">
        <v>25</v>
      </c>
      <c r="L2137">
        <v>1</v>
      </c>
      <c r="M2137" s="2">
        <v>47.04</v>
      </c>
      <c r="N2137" t="s">
        <v>26</v>
      </c>
      <c r="O2137" s="3">
        <v>0</v>
      </c>
      <c r="P2137" s="3">
        <v>0</v>
      </c>
      <c r="Q2137" s="2">
        <v>47.04</v>
      </c>
      <c r="R2137" t="s">
        <v>27</v>
      </c>
      <c r="S2137" t="s">
        <v>28</v>
      </c>
      <c r="T2137" t="s">
        <v>29</v>
      </c>
      <c r="U2137" t="s">
        <v>30</v>
      </c>
    </row>
    <row r="2138" spans="1:21" x14ac:dyDescent="0.35">
      <c r="A2138" t="s">
        <v>2217</v>
      </c>
      <c r="B2138" s="1">
        <v>46254</v>
      </c>
      <c r="C2138" t="str">
        <f>TEXT(tblData[[#This Row],[Rental Date]],"mmm")</f>
        <v>Aug</v>
      </c>
      <c r="D2138" t="str">
        <f>TEXT(tblData[[#This Row],[Rental Date]],"mmmm")</f>
        <v>August</v>
      </c>
      <c r="E2138" t="s">
        <v>21</v>
      </c>
      <c r="F2138" t="str">
        <f>TEXT(WEEKNUM(tblData[[#This Row],[Rental Date]]),"00")</f>
        <v>34</v>
      </c>
      <c r="G2138" s="1">
        <f>EOMONTH(tblData[[#This Row],[Rental Date]],0)</f>
        <v>46265</v>
      </c>
      <c r="H2138" t="s">
        <v>749</v>
      </c>
      <c r="I2138" t="s">
        <v>48</v>
      </c>
      <c r="J2138" t="s">
        <v>49</v>
      </c>
      <c r="K2138" t="s">
        <v>92</v>
      </c>
      <c r="L2138">
        <v>1</v>
      </c>
      <c r="M2138" s="2">
        <v>85.12</v>
      </c>
      <c r="N2138" t="s">
        <v>61</v>
      </c>
      <c r="O2138" s="3">
        <v>8</v>
      </c>
      <c r="P2138" s="3">
        <v>0</v>
      </c>
      <c r="Q2138" s="2">
        <v>93.12</v>
      </c>
      <c r="R2138" t="s">
        <v>57</v>
      </c>
      <c r="S2138" t="s">
        <v>54</v>
      </c>
      <c r="T2138" t="s">
        <v>90</v>
      </c>
      <c r="U2138" t="s">
        <v>36</v>
      </c>
    </row>
    <row r="2139" spans="1:21" x14ac:dyDescent="0.35">
      <c r="A2139" t="s">
        <v>2218</v>
      </c>
      <c r="B2139" s="1">
        <v>46254</v>
      </c>
      <c r="C2139" t="str">
        <f>TEXT(tblData[[#This Row],[Rental Date]],"mmm")</f>
        <v>Aug</v>
      </c>
      <c r="D2139" t="str">
        <f>TEXT(tblData[[#This Row],[Rental Date]],"mmmm")</f>
        <v>August</v>
      </c>
      <c r="E2139" t="s">
        <v>21</v>
      </c>
      <c r="F2139" t="str">
        <f>TEXT(WEEKNUM(tblData[[#This Row],[Rental Date]]),"00")</f>
        <v>34</v>
      </c>
      <c r="G2139" s="1">
        <f>EOMONTH(tblData[[#This Row],[Rental Date]],0)</f>
        <v>46265</v>
      </c>
      <c r="H2139" t="s">
        <v>749</v>
      </c>
      <c r="I2139" t="s">
        <v>23</v>
      </c>
      <c r="J2139" t="s">
        <v>33</v>
      </c>
      <c r="K2139" t="s">
        <v>40</v>
      </c>
      <c r="L2139">
        <v>1</v>
      </c>
      <c r="M2139" s="2">
        <v>64.959999999999994</v>
      </c>
      <c r="N2139" t="s">
        <v>87</v>
      </c>
      <c r="O2139" s="3">
        <v>10</v>
      </c>
      <c r="P2139" s="3">
        <v>0</v>
      </c>
      <c r="Q2139" s="2">
        <v>74.959999999999994</v>
      </c>
      <c r="R2139" t="s">
        <v>76</v>
      </c>
      <c r="S2139" t="s">
        <v>54</v>
      </c>
      <c r="T2139" t="s">
        <v>29</v>
      </c>
      <c r="U2139" t="s">
        <v>30</v>
      </c>
    </row>
    <row r="2140" spans="1:21" x14ac:dyDescent="0.35">
      <c r="A2140" t="s">
        <v>2219</v>
      </c>
      <c r="B2140" s="1">
        <v>46254</v>
      </c>
      <c r="C2140" t="str">
        <f>TEXT(tblData[[#This Row],[Rental Date]],"mmm")</f>
        <v>Aug</v>
      </c>
      <c r="D2140" t="str">
        <f>TEXT(tblData[[#This Row],[Rental Date]],"mmmm")</f>
        <v>August</v>
      </c>
      <c r="E2140" t="s">
        <v>21</v>
      </c>
      <c r="F2140" t="str">
        <f>TEXT(WEEKNUM(tblData[[#This Row],[Rental Date]]),"00")</f>
        <v>34</v>
      </c>
      <c r="G2140" s="1">
        <f>EOMONTH(tblData[[#This Row],[Rental Date]],0)</f>
        <v>46265</v>
      </c>
      <c r="H2140" t="s">
        <v>749</v>
      </c>
      <c r="I2140" t="s">
        <v>48</v>
      </c>
      <c r="J2140" t="s">
        <v>33</v>
      </c>
      <c r="K2140" t="s">
        <v>40</v>
      </c>
      <c r="L2140">
        <v>1</v>
      </c>
      <c r="M2140" s="2">
        <v>64.959999999999994</v>
      </c>
      <c r="N2140" t="s">
        <v>75</v>
      </c>
      <c r="O2140" s="3">
        <v>12</v>
      </c>
      <c r="P2140" s="3">
        <v>0</v>
      </c>
      <c r="Q2140" s="2">
        <v>76.959999999999994</v>
      </c>
      <c r="R2140" t="s">
        <v>57</v>
      </c>
      <c r="S2140" t="s">
        <v>54</v>
      </c>
      <c r="T2140" t="s">
        <v>29</v>
      </c>
      <c r="U2140" t="s">
        <v>30</v>
      </c>
    </row>
    <row r="2141" spans="1:21" x14ac:dyDescent="0.35">
      <c r="A2141" t="s">
        <v>2220</v>
      </c>
      <c r="B2141" s="1">
        <v>46254</v>
      </c>
      <c r="C2141" t="str">
        <f>TEXT(tblData[[#This Row],[Rental Date]],"mmm")</f>
        <v>Aug</v>
      </c>
      <c r="D2141" t="str">
        <f>TEXT(tblData[[#This Row],[Rental Date]],"mmmm")</f>
        <v>August</v>
      </c>
      <c r="E2141" t="s">
        <v>21</v>
      </c>
      <c r="F2141" t="str">
        <f>TEXT(WEEKNUM(tblData[[#This Row],[Rental Date]]),"00")</f>
        <v>34</v>
      </c>
      <c r="G2141" s="1">
        <f>EOMONTH(tblData[[#This Row],[Rental Date]],0)</f>
        <v>46265</v>
      </c>
      <c r="H2141" t="s">
        <v>749</v>
      </c>
      <c r="I2141" t="s">
        <v>39</v>
      </c>
      <c r="J2141" t="s">
        <v>111</v>
      </c>
      <c r="K2141" t="s">
        <v>40</v>
      </c>
      <c r="L2141">
        <v>1</v>
      </c>
      <c r="M2141" s="2">
        <v>38.08</v>
      </c>
      <c r="N2141" t="s">
        <v>41</v>
      </c>
      <c r="O2141" s="3">
        <v>5</v>
      </c>
      <c r="P2141" s="3">
        <v>0</v>
      </c>
      <c r="Q2141" s="2">
        <v>43.08</v>
      </c>
      <c r="R2141" t="s">
        <v>66</v>
      </c>
      <c r="S2141" t="s">
        <v>28</v>
      </c>
      <c r="T2141" t="s">
        <v>63</v>
      </c>
      <c r="U2141" t="s">
        <v>30</v>
      </c>
    </row>
    <row r="2142" spans="1:21" x14ac:dyDescent="0.35">
      <c r="A2142" t="s">
        <v>2221</v>
      </c>
      <c r="B2142" s="1">
        <v>46254</v>
      </c>
      <c r="C2142" t="str">
        <f>TEXT(tblData[[#This Row],[Rental Date]],"mmm")</f>
        <v>Aug</v>
      </c>
      <c r="D2142" t="str">
        <f>TEXT(tblData[[#This Row],[Rental Date]],"mmmm")</f>
        <v>August</v>
      </c>
      <c r="E2142" t="s">
        <v>21</v>
      </c>
      <c r="F2142" t="str">
        <f>TEXT(WEEKNUM(tblData[[#This Row],[Rental Date]]),"00")</f>
        <v>34</v>
      </c>
      <c r="G2142" s="1">
        <f>EOMONTH(tblData[[#This Row],[Rental Date]],0)</f>
        <v>46265</v>
      </c>
      <c r="H2142" t="s">
        <v>749</v>
      </c>
      <c r="I2142" t="s">
        <v>23</v>
      </c>
      <c r="J2142" t="s">
        <v>111</v>
      </c>
      <c r="K2142" t="s">
        <v>60</v>
      </c>
      <c r="L2142">
        <v>1</v>
      </c>
      <c r="M2142" s="2">
        <v>15.68</v>
      </c>
      <c r="N2142" t="s">
        <v>41</v>
      </c>
      <c r="O2142" s="3">
        <v>5</v>
      </c>
      <c r="P2142" s="3">
        <v>0</v>
      </c>
      <c r="Q2142" s="2">
        <v>20.68</v>
      </c>
      <c r="R2142" t="s">
        <v>42</v>
      </c>
      <c r="S2142" t="s">
        <v>54</v>
      </c>
      <c r="T2142" t="s">
        <v>90</v>
      </c>
      <c r="U2142" t="s">
        <v>79</v>
      </c>
    </row>
    <row r="2143" spans="1:21" x14ac:dyDescent="0.35">
      <c r="A2143" t="s">
        <v>2222</v>
      </c>
      <c r="B2143" s="1">
        <v>46255</v>
      </c>
      <c r="C2143" t="str">
        <f>TEXT(tblData[[#This Row],[Rental Date]],"mmm")</f>
        <v>Aug</v>
      </c>
      <c r="D2143" t="str">
        <f>TEXT(tblData[[#This Row],[Rental Date]],"mmmm")</f>
        <v>August</v>
      </c>
      <c r="E2143" t="s">
        <v>38</v>
      </c>
      <c r="F2143" t="str">
        <f>TEXT(WEEKNUM(tblData[[#This Row],[Rental Date]]),"00")</f>
        <v>34</v>
      </c>
      <c r="G2143" s="1">
        <f>EOMONTH(tblData[[#This Row],[Rental Date]],0)</f>
        <v>46265</v>
      </c>
      <c r="H2143" t="s">
        <v>749</v>
      </c>
      <c r="I2143" t="s">
        <v>48</v>
      </c>
      <c r="J2143" t="s">
        <v>24</v>
      </c>
      <c r="K2143" t="s">
        <v>40</v>
      </c>
      <c r="L2143">
        <v>1</v>
      </c>
      <c r="M2143" s="2">
        <v>85.12</v>
      </c>
      <c r="N2143" t="s">
        <v>26</v>
      </c>
      <c r="O2143" s="3">
        <v>0</v>
      </c>
      <c r="P2143" s="3">
        <v>0</v>
      </c>
      <c r="Q2143" s="2">
        <v>85.12</v>
      </c>
      <c r="R2143" t="s">
        <v>34</v>
      </c>
      <c r="S2143" t="s">
        <v>35</v>
      </c>
      <c r="T2143" t="s">
        <v>29</v>
      </c>
      <c r="U2143" t="s">
        <v>30</v>
      </c>
    </row>
    <row r="2144" spans="1:21" x14ac:dyDescent="0.35">
      <c r="A2144" t="s">
        <v>2223</v>
      </c>
      <c r="B2144" s="1">
        <v>46255</v>
      </c>
      <c r="C2144" t="str">
        <f>TEXT(tblData[[#This Row],[Rental Date]],"mmm")</f>
        <v>Aug</v>
      </c>
      <c r="D2144" t="str">
        <f>TEXT(tblData[[#This Row],[Rental Date]],"mmmm")</f>
        <v>August</v>
      </c>
      <c r="E2144" t="s">
        <v>38</v>
      </c>
      <c r="F2144" t="str">
        <f>TEXT(WEEKNUM(tblData[[#This Row],[Rental Date]]),"00")</f>
        <v>34</v>
      </c>
      <c r="G2144" s="1">
        <f>EOMONTH(tblData[[#This Row],[Rental Date]],0)</f>
        <v>46265</v>
      </c>
      <c r="H2144" t="s">
        <v>749</v>
      </c>
      <c r="I2144" t="s">
        <v>48</v>
      </c>
      <c r="J2144" t="s">
        <v>44</v>
      </c>
      <c r="K2144" t="s">
        <v>60</v>
      </c>
      <c r="L2144">
        <v>1</v>
      </c>
      <c r="M2144" s="2">
        <v>38.08</v>
      </c>
      <c r="N2144" t="s">
        <v>26</v>
      </c>
      <c r="O2144" s="3">
        <v>0</v>
      </c>
      <c r="P2144" s="3">
        <v>0</v>
      </c>
      <c r="Q2144" s="2">
        <v>38.08</v>
      </c>
      <c r="R2144" t="s">
        <v>71</v>
      </c>
      <c r="S2144" t="s">
        <v>54</v>
      </c>
      <c r="T2144" t="s">
        <v>63</v>
      </c>
      <c r="U2144" t="s">
        <v>30</v>
      </c>
    </row>
    <row r="2145" spans="1:21" x14ac:dyDescent="0.35">
      <c r="A2145" t="s">
        <v>2224</v>
      </c>
      <c r="B2145" s="1">
        <v>46255</v>
      </c>
      <c r="C2145" t="str">
        <f>TEXT(tblData[[#This Row],[Rental Date]],"mmm")</f>
        <v>Aug</v>
      </c>
      <c r="D2145" t="str">
        <f>TEXT(tblData[[#This Row],[Rental Date]],"mmmm")</f>
        <v>August</v>
      </c>
      <c r="E2145" t="s">
        <v>38</v>
      </c>
      <c r="F2145" t="str">
        <f>TEXT(WEEKNUM(tblData[[#This Row],[Rental Date]]),"00")</f>
        <v>34</v>
      </c>
      <c r="G2145" s="1">
        <f>EOMONTH(tblData[[#This Row],[Rental Date]],0)</f>
        <v>46265</v>
      </c>
      <c r="H2145" t="s">
        <v>749</v>
      </c>
      <c r="I2145" t="s">
        <v>48</v>
      </c>
      <c r="J2145" t="s">
        <v>127</v>
      </c>
      <c r="K2145" t="s">
        <v>92</v>
      </c>
      <c r="L2145">
        <v>1</v>
      </c>
      <c r="M2145" s="2">
        <v>38.08</v>
      </c>
      <c r="N2145" t="s">
        <v>26</v>
      </c>
      <c r="O2145" s="3">
        <v>0</v>
      </c>
      <c r="P2145" s="3">
        <v>0</v>
      </c>
      <c r="Q2145" s="2">
        <v>38.08</v>
      </c>
      <c r="R2145" t="s">
        <v>66</v>
      </c>
      <c r="S2145" t="s">
        <v>50</v>
      </c>
      <c r="T2145" t="s">
        <v>29</v>
      </c>
      <c r="U2145" t="s">
        <v>30</v>
      </c>
    </row>
    <row r="2146" spans="1:21" x14ac:dyDescent="0.35">
      <c r="A2146" t="s">
        <v>2225</v>
      </c>
      <c r="B2146" s="1">
        <v>46255</v>
      </c>
      <c r="C2146" t="str">
        <f>TEXT(tblData[[#This Row],[Rental Date]],"mmm")</f>
        <v>Aug</v>
      </c>
      <c r="D2146" t="str">
        <f>TEXT(tblData[[#This Row],[Rental Date]],"mmmm")</f>
        <v>August</v>
      </c>
      <c r="E2146" t="s">
        <v>38</v>
      </c>
      <c r="F2146" t="str">
        <f>TEXT(WEEKNUM(tblData[[#This Row],[Rental Date]]),"00")</f>
        <v>34</v>
      </c>
      <c r="G2146" s="1">
        <f>EOMONTH(tblData[[#This Row],[Rental Date]],0)</f>
        <v>46265</v>
      </c>
      <c r="H2146" t="s">
        <v>749</v>
      </c>
      <c r="I2146" t="s">
        <v>23</v>
      </c>
      <c r="J2146" t="s">
        <v>78</v>
      </c>
      <c r="K2146" t="s">
        <v>40</v>
      </c>
      <c r="L2146">
        <v>1</v>
      </c>
      <c r="M2146" s="2">
        <v>69.44</v>
      </c>
      <c r="N2146" t="s">
        <v>26</v>
      </c>
      <c r="O2146" s="3">
        <v>0</v>
      </c>
      <c r="P2146" s="3">
        <v>0</v>
      </c>
      <c r="Q2146" s="2">
        <v>69.44</v>
      </c>
      <c r="R2146" t="s">
        <v>42</v>
      </c>
      <c r="S2146" t="s">
        <v>46</v>
      </c>
      <c r="T2146" t="s">
        <v>63</v>
      </c>
      <c r="U2146" t="s">
        <v>30</v>
      </c>
    </row>
    <row r="2147" spans="1:21" x14ac:dyDescent="0.35">
      <c r="A2147" t="s">
        <v>2226</v>
      </c>
      <c r="B2147" s="1">
        <v>46255</v>
      </c>
      <c r="C2147" t="str">
        <f>TEXT(tblData[[#This Row],[Rental Date]],"mmm")</f>
        <v>Aug</v>
      </c>
      <c r="D2147" t="str">
        <f>TEXT(tblData[[#This Row],[Rental Date]],"mmmm")</f>
        <v>August</v>
      </c>
      <c r="E2147" t="s">
        <v>38</v>
      </c>
      <c r="F2147" t="str">
        <f>TEXT(WEEKNUM(tblData[[#This Row],[Rental Date]]),"00")</f>
        <v>34</v>
      </c>
      <c r="G2147" s="1">
        <f>EOMONTH(tblData[[#This Row],[Rental Date]],0)</f>
        <v>46265</v>
      </c>
      <c r="H2147" t="s">
        <v>749</v>
      </c>
      <c r="I2147" t="s">
        <v>32</v>
      </c>
      <c r="J2147" t="s">
        <v>33</v>
      </c>
      <c r="K2147" t="s">
        <v>40</v>
      </c>
      <c r="L2147">
        <v>1</v>
      </c>
      <c r="M2147" s="2">
        <v>64.959999999999994</v>
      </c>
      <c r="N2147" t="s">
        <v>61</v>
      </c>
      <c r="O2147" s="3">
        <v>8</v>
      </c>
      <c r="P2147" s="3">
        <v>0</v>
      </c>
      <c r="Q2147" s="2">
        <v>72.959999999999994</v>
      </c>
      <c r="R2147" t="s">
        <v>94</v>
      </c>
      <c r="S2147" t="s">
        <v>50</v>
      </c>
      <c r="T2147" t="s">
        <v>51</v>
      </c>
      <c r="U2147" t="s">
        <v>58</v>
      </c>
    </row>
    <row r="2148" spans="1:21" x14ac:dyDescent="0.35">
      <c r="A2148" t="s">
        <v>2227</v>
      </c>
      <c r="B2148" s="1">
        <v>46255</v>
      </c>
      <c r="C2148" t="str">
        <f>TEXT(tblData[[#This Row],[Rental Date]],"mmm")</f>
        <v>Aug</v>
      </c>
      <c r="D2148" t="str">
        <f>TEXT(tblData[[#This Row],[Rental Date]],"mmmm")</f>
        <v>August</v>
      </c>
      <c r="E2148" t="s">
        <v>38</v>
      </c>
      <c r="F2148" t="str">
        <f>TEXT(WEEKNUM(tblData[[#This Row],[Rental Date]]),"00")</f>
        <v>34</v>
      </c>
      <c r="G2148" s="1">
        <f>EOMONTH(tblData[[#This Row],[Rental Date]],0)</f>
        <v>46265</v>
      </c>
      <c r="H2148" t="s">
        <v>749</v>
      </c>
      <c r="I2148" t="s">
        <v>23</v>
      </c>
      <c r="J2148" t="s">
        <v>78</v>
      </c>
      <c r="K2148" t="s">
        <v>60</v>
      </c>
      <c r="L2148">
        <v>1</v>
      </c>
      <c r="M2148" s="2">
        <v>29.12</v>
      </c>
      <c r="N2148" t="s">
        <v>26</v>
      </c>
      <c r="O2148" s="3">
        <v>0</v>
      </c>
      <c r="P2148" s="3">
        <v>0</v>
      </c>
      <c r="Q2148" s="2">
        <v>29.12</v>
      </c>
      <c r="R2148" t="s">
        <v>45</v>
      </c>
      <c r="S2148" t="s">
        <v>35</v>
      </c>
      <c r="T2148" t="s">
        <v>29</v>
      </c>
      <c r="U2148" t="s">
        <v>30</v>
      </c>
    </row>
    <row r="2149" spans="1:21" x14ac:dyDescent="0.35">
      <c r="A2149" t="s">
        <v>2228</v>
      </c>
      <c r="B2149" s="1">
        <v>46255</v>
      </c>
      <c r="C2149" t="str">
        <f>TEXT(tblData[[#This Row],[Rental Date]],"mmm")</f>
        <v>Aug</v>
      </c>
      <c r="D2149" t="str">
        <f>TEXT(tblData[[#This Row],[Rental Date]],"mmmm")</f>
        <v>August</v>
      </c>
      <c r="E2149" t="s">
        <v>38</v>
      </c>
      <c r="F2149" t="str">
        <f>TEXT(WEEKNUM(tblData[[#This Row],[Rental Date]]),"00")</f>
        <v>34</v>
      </c>
      <c r="G2149" s="1">
        <f>EOMONTH(tblData[[#This Row],[Rental Date]],0)</f>
        <v>46265</v>
      </c>
      <c r="H2149" t="s">
        <v>749</v>
      </c>
      <c r="I2149" t="s">
        <v>48</v>
      </c>
      <c r="J2149" t="s">
        <v>78</v>
      </c>
      <c r="K2149" t="s">
        <v>25</v>
      </c>
      <c r="L2149">
        <v>1</v>
      </c>
      <c r="M2149" s="2">
        <v>47.04</v>
      </c>
      <c r="N2149" t="s">
        <v>26</v>
      </c>
      <c r="O2149" s="3">
        <v>0</v>
      </c>
      <c r="P2149" s="3">
        <v>0</v>
      </c>
      <c r="Q2149" s="2">
        <v>47.04</v>
      </c>
      <c r="R2149" t="s">
        <v>94</v>
      </c>
      <c r="S2149" t="s">
        <v>35</v>
      </c>
      <c r="T2149" t="s">
        <v>51</v>
      </c>
      <c r="U2149" t="s">
        <v>30</v>
      </c>
    </row>
    <row r="2150" spans="1:21" x14ac:dyDescent="0.35">
      <c r="A2150" t="s">
        <v>2229</v>
      </c>
      <c r="B2150" s="1">
        <v>46255</v>
      </c>
      <c r="C2150" t="str">
        <f>TEXT(tblData[[#This Row],[Rental Date]],"mmm")</f>
        <v>Aug</v>
      </c>
      <c r="D2150" t="str">
        <f>TEXT(tblData[[#This Row],[Rental Date]],"mmmm")</f>
        <v>August</v>
      </c>
      <c r="E2150" t="s">
        <v>38</v>
      </c>
      <c r="F2150" t="str">
        <f>TEXT(WEEKNUM(tblData[[#This Row],[Rental Date]]),"00")</f>
        <v>34</v>
      </c>
      <c r="G2150" s="1">
        <f>EOMONTH(tblData[[#This Row],[Rental Date]],0)</f>
        <v>46265</v>
      </c>
      <c r="H2150" t="s">
        <v>749</v>
      </c>
      <c r="I2150" t="s">
        <v>53</v>
      </c>
      <c r="J2150" t="s">
        <v>24</v>
      </c>
      <c r="K2150" t="s">
        <v>40</v>
      </c>
      <c r="L2150">
        <v>1</v>
      </c>
      <c r="M2150" s="2">
        <v>85.12</v>
      </c>
      <c r="N2150" t="s">
        <v>41</v>
      </c>
      <c r="O2150" s="3">
        <v>5</v>
      </c>
      <c r="P2150" s="3">
        <v>9.01</v>
      </c>
      <c r="Q2150" s="2">
        <v>81.11</v>
      </c>
      <c r="R2150" t="s">
        <v>57</v>
      </c>
      <c r="S2150" t="s">
        <v>50</v>
      </c>
      <c r="T2150" t="s">
        <v>51</v>
      </c>
      <c r="U2150" t="s">
        <v>30</v>
      </c>
    </row>
    <row r="2151" spans="1:21" x14ac:dyDescent="0.35">
      <c r="A2151" t="s">
        <v>2230</v>
      </c>
      <c r="B2151" s="1">
        <v>46255</v>
      </c>
      <c r="C2151" t="str">
        <f>TEXT(tblData[[#This Row],[Rental Date]],"mmm")</f>
        <v>Aug</v>
      </c>
      <c r="D2151" t="str">
        <f>TEXT(tblData[[#This Row],[Rental Date]],"mmmm")</f>
        <v>August</v>
      </c>
      <c r="E2151" t="s">
        <v>38</v>
      </c>
      <c r="F2151" t="str">
        <f>TEXT(WEEKNUM(tblData[[#This Row],[Rental Date]]),"00")</f>
        <v>34</v>
      </c>
      <c r="G2151" s="1">
        <f>EOMONTH(tblData[[#This Row],[Rental Date]],0)</f>
        <v>46265</v>
      </c>
      <c r="H2151" t="s">
        <v>749</v>
      </c>
      <c r="I2151" t="s">
        <v>39</v>
      </c>
      <c r="J2151" t="s">
        <v>138</v>
      </c>
      <c r="K2151" t="s">
        <v>60</v>
      </c>
      <c r="L2151">
        <v>1</v>
      </c>
      <c r="M2151" s="2">
        <v>33.6</v>
      </c>
      <c r="N2151" t="s">
        <v>87</v>
      </c>
      <c r="O2151" s="3">
        <v>10</v>
      </c>
      <c r="P2151" s="3">
        <v>0</v>
      </c>
      <c r="Q2151" s="2">
        <v>43.6</v>
      </c>
      <c r="R2151" t="s">
        <v>71</v>
      </c>
      <c r="S2151" t="s">
        <v>28</v>
      </c>
      <c r="T2151" t="s">
        <v>29</v>
      </c>
      <c r="U2151" t="s">
        <v>30</v>
      </c>
    </row>
    <row r="2152" spans="1:21" x14ac:dyDescent="0.35">
      <c r="A2152" t="s">
        <v>2231</v>
      </c>
      <c r="B2152" s="1">
        <v>46255</v>
      </c>
      <c r="C2152" t="str">
        <f>TEXT(tblData[[#This Row],[Rental Date]],"mmm")</f>
        <v>Aug</v>
      </c>
      <c r="D2152" t="str">
        <f>TEXT(tblData[[#This Row],[Rental Date]],"mmmm")</f>
        <v>August</v>
      </c>
      <c r="E2152" t="s">
        <v>38</v>
      </c>
      <c r="F2152" t="str">
        <f>TEXT(WEEKNUM(tblData[[#This Row],[Rental Date]]),"00")</f>
        <v>34</v>
      </c>
      <c r="G2152" s="1">
        <f>EOMONTH(tblData[[#This Row],[Rental Date]],0)</f>
        <v>46265</v>
      </c>
      <c r="H2152" t="s">
        <v>749</v>
      </c>
      <c r="I2152" t="s">
        <v>48</v>
      </c>
      <c r="J2152" t="s">
        <v>44</v>
      </c>
      <c r="K2152" t="s">
        <v>40</v>
      </c>
      <c r="L2152">
        <v>1</v>
      </c>
      <c r="M2152" s="2">
        <v>87.36</v>
      </c>
      <c r="N2152" t="s">
        <v>87</v>
      </c>
      <c r="O2152" s="3">
        <v>10</v>
      </c>
      <c r="P2152" s="3">
        <v>4.87</v>
      </c>
      <c r="Q2152" s="2">
        <v>92.49</v>
      </c>
      <c r="R2152" t="s">
        <v>76</v>
      </c>
      <c r="S2152" t="s">
        <v>50</v>
      </c>
      <c r="T2152" t="s">
        <v>29</v>
      </c>
      <c r="U2152" t="s">
        <v>30</v>
      </c>
    </row>
    <row r="2153" spans="1:21" x14ac:dyDescent="0.35">
      <c r="A2153" t="s">
        <v>2232</v>
      </c>
      <c r="B2153" s="1">
        <v>46255</v>
      </c>
      <c r="C2153" t="str">
        <f>TEXT(tblData[[#This Row],[Rental Date]],"mmm")</f>
        <v>Aug</v>
      </c>
      <c r="D2153" t="str">
        <f>TEXT(tblData[[#This Row],[Rental Date]],"mmmm")</f>
        <v>August</v>
      </c>
      <c r="E2153" t="s">
        <v>38</v>
      </c>
      <c r="F2153" t="str">
        <f>TEXT(WEEKNUM(tblData[[#This Row],[Rental Date]]),"00")</f>
        <v>34</v>
      </c>
      <c r="G2153" s="1">
        <f>EOMONTH(tblData[[#This Row],[Rental Date]],0)</f>
        <v>46265</v>
      </c>
      <c r="H2153" t="s">
        <v>749</v>
      </c>
      <c r="I2153" t="s">
        <v>23</v>
      </c>
      <c r="J2153" t="s">
        <v>44</v>
      </c>
      <c r="K2153" t="s">
        <v>25</v>
      </c>
      <c r="L2153">
        <v>1</v>
      </c>
      <c r="M2153" s="2">
        <v>58.24</v>
      </c>
      <c r="N2153" t="s">
        <v>26</v>
      </c>
      <c r="O2153" s="3">
        <v>0</v>
      </c>
      <c r="P2153" s="3">
        <v>0</v>
      </c>
      <c r="Q2153" s="2">
        <v>58.24</v>
      </c>
      <c r="R2153" t="s">
        <v>62</v>
      </c>
      <c r="S2153" t="s">
        <v>54</v>
      </c>
      <c r="T2153" t="s">
        <v>29</v>
      </c>
      <c r="U2153" t="s">
        <v>30</v>
      </c>
    </row>
    <row r="2154" spans="1:21" x14ac:dyDescent="0.35">
      <c r="A2154" t="s">
        <v>2233</v>
      </c>
      <c r="B2154" s="1">
        <v>46255</v>
      </c>
      <c r="C2154" t="str">
        <f>TEXT(tblData[[#This Row],[Rental Date]],"mmm")</f>
        <v>Aug</v>
      </c>
      <c r="D2154" t="str">
        <f>TEXT(tblData[[#This Row],[Rental Date]],"mmmm")</f>
        <v>August</v>
      </c>
      <c r="E2154" t="s">
        <v>38</v>
      </c>
      <c r="F2154" t="str">
        <f>TEXT(WEEKNUM(tblData[[#This Row],[Rental Date]]),"00")</f>
        <v>34</v>
      </c>
      <c r="G2154" s="1">
        <f>EOMONTH(tblData[[#This Row],[Rental Date]],0)</f>
        <v>46265</v>
      </c>
      <c r="H2154" t="s">
        <v>749</v>
      </c>
      <c r="I2154" t="s">
        <v>48</v>
      </c>
      <c r="J2154" t="s">
        <v>78</v>
      </c>
      <c r="K2154" t="s">
        <v>40</v>
      </c>
      <c r="L2154">
        <v>1</v>
      </c>
      <c r="M2154" s="2">
        <v>69.44</v>
      </c>
      <c r="N2154" t="s">
        <v>70</v>
      </c>
      <c r="O2154" s="3">
        <v>7</v>
      </c>
      <c r="P2154" s="3">
        <v>0</v>
      </c>
      <c r="Q2154" s="2">
        <v>76.44</v>
      </c>
      <c r="R2154" t="s">
        <v>62</v>
      </c>
      <c r="S2154" t="s">
        <v>35</v>
      </c>
      <c r="T2154" t="s">
        <v>83</v>
      </c>
      <c r="U2154" t="s">
        <v>30</v>
      </c>
    </row>
    <row r="2155" spans="1:21" x14ac:dyDescent="0.35">
      <c r="A2155" t="s">
        <v>2234</v>
      </c>
      <c r="B2155" s="1">
        <v>46255</v>
      </c>
      <c r="C2155" t="str">
        <f>TEXT(tblData[[#This Row],[Rental Date]],"mmm")</f>
        <v>Aug</v>
      </c>
      <c r="D2155" t="str">
        <f>TEXT(tblData[[#This Row],[Rental Date]],"mmmm")</f>
        <v>August</v>
      </c>
      <c r="E2155" t="s">
        <v>38</v>
      </c>
      <c r="F2155" t="str">
        <f>TEXT(WEEKNUM(tblData[[#This Row],[Rental Date]]),"00")</f>
        <v>34</v>
      </c>
      <c r="G2155" s="1">
        <f>EOMONTH(tblData[[#This Row],[Rental Date]],0)</f>
        <v>46265</v>
      </c>
      <c r="H2155" t="s">
        <v>749</v>
      </c>
      <c r="I2155" t="s">
        <v>39</v>
      </c>
      <c r="J2155" t="s">
        <v>24</v>
      </c>
      <c r="K2155" t="s">
        <v>40</v>
      </c>
      <c r="L2155">
        <v>1</v>
      </c>
      <c r="M2155" s="2">
        <v>85.12</v>
      </c>
      <c r="N2155" t="s">
        <v>89</v>
      </c>
      <c r="O2155" s="3">
        <v>6</v>
      </c>
      <c r="P2155" s="3">
        <v>0</v>
      </c>
      <c r="Q2155" s="2">
        <v>91.12</v>
      </c>
      <c r="R2155" t="s">
        <v>57</v>
      </c>
      <c r="S2155" t="s">
        <v>54</v>
      </c>
      <c r="T2155" t="s">
        <v>63</v>
      </c>
      <c r="U2155" t="s">
        <v>58</v>
      </c>
    </row>
    <row r="2156" spans="1:21" x14ac:dyDescent="0.35">
      <c r="A2156" t="s">
        <v>2235</v>
      </c>
      <c r="B2156" s="1">
        <v>46255</v>
      </c>
      <c r="C2156" t="str">
        <f>TEXT(tblData[[#This Row],[Rental Date]],"mmm")</f>
        <v>Aug</v>
      </c>
      <c r="D2156" t="str">
        <f>TEXT(tblData[[#This Row],[Rental Date]],"mmmm")</f>
        <v>August</v>
      </c>
      <c r="E2156" t="s">
        <v>38</v>
      </c>
      <c r="F2156" t="str">
        <f>TEXT(WEEKNUM(tblData[[#This Row],[Rental Date]]),"00")</f>
        <v>34</v>
      </c>
      <c r="G2156" s="1">
        <f>EOMONTH(tblData[[#This Row],[Rental Date]],0)</f>
        <v>46265</v>
      </c>
      <c r="H2156" t="s">
        <v>749</v>
      </c>
      <c r="I2156" t="s">
        <v>39</v>
      </c>
      <c r="J2156" t="s">
        <v>49</v>
      </c>
      <c r="K2156" t="s">
        <v>25</v>
      </c>
      <c r="L2156">
        <v>1</v>
      </c>
      <c r="M2156" s="2">
        <v>40.32</v>
      </c>
      <c r="N2156" t="s">
        <v>87</v>
      </c>
      <c r="O2156" s="3">
        <v>10</v>
      </c>
      <c r="P2156" s="3">
        <v>0</v>
      </c>
      <c r="Q2156" s="2">
        <v>50.32</v>
      </c>
      <c r="R2156" t="s">
        <v>66</v>
      </c>
      <c r="S2156" t="s">
        <v>46</v>
      </c>
      <c r="T2156" t="s">
        <v>29</v>
      </c>
      <c r="U2156" t="s">
        <v>30</v>
      </c>
    </row>
    <row r="2157" spans="1:21" x14ac:dyDescent="0.35">
      <c r="A2157" t="s">
        <v>2236</v>
      </c>
      <c r="B2157" s="1">
        <v>46255</v>
      </c>
      <c r="C2157" t="str">
        <f>TEXT(tblData[[#This Row],[Rental Date]],"mmm")</f>
        <v>Aug</v>
      </c>
      <c r="D2157" t="str">
        <f>TEXT(tblData[[#This Row],[Rental Date]],"mmmm")</f>
        <v>August</v>
      </c>
      <c r="E2157" t="s">
        <v>38</v>
      </c>
      <c r="F2157" t="str">
        <f>TEXT(WEEKNUM(tblData[[#This Row],[Rental Date]]),"00")</f>
        <v>34</v>
      </c>
      <c r="G2157" s="1">
        <f>EOMONTH(tblData[[#This Row],[Rental Date]],0)</f>
        <v>46265</v>
      </c>
      <c r="H2157" t="s">
        <v>749</v>
      </c>
      <c r="I2157" t="s">
        <v>39</v>
      </c>
      <c r="J2157" t="s">
        <v>44</v>
      </c>
      <c r="K2157" t="s">
        <v>25</v>
      </c>
      <c r="L2157">
        <v>1</v>
      </c>
      <c r="M2157" s="2">
        <v>58.24</v>
      </c>
      <c r="N2157" t="s">
        <v>89</v>
      </c>
      <c r="O2157" s="3">
        <v>6</v>
      </c>
      <c r="P2157" s="3">
        <v>0</v>
      </c>
      <c r="Q2157" s="2">
        <v>64.239999999999995</v>
      </c>
      <c r="R2157" t="s">
        <v>66</v>
      </c>
      <c r="S2157" t="s">
        <v>46</v>
      </c>
      <c r="T2157" t="s">
        <v>29</v>
      </c>
      <c r="U2157" t="s">
        <v>30</v>
      </c>
    </row>
    <row r="2158" spans="1:21" x14ac:dyDescent="0.35">
      <c r="A2158" t="s">
        <v>2237</v>
      </c>
      <c r="B2158" s="1">
        <v>46255</v>
      </c>
      <c r="C2158" t="str">
        <f>TEXT(tblData[[#This Row],[Rental Date]],"mmm")</f>
        <v>Aug</v>
      </c>
      <c r="D2158" t="str">
        <f>TEXT(tblData[[#This Row],[Rental Date]],"mmmm")</f>
        <v>August</v>
      </c>
      <c r="E2158" t="s">
        <v>38</v>
      </c>
      <c r="F2158" t="str">
        <f>TEXT(WEEKNUM(tblData[[#This Row],[Rental Date]]),"00")</f>
        <v>34</v>
      </c>
      <c r="G2158" s="1">
        <f>EOMONTH(tblData[[#This Row],[Rental Date]],0)</f>
        <v>46265</v>
      </c>
      <c r="H2158" t="s">
        <v>749</v>
      </c>
      <c r="I2158" t="s">
        <v>23</v>
      </c>
      <c r="J2158" t="s">
        <v>49</v>
      </c>
      <c r="K2158" t="s">
        <v>60</v>
      </c>
      <c r="L2158">
        <v>1</v>
      </c>
      <c r="M2158" s="2">
        <v>24.64</v>
      </c>
      <c r="N2158" t="s">
        <v>61</v>
      </c>
      <c r="O2158" s="3">
        <v>8</v>
      </c>
      <c r="P2158" s="3">
        <v>0</v>
      </c>
      <c r="Q2158" s="2">
        <v>32.64</v>
      </c>
      <c r="R2158" t="s">
        <v>27</v>
      </c>
      <c r="S2158" t="s">
        <v>50</v>
      </c>
      <c r="T2158" t="s">
        <v>51</v>
      </c>
      <c r="U2158" t="s">
        <v>30</v>
      </c>
    </row>
    <row r="2159" spans="1:21" x14ac:dyDescent="0.35">
      <c r="A2159" t="s">
        <v>2238</v>
      </c>
      <c r="B2159" s="1">
        <v>46255</v>
      </c>
      <c r="C2159" t="str">
        <f>TEXT(tblData[[#This Row],[Rental Date]],"mmm")</f>
        <v>Aug</v>
      </c>
      <c r="D2159" t="str">
        <f>TEXT(tblData[[#This Row],[Rental Date]],"mmmm")</f>
        <v>August</v>
      </c>
      <c r="E2159" t="s">
        <v>38</v>
      </c>
      <c r="F2159" t="str">
        <f>TEXT(WEEKNUM(tblData[[#This Row],[Rental Date]]),"00")</f>
        <v>34</v>
      </c>
      <c r="G2159" s="1">
        <f>EOMONTH(tblData[[#This Row],[Rental Date]],0)</f>
        <v>46265</v>
      </c>
      <c r="H2159" t="s">
        <v>749</v>
      </c>
      <c r="I2159" t="s">
        <v>23</v>
      </c>
      <c r="J2159" t="s">
        <v>111</v>
      </c>
      <c r="K2159" t="s">
        <v>25</v>
      </c>
      <c r="L2159">
        <v>1</v>
      </c>
      <c r="M2159" s="2">
        <v>24.64</v>
      </c>
      <c r="N2159" t="s">
        <v>70</v>
      </c>
      <c r="O2159" s="3">
        <v>7</v>
      </c>
      <c r="P2159" s="3">
        <v>0</v>
      </c>
      <c r="Q2159" s="2">
        <v>31.64</v>
      </c>
      <c r="R2159" t="s">
        <v>76</v>
      </c>
      <c r="S2159" t="s">
        <v>35</v>
      </c>
      <c r="T2159" t="s">
        <v>51</v>
      </c>
      <c r="U2159" t="s">
        <v>30</v>
      </c>
    </row>
    <row r="2160" spans="1:21" x14ac:dyDescent="0.35">
      <c r="A2160" t="s">
        <v>2239</v>
      </c>
      <c r="B2160" s="1">
        <v>46255</v>
      </c>
      <c r="C2160" t="str">
        <f>TEXT(tblData[[#This Row],[Rental Date]],"mmm")</f>
        <v>Aug</v>
      </c>
      <c r="D2160" t="str">
        <f>TEXT(tblData[[#This Row],[Rental Date]],"mmmm")</f>
        <v>August</v>
      </c>
      <c r="E2160" t="s">
        <v>38</v>
      </c>
      <c r="F2160" t="str">
        <f>TEXT(WEEKNUM(tblData[[#This Row],[Rental Date]]),"00")</f>
        <v>34</v>
      </c>
      <c r="G2160" s="1">
        <f>EOMONTH(tblData[[#This Row],[Rental Date]],0)</f>
        <v>46265</v>
      </c>
      <c r="H2160" t="s">
        <v>749</v>
      </c>
      <c r="I2160" t="s">
        <v>39</v>
      </c>
      <c r="J2160" t="s">
        <v>78</v>
      </c>
      <c r="K2160" t="s">
        <v>60</v>
      </c>
      <c r="L2160">
        <v>1</v>
      </c>
      <c r="M2160" s="2">
        <v>29.12</v>
      </c>
      <c r="N2160" t="s">
        <v>26</v>
      </c>
      <c r="O2160" s="3">
        <v>0</v>
      </c>
      <c r="P2160" s="3">
        <v>0</v>
      </c>
      <c r="Q2160" s="2">
        <v>29.12</v>
      </c>
      <c r="R2160" t="s">
        <v>27</v>
      </c>
      <c r="S2160" t="s">
        <v>50</v>
      </c>
      <c r="T2160" t="s">
        <v>51</v>
      </c>
      <c r="U2160" t="s">
        <v>30</v>
      </c>
    </row>
    <row r="2161" spans="1:21" x14ac:dyDescent="0.35">
      <c r="A2161" t="s">
        <v>2240</v>
      </c>
      <c r="B2161" s="1">
        <v>46255</v>
      </c>
      <c r="C2161" t="str">
        <f>TEXT(tblData[[#This Row],[Rental Date]],"mmm")</f>
        <v>Aug</v>
      </c>
      <c r="D2161" t="str">
        <f>TEXT(tblData[[#This Row],[Rental Date]],"mmmm")</f>
        <v>August</v>
      </c>
      <c r="E2161" t="s">
        <v>38</v>
      </c>
      <c r="F2161" t="str">
        <f>TEXT(WEEKNUM(tblData[[#This Row],[Rental Date]]),"00")</f>
        <v>34</v>
      </c>
      <c r="G2161" s="1">
        <f>EOMONTH(tblData[[#This Row],[Rental Date]],0)</f>
        <v>46265</v>
      </c>
      <c r="H2161" t="s">
        <v>749</v>
      </c>
      <c r="I2161" t="s">
        <v>39</v>
      </c>
      <c r="J2161" t="s">
        <v>78</v>
      </c>
      <c r="K2161" t="s">
        <v>60</v>
      </c>
      <c r="L2161">
        <v>1</v>
      </c>
      <c r="M2161" s="2">
        <v>29.12</v>
      </c>
      <c r="N2161" t="s">
        <v>26</v>
      </c>
      <c r="O2161" s="3">
        <v>0</v>
      </c>
      <c r="P2161" s="3">
        <v>0</v>
      </c>
      <c r="Q2161" s="2">
        <v>29.12</v>
      </c>
      <c r="R2161" t="s">
        <v>42</v>
      </c>
      <c r="S2161" t="s">
        <v>35</v>
      </c>
      <c r="T2161" t="s">
        <v>51</v>
      </c>
      <c r="U2161" t="s">
        <v>30</v>
      </c>
    </row>
    <row r="2162" spans="1:21" x14ac:dyDescent="0.35">
      <c r="A2162" t="s">
        <v>2241</v>
      </c>
      <c r="B2162" s="1">
        <v>46255</v>
      </c>
      <c r="C2162" t="str">
        <f>TEXT(tblData[[#This Row],[Rental Date]],"mmm")</f>
        <v>Aug</v>
      </c>
      <c r="D2162" t="str">
        <f>TEXT(tblData[[#This Row],[Rental Date]],"mmmm")</f>
        <v>August</v>
      </c>
      <c r="E2162" t="s">
        <v>38</v>
      </c>
      <c r="F2162" t="str">
        <f>TEXT(WEEKNUM(tblData[[#This Row],[Rental Date]]),"00")</f>
        <v>34</v>
      </c>
      <c r="G2162" s="1">
        <f>EOMONTH(tblData[[#This Row],[Rental Date]],0)</f>
        <v>46265</v>
      </c>
      <c r="H2162" t="s">
        <v>749</v>
      </c>
      <c r="I2162" t="s">
        <v>23</v>
      </c>
      <c r="J2162" t="s">
        <v>78</v>
      </c>
      <c r="K2162" t="s">
        <v>25</v>
      </c>
      <c r="L2162">
        <v>1</v>
      </c>
      <c r="M2162" s="2">
        <v>47.04</v>
      </c>
      <c r="N2162" t="s">
        <v>26</v>
      </c>
      <c r="O2162" s="3">
        <v>0</v>
      </c>
      <c r="P2162" s="3">
        <v>0</v>
      </c>
      <c r="Q2162" s="2">
        <v>47.04</v>
      </c>
      <c r="R2162" t="s">
        <v>34</v>
      </c>
      <c r="S2162" t="s">
        <v>50</v>
      </c>
      <c r="T2162" t="s">
        <v>29</v>
      </c>
      <c r="U2162" t="s">
        <v>30</v>
      </c>
    </row>
    <row r="2163" spans="1:21" x14ac:dyDescent="0.35">
      <c r="A2163" t="s">
        <v>2242</v>
      </c>
      <c r="B2163" s="1">
        <v>46255</v>
      </c>
      <c r="C2163" t="str">
        <f>TEXT(tblData[[#This Row],[Rental Date]],"mmm")</f>
        <v>Aug</v>
      </c>
      <c r="D2163" t="str">
        <f>TEXT(tblData[[#This Row],[Rental Date]],"mmmm")</f>
        <v>August</v>
      </c>
      <c r="E2163" t="s">
        <v>38</v>
      </c>
      <c r="F2163" t="str">
        <f>TEXT(WEEKNUM(tblData[[#This Row],[Rental Date]]),"00")</f>
        <v>34</v>
      </c>
      <c r="G2163" s="1">
        <f>EOMONTH(tblData[[#This Row],[Rental Date]],0)</f>
        <v>46265</v>
      </c>
      <c r="H2163" t="s">
        <v>749</v>
      </c>
      <c r="I2163" t="s">
        <v>32</v>
      </c>
      <c r="J2163" t="s">
        <v>78</v>
      </c>
      <c r="K2163" t="s">
        <v>25</v>
      </c>
      <c r="L2163">
        <v>1</v>
      </c>
      <c r="M2163" s="2">
        <v>47.04</v>
      </c>
      <c r="N2163" t="s">
        <v>70</v>
      </c>
      <c r="O2163" s="3">
        <v>7</v>
      </c>
      <c r="P2163" s="3">
        <v>5.4</v>
      </c>
      <c r="Q2163" s="2">
        <v>48.64</v>
      </c>
      <c r="R2163" t="s">
        <v>42</v>
      </c>
      <c r="S2163" t="s">
        <v>35</v>
      </c>
      <c r="T2163" t="s">
        <v>29</v>
      </c>
      <c r="U2163" t="s">
        <v>30</v>
      </c>
    </row>
    <row r="2164" spans="1:21" x14ac:dyDescent="0.35">
      <c r="A2164" t="s">
        <v>2243</v>
      </c>
      <c r="B2164" s="1">
        <v>46255</v>
      </c>
      <c r="C2164" t="str">
        <f>TEXT(tblData[[#This Row],[Rental Date]],"mmm")</f>
        <v>Aug</v>
      </c>
      <c r="D2164" t="str">
        <f>TEXT(tblData[[#This Row],[Rental Date]],"mmmm")</f>
        <v>August</v>
      </c>
      <c r="E2164" t="s">
        <v>38</v>
      </c>
      <c r="F2164" t="str">
        <f>TEXT(WEEKNUM(tblData[[#This Row],[Rental Date]]),"00")</f>
        <v>34</v>
      </c>
      <c r="G2164" s="1">
        <f>EOMONTH(tblData[[#This Row],[Rental Date]],0)</f>
        <v>46265</v>
      </c>
      <c r="H2164" t="s">
        <v>749</v>
      </c>
      <c r="I2164" t="s">
        <v>32</v>
      </c>
      <c r="J2164" t="s">
        <v>111</v>
      </c>
      <c r="K2164" t="s">
        <v>60</v>
      </c>
      <c r="L2164">
        <v>1</v>
      </c>
      <c r="M2164" s="2">
        <v>15.68</v>
      </c>
      <c r="N2164" t="s">
        <v>61</v>
      </c>
      <c r="O2164" s="3">
        <v>8</v>
      </c>
      <c r="P2164" s="3">
        <v>2.37</v>
      </c>
      <c r="Q2164" s="2">
        <v>21.31</v>
      </c>
      <c r="R2164" t="s">
        <v>62</v>
      </c>
      <c r="S2164" t="s">
        <v>28</v>
      </c>
      <c r="T2164" t="s">
        <v>63</v>
      </c>
      <c r="U2164" t="s">
        <v>30</v>
      </c>
    </row>
    <row r="2165" spans="1:21" x14ac:dyDescent="0.35">
      <c r="A2165" t="s">
        <v>2244</v>
      </c>
      <c r="B2165" s="1">
        <v>46255</v>
      </c>
      <c r="C2165" t="str">
        <f>TEXT(tblData[[#This Row],[Rental Date]],"mmm")</f>
        <v>Aug</v>
      </c>
      <c r="D2165" t="str">
        <f>TEXT(tblData[[#This Row],[Rental Date]],"mmmm")</f>
        <v>August</v>
      </c>
      <c r="E2165" t="s">
        <v>38</v>
      </c>
      <c r="F2165" t="str">
        <f>TEXT(WEEKNUM(tblData[[#This Row],[Rental Date]]),"00")</f>
        <v>34</v>
      </c>
      <c r="G2165" s="1">
        <f>EOMONTH(tblData[[#This Row],[Rental Date]],0)</f>
        <v>46265</v>
      </c>
      <c r="H2165" t="s">
        <v>749</v>
      </c>
      <c r="I2165" t="s">
        <v>32</v>
      </c>
      <c r="J2165" t="s">
        <v>138</v>
      </c>
      <c r="K2165" t="s">
        <v>60</v>
      </c>
      <c r="L2165">
        <v>1</v>
      </c>
      <c r="M2165" s="2">
        <v>33.6</v>
      </c>
      <c r="N2165" t="s">
        <v>41</v>
      </c>
      <c r="O2165" s="3">
        <v>5</v>
      </c>
      <c r="P2165" s="3">
        <v>3.86</v>
      </c>
      <c r="Q2165" s="2">
        <v>34.74</v>
      </c>
      <c r="R2165" t="s">
        <v>42</v>
      </c>
      <c r="S2165" t="s">
        <v>54</v>
      </c>
      <c r="T2165" t="s">
        <v>90</v>
      </c>
      <c r="U2165" t="s">
        <v>58</v>
      </c>
    </row>
    <row r="2166" spans="1:21" x14ac:dyDescent="0.35">
      <c r="A2166" t="s">
        <v>2245</v>
      </c>
      <c r="B2166" s="1">
        <v>46255</v>
      </c>
      <c r="C2166" t="str">
        <f>TEXT(tblData[[#This Row],[Rental Date]],"mmm")</f>
        <v>Aug</v>
      </c>
      <c r="D2166" t="str">
        <f>TEXT(tblData[[#This Row],[Rental Date]],"mmmm")</f>
        <v>August</v>
      </c>
      <c r="E2166" t="s">
        <v>38</v>
      </c>
      <c r="F2166" t="str">
        <f>TEXT(WEEKNUM(tblData[[#This Row],[Rental Date]]),"00")</f>
        <v>34</v>
      </c>
      <c r="G2166" s="1">
        <f>EOMONTH(tblData[[#This Row],[Rental Date]],0)</f>
        <v>46265</v>
      </c>
      <c r="H2166" t="s">
        <v>749</v>
      </c>
      <c r="I2166" t="s">
        <v>23</v>
      </c>
      <c r="J2166" t="s">
        <v>33</v>
      </c>
      <c r="K2166" t="s">
        <v>40</v>
      </c>
      <c r="L2166">
        <v>1</v>
      </c>
      <c r="M2166" s="2">
        <v>64.959999999999994</v>
      </c>
      <c r="N2166" t="s">
        <v>26</v>
      </c>
      <c r="O2166" s="3">
        <v>0</v>
      </c>
      <c r="P2166" s="3">
        <v>0</v>
      </c>
      <c r="Q2166" s="2">
        <v>64.959999999999994</v>
      </c>
      <c r="R2166" t="s">
        <v>62</v>
      </c>
      <c r="S2166" t="s">
        <v>54</v>
      </c>
      <c r="T2166" t="s">
        <v>29</v>
      </c>
      <c r="U2166" t="s">
        <v>58</v>
      </c>
    </row>
    <row r="2167" spans="1:21" x14ac:dyDescent="0.35">
      <c r="A2167" t="s">
        <v>2246</v>
      </c>
      <c r="B2167" s="1">
        <v>46255</v>
      </c>
      <c r="C2167" t="str">
        <f>TEXT(tblData[[#This Row],[Rental Date]],"mmm")</f>
        <v>Aug</v>
      </c>
      <c r="D2167" t="str">
        <f>TEXT(tblData[[#This Row],[Rental Date]],"mmmm")</f>
        <v>August</v>
      </c>
      <c r="E2167" t="s">
        <v>38</v>
      </c>
      <c r="F2167" t="str">
        <f>TEXT(WEEKNUM(tblData[[#This Row],[Rental Date]]),"00")</f>
        <v>34</v>
      </c>
      <c r="G2167" s="1">
        <f>EOMONTH(tblData[[#This Row],[Rental Date]],0)</f>
        <v>46265</v>
      </c>
      <c r="H2167" t="s">
        <v>749</v>
      </c>
      <c r="I2167" t="s">
        <v>48</v>
      </c>
      <c r="J2167" t="s">
        <v>127</v>
      </c>
      <c r="K2167" t="s">
        <v>60</v>
      </c>
      <c r="L2167">
        <v>1</v>
      </c>
      <c r="M2167" s="2">
        <v>11.2</v>
      </c>
      <c r="N2167" t="s">
        <v>26</v>
      </c>
      <c r="O2167" s="3">
        <v>0</v>
      </c>
      <c r="P2167" s="3">
        <v>0</v>
      </c>
      <c r="Q2167" s="2">
        <v>11.2</v>
      </c>
      <c r="R2167" t="s">
        <v>42</v>
      </c>
      <c r="S2167" t="s">
        <v>46</v>
      </c>
      <c r="T2167" t="s">
        <v>51</v>
      </c>
      <c r="U2167" t="s">
        <v>30</v>
      </c>
    </row>
    <row r="2168" spans="1:21" x14ac:dyDescent="0.35">
      <c r="A2168" t="s">
        <v>2247</v>
      </c>
      <c r="B2168" s="1">
        <v>46255</v>
      </c>
      <c r="C2168" t="str">
        <f>TEXT(tblData[[#This Row],[Rental Date]],"mmm")</f>
        <v>Aug</v>
      </c>
      <c r="D2168" t="str">
        <f>TEXT(tblData[[#This Row],[Rental Date]],"mmmm")</f>
        <v>August</v>
      </c>
      <c r="E2168" t="s">
        <v>38</v>
      </c>
      <c r="F2168" t="str">
        <f>TEXT(WEEKNUM(tblData[[#This Row],[Rental Date]]),"00")</f>
        <v>34</v>
      </c>
      <c r="G2168" s="1">
        <f>EOMONTH(tblData[[#This Row],[Rental Date]],0)</f>
        <v>46265</v>
      </c>
      <c r="H2168" t="s">
        <v>749</v>
      </c>
      <c r="I2168" t="s">
        <v>48</v>
      </c>
      <c r="J2168" t="s">
        <v>49</v>
      </c>
      <c r="K2168" t="s">
        <v>92</v>
      </c>
      <c r="L2168">
        <v>1</v>
      </c>
      <c r="M2168" s="2">
        <v>85.12</v>
      </c>
      <c r="N2168" t="s">
        <v>75</v>
      </c>
      <c r="O2168" s="3">
        <v>12</v>
      </c>
      <c r="P2168" s="3">
        <v>0</v>
      </c>
      <c r="Q2168" s="2">
        <v>97.12</v>
      </c>
      <c r="R2168" t="s">
        <v>66</v>
      </c>
      <c r="S2168" t="s">
        <v>54</v>
      </c>
      <c r="T2168" t="s">
        <v>51</v>
      </c>
      <c r="U2168" t="s">
        <v>30</v>
      </c>
    </row>
    <row r="2169" spans="1:21" x14ac:dyDescent="0.35">
      <c r="A2169" t="s">
        <v>2248</v>
      </c>
      <c r="B2169" s="1">
        <v>46255</v>
      </c>
      <c r="C2169" t="str">
        <f>TEXT(tblData[[#This Row],[Rental Date]],"mmm")</f>
        <v>Aug</v>
      </c>
      <c r="D2169" t="str">
        <f>TEXT(tblData[[#This Row],[Rental Date]],"mmmm")</f>
        <v>August</v>
      </c>
      <c r="E2169" t="s">
        <v>38</v>
      </c>
      <c r="F2169" t="str">
        <f>TEXT(WEEKNUM(tblData[[#This Row],[Rental Date]]),"00")</f>
        <v>34</v>
      </c>
      <c r="G2169" s="1">
        <f>EOMONTH(tblData[[#This Row],[Rental Date]],0)</f>
        <v>46265</v>
      </c>
      <c r="H2169" t="s">
        <v>749</v>
      </c>
      <c r="I2169" t="s">
        <v>23</v>
      </c>
      <c r="J2169" t="s">
        <v>78</v>
      </c>
      <c r="K2169" t="s">
        <v>60</v>
      </c>
      <c r="L2169">
        <v>1</v>
      </c>
      <c r="M2169" s="2">
        <v>29.12</v>
      </c>
      <c r="N2169" t="s">
        <v>26</v>
      </c>
      <c r="O2169" s="3">
        <v>0</v>
      </c>
      <c r="P2169" s="3">
        <v>0</v>
      </c>
      <c r="Q2169" s="2">
        <v>29.12</v>
      </c>
      <c r="R2169" t="s">
        <v>42</v>
      </c>
      <c r="S2169" t="s">
        <v>50</v>
      </c>
      <c r="T2169" t="s">
        <v>29</v>
      </c>
      <c r="U2169" t="s">
        <v>30</v>
      </c>
    </row>
    <row r="2170" spans="1:21" x14ac:dyDescent="0.35">
      <c r="A2170" t="s">
        <v>2249</v>
      </c>
      <c r="B2170" s="1">
        <v>46255</v>
      </c>
      <c r="C2170" t="str">
        <f>TEXT(tblData[[#This Row],[Rental Date]],"mmm")</f>
        <v>Aug</v>
      </c>
      <c r="D2170" t="str">
        <f>TEXT(tblData[[#This Row],[Rental Date]],"mmmm")</f>
        <v>August</v>
      </c>
      <c r="E2170" t="s">
        <v>38</v>
      </c>
      <c r="F2170" t="str">
        <f>TEXT(WEEKNUM(tblData[[#This Row],[Rental Date]]),"00")</f>
        <v>34</v>
      </c>
      <c r="G2170" s="1">
        <f>EOMONTH(tblData[[#This Row],[Rental Date]],0)</f>
        <v>46265</v>
      </c>
      <c r="H2170" t="s">
        <v>749</v>
      </c>
      <c r="I2170" t="s">
        <v>53</v>
      </c>
      <c r="J2170" t="s">
        <v>65</v>
      </c>
      <c r="K2170" t="s">
        <v>60</v>
      </c>
      <c r="L2170">
        <v>1</v>
      </c>
      <c r="M2170" s="2">
        <v>13.44</v>
      </c>
      <c r="N2170" t="s">
        <v>26</v>
      </c>
      <c r="O2170" s="3">
        <v>0</v>
      </c>
      <c r="P2170" s="3">
        <v>2.02</v>
      </c>
      <c r="Q2170" s="2">
        <v>11.42</v>
      </c>
      <c r="R2170" t="s">
        <v>62</v>
      </c>
      <c r="S2170" t="s">
        <v>54</v>
      </c>
      <c r="T2170" t="s">
        <v>29</v>
      </c>
      <c r="U2170" t="s">
        <v>30</v>
      </c>
    </row>
    <row r="2171" spans="1:21" x14ac:dyDescent="0.35">
      <c r="A2171" t="s">
        <v>2250</v>
      </c>
      <c r="B2171" s="1">
        <v>46256</v>
      </c>
      <c r="C2171" t="str">
        <f>TEXT(tblData[[#This Row],[Rental Date]],"mmm")</f>
        <v>Aug</v>
      </c>
      <c r="D2171" t="str">
        <f>TEXT(tblData[[#This Row],[Rental Date]],"mmmm")</f>
        <v>August</v>
      </c>
      <c r="E2171" t="s">
        <v>56</v>
      </c>
      <c r="F2171" t="str">
        <f>TEXT(WEEKNUM(tblData[[#This Row],[Rental Date]]),"00")</f>
        <v>34</v>
      </c>
      <c r="G2171" s="1">
        <f>EOMONTH(tblData[[#This Row],[Rental Date]],0)</f>
        <v>46265</v>
      </c>
      <c r="H2171" t="s">
        <v>749</v>
      </c>
      <c r="I2171" t="s">
        <v>23</v>
      </c>
      <c r="J2171" t="s">
        <v>65</v>
      </c>
      <c r="K2171" t="s">
        <v>40</v>
      </c>
      <c r="L2171">
        <v>1</v>
      </c>
      <c r="M2171" s="2">
        <v>33.6</v>
      </c>
      <c r="N2171" t="s">
        <v>87</v>
      </c>
      <c r="O2171" s="3">
        <v>10</v>
      </c>
      <c r="P2171" s="3">
        <v>0</v>
      </c>
      <c r="Q2171" s="2">
        <v>43.6</v>
      </c>
      <c r="R2171" t="s">
        <v>45</v>
      </c>
      <c r="S2171" t="s">
        <v>35</v>
      </c>
      <c r="T2171" t="s">
        <v>51</v>
      </c>
      <c r="U2171" t="s">
        <v>58</v>
      </c>
    </row>
    <row r="2172" spans="1:21" x14ac:dyDescent="0.35">
      <c r="A2172" t="s">
        <v>2251</v>
      </c>
      <c r="B2172" s="1">
        <v>46256</v>
      </c>
      <c r="C2172" t="str">
        <f>TEXT(tblData[[#This Row],[Rental Date]],"mmm")</f>
        <v>Aug</v>
      </c>
      <c r="D2172" t="str">
        <f>TEXT(tblData[[#This Row],[Rental Date]],"mmmm")</f>
        <v>August</v>
      </c>
      <c r="E2172" t="s">
        <v>56</v>
      </c>
      <c r="F2172" t="str">
        <f>TEXT(WEEKNUM(tblData[[#This Row],[Rental Date]]),"00")</f>
        <v>34</v>
      </c>
      <c r="G2172" s="1">
        <f>EOMONTH(tblData[[#This Row],[Rental Date]],0)</f>
        <v>46265</v>
      </c>
      <c r="H2172" t="s">
        <v>749</v>
      </c>
      <c r="I2172" t="s">
        <v>39</v>
      </c>
      <c r="J2172" t="s">
        <v>78</v>
      </c>
      <c r="K2172" t="s">
        <v>92</v>
      </c>
      <c r="L2172">
        <v>1</v>
      </c>
      <c r="M2172" s="2">
        <v>105.6</v>
      </c>
      <c r="N2172" t="s">
        <v>41</v>
      </c>
      <c r="O2172" s="3">
        <v>5</v>
      </c>
      <c r="P2172" s="3">
        <v>0</v>
      </c>
      <c r="Q2172" s="2">
        <v>110.6</v>
      </c>
      <c r="R2172" t="s">
        <v>34</v>
      </c>
      <c r="S2172" t="s">
        <v>46</v>
      </c>
      <c r="T2172" t="s">
        <v>51</v>
      </c>
      <c r="U2172" t="s">
        <v>30</v>
      </c>
    </row>
    <row r="2173" spans="1:21" x14ac:dyDescent="0.35">
      <c r="A2173" t="s">
        <v>2252</v>
      </c>
      <c r="B2173" s="1">
        <v>46256</v>
      </c>
      <c r="C2173" t="str">
        <f>TEXT(tblData[[#This Row],[Rental Date]],"mmm")</f>
        <v>Aug</v>
      </c>
      <c r="D2173" t="str">
        <f>TEXT(tblData[[#This Row],[Rental Date]],"mmmm")</f>
        <v>August</v>
      </c>
      <c r="E2173" t="s">
        <v>56</v>
      </c>
      <c r="F2173" t="str">
        <f>TEXT(WEEKNUM(tblData[[#This Row],[Rental Date]]),"00")</f>
        <v>34</v>
      </c>
      <c r="G2173" s="1">
        <f>EOMONTH(tblData[[#This Row],[Rental Date]],0)</f>
        <v>46265</v>
      </c>
      <c r="H2173" t="s">
        <v>749</v>
      </c>
      <c r="I2173" t="s">
        <v>39</v>
      </c>
      <c r="J2173" t="s">
        <v>44</v>
      </c>
      <c r="K2173" t="s">
        <v>60</v>
      </c>
      <c r="L2173">
        <v>1</v>
      </c>
      <c r="M2173" s="2">
        <v>40.799999999999997</v>
      </c>
      <c r="N2173" t="s">
        <v>89</v>
      </c>
      <c r="O2173" s="3">
        <v>6</v>
      </c>
      <c r="P2173" s="3">
        <v>0</v>
      </c>
      <c r="Q2173" s="2">
        <v>46.8</v>
      </c>
      <c r="R2173" t="s">
        <v>66</v>
      </c>
      <c r="S2173" t="s">
        <v>28</v>
      </c>
      <c r="T2173" t="s">
        <v>29</v>
      </c>
      <c r="U2173" t="s">
        <v>58</v>
      </c>
    </row>
    <row r="2174" spans="1:21" x14ac:dyDescent="0.35">
      <c r="A2174" t="s">
        <v>2253</v>
      </c>
      <c r="B2174" s="1">
        <v>46256</v>
      </c>
      <c r="C2174" t="str">
        <f>TEXT(tblData[[#This Row],[Rental Date]],"mmm")</f>
        <v>Aug</v>
      </c>
      <c r="D2174" t="str">
        <f>TEXT(tblData[[#This Row],[Rental Date]],"mmmm")</f>
        <v>August</v>
      </c>
      <c r="E2174" t="s">
        <v>56</v>
      </c>
      <c r="F2174" t="str">
        <f>TEXT(WEEKNUM(tblData[[#This Row],[Rental Date]]),"00")</f>
        <v>34</v>
      </c>
      <c r="G2174" s="1">
        <f>EOMONTH(tblData[[#This Row],[Rental Date]],0)</f>
        <v>46265</v>
      </c>
      <c r="H2174" t="s">
        <v>749</v>
      </c>
      <c r="I2174" t="s">
        <v>23</v>
      </c>
      <c r="J2174" t="s">
        <v>127</v>
      </c>
      <c r="K2174" t="s">
        <v>25</v>
      </c>
      <c r="L2174">
        <v>1</v>
      </c>
      <c r="M2174" s="2">
        <v>19.2</v>
      </c>
      <c r="N2174" t="s">
        <v>61</v>
      </c>
      <c r="O2174" s="3">
        <v>8</v>
      </c>
      <c r="P2174" s="3">
        <v>0</v>
      </c>
      <c r="Q2174" s="2">
        <v>27.2</v>
      </c>
      <c r="R2174" t="s">
        <v>66</v>
      </c>
      <c r="S2174" t="s">
        <v>28</v>
      </c>
      <c r="T2174" t="s">
        <v>90</v>
      </c>
      <c r="U2174" t="s">
        <v>30</v>
      </c>
    </row>
    <row r="2175" spans="1:21" x14ac:dyDescent="0.35">
      <c r="A2175" t="s">
        <v>2254</v>
      </c>
      <c r="B2175" s="1">
        <v>46256</v>
      </c>
      <c r="C2175" t="str">
        <f>TEXT(tblData[[#This Row],[Rental Date]],"mmm")</f>
        <v>Aug</v>
      </c>
      <c r="D2175" t="str">
        <f>TEXT(tblData[[#This Row],[Rental Date]],"mmmm")</f>
        <v>August</v>
      </c>
      <c r="E2175" t="s">
        <v>56</v>
      </c>
      <c r="F2175" t="str">
        <f>TEXT(WEEKNUM(tblData[[#This Row],[Rental Date]]),"00")</f>
        <v>34</v>
      </c>
      <c r="G2175" s="1">
        <f>EOMONTH(tblData[[#This Row],[Rental Date]],0)</f>
        <v>46265</v>
      </c>
      <c r="H2175" t="s">
        <v>749</v>
      </c>
      <c r="I2175" t="s">
        <v>39</v>
      </c>
      <c r="J2175" t="s">
        <v>78</v>
      </c>
      <c r="K2175" t="s">
        <v>25</v>
      </c>
      <c r="L2175">
        <v>1</v>
      </c>
      <c r="M2175" s="2">
        <v>50.4</v>
      </c>
      <c r="N2175" t="s">
        <v>61</v>
      </c>
      <c r="O2175" s="3">
        <v>8</v>
      </c>
      <c r="P2175" s="3">
        <v>0</v>
      </c>
      <c r="Q2175" s="2">
        <v>58.4</v>
      </c>
      <c r="R2175" t="s">
        <v>71</v>
      </c>
      <c r="S2175" t="s">
        <v>50</v>
      </c>
      <c r="T2175" t="s">
        <v>29</v>
      </c>
      <c r="U2175" t="s">
        <v>30</v>
      </c>
    </row>
    <row r="2176" spans="1:21" x14ac:dyDescent="0.35">
      <c r="A2176" t="s">
        <v>2255</v>
      </c>
      <c r="B2176" s="1">
        <v>46256</v>
      </c>
      <c r="C2176" t="str">
        <f>TEXT(tblData[[#This Row],[Rental Date]],"mmm")</f>
        <v>Aug</v>
      </c>
      <c r="D2176" t="str">
        <f>TEXT(tblData[[#This Row],[Rental Date]],"mmmm")</f>
        <v>August</v>
      </c>
      <c r="E2176" t="s">
        <v>56</v>
      </c>
      <c r="F2176" t="str">
        <f>TEXT(WEEKNUM(tblData[[#This Row],[Rental Date]]),"00")</f>
        <v>34</v>
      </c>
      <c r="G2176" s="1">
        <f>EOMONTH(tblData[[#This Row],[Rental Date]],0)</f>
        <v>46265</v>
      </c>
      <c r="H2176" t="s">
        <v>749</v>
      </c>
      <c r="I2176" t="s">
        <v>39</v>
      </c>
      <c r="J2176" t="s">
        <v>49</v>
      </c>
      <c r="K2176" t="s">
        <v>40</v>
      </c>
      <c r="L2176">
        <v>1</v>
      </c>
      <c r="M2176" s="2">
        <v>64.8</v>
      </c>
      <c r="N2176" t="s">
        <v>26</v>
      </c>
      <c r="O2176" s="3">
        <v>0</v>
      </c>
      <c r="P2176" s="3">
        <v>3.24</v>
      </c>
      <c r="Q2176" s="2">
        <v>61.56</v>
      </c>
      <c r="R2176" t="s">
        <v>27</v>
      </c>
      <c r="S2176" t="s">
        <v>46</v>
      </c>
      <c r="T2176" t="s">
        <v>51</v>
      </c>
      <c r="U2176" t="s">
        <v>30</v>
      </c>
    </row>
    <row r="2177" spans="1:21" x14ac:dyDescent="0.35">
      <c r="A2177" t="s">
        <v>2256</v>
      </c>
      <c r="B2177" s="1">
        <v>46256</v>
      </c>
      <c r="C2177" t="str">
        <f>TEXT(tblData[[#This Row],[Rental Date]],"mmm")</f>
        <v>Aug</v>
      </c>
      <c r="D2177" t="str">
        <f>TEXT(tblData[[#This Row],[Rental Date]],"mmmm")</f>
        <v>August</v>
      </c>
      <c r="E2177" t="s">
        <v>56</v>
      </c>
      <c r="F2177" t="str">
        <f>TEXT(WEEKNUM(tblData[[#This Row],[Rental Date]]),"00")</f>
        <v>34</v>
      </c>
      <c r="G2177" s="1">
        <f>EOMONTH(tblData[[#This Row],[Rental Date]],0)</f>
        <v>46265</v>
      </c>
      <c r="H2177" t="s">
        <v>749</v>
      </c>
      <c r="I2177" t="s">
        <v>39</v>
      </c>
      <c r="J2177" t="s">
        <v>65</v>
      </c>
      <c r="K2177" t="s">
        <v>60</v>
      </c>
      <c r="L2177">
        <v>1</v>
      </c>
      <c r="M2177" s="2">
        <v>14.4</v>
      </c>
      <c r="N2177" t="s">
        <v>26</v>
      </c>
      <c r="O2177" s="3">
        <v>0</v>
      </c>
      <c r="P2177" s="3">
        <v>0</v>
      </c>
      <c r="Q2177" s="2">
        <v>14.4</v>
      </c>
      <c r="R2177" t="s">
        <v>42</v>
      </c>
      <c r="S2177" t="s">
        <v>28</v>
      </c>
      <c r="T2177" t="s">
        <v>29</v>
      </c>
      <c r="U2177" t="s">
        <v>58</v>
      </c>
    </row>
    <row r="2178" spans="1:21" x14ac:dyDescent="0.35">
      <c r="A2178" t="s">
        <v>2257</v>
      </c>
      <c r="B2178" s="1">
        <v>46256</v>
      </c>
      <c r="C2178" t="str">
        <f>TEXT(tblData[[#This Row],[Rental Date]],"mmm")</f>
        <v>Aug</v>
      </c>
      <c r="D2178" t="str">
        <f>TEXT(tblData[[#This Row],[Rental Date]],"mmmm")</f>
        <v>August</v>
      </c>
      <c r="E2178" t="s">
        <v>56</v>
      </c>
      <c r="F2178" t="str">
        <f>TEXT(WEEKNUM(tblData[[#This Row],[Rental Date]]),"00")</f>
        <v>34</v>
      </c>
      <c r="G2178" s="1">
        <f>EOMONTH(tblData[[#This Row],[Rental Date]],0)</f>
        <v>46265</v>
      </c>
      <c r="H2178" t="s">
        <v>749</v>
      </c>
      <c r="I2178" t="s">
        <v>23</v>
      </c>
      <c r="J2178" t="s">
        <v>44</v>
      </c>
      <c r="K2178" t="s">
        <v>40</v>
      </c>
      <c r="L2178">
        <v>1</v>
      </c>
      <c r="M2178" s="2">
        <v>93.6</v>
      </c>
      <c r="N2178" t="s">
        <v>26</v>
      </c>
      <c r="O2178" s="3">
        <v>0</v>
      </c>
      <c r="P2178" s="3">
        <v>0</v>
      </c>
      <c r="Q2178" s="2">
        <v>93.6</v>
      </c>
      <c r="R2178" t="s">
        <v>62</v>
      </c>
      <c r="S2178" t="s">
        <v>54</v>
      </c>
      <c r="T2178" t="s">
        <v>29</v>
      </c>
      <c r="U2178" t="s">
        <v>30</v>
      </c>
    </row>
    <row r="2179" spans="1:21" x14ac:dyDescent="0.35">
      <c r="A2179" t="s">
        <v>2258</v>
      </c>
      <c r="B2179" s="1">
        <v>46256</v>
      </c>
      <c r="C2179" t="str">
        <f>TEXT(tblData[[#This Row],[Rental Date]],"mmm")</f>
        <v>Aug</v>
      </c>
      <c r="D2179" t="str">
        <f>TEXT(tblData[[#This Row],[Rental Date]],"mmmm")</f>
        <v>August</v>
      </c>
      <c r="E2179" t="s">
        <v>56</v>
      </c>
      <c r="F2179" t="str">
        <f>TEXT(WEEKNUM(tblData[[#This Row],[Rental Date]]),"00")</f>
        <v>34</v>
      </c>
      <c r="G2179" s="1">
        <f>EOMONTH(tblData[[#This Row],[Rental Date]],0)</f>
        <v>46265</v>
      </c>
      <c r="H2179" t="s">
        <v>749</v>
      </c>
      <c r="I2179" t="s">
        <v>39</v>
      </c>
      <c r="J2179" t="s">
        <v>44</v>
      </c>
      <c r="K2179" t="s">
        <v>60</v>
      </c>
      <c r="L2179">
        <v>1</v>
      </c>
      <c r="M2179" s="2">
        <v>40.799999999999997</v>
      </c>
      <c r="N2179" t="s">
        <v>41</v>
      </c>
      <c r="O2179" s="3">
        <v>5</v>
      </c>
      <c r="P2179" s="3">
        <v>0</v>
      </c>
      <c r="Q2179" s="2">
        <v>45.8</v>
      </c>
      <c r="R2179" t="s">
        <v>94</v>
      </c>
      <c r="S2179" t="s">
        <v>54</v>
      </c>
      <c r="T2179" t="s">
        <v>29</v>
      </c>
      <c r="U2179" t="s">
        <v>30</v>
      </c>
    </row>
    <row r="2180" spans="1:21" x14ac:dyDescent="0.35">
      <c r="A2180" t="s">
        <v>2259</v>
      </c>
      <c r="B2180" s="1">
        <v>46256</v>
      </c>
      <c r="C2180" t="str">
        <f>TEXT(tblData[[#This Row],[Rental Date]],"mmm")</f>
        <v>Aug</v>
      </c>
      <c r="D2180" t="str">
        <f>TEXT(tblData[[#This Row],[Rental Date]],"mmmm")</f>
        <v>August</v>
      </c>
      <c r="E2180" t="s">
        <v>56</v>
      </c>
      <c r="F2180" t="str">
        <f>TEXT(WEEKNUM(tblData[[#This Row],[Rental Date]]),"00")</f>
        <v>34</v>
      </c>
      <c r="G2180" s="1">
        <f>EOMONTH(tblData[[#This Row],[Rental Date]],0)</f>
        <v>46265</v>
      </c>
      <c r="H2180" t="s">
        <v>749</v>
      </c>
      <c r="I2180" t="s">
        <v>23</v>
      </c>
      <c r="J2180" t="s">
        <v>33</v>
      </c>
      <c r="K2180" t="s">
        <v>92</v>
      </c>
      <c r="L2180">
        <v>1</v>
      </c>
      <c r="M2180" s="2">
        <v>100.8</v>
      </c>
      <c r="N2180" t="s">
        <v>41</v>
      </c>
      <c r="O2180" s="3">
        <v>5</v>
      </c>
      <c r="P2180" s="3">
        <v>0</v>
      </c>
      <c r="Q2180" s="2">
        <v>105.8</v>
      </c>
      <c r="R2180" t="s">
        <v>42</v>
      </c>
      <c r="S2180" t="s">
        <v>50</v>
      </c>
      <c r="T2180" t="s">
        <v>63</v>
      </c>
      <c r="U2180" t="s">
        <v>30</v>
      </c>
    </row>
    <row r="2181" spans="1:21" x14ac:dyDescent="0.35">
      <c r="A2181" t="s">
        <v>2260</v>
      </c>
      <c r="B2181" s="1">
        <v>46256</v>
      </c>
      <c r="C2181" t="str">
        <f>TEXT(tblData[[#This Row],[Rental Date]],"mmm")</f>
        <v>Aug</v>
      </c>
      <c r="D2181" t="str">
        <f>TEXT(tblData[[#This Row],[Rental Date]],"mmmm")</f>
        <v>August</v>
      </c>
      <c r="E2181" t="s">
        <v>56</v>
      </c>
      <c r="F2181" t="str">
        <f>TEXT(WEEKNUM(tblData[[#This Row],[Rental Date]]),"00")</f>
        <v>34</v>
      </c>
      <c r="G2181" s="1">
        <f>EOMONTH(tblData[[#This Row],[Rental Date]],0)</f>
        <v>46265</v>
      </c>
      <c r="H2181" t="s">
        <v>749</v>
      </c>
      <c r="I2181" t="s">
        <v>48</v>
      </c>
      <c r="J2181" t="s">
        <v>33</v>
      </c>
      <c r="K2181" t="s">
        <v>25</v>
      </c>
      <c r="L2181">
        <v>1</v>
      </c>
      <c r="M2181" s="2">
        <v>45.6</v>
      </c>
      <c r="N2181" t="s">
        <v>89</v>
      </c>
      <c r="O2181" s="3">
        <v>6</v>
      </c>
      <c r="P2181" s="3">
        <v>0</v>
      </c>
      <c r="Q2181" s="2">
        <v>51.6</v>
      </c>
      <c r="R2181" t="s">
        <v>76</v>
      </c>
      <c r="S2181" t="s">
        <v>46</v>
      </c>
      <c r="T2181" t="s">
        <v>83</v>
      </c>
      <c r="U2181" t="s">
        <v>30</v>
      </c>
    </row>
    <row r="2182" spans="1:21" x14ac:dyDescent="0.35">
      <c r="A2182" t="s">
        <v>2261</v>
      </c>
      <c r="B2182" s="1">
        <v>46256</v>
      </c>
      <c r="C2182" t="str">
        <f>TEXT(tblData[[#This Row],[Rental Date]],"mmm")</f>
        <v>Aug</v>
      </c>
      <c r="D2182" t="str">
        <f>TEXT(tblData[[#This Row],[Rental Date]],"mmmm")</f>
        <v>August</v>
      </c>
      <c r="E2182" t="s">
        <v>56</v>
      </c>
      <c r="F2182" t="str">
        <f>TEXT(WEEKNUM(tblData[[#This Row],[Rental Date]]),"00")</f>
        <v>34</v>
      </c>
      <c r="G2182" s="1">
        <f>EOMONTH(tblData[[#This Row],[Rental Date]],0)</f>
        <v>46265</v>
      </c>
      <c r="H2182" t="s">
        <v>749</v>
      </c>
      <c r="I2182" t="s">
        <v>32</v>
      </c>
      <c r="J2182" t="s">
        <v>33</v>
      </c>
      <c r="K2182" t="s">
        <v>60</v>
      </c>
      <c r="L2182">
        <v>1</v>
      </c>
      <c r="M2182" s="2">
        <v>28.8</v>
      </c>
      <c r="N2182" t="s">
        <v>41</v>
      </c>
      <c r="O2182" s="3">
        <v>5</v>
      </c>
      <c r="P2182" s="3">
        <v>0</v>
      </c>
      <c r="Q2182" s="2">
        <v>33.799999999999997</v>
      </c>
      <c r="R2182" t="s">
        <v>34</v>
      </c>
      <c r="S2182" t="s">
        <v>28</v>
      </c>
      <c r="T2182" t="s">
        <v>51</v>
      </c>
      <c r="U2182" t="s">
        <v>30</v>
      </c>
    </row>
    <row r="2183" spans="1:21" x14ac:dyDescent="0.35">
      <c r="A2183" t="s">
        <v>2262</v>
      </c>
      <c r="B2183" s="1">
        <v>46256</v>
      </c>
      <c r="C2183" t="str">
        <f>TEXT(tblData[[#This Row],[Rental Date]],"mmm")</f>
        <v>Aug</v>
      </c>
      <c r="D2183" t="str">
        <f>TEXT(tblData[[#This Row],[Rental Date]],"mmmm")</f>
        <v>August</v>
      </c>
      <c r="E2183" t="s">
        <v>56</v>
      </c>
      <c r="F2183" t="str">
        <f>TEXT(WEEKNUM(tblData[[#This Row],[Rental Date]]),"00")</f>
        <v>34</v>
      </c>
      <c r="G2183" s="1">
        <f>EOMONTH(tblData[[#This Row],[Rental Date]],0)</f>
        <v>46265</v>
      </c>
      <c r="H2183" t="s">
        <v>749</v>
      </c>
      <c r="I2183" t="s">
        <v>39</v>
      </c>
      <c r="J2183" t="s">
        <v>65</v>
      </c>
      <c r="K2183" t="s">
        <v>60</v>
      </c>
      <c r="L2183">
        <v>1</v>
      </c>
      <c r="M2183" s="2">
        <v>14.4</v>
      </c>
      <c r="N2183" t="s">
        <v>26</v>
      </c>
      <c r="O2183" s="3">
        <v>0</v>
      </c>
      <c r="P2183" s="3">
        <v>0</v>
      </c>
      <c r="Q2183" s="2">
        <v>14.4</v>
      </c>
      <c r="R2183" t="s">
        <v>94</v>
      </c>
      <c r="S2183" t="s">
        <v>54</v>
      </c>
      <c r="T2183" t="s">
        <v>51</v>
      </c>
      <c r="U2183" t="s">
        <v>30</v>
      </c>
    </row>
    <row r="2184" spans="1:21" x14ac:dyDescent="0.35">
      <c r="A2184" t="s">
        <v>2263</v>
      </c>
      <c r="B2184" s="1">
        <v>46256</v>
      </c>
      <c r="C2184" t="str">
        <f>TEXT(tblData[[#This Row],[Rental Date]],"mmm")</f>
        <v>Aug</v>
      </c>
      <c r="D2184" t="str">
        <f>TEXT(tblData[[#This Row],[Rental Date]],"mmmm")</f>
        <v>August</v>
      </c>
      <c r="E2184" t="s">
        <v>56</v>
      </c>
      <c r="F2184" t="str">
        <f>TEXT(WEEKNUM(tblData[[#This Row],[Rental Date]]),"00")</f>
        <v>34</v>
      </c>
      <c r="G2184" s="1">
        <f>EOMONTH(tblData[[#This Row],[Rental Date]],0)</f>
        <v>46265</v>
      </c>
      <c r="H2184" t="s">
        <v>749</v>
      </c>
      <c r="I2184" t="s">
        <v>39</v>
      </c>
      <c r="J2184" t="s">
        <v>65</v>
      </c>
      <c r="K2184" t="s">
        <v>25</v>
      </c>
      <c r="L2184">
        <v>1</v>
      </c>
      <c r="M2184" s="2">
        <v>21.6</v>
      </c>
      <c r="N2184" t="s">
        <v>26</v>
      </c>
      <c r="O2184" s="3">
        <v>0</v>
      </c>
      <c r="P2184" s="3">
        <v>0</v>
      </c>
      <c r="Q2184" s="2">
        <v>21.6</v>
      </c>
      <c r="R2184" t="s">
        <v>62</v>
      </c>
      <c r="S2184" t="s">
        <v>54</v>
      </c>
      <c r="T2184" t="s">
        <v>29</v>
      </c>
      <c r="U2184" t="s">
        <v>79</v>
      </c>
    </row>
    <row r="2185" spans="1:21" x14ac:dyDescent="0.35">
      <c r="A2185" t="s">
        <v>2264</v>
      </c>
      <c r="B2185" s="1">
        <v>46256</v>
      </c>
      <c r="C2185" t="str">
        <f>TEXT(tblData[[#This Row],[Rental Date]],"mmm")</f>
        <v>Aug</v>
      </c>
      <c r="D2185" t="str">
        <f>TEXT(tblData[[#This Row],[Rental Date]],"mmmm")</f>
        <v>August</v>
      </c>
      <c r="E2185" t="s">
        <v>56</v>
      </c>
      <c r="F2185" t="str">
        <f>TEXT(WEEKNUM(tblData[[#This Row],[Rental Date]]),"00")</f>
        <v>34</v>
      </c>
      <c r="G2185" s="1">
        <f>EOMONTH(tblData[[#This Row],[Rental Date]],0)</f>
        <v>46265</v>
      </c>
      <c r="H2185" t="s">
        <v>749</v>
      </c>
      <c r="I2185" t="s">
        <v>48</v>
      </c>
      <c r="J2185" t="s">
        <v>24</v>
      </c>
      <c r="K2185" t="s">
        <v>60</v>
      </c>
      <c r="L2185">
        <v>1</v>
      </c>
      <c r="M2185" s="2">
        <v>38.4</v>
      </c>
      <c r="N2185" t="s">
        <v>26</v>
      </c>
      <c r="O2185" s="3">
        <v>0</v>
      </c>
      <c r="P2185" s="3">
        <v>1.92</v>
      </c>
      <c r="Q2185" s="2">
        <v>36.479999999999997</v>
      </c>
      <c r="R2185" t="s">
        <v>57</v>
      </c>
      <c r="S2185" t="s">
        <v>46</v>
      </c>
      <c r="T2185" t="s">
        <v>29</v>
      </c>
      <c r="U2185" t="s">
        <v>30</v>
      </c>
    </row>
    <row r="2186" spans="1:21" x14ac:dyDescent="0.35">
      <c r="A2186" t="s">
        <v>2265</v>
      </c>
      <c r="B2186" s="1">
        <v>46256</v>
      </c>
      <c r="C2186" t="str">
        <f>TEXT(tblData[[#This Row],[Rental Date]],"mmm")</f>
        <v>Aug</v>
      </c>
      <c r="D2186" t="str">
        <f>TEXT(tblData[[#This Row],[Rental Date]],"mmmm")</f>
        <v>August</v>
      </c>
      <c r="E2186" t="s">
        <v>56</v>
      </c>
      <c r="F2186" t="str">
        <f>TEXT(WEEKNUM(tblData[[#This Row],[Rental Date]]),"00")</f>
        <v>34</v>
      </c>
      <c r="G2186" s="1">
        <f>EOMONTH(tblData[[#This Row],[Rental Date]],0)</f>
        <v>46265</v>
      </c>
      <c r="H2186" t="s">
        <v>749</v>
      </c>
      <c r="I2186" t="s">
        <v>23</v>
      </c>
      <c r="J2186" t="s">
        <v>78</v>
      </c>
      <c r="K2186" t="s">
        <v>25</v>
      </c>
      <c r="L2186">
        <v>1</v>
      </c>
      <c r="M2186" s="2">
        <v>50.4</v>
      </c>
      <c r="N2186" t="s">
        <v>70</v>
      </c>
      <c r="O2186" s="3">
        <v>7</v>
      </c>
      <c r="P2186" s="3">
        <v>0</v>
      </c>
      <c r="Q2186" s="2">
        <v>57.4</v>
      </c>
      <c r="R2186" t="s">
        <v>62</v>
      </c>
      <c r="S2186" t="s">
        <v>28</v>
      </c>
      <c r="T2186" t="s">
        <v>90</v>
      </c>
      <c r="U2186" t="s">
        <v>30</v>
      </c>
    </row>
    <row r="2187" spans="1:21" x14ac:dyDescent="0.35">
      <c r="A2187" t="s">
        <v>2266</v>
      </c>
      <c r="B2187" s="1">
        <v>46256</v>
      </c>
      <c r="C2187" t="str">
        <f>TEXT(tblData[[#This Row],[Rental Date]],"mmm")</f>
        <v>Aug</v>
      </c>
      <c r="D2187" t="str">
        <f>TEXT(tblData[[#This Row],[Rental Date]],"mmmm")</f>
        <v>August</v>
      </c>
      <c r="E2187" t="s">
        <v>56</v>
      </c>
      <c r="F2187" t="str">
        <f>TEXT(WEEKNUM(tblData[[#This Row],[Rental Date]]),"00")</f>
        <v>34</v>
      </c>
      <c r="G2187" s="1">
        <f>EOMONTH(tblData[[#This Row],[Rental Date]],0)</f>
        <v>46265</v>
      </c>
      <c r="H2187" t="s">
        <v>749</v>
      </c>
      <c r="I2187" t="s">
        <v>23</v>
      </c>
      <c r="J2187" t="s">
        <v>78</v>
      </c>
      <c r="K2187" t="s">
        <v>40</v>
      </c>
      <c r="L2187">
        <v>1</v>
      </c>
      <c r="M2187" s="2">
        <v>74.400000000000006</v>
      </c>
      <c r="N2187" t="s">
        <v>26</v>
      </c>
      <c r="O2187" s="3">
        <v>0</v>
      </c>
      <c r="P2187" s="3">
        <v>0</v>
      </c>
      <c r="Q2187" s="2">
        <v>74.400000000000006</v>
      </c>
      <c r="R2187" t="s">
        <v>76</v>
      </c>
      <c r="S2187" t="s">
        <v>54</v>
      </c>
      <c r="T2187" t="s">
        <v>29</v>
      </c>
      <c r="U2187" t="s">
        <v>30</v>
      </c>
    </row>
    <row r="2188" spans="1:21" x14ac:dyDescent="0.35">
      <c r="A2188" t="s">
        <v>2267</v>
      </c>
      <c r="B2188" s="1">
        <v>46256</v>
      </c>
      <c r="C2188" t="str">
        <f>TEXT(tblData[[#This Row],[Rental Date]],"mmm")</f>
        <v>Aug</v>
      </c>
      <c r="D2188" t="str">
        <f>TEXT(tblData[[#This Row],[Rental Date]],"mmmm")</f>
        <v>August</v>
      </c>
      <c r="E2188" t="s">
        <v>56</v>
      </c>
      <c r="F2188" t="str">
        <f>TEXT(WEEKNUM(tblData[[#This Row],[Rental Date]]),"00")</f>
        <v>34</v>
      </c>
      <c r="G2188" s="1">
        <f>EOMONTH(tblData[[#This Row],[Rental Date]],0)</f>
        <v>46265</v>
      </c>
      <c r="H2188" t="s">
        <v>749</v>
      </c>
      <c r="I2188" t="s">
        <v>32</v>
      </c>
      <c r="J2188" t="s">
        <v>33</v>
      </c>
      <c r="K2188" t="s">
        <v>40</v>
      </c>
      <c r="L2188">
        <v>1</v>
      </c>
      <c r="M2188" s="2">
        <v>69.599999999999994</v>
      </c>
      <c r="N2188" t="s">
        <v>89</v>
      </c>
      <c r="O2188" s="3">
        <v>6</v>
      </c>
      <c r="P2188" s="3">
        <v>3.78</v>
      </c>
      <c r="Q2188" s="2">
        <v>71.819999999999993</v>
      </c>
      <c r="R2188" t="s">
        <v>76</v>
      </c>
      <c r="S2188" t="s">
        <v>46</v>
      </c>
      <c r="T2188" t="s">
        <v>83</v>
      </c>
      <c r="U2188" t="s">
        <v>58</v>
      </c>
    </row>
    <row r="2189" spans="1:21" x14ac:dyDescent="0.35">
      <c r="A2189" t="s">
        <v>2268</v>
      </c>
      <c r="B2189" s="1">
        <v>46256</v>
      </c>
      <c r="C2189" t="str">
        <f>TEXT(tblData[[#This Row],[Rental Date]],"mmm")</f>
        <v>Aug</v>
      </c>
      <c r="D2189" t="str">
        <f>TEXT(tblData[[#This Row],[Rental Date]],"mmmm")</f>
        <v>August</v>
      </c>
      <c r="E2189" t="s">
        <v>56</v>
      </c>
      <c r="F2189" t="str">
        <f>TEXT(WEEKNUM(tblData[[#This Row],[Rental Date]]),"00")</f>
        <v>34</v>
      </c>
      <c r="G2189" s="1">
        <f>EOMONTH(tblData[[#This Row],[Rental Date]],0)</f>
        <v>46265</v>
      </c>
      <c r="H2189" t="s">
        <v>749</v>
      </c>
      <c r="I2189" t="s">
        <v>53</v>
      </c>
      <c r="J2189" t="s">
        <v>33</v>
      </c>
      <c r="K2189" t="s">
        <v>60</v>
      </c>
      <c r="L2189">
        <v>1</v>
      </c>
      <c r="M2189" s="2">
        <v>28.8</v>
      </c>
      <c r="N2189" t="s">
        <v>41</v>
      </c>
      <c r="O2189" s="3">
        <v>5</v>
      </c>
      <c r="P2189" s="3">
        <v>3.38</v>
      </c>
      <c r="Q2189" s="2">
        <v>30.42</v>
      </c>
      <c r="R2189" t="s">
        <v>34</v>
      </c>
      <c r="S2189" t="s">
        <v>50</v>
      </c>
      <c r="T2189" t="s">
        <v>29</v>
      </c>
      <c r="U2189" t="s">
        <v>58</v>
      </c>
    </row>
    <row r="2190" spans="1:21" x14ac:dyDescent="0.35">
      <c r="A2190" t="s">
        <v>2269</v>
      </c>
      <c r="B2190" s="1">
        <v>46256</v>
      </c>
      <c r="C2190" t="str">
        <f>TEXT(tblData[[#This Row],[Rental Date]],"mmm")</f>
        <v>Aug</v>
      </c>
      <c r="D2190" t="str">
        <f>TEXT(tblData[[#This Row],[Rental Date]],"mmmm")</f>
        <v>August</v>
      </c>
      <c r="E2190" t="s">
        <v>56</v>
      </c>
      <c r="F2190" t="str">
        <f>TEXT(WEEKNUM(tblData[[#This Row],[Rental Date]]),"00")</f>
        <v>34</v>
      </c>
      <c r="G2190" s="1">
        <f>EOMONTH(tblData[[#This Row],[Rental Date]],0)</f>
        <v>46265</v>
      </c>
      <c r="H2190" t="s">
        <v>749</v>
      </c>
      <c r="I2190" t="s">
        <v>39</v>
      </c>
      <c r="J2190" t="s">
        <v>33</v>
      </c>
      <c r="K2190" t="s">
        <v>92</v>
      </c>
      <c r="L2190">
        <v>1</v>
      </c>
      <c r="M2190" s="2">
        <v>100.8</v>
      </c>
      <c r="N2190" t="s">
        <v>26</v>
      </c>
      <c r="O2190" s="3">
        <v>0</v>
      </c>
      <c r="P2190" s="3">
        <v>0</v>
      </c>
      <c r="Q2190" s="2">
        <v>100.8</v>
      </c>
      <c r="R2190" t="s">
        <v>71</v>
      </c>
      <c r="S2190" t="s">
        <v>54</v>
      </c>
      <c r="T2190" t="s">
        <v>29</v>
      </c>
      <c r="U2190" t="s">
        <v>79</v>
      </c>
    </row>
    <row r="2191" spans="1:21" x14ac:dyDescent="0.35">
      <c r="A2191" t="s">
        <v>2270</v>
      </c>
      <c r="B2191" s="1">
        <v>46256</v>
      </c>
      <c r="C2191" t="str">
        <f>TEXT(tblData[[#This Row],[Rental Date]],"mmm")</f>
        <v>Aug</v>
      </c>
      <c r="D2191" t="str">
        <f>TEXT(tblData[[#This Row],[Rental Date]],"mmmm")</f>
        <v>August</v>
      </c>
      <c r="E2191" t="s">
        <v>56</v>
      </c>
      <c r="F2191" t="str">
        <f>TEXT(WEEKNUM(tblData[[#This Row],[Rental Date]]),"00")</f>
        <v>34</v>
      </c>
      <c r="G2191" s="1">
        <f>EOMONTH(tblData[[#This Row],[Rental Date]],0)</f>
        <v>46265</v>
      </c>
      <c r="H2191" t="s">
        <v>749</v>
      </c>
      <c r="I2191" t="s">
        <v>23</v>
      </c>
      <c r="J2191" t="s">
        <v>33</v>
      </c>
      <c r="K2191" t="s">
        <v>92</v>
      </c>
      <c r="L2191">
        <v>1</v>
      </c>
      <c r="M2191" s="2">
        <v>100.8</v>
      </c>
      <c r="N2191" t="s">
        <v>75</v>
      </c>
      <c r="O2191" s="3">
        <v>12</v>
      </c>
      <c r="P2191" s="3">
        <v>0</v>
      </c>
      <c r="Q2191" s="2">
        <v>112.8</v>
      </c>
      <c r="R2191" t="s">
        <v>71</v>
      </c>
      <c r="S2191" t="s">
        <v>35</v>
      </c>
      <c r="T2191" t="s">
        <v>29</v>
      </c>
      <c r="U2191" t="s">
        <v>58</v>
      </c>
    </row>
    <row r="2192" spans="1:21" x14ac:dyDescent="0.35">
      <c r="A2192" t="s">
        <v>2271</v>
      </c>
      <c r="B2192" s="1">
        <v>46256</v>
      </c>
      <c r="C2192" t="str">
        <f>TEXT(tblData[[#This Row],[Rental Date]],"mmm")</f>
        <v>Aug</v>
      </c>
      <c r="D2192" t="str">
        <f>TEXT(tblData[[#This Row],[Rental Date]],"mmmm")</f>
        <v>August</v>
      </c>
      <c r="E2192" t="s">
        <v>56</v>
      </c>
      <c r="F2192" t="str">
        <f>TEXT(WEEKNUM(tblData[[#This Row],[Rental Date]]),"00")</f>
        <v>34</v>
      </c>
      <c r="G2192" s="1">
        <f>EOMONTH(tblData[[#This Row],[Rental Date]],0)</f>
        <v>46265</v>
      </c>
      <c r="H2192" t="s">
        <v>749</v>
      </c>
      <c r="I2192" t="s">
        <v>53</v>
      </c>
      <c r="J2192" t="s">
        <v>33</v>
      </c>
      <c r="K2192" t="s">
        <v>40</v>
      </c>
      <c r="L2192">
        <v>1</v>
      </c>
      <c r="M2192" s="2">
        <v>69.599999999999994</v>
      </c>
      <c r="N2192" t="s">
        <v>26</v>
      </c>
      <c r="O2192" s="3">
        <v>0</v>
      </c>
      <c r="P2192" s="3">
        <v>6.96</v>
      </c>
      <c r="Q2192" s="2">
        <v>62.64</v>
      </c>
      <c r="R2192" t="s">
        <v>62</v>
      </c>
      <c r="S2192" t="s">
        <v>46</v>
      </c>
      <c r="T2192" t="s">
        <v>63</v>
      </c>
      <c r="U2192" t="s">
        <v>79</v>
      </c>
    </row>
    <row r="2193" spans="1:21" x14ac:dyDescent="0.35">
      <c r="A2193" t="s">
        <v>2272</v>
      </c>
      <c r="B2193" s="1">
        <v>46256</v>
      </c>
      <c r="C2193" t="str">
        <f>TEXT(tblData[[#This Row],[Rental Date]],"mmm")</f>
        <v>Aug</v>
      </c>
      <c r="D2193" t="str">
        <f>TEXT(tblData[[#This Row],[Rental Date]],"mmmm")</f>
        <v>August</v>
      </c>
      <c r="E2193" t="s">
        <v>56</v>
      </c>
      <c r="F2193" t="str">
        <f>TEXT(WEEKNUM(tblData[[#This Row],[Rental Date]]),"00")</f>
        <v>34</v>
      </c>
      <c r="G2193" s="1">
        <f>EOMONTH(tblData[[#This Row],[Rental Date]],0)</f>
        <v>46265</v>
      </c>
      <c r="H2193" t="s">
        <v>749</v>
      </c>
      <c r="I2193" t="s">
        <v>39</v>
      </c>
      <c r="J2193" t="s">
        <v>49</v>
      </c>
      <c r="K2193" t="s">
        <v>92</v>
      </c>
      <c r="L2193">
        <v>1</v>
      </c>
      <c r="M2193" s="2">
        <v>91.2</v>
      </c>
      <c r="N2193" t="s">
        <v>89</v>
      </c>
      <c r="O2193" s="3">
        <v>6</v>
      </c>
      <c r="P2193" s="3">
        <v>4.8600000000000003</v>
      </c>
      <c r="Q2193" s="2">
        <v>92.34</v>
      </c>
      <c r="R2193" t="s">
        <v>42</v>
      </c>
      <c r="S2193" t="s">
        <v>54</v>
      </c>
      <c r="T2193" t="s">
        <v>51</v>
      </c>
      <c r="U2193" t="s">
        <v>30</v>
      </c>
    </row>
    <row r="2194" spans="1:21" x14ac:dyDescent="0.35">
      <c r="A2194" t="s">
        <v>2273</v>
      </c>
      <c r="B2194" s="1">
        <v>46256</v>
      </c>
      <c r="C2194" t="str">
        <f>TEXT(tblData[[#This Row],[Rental Date]],"mmm")</f>
        <v>Aug</v>
      </c>
      <c r="D2194" t="str">
        <f>TEXT(tblData[[#This Row],[Rental Date]],"mmmm")</f>
        <v>August</v>
      </c>
      <c r="E2194" t="s">
        <v>56</v>
      </c>
      <c r="F2194" t="str">
        <f>TEXT(WEEKNUM(tblData[[#This Row],[Rental Date]]),"00")</f>
        <v>34</v>
      </c>
      <c r="G2194" s="1">
        <f>EOMONTH(tblData[[#This Row],[Rental Date]],0)</f>
        <v>46265</v>
      </c>
      <c r="H2194" t="s">
        <v>749</v>
      </c>
      <c r="I2194" t="s">
        <v>39</v>
      </c>
      <c r="J2194" t="s">
        <v>49</v>
      </c>
      <c r="K2194" t="s">
        <v>60</v>
      </c>
      <c r="L2194">
        <v>1</v>
      </c>
      <c r="M2194" s="2">
        <v>26.4</v>
      </c>
      <c r="N2194" t="s">
        <v>26</v>
      </c>
      <c r="O2194" s="3">
        <v>0</v>
      </c>
      <c r="P2194" s="3">
        <v>1.32</v>
      </c>
      <c r="Q2194" s="2">
        <v>25.08</v>
      </c>
      <c r="R2194" t="s">
        <v>57</v>
      </c>
      <c r="S2194" t="s">
        <v>46</v>
      </c>
      <c r="T2194" t="s">
        <v>63</v>
      </c>
      <c r="U2194" t="s">
        <v>30</v>
      </c>
    </row>
    <row r="2195" spans="1:21" x14ac:dyDescent="0.35">
      <c r="A2195" t="s">
        <v>2274</v>
      </c>
      <c r="B2195" s="1">
        <v>46256</v>
      </c>
      <c r="C2195" t="str">
        <f>TEXT(tblData[[#This Row],[Rental Date]],"mmm")</f>
        <v>Aug</v>
      </c>
      <c r="D2195" t="str">
        <f>TEXT(tblData[[#This Row],[Rental Date]],"mmmm")</f>
        <v>August</v>
      </c>
      <c r="E2195" t="s">
        <v>56</v>
      </c>
      <c r="F2195" t="str">
        <f>TEXT(WEEKNUM(tblData[[#This Row],[Rental Date]]),"00")</f>
        <v>34</v>
      </c>
      <c r="G2195" s="1">
        <f>EOMONTH(tblData[[#This Row],[Rental Date]],0)</f>
        <v>46265</v>
      </c>
      <c r="H2195" t="s">
        <v>749</v>
      </c>
      <c r="I2195" t="s">
        <v>32</v>
      </c>
      <c r="J2195" t="s">
        <v>78</v>
      </c>
      <c r="K2195" t="s">
        <v>40</v>
      </c>
      <c r="L2195">
        <v>1</v>
      </c>
      <c r="M2195" s="2">
        <v>74.400000000000006</v>
      </c>
      <c r="N2195" t="s">
        <v>26</v>
      </c>
      <c r="O2195" s="3">
        <v>0</v>
      </c>
      <c r="P2195" s="3">
        <v>3.72</v>
      </c>
      <c r="Q2195" s="2">
        <v>70.680000000000007</v>
      </c>
      <c r="R2195" t="s">
        <v>57</v>
      </c>
      <c r="S2195" t="s">
        <v>54</v>
      </c>
      <c r="T2195" t="s">
        <v>63</v>
      </c>
      <c r="U2195" t="s">
        <v>30</v>
      </c>
    </row>
    <row r="2196" spans="1:21" x14ac:dyDescent="0.35">
      <c r="A2196" t="s">
        <v>2275</v>
      </c>
      <c r="B2196" s="1">
        <v>46256</v>
      </c>
      <c r="C2196" t="str">
        <f>TEXT(tblData[[#This Row],[Rental Date]],"mmm")</f>
        <v>Aug</v>
      </c>
      <c r="D2196" t="str">
        <f>TEXT(tblData[[#This Row],[Rental Date]],"mmmm")</f>
        <v>August</v>
      </c>
      <c r="E2196" t="s">
        <v>56</v>
      </c>
      <c r="F2196" t="str">
        <f>TEXT(WEEKNUM(tblData[[#This Row],[Rental Date]]),"00")</f>
        <v>34</v>
      </c>
      <c r="G2196" s="1">
        <f>EOMONTH(tblData[[#This Row],[Rental Date]],0)</f>
        <v>46265</v>
      </c>
      <c r="H2196" t="s">
        <v>749</v>
      </c>
      <c r="I2196" t="s">
        <v>48</v>
      </c>
      <c r="J2196" t="s">
        <v>78</v>
      </c>
      <c r="K2196" t="s">
        <v>25</v>
      </c>
      <c r="L2196">
        <v>1</v>
      </c>
      <c r="M2196" s="2">
        <v>50.4</v>
      </c>
      <c r="N2196" t="s">
        <v>26</v>
      </c>
      <c r="O2196" s="3">
        <v>0</v>
      </c>
      <c r="P2196" s="3">
        <v>0</v>
      </c>
      <c r="Q2196" s="2">
        <v>50.4</v>
      </c>
      <c r="R2196" t="s">
        <v>71</v>
      </c>
      <c r="S2196" t="s">
        <v>28</v>
      </c>
      <c r="T2196" t="s">
        <v>63</v>
      </c>
      <c r="U2196" t="s">
        <v>30</v>
      </c>
    </row>
    <row r="2197" spans="1:21" x14ac:dyDescent="0.35">
      <c r="A2197" t="s">
        <v>2276</v>
      </c>
      <c r="B2197" s="1">
        <v>46256</v>
      </c>
      <c r="C2197" t="str">
        <f>TEXT(tblData[[#This Row],[Rental Date]],"mmm")</f>
        <v>Aug</v>
      </c>
      <c r="D2197" t="str">
        <f>TEXT(tblData[[#This Row],[Rental Date]],"mmmm")</f>
        <v>August</v>
      </c>
      <c r="E2197" t="s">
        <v>56</v>
      </c>
      <c r="F2197" t="str">
        <f>TEXT(WEEKNUM(tblData[[#This Row],[Rental Date]]),"00")</f>
        <v>34</v>
      </c>
      <c r="G2197" s="1">
        <f>EOMONTH(tblData[[#This Row],[Rental Date]],0)</f>
        <v>46265</v>
      </c>
      <c r="H2197" t="s">
        <v>749</v>
      </c>
      <c r="I2197" t="s">
        <v>39</v>
      </c>
      <c r="J2197" t="s">
        <v>24</v>
      </c>
      <c r="K2197" t="s">
        <v>25</v>
      </c>
      <c r="L2197">
        <v>1</v>
      </c>
      <c r="M2197" s="2">
        <v>60</v>
      </c>
      <c r="N2197" t="s">
        <v>61</v>
      </c>
      <c r="O2197" s="3">
        <v>8</v>
      </c>
      <c r="P2197" s="3">
        <v>0</v>
      </c>
      <c r="Q2197" s="2">
        <v>68</v>
      </c>
      <c r="R2197" t="s">
        <v>42</v>
      </c>
      <c r="S2197" t="s">
        <v>54</v>
      </c>
      <c r="T2197" t="s">
        <v>29</v>
      </c>
      <c r="U2197" t="s">
        <v>58</v>
      </c>
    </row>
    <row r="2198" spans="1:21" x14ac:dyDescent="0.35">
      <c r="A2198" t="s">
        <v>2277</v>
      </c>
      <c r="B2198" s="1">
        <v>46256</v>
      </c>
      <c r="C2198" t="str">
        <f>TEXT(tblData[[#This Row],[Rental Date]],"mmm")</f>
        <v>Aug</v>
      </c>
      <c r="D2198" t="str">
        <f>TEXT(tblData[[#This Row],[Rental Date]],"mmmm")</f>
        <v>August</v>
      </c>
      <c r="E2198" t="s">
        <v>56</v>
      </c>
      <c r="F2198" t="str">
        <f>TEXT(WEEKNUM(tblData[[#This Row],[Rental Date]]),"00")</f>
        <v>34</v>
      </c>
      <c r="G2198" s="1">
        <f>EOMONTH(tblData[[#This Row],[Rental Date]],0)</f>
        <v>46265</v>
      </c>
      <c r="H2198" t="s">
        <v>749</v>
      </c>
      <c r="I2198" t="s">
        <v>48</v>
      </c>
      <c r="J2198" t="s">
        <v>138</v>
      </c>
      <c r="K2198" t="s">
        <v>60</v>
      </c>
      <c r="L2198">
        <v>1</v>
      </c>
      <c r="M2198" s="2">
        <v>36</v>
      </c>
      <c r="N2198" t="s">
        <v>26</v>
      </c>
      <c r="O2198" s="3">
        <v>0</v>
      </c>
      <c r="P2198" s="3">
        <v>0</v>
      </c>
      <c r="Q2198" s="2">
        <v>36</v>
      </c>
      <c r="R2198" t="s">
        <v>71</v>
      </c>
      <c r="S2198" t="s">
        <v>50</v>
      </c>
      <c r="T2198" t="s">
        <v>29</v>
      </c>
      <c r="U2198" t="s">
        <v>79</v>
      </c>
    </row>
    <row r="2199" spans="1:21" x14ac:dyDescent="0.35">
      <c r="A2199" t="s">
        <v>2278</v>
      </c>
      <c r="B2199" s="1">
        <v>46257</v>
      </c>
      <c r="C2199" t="str">
        <f>TEXT(tblData[[#This Row],[Rental Date]],"mmm")</f>
        <v>Aug</v>
      </c>
      <c r="D2199" t="str">
        <f>TEXT(tblData[[#This Row],[Rental Date]],"mmmm")</f>
        <v>August</v>
      </c>
      <c r="E2199" t="s">
        <v>68</v>
      </c>
      <c r="F2199" t="str">
        <f>TEXT(WEEKNUM(tblData[[#This Row],[Rental Date]]),"00")</f>
        <v>35</v>
      </c>
      <c r="G2199" s="1">
        <f>EOMONTH(tblData[[#This Row],[Rental Date]],0)</f>
        <v>46265</v>
      </c>
      <c r="H2199" t="s">
        <v>749</v>
      </c>
      <c r="I2199" t="s">
        <v>48</v>
      </c>
      <c r="J2199" t="s">
        <v>65</v>
      </c>
      <c r="K2199" t="s">
        <v>25</v>
      </c>
      <c r="L2199">
        <v>1</v>
      </c>
      <c r="M2199" s="2">
        <v>21.6</v>
      </c>
      <c r="N2199" t="s">
        <v>41</v>
      </c>
      <c r="O2199" s="3">
        <v>5</v>
      </c>
      <c r="P2199" s="3">
        <v>0</v>
      </c>
      <c r="Q2199" s="2">
        <v>26.6</v>
      </c>
      <c r="R2199" t="s">
        <v>66</v>
      </c>
      <c r="S2199" t="s">
        <v>28</v>
      </c>
      <c r="T2199" t="s">
        <v>63</v>
      </c>
      <c r="U2199" t="s">
        <v>79</v>
      </c>
    </row>
    <row r="2200" spans="1:21" x14ac:dyDescent="0.35">
      <c r="A2200" t="s">
        <v>2279</v>
      </c>
      <c r="B2200" s="1">
        <v>46257</v>
      </c>
      <c r="C2200" t="str">
        <f>TEXT(tblData[[#This Row],[Rental Date]],"mmm")</f>
        <v>Aug</v>
      </c>
      <c r="D2200" t="str">
        <f>TEXT(tblData[[#This Row],[Rental Date]],"mmmm")</f>
        <v>August</v>
      </c>
      <c r="E2200" t="s">
        <v>68</v>
      </c>
      <c r="F2200" t="str">
        <f>TEXT(WEEKNUM(tblData[[#This Row],[Rental Date]]),"00")</f>
        <v>35</v>
      </c>
      <c r="G2200" s="1">
        <f>EOMONTH(tblData[[#This Row],[Rental Date]],0)</f>
        <v>46265</v>
      </c>
      <c r="H2200" t="s">
        <v>749</v>
      </c>
      <c r="I2200" t="s">
        <v>39</v>
      </c>
      <c r="J2200" t="s">
        <v>44</v>
      </c>
      <c r="K2200" t="s">
        <v>25</v>
      </c>
      <c r="L2200">
        <v>1</v>
      </c>
      <c r="M2200" s="2">
        <v>62.4</v>
      </c>
      <c r="N2200" t="s">
        <v>26</v>
      </c>
      <c r="O2200" s="3">
        <v>0</v>
      </c>
      <c r="P2200" s="3">
        <v>0</v>
      </c>
      <c r="Q2200" s="2">
        <v>62.4</v>
      </c>
      <c r="R2200" t="s">
        <v>45</v>
      </c>
      <c r="S2200" t="s">
        <v>35</v>
      </c>
      <c r="T2200" t="s">
        <v>29</v>
      </c>
      <c r="U2200" t="s">
        <v>30</v>
      </c>
    </row>
    <row r="2201" spans="1:21" x14ac:dyDescent="0.35">
      <c r="A2201" t="s">
        <v>2280</v>
      </c>
      <c r="B2201" s="1">
        <v>46257</v>
      </c>
      <c r="C2201" t="str">
        <f>TEXT(tblData[[#This Row],[Rental Date]],"mmm")</f>
        <v>Aug</v>
      </c>
      <c r="D2201" t="str">
        <f>TEXT(tblData[[#This Row],[Rental Date]],"mmmm")</f>
        <v>August</v>
      </c>
      <c r="E2201" t="s">
        <v>68</v>
      </c>
      <c r="F2201" t="str">
        <f>TEXT(WEEKNUM(tblData[[#This Row],[Rental Date]]),"00")</f>
        <v>35</v>
      </c>
      <c r="G2201" s="1">
        <f>EOMONTH(tblData[[#This Row],[Rental Date]],0)</f>
        <v>46265</v>
      </c>
      <c r="H2201" t="s">
        <v>749</v>
      </c>
      <c r="I2201" t="s">
        <v>32</v>
      </c>
      <c r="J2201" t="s">
        <v>127</v>
      </c>
      <c r="K2201" t="s">
        <v>60</v>
      </c>
      <c r="L2201">
        <v>1</v>
      </c>
      <c r="M2201" s="2">
        <v>12</v>
      </c>
      <c r="N2201" t="s">
        <v>26</v>
      </c>
      <c r="O2201" s="3">
        <v>0</v>
      </c>
      <c r="P2201" s="3">
        <v>1.2</v>
      </c>
      <c r="Q2201" s="2">
        <v>10.8</v>
      </c>
      <c r="R2201" t="s">
        <v>71</v>
      </c>
      <c r="S2201" t="s">
        <v>35</v>
      </c>
      <c r="T2201" t="s">
        <v>29</v>
      </c>
      <c r="U2201" t="s">
        <v>30</v>
      </c>
    </row>
    <row r="2202" spans="1:21" x14ac:dyDescent="0.35">
      <c r="A2202" t="s">
        <v>2281</v>
      </c>
      <c r="B2202" s="1">
        <v>46257</v>
      </c>
      <c r="C2202" t="str">
        <f>TEXT(tblData[[#This Row],[Rental Date]],"mmm")</f>
        <v>Aug</v>
      </c>
      <c r="D2202" t="str">
        <f>TEXT(tblData[[#This Row],[Rental Date]],"mmmm")</f>
        <v>August</v>
      </c>
      <c r="E2202" t="s">
        <v>68</v>
      </c>
      <c r="F2202" t="str">
        <f>TEXT(WEEKNUM(tblData[[#This Row],[Rental Date]]),"00")</f>
        <v>35</v>
      </c>
      <c r="G2202" s="1">
        <f>EOMONTH(tblData[[#This Row],[Rental Date]],0)</f>
        <v>46265</v>
      </c>
      <c r="H2202" t="s">
        <v>749</v>
      </c>
      <c r="I2202" t="s">
        <v>39</v>
      </c>
      <c r="J2202" t="s">
        <v>49</v>
      </c>
      <c r="K2202" t="s">
        <v>60</v>
      </c>
      <c r="L2202">
        <v>1</v>
      </c>
      <c r="M2202" s="2">
        <v>26.4</v>
      </c>
      <c r="N2202" t="s">
        <v>26</v>
      </c>
      <c r="O2202" s="3">
        <v>0</v>
      </c>
      <c r="P2202" s="3">
        <v>0</v>
      </c>
      <c r="Q2202" s="2">
        <v>26.4</v>
      </c>
      <c r="R2202" t="s">
        <v>34</v>
      </c>
      <c r="S2202" t="s">
        <v>50</v>
      </c>
      <c r="T2202" t="s">
        <v>51</v>
      </c>
      <c r="U2202" t="s">
        <v>30</v>
      </c>
    </row>
    <row r="2203" spans="1:21" x14ac:dyDescent="0.35">
      <c r="A2203" t="s">
        <v>2282</v>
      </c>
      <c r="B2203" s="1">
        <v>46257</v>
      </c>
      <c r="C2203" t="str">
        <f>TEXT(tblData[[#This Row],[Rental Date]],"mmm")</f>
        <v>Aug</v>
      </c>
      <c r="D2203" t="str">
        <f>TEXT(tblData[[#This Row],[Rental Date]],"mmmm")</f>
        <v>August</v>
      </c>
      <c r="E2203" t="s">
        <v>68</v>
      </c>
      <c r="F2203" t="str">
        <f>TEXT(WEEKNUM(tblData[[#This Row],[Rental Date]]),"00")</f>
        <v>35</v>
      </c>
      <c r="G2203" s="1">
        <f>EOMONTH(tblData[[#This Row],[Rental Date]],0)</f>
        <v>46265</v>
      </c>
      <c r="H2203" t="s">
        <v>749</v>
      </c>
      <c r="I2203" t="s">
        <v>32</v>
      </c>
      <c r="J2203" t="s">
        <v>44</v>
      </c>
      <c r="K2203" t="s">
        <v>60</v>
      </c>
      <c r="L2203">
        <v>1</v>
      </c>
      <c r="M2203" s="2">
        <v>40.799999999999997</v>
      </c>
      <c r="N2203" t="s">
        <v>26</v>
      </c>
      <c r="O2203" s="3">
        <v>0</v>
      </c>
      <c r="P2203" s="3">
        <v>0</v>
      </c>
      <c r="Q2203" s="2">
        <v>40.799999999999997</v>
      </c>
      <c r="R2203" t="s">
        <v>34</v>
      </c>
      <c r="S2203" t="s">
        <v>28</v>
      </c>
      <c r="T2203" t="s">
        <v>29</v>
      </c>
      <c r="U2203" t="s">
        <v>30</v>
      </c>
    </row>
    <row r="2204" spans="1:21" x14ac:dyDescent="0.35">
      <c r="A2204" t="s">
        <v>2283</v>
      </c>
      <c r="B2204" s="1">
        <v>46257</v>
      </c>
      <c r="C2204" t="str">
        <f>TEXT(tblData[[#This Row],[Rental Date]],"mmm")</f>
        <v>Aug</v>
      </c>
      <c r="D2204" t="str">
        <f>TEXT(tblData[[#This Row],[Rental Date]],"mmmm")</f>
        <v>August</v>
      </c>
      <c r="E2204" t="s">
        <v>68</v>
      </c>
      <c r="F2204" t="str">
        <f>TEXT(WEEKNUM(tblData[[#This Row],[Rental Date]]),"00")</f>
        <v>35</v>
      </c>
      <c r="G2204" s="1">
        <f>EOMONTH(tblData[[#This Row],[Rental Date]],0)</f>
        <v>46265</v>
      </c>
      <c r="H2204" t="s">
        <v>749</v>
      </c>
      <c r="I2204" t="s">
        <v>48</v>
      </c>
      <c r="J2204" t="s">
        <v>78</v>
      </c>
      <c r="K2204" t="s">
        <v>60</v>
      </c>
      <c r="L2204">
        <v>1</v>
      </c>
      <c r="M2204" s="2">
        <v>31.2</v>
      </c>
      <c r="N2204" t="s">
        <v>41</v>
      </c>
      <c r="O2204" s="3">
        <v>5</v>
      </c>
      <c r="P2204" s="3">
        <v>0</v>
      </c>
      <c r="Q2204" s="2">
        <v>36.200000000000003</v>
      </c>
      <c r="R2204" t="s">
        <v>42</v>
      </c>
      <c r="S2204" t="s">
        <v>35</v>
      </c>
      <c r="T2204" t="s">
        <v>29</v>
      </c>
      <c r="U2204" t="s">
        <v>30</v>
      </c>
    </row>
    <row r="2205" spans="1:21" x14ac:dyDescent="0.35">
      <c r="A2205" t="s">
        <v>2284</v>
      </c>
      <c r="B2205" s="1">
        <v>46257</v>
      </c>
      <c r="C2205" t="str">
        <f>TEXT(tblData[[#This Row],[Rental Date]],"mmm")</f>
        <v>Aug</v>
      </c>
      <c r="D2205" t="str">
        <f>TEXT(tblData[[#This Row],[Rental Date]],"mmmm")</f>
        <v>August</v>
      </c>
      <c r="E2205" t="s">
        <v>68</v>
      </c>
      <c r="F2205" t="str">
        <f>TEXT(WEEKNUM(tblData[[#This Row],[Rental Date]]),"00")</f>
        <v>35</v>
      </c>
      <c r="G2205" s="1">
        <f>EOMONTH(tblData[[#This Row],[Rental Date]],0)</f>
        <v>46265</v>
      </c>
      <c r="H2205" t="s">
        <v>749</v>
      </c>
      <c r="I2205" t="s">
        <v>48</v>
      </c>
      <c r="J2205" t="s">
        <v>78</v>
      </c>
      <c r="K2205" t="s">
        <v>60</v>
      </c>
      <c r="L2205">
        <v>1</v>
      </c>
      <c r="M2205" s="2">
        <v>31.2</v>
      </c>
      <c r="N2205" t="s">
        <v>89</v>
      </c>
      <c r="O2205" s="3">
        <v>6</v>
      </c>
      <c r="P2205" s="3">
        <v>0</v>
      </c>
      <c r="Q2205" s="2">
        <v>37.200000000000003</v>
      </c>
      <c r="R2205" t="s">
        <v>66</v>
      </c>
      <c r="S2205" t="s">
        <v>28</v>
      </c>
      <c r="T2205" t="s">
        <v>29</v>
      </c>
      <c r="U2205" t="s">
        <v>30</v>
      </c>
    </row>
    <row r="2206" spans="1:21" x14ac:dyDescent="0.35">
      <c r="A2206" t="s">
        <v>2285</v>
      </c>
      <c r="B2206" s="1">
        <v>46257</v>
      </c>
      <c r="C2206" t="str">
        <f>TEXT(tblData[[#This Row],[Rental Date]],"mmm")</f>
        <v>Aug</v>
      </c>
      <c r="D2206" t="str">
        <f>TEXT(tblData[[#This Row],[Rental Date]],"mmmm")</f>
        <v>August</v>
      </c>
      <c r="E2206" t="s">
        <v>68</v>
      </c>
      <c r="F2206" t="str">
        <f>TEXT(WEEKNUM(tblData[[#This Row],[Rental Date]]),"00")</f>
        <v>35</v>
      </c>
      <c r="G2206" s="1">
        <f>EOMONTH(tblData[[#This Row],[Rental Date]],0)</f>
        <v>46265</v>
      </c>
      <c r="H2206" t="s">
        <v>749</v>
      </c>
      <c r="I2206" t="s">
        <v>32</v>
      </c>
      <c r="J2206" t="s">
        <v>78</v>
      </c>
      <c r="K2206" t="s">
        <v>25</v>
      </c>
      <c r="L2206">
        <v>1</v>
      </c>
      <c r="M2206" s="2">
        <v>50.4</v>
      </c>
      <c r="N2206" t="s">
        <v>26</v>
      </c>
      <c r="O2206" s="3">
        <v>0</v>
      </c>
      <c r="P2206" s="3">
        <v>5.04</v>
      </c>
      <c r="Q2206" s="2">
        <v>45.36</v>
      </c>
      <c r="R2206" t="s">
        <v>62</v>
      </c>
      <c r="S2206" t="s">
        <v>54</v>
      </c>
      <c r="T2206" t="s">
        <v>29</v>
      </c>
      <c r="U2206" t="s">
        <v>30</v>
      </c>
    </row>
    <row r="2207" spans="1:21" x14ac:dyDescent="0.35">
      <c r="A2207" t="s">
        <v>2286</v>
      </c>
      <c r="B2207" s="1">
        <v>46257</v>
      </c>
      <c r="C2207" t="str">
        <f>TEXT(tblData[[#This Row],[Rental Date]],"mmm")</f>
        <v>Aug</v>
      </c>
      <c r="D2207" t="str">
        <f>TEXT(tblData[[#This Row],[Rental Date]],"mmmm")</f>
        <v>August</v>
      </c>
      <c r="E2207" t="s">
        <v>68</v>
      </c>
      <c r="F2207" t="str">
        <f>TEXT(WEEKNUM(tblData[[#This Row],[Rental Date]]),"00")</f>
        <v>35</v>
      </c>
      <c r="G2207" s="1">
        <f>EOMONTH(tblData[[#This Row],[Rental Date]],0)</f>
        <v>46265</v>
      </c>
      <c r="H2207" t="s">
        <v>749</v>
      </c>
      <c r="I2207" t="s">
        <v>39</v>
      </c>
      <c r="J2207" t="s">
        <v>78</v>
      </c>
      <c r="K2207" t="s">
        <v>25</v>
      </c>
      <c r="L2207">
        <v>1</v>
      </c>
      <c r="M2207" s="2">
        <v>50.4</v>
      </c>
      <c r="N2207" t="s">
        <v>26</v>
      </c>
      <c r="O2207" s="3">
        <v>0</v>
      </c>
      <c r="P2207" s="3">
        <v>0</v>
      </c>
      <c r="Q2207" s="2">
        <v>50.4</v>
      </c>
      <c r="R2207" t="s">
        <v>27</v>
      </c>
      <c r="S2207" t="s">
        <v>54</v>
      </c>
      <c r="T2207" t="s">
        <v>51</v>
      </c>
      <c r="U2207" t="s">
        <v>30</v>
      </c>
    </row>
    <row r="2208" spans="1:21" x14ac:dyDescent="0.35">
      <c r="A2208" t="s">
        <v>2287</v>
      </c>
      <c r="B2208" s="1">
        <v>46257</v>
      </c>
      <c r="C2208" t="str">
        <f>TEXT(tblData[[#This Row],[Rental Date]],"mmm")</f>
        <v>Aug</v>
      </c>
      <c r="D2208" t="str">
        <f>TEXT(tblData[[#This Row],[Rental Date]],"mmmm")</f>
        <v>August</v>
      </c>
      <c r="E2208" t="s">
        <v>68</v>
      </c>
      <c r="F2208" t="str">
        <f>TEXT(WEEKNUM(tblData[[#This Row],[Rental Date]]),"00")</f>
        <v>35</v>
      </c>
      <c r="G2208" s="1">
        <f>EOMONTH(tblData[[#This Row],[Rental Date]],0)</f>
        <v>46265</v>
      </c>
      <c r="H2208" t="s">
        <v>749</v>
      </c>
      <c r="I2208" t="s">
        <v>32</v>
      </c>
      <c r="J2208" t="s">
        <v>33</v>
      </c>
      <c r="K2208" t="s">
        <v>40</v>
      </c>
      <c r="L2208">
        <v>1</v>
      </c>
      <c r="M2208" s="2">
        <v>69.599999999999994</v>
      </c>
      <c r="N2208" t="s">
        <v>41</v>
      </c>
      <c r="O2208" s="3">
        <v>5</v>
      </c>
      <c r="P2208" s="3">
        <v>0</v>
      </c>
      <c r="Q2208" s="2">
        <v>74.599999999999994</v>
      </c>
      <c r="R2208" t="s">
        <v>66</v>
      </c>
      <c r="S2208" t="s">
        <v>35</v>
      </c>
      <c r="T2208" t="s">
        <v>29</v>
      </c>
      <c r="U2208" t="s">
        <v>30</v>
      </c>
    </row>
    <row r="2209" spans="1:21" x14ac:dyDescent="0.35">
      <c r="A2209" t="s">
        <v>2288</v>
      </c>
      <c r="B2209" s="1">
        <v>46257</v>
      </c>
      <c r="C2209" t="str">
        <f>TEXT(tblData[[#This Row],[Rental Date]],"mmm")</f>
        <v>Aug</v>
      </c>
      <c r="D2209" t="str">
        <f>TEXT(tblData[[#This Row],[Rental Date]],"mmmm")</f>
        <v>August</v>
      </c>
      <c r="E2209" t="s">
        <v>68</v>
      </c>
      <c r="F2209" t="str">
        <f>TEXT(WEEKNUM(tblData[[#This Row],[Rental Date]]),"00")</f>
        <v>35</v>
      </c>
      <c r="G2209" s="1">
        <f>EOMONTH(tblData[[#This Row],[Rental Date]],0)</f>
        <v>46265</v>
      </c>
      <c r="H2209" t="s">
        <v>749</v>
      </c>
      <c r="I2209" t="s">
        <v>39</v>
      </c>
      <c r="J2209" t="s">
        <v>111</v>
      </c>
      <c r="K2209" t="s">
        <v>60</v>
      </c>
      <c r="L2209">
        <v>1</v>
      </c>
      <c r="M2209" s="2">
        <v>16.8</v>
      </c>
      <c r="N2209" t="s">
        <v>26</v>
      </c>
      <c r="O2209" s="3">
        <v>0</v>
      </c>
      <c r="P2209" s="3">
        <v>0</v>
      </c>
      <c r="Q2209" s="2">
        <v>16.8</v>
      </c>
      <c r="R2209" t="s">
        <v>57</v>
      </c>
      <c r="S2209" t="s">
        <v>50</v>
      </c>
      <c r="T2209" t="s">
        <v>29</v>
      </c>
      <c r="U2209" t="s">
        <v>30</v>
      </c>
    </row>
    <row r="2210" spans="1:21" x14ac:dyDescent="0.35">
      <c r="A2210" t="s">
        <v>2289</v>
      </c>
      <c r="B2210" s="1">
        <v>46257</v>
      </c>
      <c r="C2210" t="str">
        <f>TEXT(tblData[[#This Row],[Rental Date]],"mmm")</f>
        <v>Aug</v>
      </c>
      <c r="D2210" t="str">
        <f>TEXT(tblData[[#This Row],[Rental Date]],"mmmm")</f>
        <v>August</v>
      </c>
      <c r="E2210" t="s">
        <v>68</v>
      </c>
      <c r="F2210" t="str">
        <f>TEXT(WEEKNUM(tblData[[#This Row],[Rental Date]]),"00")</f>
        <v>35</v>
      </c>
      <c r="G2210" s="1">
        <f>EOMONTH(tblData[[#This Row],[Rental Date]],0)</f>
        <v>46265</v>
      </c>
      <c r="H2210" t="s">
        <v>749</v>
      </c>
      <c r="I2210" t="s">
        <v>32</v>
      </c>
      <c r="J2210" t="s">
        <v>49</v>
      </c>
      <c r="K2210" t="s">
        <v>92</v>
      </c>
      <c r="L2210">
        <v>1</v>
      </c>
      <c r="M2210" s="2">
        <v>91.2</v>
      </c>
      <c r="N2210" t="s">
        <v>26</v>
      </c>
      <c r="O2210" s="3">
        <v>0</v>
      </c>
      <c r="P2210" s="3">
        <v>4.5599999999999996</v>
      </c>
      <c r="Q2210" s="2">
        <v>86.64</v>
      </c>
      <c r="R2210" t="s">
        <v>66</v>
      </c>
      <c r="S2210" t="s">
        <v>46</v>
      </c>
      <c r="T2210" t="s">
        <v>29</v>
      </c>
      <c r="U2210" t="s">
        <v>30</v>
      </c>
    </row>
    <row r="2211" spans="1:21" x14ac:dyDescent="0.35">
      <c r="A2211" t="s">
        <v>2290</v>
      </c>
      <c r="B2211" s="1">
        <v>46257</v>
      </c>
      <c r="C2211" t="str">
        <f>TEXT(tblData[[#This Row],[Rental Date]],"mmm")</f>
        <v>Aug</v>
      </c>
      <c r="D2211" t="str">
        <f>TEXT(tblData[[#This Row],[Rental Date]],"mmmm")</f>
        <v>August</v>
      </c>
      <c r="E2211" t="s">
        <v>68</v>
      </c>
      <c r="F2211" t="str">
        <f>TEXT(WEEKNUM(tblData[[#This Row],[Rental Date]]),"00")</f>
        <v>35</v>
      </c>
      <c r="G2211" s="1">
        <f>EOMONTH(tblData[[#This Row],[Rental Date]],0)</f>
        <v>46265</v>
      </c>
      <c r="H2211" t="s">
        <v>749</v>
      </c>
      <c r="I2211" t="s">
        <v>48</v>
      </c>
      <c r="J2211" t="s">
        <v>33</v>
      </c>
      <c r="K2211" t="s">
        <v>40</v>
      </c>
      <c r="L2211">
        <v>1</v>
      </c>
      <c r="M2211" s="2">
        <v>69.599999999999994</v>
      </c>
      <c r="N2211" t="s">
        <v>26</v>
      </c>
      <c r="O2211" s="3">
        <v>0</v>
      </c>
      <c r="P2211" s="3">
        <v>3.48</v>
      </c>
      <c r="Q2211" s="2">
        <v>66.12</v>
      </c>
      <c r="R2211" t="s">
        <v>45</v>
      </c>
      <c r="S2211" t="s">
        <v>28</v>
      </c>
      <c r="T2211" t="s">
        <v>29</v>
      </c>
      <c r="U2211" t="s">
        <v>30</v>
      </c>
    </row>
    <row r="2212" spans="1:21" x14ac:dyDescent="0.35">
      <c r="A2212" t="s">
        <v>2291</v>
      </c>
      <c r="B2212" s="1">
        <v>46257</v>
      </c>
      <c r="C2212" t="str">
        <f>TEXT(tblData[[#This Row],[Rental Date]],"mmm")</f>
        <v>Aug</v>
      </c>
      <c r="D2212" t="str">
        <f>TEXT(tblData[[#This Row],[Rental Date]],"mmmm")</f>
        <v>August</v>
      </c>
      <c r="E2212" t="s">
        <v>68</v>
      </c>
      <c r="F2212" t="str">
        <f>TEXT(WEEKNUM(tblData[[#This Row],[Rental Date]]),"00")</f>
        <v>35</v>
      </c>
      <c r="G2212" s="1">
        <f>EOMONTH(tblData[[#This Row],[Rental Date]],0)</f>
        <v>46265</v>
      </c>
      <c r="H2212" t="s">
        <v>749</v>
      </c>
      <c r="I2212" t="s">
        <v>32</v>
      </c>
      <c r="J2212" t="s">
        <v>33</v>
      </c>
      <c r="K2212" t="s">
        <v>60</v>
      </c>
      <c r="L2212">
        <v>1</v>
      </c>
      <c r="M2212" s="2">
        <v>28.8</v>
      </c>
      <c r="N2212" t="s">
        <v>26</v>
      </c>
      <c r="O2212" s="3">
        <v>0</v>
      </c>
      <c r="P2212" s="3">
        <v>0</v>
      </c>
      <c r="Q2212" s="2">
        <v>28.8</v>
      </c>
      <c r="R2212" t="s">
        <v>57</v>
      </c>
      <c r="S2212" t="s">
        <v>50</v>
      </c>
      <c r="T2212" t="s">
        <v>29</v>
      </c>
      <c r="U2212" t="s">
        <v>30</v>
      </c>
    </row>
    <row r="2213" spans="1:21" x14ac:dyDescent="0.35">
      <c r="A2213" t="s">
        <v>2292</v>
      </c>
      <c r="B2213" s="1">
        <v>46257</v>
      </c>
      <c r="C2213" t="str">
        <f>TEXT(tblData[[#This Row],[Rental Date]],"mmm")</f>
        <v>Aug</v>
      </c>
      <c r="D2213" t="str">
        <f>TEXT(tblData[[#This Row],[Rental Date]],"mmmm")</f>
        <v>August</v>
      </c>
      <c r="E2213" t="s">
        <v>68</v>
      </c>
      <c r="F2213" t="str">
        <f>TEXT(WEEKNUM(tblData[[#This Row],[Rental Date]]),"00")</f>
        <v>35</v>
      </c>
      <c r="G2213" s="1">
        <f>EOMONTH(tblData[[#This Row],[Rental Date]],0)</f>
        <v>46265</v>
      </c>
      <c r="H2213" t="s">
        <v>749</v>
      </c>
      <c r="I2213" t="s">
        <v>53</v>
      </c>
      <c r="J2213" t="s">
        <v>33</v>
      </c>
      <c r="K2213" t="s">
        <v>60</v>
      </c>
      <c r="L2213">
        <v>1</v>
      </c>
      <c r="M2213" s="2">
        <v>28.8</v>
      </c>
      <c r="N2213" t="s">
        <v>26</v>
      </c>
      <c r="O2213" s="3">
        <v>0</v>
      </c>
      <c r="P2213" s="3">
        <v>2.88</v>
      </c>
      <c r="Q2213" s="2">
        <v>25.92</v>
      </c>
      <c r="R2213" t="s">
        <v>57</v>
      </c>
      <c r="S2213" t="s">
        <v>46</v>
      </c>
      <c r="T2213" t="s">
        <v>29</v>
      </c>
      <c r="U2213" t="s">
        <v>30</v>
      </c>
    </row>
    <row r="2214" spans="1:21" x14ac:dyDescent="0.35">
      <c r="A2214" t="s">
        <v>2293</v>
      </c>
      <c r="B2214" s="1">
        <v>46257</v>
      </c>
      <c r="C2214" t="str">
        <f>TEXT(tblData[[#This Row],[Rental Date]],"mmm")</f>
        <v>Aug</v>
      </c>
      <c r="D2214" t="str">
        <f>TEXT(tblData[[#This Row],[Rental Date]],"mmmm")</f>
        <v>August</v>
      </c>
      <c r="E2214" t="s">
        <v>68</v>
      </c>
      <c r="F2214" t="str">
        <f>TEXT(WEEKNUM(tblData[[#This Row],[Rental Date]]),"00")</f>
        <v>35</v>
      </c>
      <c r="G2214" s="1">
        <f>EOMONTH(tblData[[#This Row],[Rental Date]],0)</f>
        <v>46265</v>
      </c>
      <c r="H2214" t="s">
        <v>749</v>
      </c>
      <c r="I2214" t="s">
        <v>23</v>
      </c>
      <c r="J2214" t="s">
        <v>49</v>
      </c>
      <c r="K2214" t="s">
        <v>60</v>
      </c>
      <c r="L2214">
        <v>1</v>
      </c>
      <c r="M2214" s="2">
        <v>26.4</v>
      </c>
      <c r="N2214" t="s">
        <v>89</v>
      </c>
      <c r="O2214" s="3">
        <v>6</v>
      </c>
      <c r="P2214" s="3">
        <v>1.62</v>
      </c>
      <c r="Q2214" s="2">
        <v>30.78</v>
      </c>
      <c r="R2214" t="s">
        <v>62</v>
      </c>
      <c r="S2214" t="s">
        <v>46</v>
      </c>
      <c r="T2214" t="s">
        <v>29</v>
      </c>
      <c r="U2214" t="s">
        <v>30</v>
      </c>
    </row>
    <row r="2215" spans="1:21" x14ac:dyDescent="0.35">
      <c r="A2215" t="s">
        <v>2294</v>
      </c>
      <c r="B2215" s="1">
        <v>46257</v>
      </c>
      <c r="C2215" t="str">
        <f>TEXT(tblData[[#This Row],[Rental Date]],"mmm")</f>
        <v>Aug</v>
      </c>
      <c r="D2215" t="str">
        <f>TEXT(tblData[[#This Row],[Rental Date]],"mmmm")</f>
        <v>August</v>
      </c>
      <c r="E2215" t="s">
        <v>68</v>
      </c>
      <c r="F2215" t="str">
        <f>TEXT(WEEKNUM(tblData[[#This Row],[Rental Date]]),"00")</f>
        <v>35</v>
      </c>
      <c r="G2215" s="1">
        <f>EOMONTH(tblData[[#This Row],[Rental Date]],0)</f>
        <v>46265</v>
      </c>
      <c r="H2215" t="s">
        <v>749</v>
      </c>
      <c r="I2215" t="s">
        <v>48</v>
      </c>
      <c r="J2215" t="s">
        <v>44</v>
      </c>
      <c r="K2215" t="s">
        <v>60</v>
      </c>
      <c r="L2215">
        <v>1</v>
      </c>
      <c r="M2215" s="2">
        <v>40.799999999999997</v>
      </c>
      <c r="N2215" t="s">
        <v>26</v>
      </c>
      <c r="O2215" s="3">
        <v>0</v>
      </c>
      <c r="P2215" s="3">
        <v>0</v>
      </c>
      <c r="Q2215" s="2">
        <v>40.799999999999997</v>
      </c>
      <c r="R2215" t="s">
        <v>94</v>
      </c>
      <c r="S2215" t="s">
        <v>35</v>
      </c>
      <c r="T2215" t="s">
        <v>63</v>
      </c>
      <c r="U2215" t="s">
        <v>30</v>
      </c>
    </row>
    <row r="2216" spans="1:21" x14ac:dyDescent="0.35">
      <c r="A2216" t="s">
        <v>2295</v>
      </c>
      <c r="B2216" s="1">
        <v>46257</v>
      </c>
      <c r="C2216" t="str">
        <f>TEXT(tblData[[#This Row],[Rental Date]],"mmm")</f>
        <v>Aug</v>
      </c>
      <c r="D2216" t="str">
        <f>TEXT(tblData[[#This Row],[Rental Date]],"mmmm")</f>
        <v>August</v>
      </c>
      <c r="E2216" t="s">
        <v>68</v>
      </c>
      <c r="F2216" t="str">
        <f>TEXT(WEEKNUM(tblData[[#This Row],[Rental Date]]),"00")</f>
        <v>35</v>
      </c>
      <c r="G2216" s="1">
        <f>EOMONTH(tblData[[#This Row],[Rental Date]],0)</f>
        <v>46265</v>
      </c>
      <c r="H2216" t="s">
        <v>749</v>
      </c>
      <c r="I2216" t="s">
        <v>32</v>
      </c>
      <c r="J2216" t="s">
        <v>65</v>
      </c>
      <c r="K2216" t="s">
        <v>60</v>
      </c>
      <c r="L2216">
        <v>1</v>
      </c>
      <c r="M2216" s="2">
        <v>14.4</v>
      </c>
      <c r="N2216" t="s">
        <v>26</v>
      </c>
      <c r="O2216" s="3">
        <v>0</v>
      </c>
      <c r="P2216" s="3">
        <v>0.72</v>
      </c>
      <c r="Q2216" s="2">
        <v>13.68</v>
      </c>
      <c r="R2216" t="s">
        <v>45</v>
      </c>
      <c r="S2216" t="s">
        <v>46</v>
      </c>
      <c r="T2216" t="s">
        <v>29</v>
      </c>
      <c r="U2216" t="s">
        <v>30</v>
      </c>
    </row>
    <row r="2217" spans="1:21" x14ac:dyDescent="0.35">
      <c r="A2217" t="s">
        <v>2296</v>
      </c>
      <c r="B2217" s="1">
        <v>46257</v>
      </c>
      <c r="C2217" t="str">
        <f>TEXT(tblData[[#This Row],[Rental Date]],"mmm")</f>
        <v>Aug</v>
      </c>
      <c r="D2217" t="str">
        <f>TEXT(tblData[[#This Row],[Rental Date]],"mmmm")</f>
        <v>August</v>
      </c>
      <c r="E2217" t="s">
        <v>68</v>
      </c>
      <c r="F2217" t="str">
        <f>TEXT(WEEKNUM(tblData[[#This Row],[Rental Date]]),"00")</f>
        <v>35</v>
      </c>
      <c r="G2217" s="1">
        <f>EOMONTH(tblData[[#This Row],[Rental Date]],0)</f>
        <v>46265</v>
      </c>
      <c r="H2217" t="s">
        <v>749</v>
      </c>
      <c r="I2217" t="s">
        <v>39</v>
      </c>
      <c r="J2217" t="s">
        <v>44</v>
      </c>
      <c r="K2217" t="s">
        <v>40</v>
      </c>
      <c r="L2217">
        <v>1</v>
      </c>
      <c r="M2217" s="2">
        <v>93.6</v>
      </c>
      <c r="N2217" t="s">
        <v>26</v>
      </c>
      <c r="O2217" s="3">
        <v>0</v>
      </c>
      <c r="P2217" s="3">
        <v>4.68</v>
      </c>
      <c r="Q2217" s="2">
        <v>88.92</v>
      </c>
      <c r="R2217" t="s">
        <v>45</v>
      </c>
      <c r="S2217" t="s">
        <v>50</v>
      </c>
      <c r="T2217" t="s">
        <v>29</v>
      </c>
      <c r="U2217" t="s">
        <v>30</v>
      </c>
    </row>
    <row r="2218" spans="1:21" x14ac:dyDescent="0.35">
      <c r="A2218" t="s">
        <v>2297</v>
      </c>
      <c r="B2218" s="1">
        <v>46257</v>
      </c>
      <c r="C2218" t="str">
        <f>TEXT(tblData[[#This Row],[Rental Date]],"mmm")</f>
        <v>Aug</v>
      </c>
      <c r="D2218" t="str">
        <f>TEXT(tblData[[#This Row],[Rental Date]],"mmmm")</f>
        <v>August</v>
      </c>
      <c r="E2218" t="s">
        <v>68</v>
      </c>
      <c r="F2218" t="str">
        <f>TEXT(WEEKNUM(tblData[[#This Row],[Rental Date]]),"00")</f>
        <v>35</v>
      </c>
      <c r="G2218" s="1">
        <f>EOMONTH(tblData[[#This Row],[Rental Date]],0)</f>
        <v>46265</v>
      </c>
      <c r="H2218" t="s">
        <v>749</v>
      </c>
      <c r="I2218" t="s">
        <v>32</v>
      </c>
      <c r="J2218" t="s">
        <v>33</v>
      </c>
      <c r="K2218" t="s">
        <v>60</v>
      </c>
      <c r="L2218">
        <v>1</v>
      </c>
      <c r="M2218" s="2">
        <v>28.8</v>
      </c>
      <c r="N2218" t="s">
        <v>70</v>
      </c>
      <c r="O2218" s="3">
        <v>7</v>
      </c>
      <c r="P2218" s="3">
        <v>0</v>
      </c>
      <c r="Q2218" s="2">
        <v>35.799999999999997</v>
      </c>
      <c r="R2218" t="s">
        <v>42</v>
      </c>
      <c r="S2218" t="s">
        <v>54</v>
      </c>
      <c r="T2218" t="s">
        <v>51</v>
      </c>
      <c r="U2218" t="s">
        <v>30</v>
      </c>
    </row>
    <row r="2219" spans="1:21" x14ac:dyDescent="0.35">
      <c r="A2219" t="s">
        <v>2298</v>
      </c>
      <c r="B2219" s="1">
        <v>46257</v>
      </c>
      <c r="C2219" t="str">
        <f>TEXT(tblData[[#This Row],[Rental Date]],"mmm")</f>
        <v>Aug</v>
      </c>
      <c r="D2219" t="str">
        <f>TEXT(tblData[[#This Row],[Rental Date]],"mmmm")</f>
        <v>August</v>
      </c>
      <c r="E2219" t="s">
        <v>68</v>
      </c>
      <c r="F2219" t="str">
        <f>TEXT(WEEKNUM(tblData[[#This Row],[Rental Date]]),"00")</f>
        <v>35</v>
      </c>
      <c r="G2219" s="1">
        <f>EOMONTH(tblData[[#This Row],[Rental Date]],0)</f>
        <v>46265</v>
      </c>
      <c r="H2219" t="s">
        <v>749</v>
      </c>
      <c r="I2219" t="s">
        <v>48</v>
      </c>
      <c r="J2219" t="s">
        <v>24</v>
      </c>
      <c r="K2219" t="s">
        <v>40</v>
      </c>
      <c r="L2219">
        <v>1</v>
      </c>
      <c r="M2219" s="2">
        <v>91.2</v>
      </c>
      <c r="N2219" t="s">
        <v>89</v>
      </c>
      <c r="O2219" s="3">
        <v>6</v>
      </c>
      <c r="P2219" s="3">
        <v>0</v>
      </c>
      <c r="Q2219" s="2">
        <v>97.2</v>
      </c>
      <c r="R2219" t="s">
        <v>94</v>
      </c>
      <c r="S2219" t="s">
        <v>50</v>
      </c>
      <c r="T2219" t="s">
        <v>51</v>
      </c>
      <c r="U2219" t="s">
        <v>30</v>
      </c>
    </row>
    <row r="2220" spans="1:21" x14ac:dyDescent="0.35">
      <c r="A2220" t="s">
        <v>2299</v>
      </c>
      <c r="B2220" s="1">
        <v>46257</v>
      </c>
      <c r="C2220" t="str">
        <f>TEXT(tblData[[#This Row],[Rental Date]],"mmm")</f>
        <v>Aug</v>
      </c>
      <c r="D2220" t="str">
        <f>TEXT(tblData[[#This Row],[Rental Date]],"mmmm")</f>
        <v>August</v>
      </c>
      <c r="E2220" t="s">
        <v>68</v>
      </c>
      <c r="F2220" t="str">
        <f>TEXT(WEEKNUM(tblData[[#This Row],[Rental Date]]),"00")</f>
        <v>35</v>
      </c>
      <c r="G2220" s="1">
        <f>EOMONTH(tblData[[#This Row],[Rental Date]],0)</f>
        <v>46265</v>
      </c>
      <c r="H2220" t="s">
        <v>749</v>
      </c>
      <c r="I2220" t="s">
        <v>39</v>
      </c>
      <c r="J2220" t="s">
        <v>78</v>
      </c>
      <c r="K2220" t="s">
        <v>40</v>
      </c>
      <c r="L2220">
        <v>1</v>
      </c>
      <c r="M2220" s="2">
        <v>74.400000000000006</v>
      </c>
      <c r="N2220" t="s">
        <v>26</v>
      </c>
      <c r="O2220" s="3">
        <v>0</v>
      </c>
      <c r="P2220" s="3">
        <v>0</v>
      </c>
      <c r="Q2220" s="2">
        <v>74.400000000000006</v>
      </c>
      <c r="R2220" t="s">
        <v>66</v>
      </c>
      <c r="S2220" t="s">
        <v>28</v>
      </c>
      <c r="T2220" t="s">
        <v>63</v>
      </c>
      <c r="U2220" t="s">
        <v>30</v>
      </c>
    </row>
    <row r="2221" spans="1:21" x14ac:dyDescent="0.35">
      <c r="A2221" t="s">
        <v>2300</v>
      </c>
      <c r="B2221" s="1">
        <v>46258</v>
      </c>
      <c r="C2221" t="str">
        <f>TEXT(tblData[[#This Row],[Rental Date]],"mmm")</f>
        <v>Aug</v>
      </c>
      <c r="D2221" t="str">
        <f>TEXT(tblData[[#This Row],[Rental Date]],"mmmm")</f>
        <v>August</v>
      </c>
      <c r="E2221" t="s">
        <v>74</v>
      </c>
      <c r="F2221" t="str">
        <f>TEXT(WEEKNUM(tblData[[#This Row],[Rental Date]]),"00")</f>
        <v>35</v>
      </c>
      <c r="G2221" s="1">
        <f>EOMONTH(tblData[[#This Row],[Rental Date]],0)</f>
        <v>46265</v>
      </c>
      <c r="H2221" t="s">
        <v>749</v>
      </c>
      <c r="I2221" t="s">
        <v>32</v>
      </c>
      <c r="J2221" t="s">
        <v>33</v>
      </c>
      <c r="K2221" t="s">
        <v>25</v>
      </c>
      <c r="L2221">
        <v>1</v>
      </c>
      <c r="M2221" s="2">
        <v>42.56</v>
      </c>
      <c r="N2221" t="s">
        <v>70</v>
      </c>
      <c r="O2221" s="3">
        <v>7</v>
      </c>
      <c r="P2221" s="3">
        <v>2.48</v>
      </c>
      <c r="Q2221" s="2">
        <v>47.08</v>
      </c>
      <c r="R2221" t="s">
        <v>71</v>
      </c>
      <c r="S2221" t="s">
        <v>50</v>
      </c>
      <c r="T2221" t="s">
        <v>29</v>
      </c>
      <c r="U2221" t="s">
        <v>79</v>
      </c>
    </row>
    <row r="2222" spans="1:21" x14ac:dyDescent="0.35">
      <c r="A2222" t="s">
        <v>2301</v>
      </c>
      <c r="B2222" s="1">
        <v>46258</v>
      </c>
      <c r="C2222" t="str">
        <f>TEXT(tblData[[#This Row],[Rental Date]],"mmm")</f>
        <v>Aug</v>
      </c>
      <c r="D2222" t="str">
        <f>TEXT(tblData[[#This Row],[Rental Date]],"mmmm")</f>
        <v>August</v>
      </c>
      <c r="E2222" t="s">
        <v>74</v>
      </c>
      <c r="F2222" t="str">
        <f>TEXT(WEEKNUM(tblData[[#This Row],[Rental Date]]),"00")</f>
        <v>35</v>
      </c>
      <c r="G2222" s="1">
        <f>EOMONTH(tblData[[#This Row],[Rental Date]],0)</f>
        <v>46265</v>
      </c>
      <c r="H2222" t="s">
        <v>749</v>
      </c>
      <c r="I2222" t="s">
        <v>39</v>
      </c>
      <c r="J2222" t="s">
        <v>78</v>
      </c>
      <c r="K2222" t="s">
        <v>60</v>
      </c>
      <c r="L2222">
        <v>1</v>
      </c>
      <c r="M2222" s="2">
        <v>29.12</v>
      </c>
      <c r="N2222" t="s">
        <v>70</v>
      </c>
      <c r="O2222" s="3">
        <v>7</v>
      </c>
      <c r="P2222" s="3">
        <v>0</v>
      </c>
      <c r="Q2222" s="2">
        <v>36.119999999999997</v>
      </c>
      <c r="R2222" t="s">
        <v>94</v>
      </c>
      <c r="S2222" t="s">
        <v>50</v>
      </c>
      <c r="T2222" t="s">
        <v>51</v>
      </c>
      <c r="U2222" t="s">
        <v>30</v>
      </c>
    </row>
    <row r="2223" spans="1:21" x14ac:dyDescent="0.35">
      <c r="A2223" t="s">
        <v>2302</v>
      </c>
      <c r="B2223" s="1">
        <v>46258</v>
      </c>
      <c r="C2223" t="str">
        <f>TEXT(tblData[[#This Row],[Rental Date]],"mmm")</f>
        <v>Aug</v>
      </c>
      <c r="D2223" t="str">
        <f>TEXT(tblData[[#This Row],[Rental Date]],"mmmm")</f>
        <v>August</v>
      </c>
      <c r="E2223" t="s">
        <v>74</v>
      </c>
      <c r="F2223" t="str">
        <f>TEXT(WEEKNUM(tblData[[#This Row],[Rental Date]]),"00")</f>
        <v>35</v>
      </c>
      <c r="G2223" s="1">
        <f>EOMONTH(tblData[[#This Row],[Rental Date]],0)</f>
        <v>46265</v>
      </c>
      <c r="H2223" t="s">
        <v>749</v>
      </c>
      <c r="I2223" t="s">
        <v>32</v>
      </c>
      <c r="J2223" t="s">
        <v>86</v>
      </c>
      <c r="K2223" t="s">
        <v>40</v>
      </c>
      <c r="L2223">
        <v>1</v>
      </c>
      <c r="M2223" s="2">
        <v>96.32</v>
      </c>
      <c r="N2223" t="s">
        <v>75</v>
      </c>
      <c r="O2223" s="3">
        <v>12</v>
      </c>
      <c r="P2223" s="3">
        <v>5.42</v>
      </c>
      <c r="Q2223" s="2">
        <v>102.9</v>
      </c>
      <c r="R2223" t="s">
        <v>42</v>
      </c>
      <c r="S2223" t="s">
        <v>28</v>
      </c>
      <c r="T2223" t="s">
        <v>51</v>
      </c>
      <c r="U2223" t="s">
        <v>30</v>
      </c>
    </row>
    <row r="2224" spans="1:21" x14ac:dyDescent="0.35">
      <c r="A2224" t="s">
        <v>2303</v>
      </c>
      <c r="B2224" s="1">
        <v>46258</v>
      </c>
      <c r="C2224" t="str">
        <f>TEXT(tblData[[#This Row],[Rental Date]],"mmm")</f>
        <v>Aug</v>
      </c>
      <c r="D2224" t="str">
        <f>TEXT(tblData[[#This Row],[Rental Date]],"mmmm")</f>
        <v>August</v>
      </c>
      <c r="E2224" t="s">
        <v>74</v>
      </c>
      <c r="F2224" t="str">
        <f>TEXT(WEEKNUM(tblData[[#This Row],[Rental Date]]),"00")</f>
        <v>35</v>
      </c>
      <c r="G2224" s="1">
        <f>EOMONTH(tblData[[#This Row],[Rental Date]],0)</f>
        <v>46265</v>
      </c>
      <c r="H2224" t="s">
        <v>749</v>
      </c>
      <c r="I2224" t="s">
        <v>23</v>
      </c>
      <c r="J2224" t="s">
        <v>49</v>
      </c>
      <c r="K2224" t="s">
        <v>40</v>
      </c>
      <c r="L2224">
        <v>1</v>
      </c>
      <c r="M2224" s="2">
        <v>60.48</v>
      </c>
      <c r="N2224" t="s">
        <v>26</v>
      </c>
      <c r="O2224" s="3">
        <v>0</v>
      </c>
      <c r="P2224" s="3">
        <v>0</v>
      </c>
      <c r="Q2224" s="2">
        <v>60.48</v>
      </c>
      <c r="R2224" t="s">
        <v>27</v>
      </c>
      <c r="S2224" t="s">
        <v>50</v>
      </c>
      <c r="T2224" t="s">
        <v>51</v>
      </c>
      <c r="U2224" t="s">
        <v>30</v>
      </c>
    </row>
    <row r="2225" spans="1:21" x14ac:dyDescent="0.35">
      <c r="A2225" t="s">
        <v>2304</v>
      </c>
      <c r="B2225" s="1">
        <v>46258</v>
      </c>
      <c r="C2225" t="str">
        <f>TEXT(tblData[[#This Row],[Rental Date]],"mmm")</f>
        <v>Aug</v>
      </c>
      <c r="D2225" t="str">
        <f>TEXT(tblData[[#This Row],[Rental Date]],"mmmm")</f>
        <v>August</v>
      </c>
      <c r="E2225" t="s">
        <v>74</v>
      </c>
      <c r="F2225" t="str">
        <f>TEXT(WEEKNUM(tblData[[#This Row],[Rental Date]]),"00")</f>
        <v>35</v>
      </c>
      <c r="G2225" s="1">
        <f>EOMONTH(tblData[[#This Row],[Rental Date]],0)</f>
        <v>46265</v>
      </c>
      <c r="H2225" t="s">
        <v>749</v>
      </c>
      <c r="I2225" t="s">
        <v>32</v>
      </c>
      <c r="J2225" t="s">
        <v>44</v>
      </c>
      <c r="K2225" t="s">
        <v>60</v>
      </c>
      <c r="L2225">
        <v>1</v>
      </c>
      <c r="M2225" s="2">
        <v>38.08</v>
      </c>
      <c r="N2225" t="s">
        <v>41</v>
      </c>
      <c r="O2225" s="3">
        <v>5</v>
      </c>
      <c r="P2225" s="3">
        <v>2.15</v>
      </c>
      <c r="Q2225" s="2">
        <v>40.93</v>
      </c>
      <c r="R2225" t="s">
        <v>42</v>
      </c>
      <c r="S2225" t="s">
        <v>50</v>
      </c>
      <c r="T2225" t="s">
        <v>29</v>
      </c>
      <c r="U2225" t="s">
        <v>30</v>
      </c>
    </row>
    <row r="2226" spans="1:21" x14ac:dyDescent="0.35">
      <c r="A2226" t="s">
        <v>2305</v>
      </c>
      <c r="B2226" s="1">
        <v>46258</v>
      </c>
      <c r="C2226" t="str">
        <f>TEXT(tblData[[#This Row],[Rental Date]],"mmm")</f>
        <v>Aug</v>
      </c>
      <c r="D2226" t="str">
        <f>TEXT(tblData[[#This Row],[Rental Date]],"mmmm")</f>
        <v>August</v>
      </c>
      <c r="E2226" t="s">
        <v>74</v>
      </c>
      <c r="F2226" t="str">
        <f>TEXT(WEEKNUM(tblData[[#This Row],[Rental Date]]),"00")</f>
        <v>35</v>
      </c>
      <c r="G2226" s="1">
        <f>EOMONTH(tblData[[#This Row],[Rental Date]],0)</f>
        <v>46265</v>
      </c>
      <c r="H2226" t="s">
        <v>749</v>
      </c>
      <c r="I2226" t="s">
        <v>39</v>
      </c>
      <c r="J2226" t="s">
        <v>78</v>
      </c>
      <c r="K2226" t="s">
        <v>60</v>
      </c>
      <c r="L2226">
        <v>1</v>
      </c>
      <c r="M2226" s="2">
        <v>29.12</v>
      </c>
      <c r="N2226" t="s">
        <v>41</v>
      </c>
      <c r="O2226" s="3">
        <v>5</v>
      </c>
      <c r="P2226" s="3">
        <v>0</v>
      </c>
      <c r="Q2226" s="2">
        <v>34.119999999999997</v>
      </c>
      <c r="R2226" t="s">
        <v>66</v>
      </c>
      <c r="S2226" t="s">
        <v>50</v>
      </c>
      <c r="T2226" t="s">
        <v>90</v>
      </c>
      <c r="U2226" t="s">
        <v>30</v>
      </c>
    </row>
    <row r="2227" spans="1:21" x14ac:dyDescent="0.35">
      <c r="A2227" t="s">
        <v>2306</v>
      </c>
      <c r="B2227" s="1">
        <v>46258</v>
      </c>
      <c r="C2227" t="str">
        <f>TEXT(tblData[[#This Row],[Rental Date]],"mmm")</f>
        <v>Aug</v>
      </c>
      <c r="D2227" t="str">
        <f>TEXT(tblData[[#This Row],[Rental Date]],"mmmm")</f>
        <v>August</v>
      </c>
      <c r="E2227" t="s">
        <v>74</v>
      </c>
      <c r="F2227" t="str">
        <f>TEXT(WEEKNUM(tblData[[#This Row],[Rental Date]]),"00")</f>
        <v>35</v>
      </c>
      <c r="G2227" s="1">
        <f>EOMONTH(tblData[[#This Row],[Rental Date]],0)</f>
        <v>46265</v>
      </c>
      <c r="H2227" t="s">
        <v>749</v>
      </c>
      <c r="I2227" t="s">
        <v>39</v>
      </c>
      <c r="J2227" t="s">
        <v>44</v>
      </c>
      <c r="K2227" t="s">
        <v>25</v>
      </c>
      <c r="L2227">
        <v>1</v>
      </c>
      <c r="M2227" s="2">
        <v>58.24</v>
      </c>
      <c r="N2227" t="s">
        <v>26</v>
      </c>
      <c r="O2227" s="3">
        <v>0</v>
      </c>
      <c r="P2227" s="3">
        <v>0</v>
      </c>
      <c r="Q2227" s="2">
        <v>58.24</v>
      </c>
      <c r="R2227" t="s">
        <v>45</v>
      </c>
      <c r="S2227" t="s">
        <v>50</v>
      </c>
      <c r="T2227" t="s">
        <v>29</v>
      </c>
      <c r="U2227" t="s">
        <v>58</v>
      </c>
    </row>
    <row r="2228" spans="1:21" x14ac:dyDescent="0.35">
      <c r="A2228" t="s">
        <v>2307</v>
      </c>
      <c r="B2228" s="1">
        <v>46258</v>
      </c>
      <c r="C2228" t="str">
        <f>TEXT(tblData[[#This Row],[Rental Date]],"mmm")</f>
        <v>Aug</v>
      </c>
      <c r="D2228" t="str">
        <f>TEXT(tblData[[#This Row],[Rental Date]],"mmmm")</f>
        <v>August</v>
      </c>
      <c r="E2228" t="s">
        <v>74</v>
      </c>
      <c r="F2228" t="str">
        <f>TEXT(WEEKNUM(tblData[[#This Row],[Rental Date]]),"00")</f>
        <v>35</v>
      </c>
      <c r="G2228" s="1">
        <f>EOMONTH(tblData[[#This Row],[Rental Date]],0)</f>
        <v>46265</v>
      </c>
      <c r="H2228" t="s">
        <v>749</v>
      </c>
      <c r="I2228" t="s">
        <v>48</v>
      </c>
      <c r="J2228" t="s">
        <v>78</v>
      </c>
      <c r="K2228" t="s">
        <v>25</v>
      </c>
      <c r="L2228">
        <v>1</v>
      </c>
      <c r="M2228" s="2">
        <v>47.04</v>
      </c>
      <c r="N2228" t="s">
        <v>26</v>
      </c>
      <c r="O2228" s="3">
        <v>0</v>
      </c>
      <c r="P2228" s="3">
        <v>0</v>
      </c>
      <c r="Q2228" s="2">
        <v>47.04</v>
      </c>
      <c r="R2228" t="s">
        <v>34</v>
      </c>
      <c r="S2228" t="s">
        <v>50</v>
      </c>
      <c r="T2228" t="s">
        <v>63</v>
      </c>
      <c r="U2228" t="s">
        <v>30</v>
      </c>
    </row>
    <row r="2229" spans="1:21" x14ac:dyDescent="0.35">
      <c r="A2229" t="s">
        <v>2308</v>
      </c>
      <c r="B2229" s="1">
        <v>46258</v>
      </c>
      <c r="C2229" t="str">
        <f>TEXT(tblData[[#This Row],[Rental Date]],"mmm")</f>
        <v>Aug</v>
      </c>
      <c r="D2229" t="str">
        <f>TEXT(tblData[[#This Row],[Rental Date]],"mmmm")</f>
        <v>August</v>
      </c>
      <c r="E2229" t="s">
        <v>74</v>
      </c>
      <c r="F2229" t="str">
        <f>TEXT(WEEKNUM(tblData[[#This Row],[Rental Date]]),"00")</f>
        <v>35</v>
      </c>
      <c r="G2229" s="1">
        <f>EOMONTH(tblData[[#This Row],[Rental Date]],0)</f>
        <v>46265</v>
      </c>
      <c r="H2229" t="s">
        <v>749</v>
      </c>
      <c r="I2229" t="s">
        <v>39</v>
      </c>
      <c r="J2229" t="s">
        <v>33</v>
      </c>
      <c r="K2229" t="s">
        <v>40</v>
      </c>
      <c r="L2229">
        <v>1</v>
      </c>
      <c r="M2229" s="2">
        <v>64.959999999999994</v>
      </c>
      <c r="N2229" t="s">
        <v>89</v>
      </c>
      <c r="O2229" s="3">
        <v>6</v>
      </c>
      <c r="P2229" s="3">
        <v>0</v>
      </c>
      <c r="Q2229" s="2">
        <v>70.959999999999994</v>
      </c>
      <c r="R2229" t="s">
        <v>66</v>
      </c>
      <c r="S2229" t="s">
        <v>50</v>
      </c>
      <c r="T2229" t="s">
        <v>51</v>
      </c>
      <c r="U2229" t="s">
        <v>30</v>
      </c>
    </row>
    <row r="2230" spans="1:21" x14ac:dyDescent="0.35">
      <c r="A2230" t="s">
        <v>2309</v>
      </c>
      <c r="B2230" s="1">
        <v>46258</v>
      </c>
      <c r="C2230" t="str">
        <f>TEXT(tblData[[#This Row],[Rental Date]],"mmm")</f>
        <v>Aug</v>
      </c>
      <c r="D2230" t="str">
        <f>TEXT(tblData[[#This Row],[Rental Date]],"mmmm")</f>
        <v>August</v>
      </c>
      <c r="E2230" t="s">
        <v>74</v>
      </c>
      <c r="F2230" t="str">
        <f>TEXT(WEEKNUM(tblData[[#This Row],[Rental Date]]),"00")</f>
        <v>35</v>
      </c>
      <c r="G2230" s="1">
        <f>EOMONTH(tblData[[#This Row],[Rental Date]],0)</f>
        <v>46265</v>
      </c>
      <c r="H2230" t="s">
        <v>749</v>
      </c>
      <c r="I2230" t="s">
        <v>39</v>
      </c>
      <c r="J2230" t="s">
        <v>33</v>
      </c>
      <c r="K2230" t="s">
        <v>60</v>
      </c>
      <c r="L2230">
        <v>1</v>
      </c>
      <c r="M2230" s="2">
        <v>26.88</v>
      </c>
      <c r="N2230" t="s">
        <v>26</v>
      </c>
      <c r="O2230" s="3">
        <v>0</v>
      </c>
      <c r="P2230" s="3">
        <v>0</v>
      </c>
      <c r="Q2230" s="2">
        <v>26.88</v>
      </c>
      <c r="R2230" t="s">
        <v>62</v>
      </c>
      <c r="S2230" t="s">
        <v>46</v>
      </c>
      <c r="T2230" t="s">
        <v>63</v>
      </c>
      <c r="U2230" t="s">
        <v>58</v>
      </c>
    </row>
    <row r="2231" spans="1:21" x14ac:dyDescent="0.35">
      <c r="A2231" t="s">
        <v>2310</v>
      </c>
      <c r="B2231" s="1">
        <v>46258</v>
      </c>
      <c r="C2231" t="str">
        <f>TEXT(tblData[[#This Row],[Rental Date]],"mmm")</f>
        <v>Aug</v>
      </c>
      <c r="D2231" t="str">
        <f>TEXT(tblData[[#This Row],[Rental Date]],"mmmm")</f>
        <v>August</v>
      </c>
      <c r="E2231" t="s">
        <v>74</v>
      </c>
      <c r="F2231" t="str">
        <f>TEXT(WEEKNUM(tblData[[#This Row],[Rental Date]]),"00")</f>
        <v>35</v>
      </c>
      <c r="G2231" s="1">
        <f>EOMONTH(tblData[[#This Row],[Rental Date]],0)</f>
        <v>46265</v>
      </c>
      <c r="H2231" t="s">
        <v>749</v>
      </c>
      <c r="I2231" t="s">
        <v>39</v>
      </c>
      <c r="J2231" t="s">
        <v>127</v>
      </c>
      <c r="K2231" t="s">
        <v>60</v>
      </c>
      <c r="L2231">
        <v>1</v>
      </c>
      <c r="M2231" s="2">
        <v>11.2</v>
      </c>
      <c r="N2231" t="s">
        <v>61</v>
      </c>
      <c r="O2231" s="3">
        <v>8</v>
      </c>
      <c r="P2231" s="3">
        <v>0</v>
      </c>
      <c r="Q2231" s="2">
        <v>19.2</v>
      </c>
      <c r="R2231" t="s">
        <v>66</v>
      </c>
      <c r="S2231" t="s">
        <v>35</v>
      </c>
      <c r="T2231" t="s">
        <v>51</v>
      </c>
      <c r="U2231" t="s">
        <v>30</v>
      </c>
    </row>
    <row r="2232" spans="1:21" x14ac:dyDescent="0.35">
      <c r="A2232" t="s">
        <v>2311</v>
      </c>
      <c r="B2232" s="1">
        <v>46259</v>
      </c>
      <c r="C2232" t="str">
        <f>TEXT(tblData[[#This Row],[Rental Date]],"mmm")</f>
        <v>Aug</v>
      </c>
      <c r="D2232" t="str">
        <f>TEXT(tblData[[#This Row],[Rental Date]],"mmmm")</f>
        <v>August</v>
      </c>
      <c r="E2232" t="s">
        <v>102</v>
      </c>
      <c r="F2232" t="str">
        <f>TEXT(WEEKNUM(tblData[[#This Row],[Rental Date]]),"00")</f>
        <v>35</v>
      </c>
      <c r="G2232" s="1">
        <f>EOMONTH(tblData[[#This Row],[Rental Date]],0)</f>
        <v>46265</v>
      </c>
      <c r="H2232" t="s">
        <v>749</v>
      </c>
      <c r="I2232" t="s">
        <v>48</v>
      </c>
      <c r="J2232" t="s">
        <v>65</v>
      </c>
      <c r="K2232" t="s">
        <v>25</v>
      </c>
      <c r="L2232">
        <v>1</v>
      </c>
      <c r="M2232" s="2">
        <v>20.16</v>
      </c>
      <c r="N2232" t="s">
        <v>70</v>
      </c>
      <c r="O2232" s="3">
        <v>7</v>
      </c>
      <c r="P2232" s="3">
        <v>0</v>
      </c>
      <c r="Q2232" s="2">
        <v>27.16</v>
      </c>
      <c r="R2232" t="s">
        <v>94</v>
      </c>
      <c r="S2232" t="s">
        <v>46</v>
      </c>
      <c r="T2232" t="s">
        <v>51</v>
      </c>
      <c r="U2232" t="s">
        <v>30</v>
      </c>
    </row>
    <row r="2233" spans="1:21" x14ac:dyDescent="0.35">
      <c r="A2233" t="s">
        <v>2312</v>
      </c>
      <c r="B2233" s="1">
        <v>46259</v>
      </c>
      <c r="C2233" t="str">
        <f>TEXT(tblData[[#This Row],[Rental Date]],"mmm")</f>
        <v>Aug</v>
      </c>
      <c r="D2233" t="str">
        <f>TEXT(tblData[[#This Row],[Rental Date]],"mmmm")</f>
        <v>August</v>
      </c>
      <c r="E2233" t="s">
        <v>102</v>
      </c>
      <c r="F2233" t="str">
        <f>TEXT(WEEKNUM(tblData[[#This Row],[Rental Date]]),"00")</f>
        <v>35</v>
      </c>
      <c r="G2233" s="1">
        <f>EOMONTH(tblData[[#This Row],[Rental Date]],0)</f>
        <v>46265</v>
      </c>
      <c r="H2233" t="s">
        <v>749</v>
      </c>
      <c r="I2233" t="s">
        <v>48</v>
      </c>
      <c r="J2233" t="s">
        <v>65</v>
      </c>
      <c r="K2233" t="s">
        <v>25</v>
      </c>
      <c r="L2233">
        <v>1</v>
      </c>
      <c r="M2233" s="2">
        <v>20.16</v>
      </c>
      <c r="N2233" t="s">
        <v>26</v>
      </c>
      <c r="O2233" s="3">
        <v>0</v>
      </c>
      <c r="P2233" s="3">
        <v>0</v>
      </c>
      <c r="Q2233" s="2">
        <v>20.16</v>
      </c>
      <c r="R2233" t="s">
        <v>34</v>
      </c>
      <c r="S2233" t="s">
        <v>46</v>
      </c>
      <c r="T2233" t="s">
        <v>29</v>
      </c>
      <c r="U2233" t="s">
        <v>30</v>
      </c>
    </row>
    <row r="2234" spans="1:21" x14ac:dyDescent="0.35">
      <c r="A2234" t="s">
        <v>2313</v>
      </c>
      <c r="B2234" s="1">
        <v>46259</v>
      </c>
      <c r="C2234" t="str">
        <f>TEXT(tblData[[#This Row],[Rental Date]],"mmm")</f>
        <v>Aug</v>
      </c>
      <c r="D2234" t="str">
        <f>TEXT(tblData[[#This Row],[Rental Date]],"mmmm")</f>
        <v>August</v>
      </c>
      <c r="E2234" t="s">
        <v>102</v>
      </c>
      <c r="F2234" t="str">
        <f>TEXT(WEEKNUM(tblData[[#This Row],[Rental Date]]),"00")</f>
        <v>35</v>
      </c>
      <c r="G2234" s="1">
        <f>EOMONTH(tblData[[#This Row],[Rental Date]],0)</f>
        <v>46265</v>
      </c>
      <c r="H2234" t="s">
        <v>749</v>
      </c>
      <c r="I2234" t="s">
        <v>32</v>
      </c>
      <c r="J2234" t="s">
        <v>78</v>
      </c>
      <c r="K2234" t="s">
        <v>25</v>
      </c>
      <c r="L2234">
        <v>1</v>
      </c>
      <c r="M2234" s="2">
        <v>47.04</v>
      </c>
      <c r="N2234" t="s">
        <v>26</v>
      </c>
      <c r="O2234" s="3">
        <v>0</v>
      </c>
      <c r="P2234" s="3">
        <v>0</v>
      </c>
      <c r="Q2234" s="2">
        <v>47.04</v>
      </c>
      <c r="R2234" t="s">
        <v>42</v>
      </c>
      <c r="S2234" t="s">
        <v>50</v>
      </c>
      <c r="T2234" t="s">
        <v>90</v>
      </c>
      <c r="U2234" t="s">
        <v>30</v>
      </c>
    </row>
    <row r="2235" spans="1:21" x14ac:dyDescent="0.35">
      <c r="A2235" t="s">
        <v>2314</v>
      </c>
      <c r="B2235" s="1">
        <v>46259</v>
      </c>
      <c r="C2235" t="str">
        <f>TEXT(tblData[[#This Row],[Rental Date]],"mmm")</f>
        <v>Aug</v>
      </c>
      <c r="D2235" t="str">
        <f>TEXT(tblData[[#This Row],[Rental Date]],"mmmm")</f>
        <v>August</v>
      </c>
      <c r="E2235" t="s">
        <v>102</v>
      </c>
      <c r="F2235" t="str">
        <f>TEXT(WEEKNUM(tblData[[#This Row],[Rental Date]]),"00")</f>
        <v>35</v>
      </c>
      <c r="G2235" s="1">
        <f>EOMONTH(tblData[[#This Row],[Rental Date]],0)</f>
        <v>46265</v>
      </c>
      <c r="H2235" t="s">
        <v>749</v>
      </c>
      <c r="I2235" t="s">
        <v>39</v>
      </c>
      <c r="J2235" t="s">
        <v>24</v>
      </c>
      <c r="K2235" t="s">
        <v>60</v>
      </c>
      <c r="L2235">
        <v>1</v>
      </c>
      <c r="M2235" s="2">
        <v>35.840000000000003</v>
      </c>
      <c r="N2235" t="s">
        <v>89</v>
      </c>
      <c r="O2235" s="3">
        <v>6</v>
      </c>
      <c r="P2235" s="3">
        <v>0</v>
      </c>
      <c r="Q2235" s="2">
        <v>41.84</v>
      </c>
      <c r="R2235" t="s">
        <v>76</v>
      </c>
      <c r="S2235" t="s">
        <v>35</v>
      </c>
      <c r="T2235" t="s">
        <v>29</v>
      </c>
      <c r="U2235" t="s">
        <v>30</v>
      </c>
    </row>
    <row r="2236" spans="1:21" x14ac:dyDescent="0.35">
      <c r="A2236" t="s">
        <v>2315</v>
      </c>
      <c r="B2236" s="1">
        <v>46259</v>
      </c>
      <c r="C2236" t="str">
        <f>TEXT(tblData[[#This Row],[Rental Date]],"mmm")</f>
        <v>Aug</v>
      </c>
      <c r="D2236" t="str">
        <f>TEXT(tblData[[#This Row],[Rental Date]],"mmmm")</f>
        <v>August</v>
      </c>
      <c r="E2236" t="s">
        <v>102</v>
      </c>
      <c r="F2236" t="str">
        <f>TEXT(WEEKNUM(tblData[[#This Row],[Rental Date]]),"00")</f>
        <v>35</v>
      </c>
      <c r="G2236" s="1">
        <f>EOMONTH(tblData[[#This Row],[Rental Date]],0)</f>
        <v>46265</v>
      </c>
      <c r="H2236" t="s">
        <v>749</v>
      </c>
      <c r="I2236" t="s">
        <v>39</v>
      </c>
      <c r="J2236" t="s">
        <v>24</v>
      </c>
      <c r="K2236" t="s">
        <v>40</v>
      </c>
      <c r="L2236">
        <v>1</v>
      </c>
      <c r="M2236" s="2">
        <v>85.12</v>
      </c>
      <c r="N2236" t="s">
        <v>26</v>
      </c>
      <c r="O2236" s="3">
        <v>0</v>
      </c>
      <c r="P2236" s="3">
        <v>0</v>
      </c>
      <c r="Q2236" s="2">
        <v>85.12</v>
      </c>
      <c r="R2236" t="s">
        <v>66</v>
      </c>
      <c r="S2236" t="s">
        <v>35</v>
      </c>
      <c r="T2236" t="s">
        <v>29</v>
      </c>
      <c r="U2236" t="s">
        <v>58</v>
      </c>
    </row>
    <row r="2237" spans="1:21" x14ac:dyDescent="0.35">
      <c r="A2237" t="s">
        <v>2316</v>
      </c>
      <c r="B2237" s="1">
        <v>46259</v>
      </c>
      <c r="C2237" t="str">
        <f>TEXT(tblData[[#This Row],[Rental Date]],"mmm")</f>
        <v>Aug</v>
      </c>
      <c r="D2237" t="str">
        <f>TEXT(tblData[[#This Row],[Rental Date]],"mmmm")</f>
        <v>August</v>
      </c>
      <c r="E2237" t="s">
        <v>102</v>
      </c>
      <c r="F2237" t="str">
        <f>TEXT(WEEKNUM(tblData[[#This Row],[Rental Date]]),"00")</f>
        <v>35</v>
      </c>
      <c r="G2237" s="1">
        <f>EOMONTH(tblData[[#This Row],[Rental Date]],0)</f>
        <v>46265</v>
      </c>
      <c r="H2237" t="s">
        <v>749</v>
      </c>
      <c r="I2237" t="s">
        <v>39</v>
      </c>
      <c r="J2237" t="s">
        <v>44</v>
      </c>
      <c r="K2237" t="s">
        <v>60</v>
      </c>
      <c r="L2237">
        <v>1</v>
      </c>
      <c r="M2237" s="2">
        <v>38.08</v>
      </c>
      <c r="N2237" t="s">
        <v>26</v>
      </c>
      <c r="O2237" s="3">
        <v>0</v>
      </c>
      <c r="P2237" s="3">
        <v>0</v>
      </c>
      <c r="Q2237" s="2">
        <v>38.08</v>
      </c>
      <c r="R2237" t="s">
        <v>62</v>
      </c>
      <c r="S2237" t="s">
        <v>28</v>
      </c>
      <c r="T2237" t="s">
        <v>63</v>
      </c>
      <c r="U2237" t="s">
        <v>30</v>
      </c>
    </row>
    <row r="2238" spans="1:21" x14ac:dyDescent="0.35">
      <c r="A2238" t="s">
        <v>2317</v>
      </c>
      <c r="B2238" s="1">
        <v>46259</v>
      </c>
      <c r="C2238" t="str">
        <f>TEXT(tblData[[#This Row],[Rental Date]],"mmm")</f>
        <v>Aug</v>
      </c>
      <c r="D2238" t="str">
        <f>TEXT(tblData[[#This Row],[Rental Date]],"mmmm")</f>
        <v>August</v>
      </c>
      <c r="E2238" t="s">
        <v>102</v>
      </c>
      <c r="F2238" t="str">
        <f>TEXT(WEEKNUM(tblData[[#This Row],[Rental Date]]),"00")</f>
        <v>35</v>
      </c>
      <c r="G2238" s="1">
        <f>EOMONTH(tblData[[#This Row],[Rental Date]],0)</f>
        <v>46265</v>
      </c>
      <c r="H2238" t="s">
        <v>749</v>
      </c>
      <c r="I2238" t="s">
        <v>48</v>
      </c>
      <c r="J2238" t="s">
        <v>33</v>
      </c>
      <c r="K2238" t="s">
        <v>40</v>
      </c>
      <c r="L2238">
        <v>1</v>
      </c>
      <c r="M2238" s="2">
        <v>64.959999999999994</v>
      </c>
      <c r="N2238" t="s">
        <v>89</v>
      </c>
      <c r="O2238" s="3">
        <v>6</v>
      </c>
      <c r="P2238" s="3">
        <v>0</v>
      </c>
      <c r="Q2238" s="2">
        <v>70.959999999999994</v>
      </c>
      <c r="R2238" t="s">
        <v>62</v>
      </c>
      <c r="S2238" t="s">
        <v>35</v>
      </c>
      <c r="T2238" t="s">
        <v>29</v>
      </c>
      <c r="U2238" t="s">
        <v>30</v>
      </c>
    </row>
    <row r="2239" spans="1:21" x14ac:dyDescent="0.35">
      <c r="A2239" t="s">
        <v>2318</v>
      </c>
      <c r="B2239" s="1">
        <v>46259</v>
      </c>
      <c r="C2239" t="str">
        <f>TEXT(tblData[[#This Row],[Rental Date]],"mmm")</f>
        <v>Aug</v>
      </c>
      <c r="D2239" t="str">
        <f>TEXT(tblData[[#This Row],[Rental Date]],"mmmm")</f>
        <v>August</v>
      </c>
      <c r="E2239" t="s">
        <v>102</v>
      </c>
      <c r="F2239" t="str">
        <f>TEXT(WEEKNUM(tblData[[#This Row],[Rental Date]]),"00")</f>
        <v>35</v>
      </c>
      <c r="G2239" s="1">
        <f>EOMONTH(tblData[[#This Row],[Rental Date]],0)</f>
        <v>46265</v>
      </c>
      <c r="H2239" t="s">
        <v>749</v>
      </c>
      <c r="I2239" t="s">
        <v>32</v>
      </c>
      <c r="J2239" t="s">
        <v>127</v>
      </c>
      <c r="K2239" t="s">
        <v>60</v>
      </c>
      <c r="L2239">
        <v>1</v>
      </c>
      <c r="M2239" s="2">
        <v>11.2</v>
      </c>
      <c r="N2239" t="s">
        <v>26</v>
      </c>
      <c r="O2239" s="3">
        <v>0</v>
      </c>
      <c r="P2239" s="3">
        <v>0.56000000000000005</v>
      </c>
      <c r="Q2239" s="2">
        <v>10.64</v>
      </c>
      <c r="R2239" t="s">
        <v>76</v>
      </c>
      <c r="S2239" t="s">
        <v>46</v>
      </c>
      <c r="T2239" t="s">
        <v>90</v>
      </c>
      <c r="U2239" t="s">
        <v>30</v>
      </c>
    </row>
    <row r="2240" spans="1:21" x14ac:dyDescent="0.35">
      <c r="A2240" t="s">
        <v>2319</v>
      </c>
      <c r="B2240" s="1">
        <v>46259</v>
      </c>
      <c r="C2240" t="str">
        <f>TEXT(tblData[[#This Row],[Rental Date]],"mmm")</f>
        <v>Aug</v>
      </c>
      <c r="D2240" t="str">
        <f>TEXT(tblData[[#This Row],[Rental Date]],"mmmm")</f>
        <v>August</v>
      </c>
      <c r="E2240" t="s">
        <v>102</v>
      </c>
      <c r="F2240" t="str">
        <f>TEXT(WEEKNUM(tblData[[#This Row],[Rental Date]]),"00")</f>
        <v>35</v>
      </c>
      <c r="G2240" s="1">
        <f>EOMONTH(tblData[[#This Row],[Rental Date]],0)</f>
        <v>46265</v>
      </c>
      <c r="H2240" t="s">
        <v>749</v>
      </c>
      <c r="I2240" t="s">
        <v>23</v>
      </c>
      <c r="J2240" t="s">
        <v>65</v>
      </c>
      <c r="K2240" t="s">
        <v>60</v>
      </c>
      <c r="L2240">
        <v>1</v>
      </c>
      <c r="M2240" s="2">
        <v>13.44</v>
      </c>
      <c r="N2240" t="s">
        <v>89</v>
      </c>
      <c r="O2240" s="3">
        <v>6</v>
      </c>
      <c r="P2240" s="3">
        <v>0</v>
      </c>
      <c r="Q2240" s="2">
        <v>19.440000000000001</v>
      </c>
      <c r="R2240" t="s">
        <v>62</v>
      </c>
      <c r="S2240" t="s">
        <v>35</v>
      </c>
      <c r="T2240" t="s">
        <v>90</v>
      </c>
      <c r="U2240" t="s">
        <v>58</v>
      </c>
    </row>
    <row r="2241" spans="1:21" x14ac:dyDescent="0.35">
      <c r="A2241" t="s">
        <v>2320</v>
      </c>
      <c r="B2241" s="1">
        <v>46259</v>
      </c>
      <c r="C2241" t="str">
        <f>TEXT(tblData[[#This Row],[Rental Date]],"mmm")</f>
        <v>Aug</v>
      </c>
      <c r="D2241" t="str">
        <f>TEXT(tblData[[#This Row],[Rental Date]],"mmmm")</f>
        <v>August</v>
      </c>
      <c r="E2241" t="s">
        <v>102</v>
      </c>
      <c r="F2241" t="str">
        <f>TEXT(WEEKNUM(tblData[[#This Row],[Rental Date]]),"00")</f>
        <v>35</v>
      </c>
      <c r="G2241" s="1">
        <f>EOMONTH(tblData[[#This Row],[Rental Date]],0)</f>
        <v>46265</v>
      </c>
      <c r="H2241" t="s">
        <v>749</v>
      </c>
      <c r="I2241" t="s">
        <v>48</v>
      </c>
      <c r="J2241" t="s">
        <v>78</v>
      </c>
      <c r="K2241" t="s">
        <v>60</v>
      </c>
      <c r="L2241">
        <v>1</v>
      </c>
      <c r="M2241" s="2">
        <v>29.12</v>
      </c>
      <c r="N2241" t="s">
        <v>26</v>
      </c>
      <c r="O2241" s="3">
        <v>0</v>
      </c>
      <c r="P2241" s="3">
        <v>0</v>
      </c>
      <c r="Q2241" s="2">
        <v>29.12</v>
      </c>
      <c r="R2241" t="s">
        <v>62</v>
      </c>
      <c r="S2241" t="s">
        <v>35</v>
      </c>
      <c r="T2241" t="s">
        <v>83</v>
      </c>
      <c r="U2241" t="s">
        <v>30</v>
      </c>
    </row>
    <row r="2242" spans="1:21" x14ac:dyDescent="0.35">
      <c r="A2242" t="s">
        <v>2321</v>
      </c>
      <c r="B2242" s="1">
        <v>46259</v>
      </c>
      <c r="C2242" t="str">
        <f>TEXT(tblData[[#This Row],[Rental Date]],"mmm")</f>
        <v>Aug</v>
      </c>
      <c r="D2242" t="str">
        <f>TEXT(tblData[[#This Row],[Rental Date]],"mmmm")</f>
        <v>August</v>
      </c>
      <c r="E2242" t="s">
        <v>102</v>
      </c>
      <c r="F2242" t="str">
        <f>TEXT(WEEKNUM(tblData[[#This Row],[Rental Date]]),"00")</f>
        <v>35</v>
      </c>
      <c r="G2242" s="1">
        <f>EOMONTH(tblData[[#This Row],[Rental Date]],0)</f>
        <v>46265</v>
      </c>
      <c r="H2242" t="s">
        <v>749</v>
      </c>
      <c r="I2242" t="s">
        <v>48</v>
      </c>
      <c r="J2242" t="s">
        <v>111</v>
      </c>
      <c r="K2242" t="s">
        <v>25</v>
      </c>
      <c r="L2242">
        <v>1</v>
      </c>
      <c r="M2242" s="2">
        <v>24.64</v>
      </c>
      <c r="N2242" t="s">
        <v>26</v>
      </c>
      <c r="O2242" s="3">
        <v>0</v>
      </c>
      <c r="P2242" s="3">
        <v>0</v>
      </c>
      <c r="Q2242" s="2">
        <v>24.64</v>
      </c>
      <c r="R2242" t="s">
        <v>76</v>
      </c>
      <c r="S2242" t="s">
        <v>46</v>
      </c>
      <c r="T2242" t="s">
        <v>90</v>
      </c>
      <c r="U2242" t="s">
        <v>30</v>
      </c>
    </row>
    <row r="2243" spans="1:21" x14ac:dyDescent="0.35">
      <c r="A2243" t="s">
        <v>2322</v>
      </c>
      <c r="B2243" s="1">
        <v>46259</v>
      </c>
      <c r="C2243" t="str">
        <f>TEXT(tblData[[#This Row],[Rental Date]],"mmm")</f>
        <v>Aug</v>
      </c>
      <c r="D2243" t="str">
        <f>TEXT(tblData[[#This Row],[Rental Date]],"mmmm")</f>
        <v>August</v>
      </c>
      <c r="E2243" t="s">
        <v>102</v>
      </c>
      <c r="F2243" t="str">
        <f>TEXT(WEEKNUM(tblData[[#This Row],[Rental Date]]),"00")</f>
        <v>35</v>
      </c>
      <c r="G2243" s="1">
        <f>EOMONTH(tblData[[#This Row],[Rental Date]],0)</f>
        <v>46265</v>
      </c>
      <c r="H2243" t="s">
        <v>749</v>
      </c>
      <c r="I2243" t="s">
        <v>39</v>
      </c>
      <c r="J2243" t="s">
        <v>78</v>
      </c>
      <c r="K2243" t="s">
        <v>40</v>
      </c>
      <c r="L2243">
        <v>1</v>
      </c>
      <c r="M2243" s="2">
        <v>69.44</v>
      </c>
      <c r="N2243" t="s">
        <v>26</v>
      </c>
      <c r="O2243" s="3">
        <v>0</v>
      </c>
      <c r="P2243" s="3">
        <v>0</v>
      </c>
      <c r="Q2243" s="2">
        <v>69.44</v>
      </c>
      <c r="R2243" t="s">
        <v>66</v>
      </c>
      <c r="S2243" t="s">
        <v>35</v>
      </c>
      <c r="T2243" t="s">
        <v>63</v>
      </c>
      <c r="U2243" t="s">
        <v>30</v>
      </c>
    </row>
    <row r="2244" spans="1:21" x14ac:dyDescent="0.35">
      <c r="A2244" t="s">
        <v>2323</v>
      </c>
      <c r="B2244" s="1">
        <v>46259</v>
      </c>
      <c r="C2244" t="str">
        <f>TEXT(tblData[[#This Row],[Rental Date]],"mmm")</f>
        <v>Aug</v>
      </c>
      <c r="D2244" t="str">
        <f>TEXT(tblData[[#This Row],[Rental Date]],"mmmm")</f>
        <v>August</v>
      </c>
      <c r="E2244" t="s">
        <v>102</v>
      </c>
      <c r="F2244" t="str">
        <f>TEXT(WEEKNUM(tblData[[#This Row],[Rental Date]]),"00")</f>
        <v>35</v>
      </c>
      <c r="G2244" s="1">
        <f>EOMONTH(tblData[[#This Row],[Rental Date]],0)</f>
        <v>46265</v>
      </c>
      <c r="H2244" t="s">
        <v>749</v>
      </c>
      <c r="I2244" t="s">
        <v>48</v>
      </c>
      <c r="J2244" t="s">
        <v>49</v>
      </c>
      <c r="K2244" t="s">
        <v>60</v>
      </c>
      <c r="L2244">
        <v>1</v>
      </c>
      <c r="M2244" s="2">
        <v>24.64</v>
      </c>
      <c r="N2244" t="s">
        <v>26</v>
      </c>
      <c r="O2244" s="3">
        <v>0</v>
      </c>
      <c r="P2244" s="3">
        <v>0</v>
      </c>
      <c r="Q2244" s="2">
        <v>24.64</v>
      </c>
      <c r="R2244" t="s">
        <v>57</v>
      </c>
      <c r="S2244" t="s">
        <v>50</v>
      </c>
      <c r="T2244" t="s">
        <v>90</v>
      </c>
      <c r="U2244" t="s">
        <v>79</v>
      </c>
    </row>
    <row r="2245" spans="1:21" x14ac:dyDescent="0.35">
      <c r="A2245" t="s">
        <v>2324</v>
      </c>
      <c r="B2245" s="1">
        <v>46260</v>
      </c>
      <c r="C2245" t="str">
        <f>TEXT(tblData[[#This Row],[Rental Date]],"mmm")</f>
        <v>Aug</v>
      </c>
      <c r="D2245" t="str">
        <f>TEXT(tblData[[#This Row],[Rental Date]],"mmmm")</f>
        <v>August</v>
      </c>
      <c r="E2245" t="s">
        <v>109</v>
      </c>
      <c r="F2245" t="str">
        <f>TEXT(WEEKNUM(tblData[[#This Row],[Rental Date]]),"00")</f>
        <v>35</v>
      </c>
      <c r="G2245" s="1">
        <f>EOMONTH(tblData[[#This Row],[Rental Date]],0)</f>
        <v>46265</v>
      </c>
      <c r="H2245" t="s">
        <v>749</v>
      </c>
      <c r="I2245" t="s">
        <v>48</v>
      </c>
      <c r="J2245" t="s">
        <v>44</v>
      </c>
      <c r="K2245" t="s">
        <v>60</v>
      </c>
      <c r="L2245">
        <v>1</v>
      </c>
      <c r="M2245" s="2">
        <v>38.08</v>
      </c>
      <c r="N2245" t="s">
        <v>26</v>
      </c>
      <c r="O2245" s="3">
        <v>0</v>
      </c>
      <c r="P2245" s="3">
        <v>0</v>
      </c>
      <c r="Q2245" s="2">
        <v>38.08</v>
      </c>
      <c r="R2245" t="s">
        <v>62</v>
      </c>
      <c r="S2245" t="s">
        <v>35</v>
      </c>
      <c r="T2245" t="s">
        <v>51</v>
      </c>
      <c r="U2245" t="s">
        <v>30</v>
      </c>
    </row>
    <row r="2246" spans="1:21" x14ac:dyDescent="0.35">
      <c r="A2246" t="s">
        <v>2325</v>
      </c>
      <c r="B2246" s="1">
        <v>46260</v>
      </c>
      <c r="C2246" t="str">
        <f>TEXT(tblData[[#This Row],[Rental Date]],"mmm")</f>
        <v>Aug</v>
      </c>
      <c r="D2246" t="str">
        <f>TEXT(tblData[[#This Row],[Rental Date]],"mmmm")</f>
        <v>August</v>
      </c>
      <c r="E2246" t="s">
        <v>109</v>
      </c>
      <c r="F2246" t="str">
        <f>TEXT(WEEKNUM(tblData[[#This Row],[Rental Date]]),"00")</f>
        <v>35</v>
      </c>
      <c r="G2246" s="1">
        <f>EOMONTH(tblData[[#This Row],[Rental Date]],0)</f>
        <v>46265</v>
      </c>
      <c r="H2246" t="s">
        <v>749</v>
      </c>
      <c r="I2246" t="s">
        <v>32</v>
      </c>
      <c r="J2246" t="s">
        <v>111</v>
      </c>
      <c r="K2246" t="s">
        <v>25</v>
      </c>
      <c r="L2246">
        <v>1</v>
      </c>
      <c r="M2246" s="2">
        <v>24.64</v>
      </c>
      <c r="N2246" t="s">
        <v>89</v>
      </c>
      <c r="O2246" s="3">
        <v>6</v>
      </c>
      <c r="P2246" s="3">
        <v>0</v>
      </c>
      <c r="Q2246" s="2">
        <v>30.64</v>
      </c>
      <c r="R2246" t="s">
        <v>66</v>
      </c>
      <c r="S2246" t="s">
        <v>54</v>
      </c>
      <c r="T2246" t="s">
        <v>29</v>
      </c>
      <c r="U2246" t="s">
        <v>30</v>
      </c>
    </row>
    <row r="2247" spans="1:21" x14ac:dyDescent="0.35">
      <c r="A2247" t="s">
        <v>2326</v>
      </c>
      <c r="B2247" s="1">
        <v>46260</v>
      </c>
      <c r="C2247" t="str">
        <f>TEXT(tblData[[#This Row],[Rental Date]],"mmm")</f>
        <v>Aug</v>
      </c>
      <c r="D2247" t="str">
        <f>TEXT(tblData[[#This Row],[Rental Date]],"mmmm")</f>
        <v>August</v>
      </c>
      <c r="E2247" t="s">
        <v>109</v>
      </c>
      <c r="F2247" t="str">
        <f>TEXT(WEEKNUM(tblData[[#This Row],[Rental Date]]),"00")</f>
        <v>35</v>
      </c>
      <c r="G2247" s="1">
        <f>EOMONTH(tblData[[#This Row],[Rental Date]],0)</f>
        <v>46265</v>
      </c>
      <c r="H2247" t="s">
        <v>749</v>
      </c>
      <c r="I2247" t="s">
        <v>32</v>
      </c>
      <c r="J2247" t="s">
        <v>78</v>
      </c>
      <c r="K2247" t="s">
        <v>40</v>
      </c>
      <c r="L2247">
        <v>1</v>
      </c>
      <c r="M2247" s="2">
        <v>69.44</v>
      </c>
      <c r="N2247" t="s">
        <v>61</v>
      </c>
      <c r="O2247" s="3">
        <v>8</v>
      </c>
      <c r="P2247" s="3">
        <v>0</v>
      </c>
      <c r="Q2247" s="2">
        <v>77.44</v>
      </c>
      <c r="R2247" t="s">
        <v>57</v>
      </c>
      <c r="S2247" t="s">
        <v>46</v>
      </c>
      <c r="T2247" t="s">
        <v>63</v>
      </c>
      <c r="U2247" t="s">
        <v>30</v>
      </c>
    </row>
    <row r="2248" spans="1:21" x14ac:dyDescent="0.35">
      <c r="A2248" t="s">
        <v>2327</v>
      </c>
      <c r="B2248" s="1">
        <v>46260</v>
      </c>
      <c r="C2248" t="str">
        <f>TEXT(tblData[[#This Row],[Rental Date]],"mmm")</f>
        <v>Aug</v>
      </c>
      <c r="D2248" t="str">
        <f>TEXT(tblData[[#This Row],[Rental Date]],"mmmm")</f>
        <v>August</v>
      </c>
      <c r="E2248" t="s">
        <v>109</v>
      </c>
      <c r="F2248" t="str">
        <f>TEXT(WEEKNUM(tblData[[#This Row],[Rental Date]]),"00")</f>
        <v>35</v>
      </c>
      <c r="G2248" s="1">
        <f>EOMONTH(tblData[[#This Row],[Rental Date]],0)</f>
        <v>46265</v>
      </c>
      <c r="H2248" t="s">
        <v>749</v>
      </c>
      <c r="I2248" t="s">
        <v>23</v>
      </c>
      <c r="J2248" t="s">
        <v>111</v>
      </c>
      <c r="K2248" t="s">
        <v>92</v>
      </c>
      <c r="L2248">
        <v>1</v>
      </c>
      <c r="M2248" s="2">
        <v>53.76</v>
      </c>
      <c r="N2248" t="s">
        <v>70</v>
      </c>
      <c r="O2248" s="3">
        <v>7</v>
      </c>
      <c r="P2248" s="3">
        <v>0</v>
      </c>
      <c r="Q2248" s="2">
        <v>60.76</v>
      </c>
      <c r="R2248" t="s">
        <v>42</v>
      </c>
      <c r="S2248" t="s">
        <v>35</v>
      </c>
      <c r="T2248" t="s">
        <v>29</v>
      </c>
      <c r="U2248" t="s">
        <v>79</v>
      </c>
    </row>
    <row r="2249" spans="1:21" x14ac:dyDescent="0.35">
      <c r="A2249" t="s">
        <v>2328</v>
      </c>
      <c r="B2249" s="1">
        <v>46260</v>
      </c>
      <c r="C2249" t="str">
        <f>TEXT(tblData[[#This Row],[Rental Date]],"mmm")</f>
        <v>Aug</v>
      </c>
      <c r="D2249" t="str">
        <f>TEXT(tblData[[#This Row],[Rental Date]],"mmmm")</f>
        <v>August</v>
      </c>
      <c r="E2249" t="s">
        <v>109</v>
      </c>
      <c r="F2249" t="str">
        <f>TEXT(WEEKNUM(tblData[[#This Row],[Rental Date]]),"00")</f>
        <v>35</v>
      </c>
      <c r="G2249" s="1">
        <f>EOMONTH(tblData[[#This Row],[Rental Date]],0)</f>
        <v>46265</v>
      </c>
      <c r="H2249" t="s">
        <v>749</v>
      </c>
      <c r="I2249" t="s">
        <v>48</v>
      </c>
      <c r="J2249" t="s">
        <v>49</v>
      </c>
      <c r="K2249" t="s">
        <v>25</v>
      </c>
      <c r="L2249">
        <v>1</v>
      </c>
      <c r="M2249" s="2">
        <v>40.32</v>
      </c>
      <c r="N2249" t="s">
        <v>26</v>
      </c>
      <c r="O2249" s="3">
        <v>0</v>
      </c>
      <c r="P2249" s="3">
        <v>0</v>
      </c>
      <c r="Q2249" s="2">
        <v>40.32</v>
      </c>
      <c r="R2249" t="s">
        <v>42</v>
      </c>
      <c r="S2249" t="s">
        <v>28</v>
      </c>
      <c r="T2249" t="s">
        <v>29</v>
      </c>
      <c r="U2249" t="s">
        <v>58</v>
      </c>
    </row>
    <row r="2250" spans="1:21" x14ac:dyDescent="0.35">
      <c r="A2250" t="s">
        <v>2329</v>
      </c>
      <c r="B2250" s="1">
        <v>46260</v>
      </c>
      <c r="C2250" t="str">
        <f>TEXT(tblData[[#This Row],[Rental Date]],"mmm")</f>
        <v>Aug</v>
      </c>
      <c r="D2250" t="str">
        <f>TEXT(tblData[[#This Row],[Rental Date]],"mmmm")</f>
        <v>August</v>
      </c>
      <c r="E2250" t="s">
        <v>109</v>
      </c>
      <c r="F2250" t="str">
        <f>TEXT(WEEKNUM(tblData[[#This Row],[Rental Date]]),"00")</f>
        <v>35</v>
      </c>
      <c r="G2250" s="1">
        <f>EOMONTH(tblData[[#This Row],[Rental Date]],0)</f>
        <v>46265</v>
      </c>
      <c r="H2250" t="s">
        <v>749</v>
      </c>
      <c r="I2250" t="s">
        <v>32</v>
      </c>
      <c r="J2250" t="s">
        <v>24</v>
      </c>
      <c r="K2250" t="s">
        <v>60</v>
      </c>
      <c r="L2250">
        <v>1</v>
      </c>
      <c r="M2250" s="2">
        <v>35.840000000000003</v>
      </c>
      <c r="N2250" t="s">
        <v>26</v>
      </c>
      <c r="O2250" s="3">
        <v>0</v>
      </c>
      <c r="P2250" s="3">
        <v>1.79</v>
      </c>
      <c r="Q2250" s="2">
        <v>34.049999999999997</v>
      </c>
      <c r="R2250" t="s">
        <v>42</v>
      </c>
      <c r="S2250" t="s">
        <v>50</v>
      </c>
      <c r="T2250" t="s">
        <v>29</v>
      </c>
      <c r="U2250" t="s">
        <v>30</v>
      </c>
    </row>
    <row r="2251" spans="1:21" x14ac:dyDescent="0.35">
      <c r="A2251" t="s">
        <v>2330</v>
      </c>
      <c r="B2251" s="1">
        <v>46260</v>
      </c>
      <c r="C2251" t="str">
        <f>TEXT(tblData[[#This Row],[Rental Date]],"mmm")</f>
        <v>Aug</v>
      </c>
      <c r="D2251" t="str">
        <f>TEXT(tblData[[#This Row],[Rental Date]],"mmmm")</f>
        <v>August</v>
      </c>
      <c r="E2251" t="s">
        <v>109</v>
      </c>
      <c r="F2251" t="str">
        <f>TEXT(WEEKNUM(tblData[[#This Row],[Rental Date]]),"00")</f>
        <v>35</v>
      </c>
      <c r="G2251" s="1">
        <f>EOMONTH(tblData[[#This Row],[Rental Date]],0)</f>
        <v>46265</v>
      </c>
      <c r="H2251" t="s">
        <v>749</v>
      </c>
      <c r="I2251" t="s">
        <v>48</v>
      </c>
      <c r="J2251" t="s">
        <v>86</v>
      </c>
      <c r="K2251" t="s">
        <v>60</v>
      </c>
      <c r="L2251">
        <v>1</v>
      </c>
      <c r="M2251" s="2">
        <v>40.32</v>
      </c>
      <c r="N2251" t="s">
        <v>89</v>
      </c>
      <c r="O2251" s="3">
        <v>6</v>
      </c>
      <c r="P2251" s="3">
        <v>0</v>
      </c>
      <c r="Q2251" s="2">
        <v>46.32</v>
      </c>
      <c r="R2251" t="s">
        <v>62</v>
      </c>
      <c r="S2251" t="s">
        <v>54</v>
      </c>
      <c r="T2251" t="s">
        <v>29</v>
      </c>
      <c r="U2251" t="s">
        <v>79</v>
      </c>
    </row>
    <row r="2252" spans="1:21" x14ac:dyDescent="0.35">
      <c r="A2252" t="s">
        <v>2331</v>
      </c>
      <c r="B2252" s="1">
        <v>46260</v>
      </c>
      <c r="C2252" t="str">
        <f>TEXT(tblData[[#This Row],[Rental Date]],"mmm")</f>
        <v>Aug</v>
      </c>
      <c r="D2252" t="str">
        <f>TEXT(tblData[[#This Row],[Rental Date]],"mmmm")</f>
        <v>August</v>
      </c>
      <c r="E2252" t="s">
        <v>109</v>
      </c>
      <c r="F2252" t="str">
        <f>TEXT(WEEKNUM(tblData[[#This Row],[Rental Date]]),"00")</f>
        <v>35</v>
      </c>
      <c r="G2252" s="1">
        <f>EOMONTH(tblData[[#This Row],[Rental Date]],0)</f>
        <v>46265</v>
      </c>
      <c r="H2252" t="s">
        <v>749</v>
      </c>
      <c r="I2252" t="s">
        <v>23</v>
      </c>
      <c r="J2252" t="s">
        <v>111</v>
      </c>
      <c r="K2252" t="s">
        <v>25</v>
      </c>
      <c r="L2252">
        <v>1</v>
      </c>
      <c r="M2252" s="2">
        <v>24.64</v>
      </c>
      <c r="N2252" t="s">
        <v>70</v>
      </c>
      <c r="O2252" s="3">
        <v>7</v>
      </c>
      <c r="P2252" s="3">
        <v>0</v>
      </c>
      <c r="Q2252" s="2">
        <v>31.64</v>
      </c>
      <c r="R2252" t="s">
        <v>76</v>
      </c>
      <c r="S2252" t="s">
        <v>35</v>
      </c>
      <c r="T2252" t="s">
        <v>29</v>
      </c>
      <c r="U2252" t="s">
        <v>58</v>
      </c>
    </row>
    <row r="2253" spans="1:21" x14ac:dyDescent="0.35">
      <c r="A2253" t="s">
        <v>2332</v>
      </c>
      <c r="B2253" s="1">
        <v>46260</v>
      </c>
      <c r="C2253" t="str">
        <f>TEXT(tblData[[#This Row],[Rental Date]],"mmm")</f>
        <v>Aug</v>
      </c>
      <c r="D2253" t="str">
        <f>TEXT(tblData[[#This Row],[Rental Date]],"mmmm")</f>
        <v>August</v>
      </c>
      <c r="E2253" t="s">
        <v>109</v>
      </c>
      <c r="F2253" t="str">
        <f>TEXT(WEEKNUM(tblData[[#This Row],[Rental Date]]),"00")</f>
        <v>35</v>
      </c>
      <c r="G2253" s="1">
        <f>EOMONTH(tblData[[#This Row],[Rental Date]],0)</f>
        <v>46265</v>
      </c>
      <c r="H2253" t="s">
        <v>749</v>
      </c>
      <c r="I2253" t="s">
        <v>32</v>
      </c>
      <c r="J2253" t="s">
        <v>33</v>
      </c>
      <c r="K2253" t="s">
        <v>60</v>
      </c>
      <c r="L2253">
        <v>1</v>
      </c>
      <c r="M2253" s="2">
        <v>26.88</v>
      </c>
      <c r="N2253" t="s">
        <v>26</v>
      </c>
      <c r="O2253" s="3">
        <v>0</v>
      </c>
      <c r="P2253" s="3">
        <v>0</v>
      </c>
      <c r="Q2253" s="2">
        <v>26.88</v>
      </c>
      <c r="R2253" t="s">
        <v>94</v>
      </c>
      <c r="S2253" t="s">
        <v>54</v>
      </c>
      <c r="T2253" t="s">
        <v>90</v>
      </c>
      <c r="U2253" t="s">
        <v>30</v>
      </c>
    </row>
    <row r="2254" spans="1:21" x14ac:dyDescent="0.35">
      <c r="A2254" t="s">
        <v>2333</v>
      </c>
      <c r="B2254" s="1">
        <v>46260</v>
      </c>
      <c r="C2254" t="str">
        <f>TEXT(tblData[[#This Row],[Rental Date]],"mmm")</f>
        <v>Aug</v>
      </c>
      <c r="D2254" t="str">
        <f>TEXT(tblData[[#This Row],[Rental Date]],"mmmm")</f>
        <v>August</v>
      </c>
      <c r="E2254" t="s">
        <v>109</v>
      </c>
      <c r="F2254" t="str">
        <f>TEXT(WEEKNUM(tblData[[#This Row],[Rental Date]]),"00")</f>
        <v>35</v>
      </c>
      <c r="G2254" s="1">
        <f>EOMONTH(tblData[[#This Row],[Rental Date]],0)</f>
        <v>46265</v>
      </c>
      <c r="H2254" t="s">
        <v>749</v>
      </c>
      <c r="I2254" t="s">
        <v>23</v>
      </c>
      <c r="J2254" t="s">
        <v>33</v>
      </c>
      <c r="K2254" t="s">
        <v>25</v>
      </c>
      <c r="L2254">
        <v>1</v>
      </c>
      <c r="M2254" s="2">
        <v>42.56</v>
      </c>
      <c r="N2254" t="s">
        <v>26</v>
      </c>
      <c r="O2254" s="3">
        <v>0</v>
      </c>
      <c r="P2254" s="3">
        <v>0</v>
      </c>
      <c r="Q2254" s="2">
        <v>42.56</v>
      </c>
      <c r="R2254" t="s">
        <v>57</v>
      </c>
      <c r="S2254" t="s">
        <v>54</v>
      </c>
      <c r="T2254" t="s">
        <v>63</v>
      </c>
      <c r="U2254" t="s">
        <v>58</v>
      </c>
    </row>
    <row r="2255" spans="1:21" x14ac:dyDescent="0.35">
      <c r="A2255" t="s">
        <v>2334</v>
      </c>
      <c r="B2255" s="1">
        <v>46260</v>
      </c>
      <c r="C2255" t="str">
        <f>TEXT(tblData[[#This Row],[Rental Date]],"mmm")</f>
        <v>Aug</v>
      </c>
      <c r="D2255" t="str">
        <f>TEXT(tblData[[#This Row],[Rental Date]],"mmmm")</f>
        <v>August</v>
      </c>
      <c r="E2255" t="s">
        <v>109</v>
      </c>
      <c r="F2255" t="str">
        <f>TEXT(WEEKNUM(tblData[[#This Row],[Rental Date]]),"00")</f>
        <v>35</v>
      </c>
      <c r="G2255" s="1">
        <f>EOMONTH(tblData[[#This Row],[Rental Date]],0)</f>
        <v>46265</v>
      </c>
      <c r="H2255" t="s">
        <v>749</v>
      </c>
      <c r="I2255" t="s">
        <v>48</v>
      </c>
      <c r="J2255" t="s">
        <v>33</v>
      </c>
      <c r="K2255" t="s">
        <v>25</v>
      </c>
      <c r="L2255">
        <v>1</v>
      </c>
      <c r="M2255" s="2">
        <v>42.56</v>
      </c>
      <c r="N2255" t="s">
        <v>41</v>
      </c>
      <c r="O2255" s="3">
        <v>5</v>
      </c>
      <c r="P2255" s="3">
        <v>0</v>
      </c>
      <c r="Q2255" s="2">
        <v>47.56</v>
      </c>
      <c r="R2255" t="s">
        <v>76</v>
      </c>
      <c r="S2255" t="s">
        <v>50</v>
      </c>
      <c r="T2255" t="s">
        <v>51</v>
      </c>
      <c r="U2255" t="s">
        <v>30</v>
      </c>
    </row>
    <row r="2256" spans="1:21" x14ac:dyDescent="0.35">
      <c r="A2256" t="s">
        <v>2335</v>
      </c>
      <c r="B2256" s="1">
        <v>46260</v>
      </c>
      <c r="C2256" t="str">
        <f>TEXT(tblData[[#This Row],[Rental Date]],"mmm")</f>
        <v>Aug</v>
      </c>
      <c r="D2256" t="str">
        <f>TEXT(tblData[[#This Row],[Rental Date]],"mmmm")</f>
        <v>August</v>
      </c>
      <c r="E2256" t="s">
        <v>109</v>
      </c>
      <c r="F2256" t="str">
        <f>TEXT(WEEKNUM(tblData[[#This Row],[Rental Date]]),"00")</f>
        <v>35</v>
      </c>
      <c r="G2256" s="1">
        <f>EOMONTH(tblData[[#This Row],[Rental Date]],0)</f>
        <v>46265</v>
      </c>
      <c r="H2256" t="s">
        <v>749</v>
      </c>
      <c r="I2256" t="s">
        <v>32</v>
      </c>
      <c r="J2256" t="s">
        <v>44</v>
      </c>
      <c r="K2256" t="s">
        <v>25</v>
      </c>
      <c r="L2256">
        <v>1</v>
      </c>
      <c r="M2256" s="2">
        <v>58.24</v>
      </c>
      <c r="N2256" t="s">
        <v>26</v>
      </c>
      <c r="O2256" s="3">
        <v>0</v>
      </c>
      <c r="P2256" s="3">
        <v>5.82</v>
      </c>
      <c r="Q2256" s="2">
        <v>52.42</v>
      </c>
      <c r="R2256" t="s">
        <v>45</v>
      </c>
      <c r="S2256" t="s">
        <v>50</v>
      </c>
      <c r="T2256" t="s">
        <v>83</v>
      </c>
      <c r="U2256" t="s">
        <v>30</v>
      </c>
    </row>
    <row r="2257" spans="1:21" x14ac:dyDescent="0.35">
      <c r="A2257" t="s">
        <v>2336</v>
      </c>
      <c r="B2257" s="1">
        <v>46260</v>
      </c>
      <c r="C2257" t="str">
        <f>TEXT(tblData[[#This Row],[Rental Date]],"mmm")</f>
        <v>Aug</v>
      </c>
      <c r="D2257" t="str">
        <f>TEXT(tblData[[#This Row],[Rental Date]],"mmmm")</f>
        <v>August</v>
      </c>
      <c r="E2257" t="s">
        <v>109</v>
      </c>
      <c r="F2257" t="str">
        <f>TEXT(WEEKNUM(tblData[[#This Row],[Rental Date]]),"00")</f>
        <v>35</v>
      </c>
      <c r="G2257" s="1">
        <f>EOMONTH(tblData[[#This Row],[Rental Date]],0)</f>
        <v>46265</v>
      </c>
      <c r="H2257" t="s">
        <v>749</v>
      </c>
      <c r="I2257" t="s">
        <v>48</v>
      </c>
      <c r="J2257" t="s">
        <v>127</v>
      </c>
      <c r="K2257" t="s">
        <v>60</v>
      </c>
      <c r="L2257">
        <v>1</v>
      </c>
      <c r="M2257" s="2">
        <v>11.2</v>
      </c>
      <c r="N2257" t="s">
        <v>70</v>
      </c>
      <c r="O2257" s="3">
        <v>7</v>
      </c>
      <c r="P2257" s="3">
        <v>0</v>
      </c>
      <c r="Q2257" s="2">
        <v>18.2</v>
      </c>
      <c r="R2257" t="s">
        <v>94</v>
      </c>
      <c r="S2257" t="s">
        <v>54</v>
      </c>
      <c r="T2257" t="s">
        <v>29</v>
      </c>
      <c r="U2257" t="s">
        <v>30</v>
      </c>
    </row>
    <row r="2258" spans="1:21" x14ac:dyDescent="0.35">
      <c r="A2258" t="s">
        <v>2337</v>
      </c>
      <c r="B2258" s="1">
        <v>46260</v>
      </c>
      <c r="C2258" t="str">
        <f>TEXT(tblData[[#This Row],[Rental Date]],"mmm")</f>
        <v>Aug</v>
      </c>
      <c r="D2258" t="str">
        <f>TEXT(tblData[[#This Row],[Rental Date]],"mmmm")</f>
        <v>August</v>
      </c>
      <c r="E2258" t="s">
        <v>109</v>
      </c>
      <c r="F2258" t="str">
        <f>TEXT(WEEKNUM(tblData[[#This Row],[Rental Date]]),"00")</f>
        <v>35</v>
      </c>
      <c r="G2258" s="1">
        <f>EOMONTH(tblData[[#This Row],[Rental Date]],0)</f>
        <v>46265</v>
      </c>
      <c r="H2258" t="s">
        <v>749</v>
      </c>
      <c r="I2258" t="s">
        <v>23</v>
      </c>
      <c r="J2258" t="s">
        <v>78</v>
      </c>
      <c r="K2258" t="s">
        <v>25</v>
      </c>
      <c r="L2258">
        <v>1</v>
      </c>
      <c r="M2258" s="2">
        <v>47.04</v>
      </c>
      <c r="N2258" t="s">
        <v>26</v>
      </c>
      <c r="O2258" s="3">
        <v>0</v>
      </c>
      <c r="P2258" s="3">
        <v>0</v>
      </c>
      <c r="Q2258" s="2">
        <v>47.04</v>
      </c>
      <c r="R2258" t="s">
        <v>66</v>
      </c>
      <c r="S2258" t="s">
        <v>54</v>
      </c>
      <c r="T2258" t="s">
        <v>51</v>
      </c>
      <c r="U2258" t="s">
        <v>30</v>
      </c>
    </row>
    <row r="2259" spans="1:21" x14ac:dyDescent="0.35">
      <c r="A2259" t="s">
        <v>2338</v>
      </c>
      <c r="B2259" s="1">
        <v>46260</v>
      </c>
      <c r="C2259" t="str">
        <f>TEXT(tblData[[#This Row],[Rental Date]],"mmm")</f>
        <v>Aug</v>
      </c>
      <c r="D2259" t="str">
        <f>TEXT(tblData[[#This Row],[Rental Date]],"mmmm")</f>
        <v>August</v>
      </c>
      <c r="E2259" t="s">
        <v>109</v>
      </c>
      <c r="F2259" t="str">
        <f>TEXT(WEEKNUM(tblData[[#This Row],[Rental Date]]),"00")</f>
        <v>35</v>
      </c>
      <c r="G2259" s="1">
        <f>EOMONTH(tblData[[#This Row],[Rental Date]],0)</f>
        <v>46265</v>
      </c>
      <c r="H2259" t="s">
        <v>749</v>
      </c>
      <c r="I2259" t="s">
        <v>23</v>
      </c>
      <c r="J2259" t="s">
        <v>33</v>
      </c>
      <c r="K2259" t="s">
        <v>25</v>
      </c>
      <c r="L2259">
        <v>1</v>
      </c>
      <c r="M2259" s="2">
        <v>42.56</v>
      </c>
      <c r="N2259" t="s">
        <v>26</v>
      </c>
      <c r="O2259" s="3">
        <v>0</v>
      </c>
      <c r="P2259" s="3">
        <v>0</v>
      </c>
      <c r="Q2259" s="2">
        <v>42.56</v>
      </c>
      <c r="R2259" t="s">
        <v>45</v>
      </c>
      <c r="S2259" t="s">
        <v>35</v>
      </c>
      <c r="T2259" t="s">
        <v>51</v>
      </c>
      <c r="U2259" t="s">
        <v>30</v>
      </c>
    </row>
    <row r="2260" spans="1:21" x14ac:dyDescent="0.35">
      <c r="A2260" t="s">
        <v>2339</v>
      </c>
      <c r="B2260" s="1">
        <v>46260</v>
      </c>
      <c r="C2260" t="str">
        <f>TEXT(tblData[[#This Row],[Rental Date]],"mmm")</f>
        <v>Aug</v>
      </c>
      <c r="D2260" t="str">
        <f>TEXT(tblData[[#This Row],[Rental Date]],"mmmm")</f>
        <v>August</v>
      </c>
      <c r="E2260" t="s">
        <v>109</v>
      </c>
      <c r="F2260" t="str">
        <f>TEXT(WEEKNUM(tblData[[#This Row],[Rental Date]]),"00")</f>
        <v>35</v>
      </c>
      <c r="G2260" s="1">
        <f>EOMONTH(tblData[[#This Row],[Rental Date]],0)</f>
        <v>46265</v>
      </c>
      <c r="H2260" t="s">
        <v>749</v>
      </c>
      <c r="I2260" t="s">
        <v>39</v>
      </c>
      <c r="J2260" t="s">
        <v>33</v>
      </c>
      <c r="K2260" t="s">
        <v>40</v>
      </c>
      <c r="L2260">
        <v>1</v>
      </c>
      <c r="M2260" s="2">
        <v>64.959999999999994</v>
      </c>
      <c r="N2260" t="s">
        <v>26</v>
      </c>
      <c r="O2260" s="3">
        <v>0</v>
      </c>
      <c r="P2260" s="3">
        <v>0</v>
      </c>
      <c r="Q2260" s="2">
        <v>64.959999999999994</v>
      </c>
      <c r="R2260" t="s">
        <v>62</v>
      </c>
      <c r="S2260" t="s">
        <v>54</v>
      </c>
      <c r="T2260" t="s">
        <v>51</v>
      </c>
      <c r="U2260" t="s">
        <v>79</v>
      </c>
    </row>
    <row r="2261" spans="1:21" x14ac:dyDescent="0.35">
      <c r="A2261" t="s">
        <v>2340</v>
      </c>
      <c r="B2261" s="1">
        <v>46261</v>
      </c>
      <c r="C2261" t="str">
        <f>TEXT(tblData[[#This Row],[Rental Date]],"mmm")</f>
        <v>Aug</v>
      </c>
      <c r="D2261" t="str">
        <f>TEXT(tblData[[#This Row],[Rental Date]],"mmmm")</f>
        <v>August</v>
      </c>
      <c r="E2261" t="s">
        <v>21</v>
      </c>
      <c r="F2261" t="str">
        <f>TEXT(WEEKNUM(tblData[[#This Row],[Rental Date]]),"00")</f>
        <v>35</v>
      </c>
      <c r="G2261" s="1">
        <f>EOMONTH(tblData[[#This Row],[Rental Date]],0)</f>
        <v>46265</v>
      </c>
      <c r="H2261" t="s">
        <v>749</v>
      </c>
      <c r="I2261" t="s">
        <v>48</v>
      </c>
      <c r="J2261" t="s">
        <v>78</v>
      </c>
      <c r="K2261" t="s">
        <v>60</v>
      </c>
      <c r="L2261">
        <v>1</v>
      </c>
      <c r="M2261" s="2">
        <v>29.12</v>
      </c>
      <c r="N2261" t="s">
        <v>41</v>
      </c>
      <c r="O2261" s="3">
        <v>5</v>
      </c>
      <c r="P2261" s="3">
        <v>0</v>
      </c>
      <c r="Q2261" s="2">
        <v>34.119999999999997</v>
      </c>
      <c r="R2261" t="s">
        <v>71</v>
      </c>
      <c r="S2261" t="s">
        <v>35</v>
      </c>
      <c r="T2261" t="s">
        <v>29</v>
      </c>
      <c r="U2261" t="s">
        <v>30</v>
      </c>
    </row>
    <row r="2262" spans="1:21" x14ac:dyDescent="0.35">
      <c r="A2262" t="s">
        <v>2341</v>
      </c>
      <c r="B2262" s="1">
        <v>46261</v>
      </c>
      <c r="C2262" t="str">
        <f>TEXT(tblData[[#This Row],[Rental Date]],"mmm")</f>
        <v>Aug</v>
      </c>
      <c r="D2262" t="str">
        <f>TEXT(tblData[[#This Row],[Rental Date]],"mmmm")</f>
        <v>August</v>
      </c>
      <c r="E2262" t="s">
        <v>21</v>
      </c>
      <c r="F2262" t="str">
        <f>TEXT(WEEKNUM(tblData[[#This Row],[Rental Date]]),"00")</f>
        <v>35</v>
      </c>
      <c r="G2262" s="1">
        <f>EOMONTH(tblData[[#This Row],[Rental Date]],0)</f>
        <v>46265</v>
      </c>
      <c r="H2262" t="s">
        <v>749</v>
      </c>
      <c r="I2262" t="s">
        <v>39</v>
      </c>
      <c r="J2262" t="s">
        <v>138</v>
      </c>
      <c r="K2262" t="s">
        <v>25</v>
      </c>
      <c r="L2262">
        <v>1</v>
      </c>
      <c r="M2262" s="2">
        <v>53.76</v>
      </c>
      <c r="N2262" t="s">
        <v>41</v>
      </c>
      <c r="O2262" s="3">
        <v>5</v>
      </c>
      <c r="P2262" s="3">
        <v>0</v>
      </c>
      <c r="Q2262" s="2">
        <v>58.76</v>
      </c>
      <c r="R2262" t="s">
        <v>71</v>
      </c>
      <c r="S2262" t="s">
        <v>35</v>
      </c>
      <c r="T2262" t="s">
        <v>51</v>
      </c>
      <c r="U2262" t="s">
        <v>30</v>
      </c>
    </row>
    <row r="2263" spans="1:21" x14ac:dyDescent="0.35">
      <c r="A2263" t="s">
        <v>2342</v>
      </c>
      <c r="B2263" s="1">
        <v>46261</v>
      </c>
      <c r="C2263" t="str">
        <f>TEXT(tblData[[#This Row],[Rental Date]],"mmm")</f>
        <v>Aug</v>
      </c>
      <c r="D2263" t="str">
        <f>TEXT(tblData[[#This Row],[Rental Date]],"mmmm")</f>
        <v>August</v>
      </c>
      <c r="E2263" t="s">
        <v>21</v>
      </c>
      <c r="F2263" t="str">
        <f>TEXT(WEEKNUM(tblData[[#This Row],[Rental Date]]),"00")</f>
        <v>35</v>
      </c>
      <c r="G2263" s="1">
        <f>EOMONTH(tblData[[#This Row],[Rental Date]],0)</f>
        <v>46265</v>
      </c>
      <c r="H2263" t="s">
        <v>749</v>
      </c>
      <c r="I2263" t="s">
        <v>48</v>
      </c>
      <c r="J2263" t="s">
        <v>33</v>
      </c>
      <c r="K2263" t="s">
        <v>25</v>
      </c>
      <c r="L2263">
        <v>1</v>
      </c>
      <c r="M2263" s="2">
        <v>42.56</v>
      </c>
      <c r="N2263" t="s">
        <v>41</v>
      </c>
      <c r="O2263" s="3">
        <v>5</v>
      </c>
      <c r="P2263" s="3">
        <v>0</v>
      </c>
      <c r="Q2263" s="2">
        <v>47.56</v>
      </c>
      <c r="R2263" t="s">
        <v>27</v>
      </c>
      <c r="S2263" t="s">
        <v>46</v>
      </c>
      <c r="T2263" t="s">
        <v>29</v>
      </c>
      <c r="U2263" t="s">
        <v>30</v>
      </c>
    </row>
    <row r="2264" spans="1:21" x14ac:dyDescent="0.35">
      <c r="A2264" t="s">
        <v>2343</v>
      </c>
      <c r="B2264" s="1">
        <v>46261</v>
      </c>
      <c r="C2264" t="str">
        <f>TEXT(tblData[[#This Row],[Rental Date]],"mmm")</f>
        <v>Aug</v>
      </c>
      <c r="D2264" t="str">
        <f>TEXT(tblData[[#This Row],[Rental Date]],"mmmm")</f>
        <v>August</v>
      </c>
      <c r="E2264" t="s">
        <v>21</v>
      </c>
      <c r="F2264" t="str">
        <f>TEXT(WEEKNUM(tblData[[#This Row],[Rental Date]]),"00")</f>
        <v>35</v>
      </c>
      <c r="G2264" s="1">
        <f>EOMONTH(tblData[[#This Row],[Rental Date]],0)</f>
        <v>46265</v>
      </c>
      <c r="H2264" t="s">
        <v>749</v>
      </c>
      <c r="I2264" t="s">
        <v>48</v>
      </c>
      <c r="J2264" t="s">
        <v>33</v>
      </c>
      <c r="K2264" t="s">
        <v>60</v>
      </c>
      <c r="L2264">
        <v>1</v>
      </c>
      <c r="M2264" s="2">
        <v>26.88</v>
      </c>
      <c r="N2264" t="s">
        <v>26</v>
      </c>
      <c r="O2264" s="3">
        <v>0</v>
      </c>
      <c r="P2264" s="3">
        <v>0</v>
      </c>
      <c r="Q2264" s="2">
        <v>26.88</v>
      </c>
      <c r="R2264" t="s">
        <v>45</v>
      </c>
      <c r="S2264" t="s">
        <v>46</v>
      </c>
      <c r="T2264" t="s">
        <v>51</v>
      </c>
      <c r="U2264" t="s">
        <v>30</v>
      </c>
    </row>
    <row r="2265" spans="1:21" x14ac:dyDescent="0.35">
      <c r="A2265" t="s">
        <v>2344</v>
      </c>
      <c r="B2265" s="1">
        <v>46261</v>
      </c>
      <c r="C2265" t="str">
        <f>TEXT(tblData[[#This Row],[Rental Date]],"mmm")</f>
        <v>Aug</v>
      </c>
      <c r="D2265" t="str">
        <f>TEXT(tblData[[#This Row],[Rental Date]],"mmmm")</f>
        <v>August</v>
      </c>
      <c r="E2265" t="s">
        <v>21</v>
      </c>
      <c r="F2265" t="str">
        <f>TEXT(WEEKNUM(tblData[[#This Row],[Rental Date]]),"00")</f>
        <v>35</v>
      </c>
      <c r="G2265" s="1">
        <f>EOMONTH(tblData[[#This Row],[Rental Date]],0)</f>
        <v>46265</v>
      </c>
      <c r="H2265" t="s">
        <v>749</v>
      </c>
      <c r="I2265" t="s">
        <v>48</v>
      </c>
      <c r="J2265" t="s">
        <v>49</v>
      </c>
      <c r="K2265" t="s">
        <v>25</v>
      </c>
      <c r="L2265">
        <v>1</v>
      </c>
      <c r="M2265" s="2">
        <v>40.32</v>
      </c>
      <c r="N2265" t="s">
        <v>26</v>
      </c>
      <c r="O2265" s="3">
        <v>0</v>
      </c>
      <c r="P2265" s="3">
        <v>2.02</v>
      </c>
      <c r="Q2265" s="2">
        <v>38.299999999999997</v>
      </c>
      <c r="R2265" t="s">
        <v>71</v>
      </c>
      <c r="S2265" t="s">
        <v>28</v>
      </c>
      <c r="T2265" t="s">
        <v>29</v>
      </c>
      <c r="U2265" t="s">
        <v>58</v>
      </c>
    </row>
    <row r="2266" spans="1:21" x14ac:dyDescent="0.35">
      <c r="A2266" t="s">
        <v>2345</v>
      </c>
      <c r="B2266" s="1">
        <v>46261</v>
      </c>
      <c r="C2266" t="str">
        <f>TEXT(tblData[[#This Row],[Rental Date]],"mmm")</f>
        <v>Aug</v>
      </c>
      <c r="D2266" t="str">
        <f>TEXT(tblData[[#This Row],[Rental Date]],"mmmm")</f>
        <v>August</v>
      </c>
      <c r="E2266" t="s">
        <v>21</v>
      </c>
      <c r="F2266" t="str">
        <f>TEXT(WEEKNUM(tblData[[#This Row],[Rental Date]]),"00")</f>
        <v>35</v>
      </c>
      <c r="G2266" s="1">
        <f>EOMONTH(tblData[[#This Row],[Rental Date]],0)</f>
        <v>46265</v>
      </c>
      <c r="H2266" t="s">
        <v>749</v>
      </c>
      <c r="I2266" t="s">
        <v>48</v>
      </c>
      <c r="J2266" t="s">
        <v>44</v>
      </c>
      <c r="K2266" t="s">
        <v>40</v>
      </c>
      <c r="L2266">
        <v>1</v>
      </c>
      <c r="M2266" s="2">
        <v>87.36</v>
      </c>
      <c r="N2266" t="s">
        <v>26</v>
      </c>
      <c r="O2266" s="3">
        <v>0</v>
      </c>
      <c r="P2266" s="3">
        <v>0</v>
      </c>
      <c r="Q2266" s="2">
        <v>87.36</v>
      </c>
      <c r="R2266" t="s">
        <v>76</v>
      </c>
      <c r="S2266" t="s">
        <v>28</v>
      </c>
      <c r="T2266" t="s">
        <v>29</v>
      </c>
      <c r="U2266" t="s">
        <v>79</v>
      </c>
    </row>
    <row r="2267" spans="1:21" x14ac:dyDescent="0.35">
      <c r="A2267" t="s">
        <v>2346</v>
      </c>
      <c r="B2267" s="1">
        <v>46261</v>
      </c>
      <c r="C2267" t="str">
        <f>TEXT(tblData[[#This Row],[Rental Date]],"mmm")</f>
        <v>Aug</v>
      </c>
      <c r="D2267" t="str">
        <f>TEXT(tblData[[#This Row],[Rental Date]],"mmmm")</f>
        <v>August</v>
      </c>
      <c r="E2267" t="s">
        <v>21</v>
      </c>
      <c r="F2267" t="str">
        <f>TEXT(WEEKNUM(tblData[[#This Row],[Rental Date]]),"00")</f>
        <v>35</v>
      </c>
      <c r="G2267" s="1">
        <f>EOMONTH(tblData[[#This Row],[Rental Date]],0)</f>
        <v>46265</v>
      </c>
      <c r="H2267" t="s">
        <v>749</v>
      </c>
      <c r="I2267" t="s">
        <v>48</v>
      </c>
      <c r="J2267" t="s">
        <v>127</v>
      </c>
      <c r="K2267" t="s">
        <v>92</v>
      </c>
      <c r="L2267">
        <v>1</v>
      </c>
      <c r="M2267" s="2">
        <v>38.08</v>
      </c>
      <c r="N2267" t="s">
        <v>41</v>
      </c>
      <c r="O2267" s="3">
        <v>5</v>
      </c>
      <c r="P2267" s="3">
        <v>0</v>
      </c>
      <c r="Q2267" s="2">
        <v>43.08</v>
      </c>
      <c r="R2267" t="s">
        <v>66</v>
      </c>
      <c r="S2267" t="s">
        <v>35</v>
      </c>
      <c r="T2267" t="s">
        <v>63</v>
      </c>
      <c r="U2267" t="s">
        <v>30</v>
      </c>
    </row>
    <row r="2268" spans="1:21" x14ac:dyDescent="0.35">
      <c r="A2268" t="s">
        <v>2347</v>
      </c>
      <c r="B2268" s="1">
        <v>46261</v>
      </c>
      <c r="C2268" t="str">
        <f>TEXT(tblData[[#This Row],[Rental Date]],"mmm")</f>
        <v>Aug</v>
      </c>
      <c r="D2268" t="str">
        <f>TEXT(tblData[[#This Row],[Rental Date]],"mmmm")</f>
        <v>August</v>
      </c>
      <c r="E2268" t="s">
        <v>21</v>
      </c>
      <c r="F2268" t="str">
        <f>TEXT(WEEKNUM(tblData[[#This Row],[Rental Date]]),"00")</f>
        <v>35</v>
      </c>
      <c r="G2268" s="1">
        <f>EOMONTH(tblData[[#This Row],[Rental Date]],0)</f>
        <v>46265</v>
      </c>
      <c r="H2268" t="s">
        <v>749</v>
      </c>
      <c r="I2268" t="s">
        <v>39</v>
      </c>
      <c r="J2268" t="s">
        <v>33</v>
      </c>
      <c r="K2268" t="s">
        <v>40</v>
      </c>
      <c r="L2268">
        <v>1</v>
      </c>
      <c r="M2268" s="2">
        <v>64.959999999999994</v>
      </c>
      <c r="N2268" t="s">
        <v>70</v>
      </c>
      <c r="O2268" s="3">
        <v>7</v>
      </c>
      <c r="P2268" s="3">
        <v>0</v>
      </c>
      <c r="Q2268" s="2">
        <v>71.959999999999994</v>
      </c>
      <c r="R2268" t="s">
        <v>62</v>
      </c>
      <c r="S2268" t="s">
        <v>54</v>
      </c>
      <c r="T2268" t="s">
        <v>51</v>
      </c>
      <c r="U2268" t="s">
        <v>30</v>
      </c>
    </row>
    <row r="2269" spans="1:21" x14ac:dyDescent="0.35">
      <c r="A2269" t="s">
        <v>2348</v>
      </c>
      <c r="B2269" s="1">
        <v>46262</v>
      </c>
      <c r="C2269" t="str">
        <f>TEXT(tblData[[#This Row],[Rental Date]],"mmm")</f>
        <v>Aug</v>
      </c>
      <c r="D2269" t="str">
        <f>TEXT(tblData[[#This Row],[Rental Date]],"mmmm")</f>
        <v>August</v>
      </c>
      <c r="E2269" t="s">
        <v>38</v>
      </c>
      <c r="F2269" t="str">
        <f>TEXT(WEEKNUM(tblData[[#This Row],[Rental Date]]),"00")</f>
        <v>35</v>
      </c>
      <c r="G2269" s="1">
        <f>EOMONTH(tblData[[#This Row],[Rental Date]],0)</f>
        <v>46265</v>
      </c>
      <c r="H2269" t="s">
        <v>749</v>
      </c>
      <c r="I2269" t="s">
        <v>48</v>
      </c>
      <c r="J2269" t="s">
        <v>24</v>
      </c>
      <c r="K2269" t="s">
        <v>60</v>
      </c>
      <c r="L2269">
        <v>1</v>
      </c>
      <c r="M2269" s="2">
        <v>35.840000000000003</v>
      </c>
      <c r="N2269" t="s">
        <v>87</v>
      </c>
      <c r="O2269" s="3">
        <v>10</v>
      </c>
      <c r="P2269" s="3">
        <v>0</v>
      </c>
      <c r="Q2269" s="2">
        <v>45.84</v>
      </c>
      <c r="R2269" t="s">
        <v>45</v>
      </c>
      <c r="S2269" t="s">
        <v>28</v>
      </c>
      <c r="T2269" t="s">
        <v>29</v>
      </c>
      <c r="U2269" t="s">
        <v>30</v>
      </c>
    </row>
    <row r="2270" spans="1:21" x14ac:dyDescent="0.35">
      <c r="A2270" t="s">
        <v>2349</v>
      </c>
      <c r="B2270" s="1">
        <v>46262</v>
      </c>
      <c r="C2270" t="str">
        <f>TEXT(tblData[[#This Row],[Rental Date]],"mmm")</f>
        <v>Aug</v>
      </c>
      <c r="D2270" t="str">
        <f>TEXT(tblData[[#This Row],[Rental Date]],"mmmm")</f>
        <v>August</v>
      </c>
      <c r="E2270" t="s">
        <v>38</v>
      </c>
      <c r="F2270" t="str">
        <f>TEXT(WEEKNUM(tblData[[#This Row],[Rental Date]]),"00")</f>
        <v>35</v>
      </c>
      <c r="G2270" s="1">
        <f>EOMONTH(tblData[[#This Row],[Rental Date]],0)</f>
        <v>46265</v>
      </c>
      <c r="H2270" t="s">
        <v>749</v>
      </c>
      <c r="I2270" t="s">
        <v>23</v>
      </c>
      <c r="J2270" t="s">
        <v>78</v>
      </c>
      <c r="K2270" t="s">
        <v>40</v>
      </c>
      <c r="L2270">
        <v>1</v>
      </c>
      <c r="M2270" s="2">
        <v>69.44</v>
      </c>
      <c r="N2270" t="s">
        <v>89</v>
      </c>
      <c r="O2270" s="3">
        <v>6</v>
      </c>
      <c r="P2270" s="3">
        <v>0</v>
      </c>
      <c r="Q2270" s="2">
        <v>75.44</v>
      </c>
      <c r="R2270" t="s">
        <v>66</v>
      </c>
      <c r="S2270" t="s">
        <v>28</v>
      </c>
      <c r="T2270" t="s">
        <v>29</v>
      </c>
      <c r="U2270" t="s">
        <v>30</v>
      </c>
    </row>
    <row r="2271" spans="1:21" x14ac:dyDescent="0.35">
      <c r="A2271" t="s">
        <v>2350</v>
      </c>
      <c r="B2271" s="1">
        <v>46262</v>
      </c>
      <c r="C2271" t="str">
        <f>TEXT(tblData[[#This Row],[Rental Date]],"mmm")</f>
        <v>Aug</v>
      </c>
      <c r="D2271" t="str">
        <f>TEXT(tblData[[#This Row],[Rental Date]],"mmmm")</f>
        <v>August</v>
      </c>
      <c r="E2271" t="s">
        <v>38</v>
      </c>
      <c r="F2271" t="str">
        <f>TEXT(WEEKNUM(tblData[[#This Row],[Rental Date]]),"00")</f>
        <v>35</v>
      </c>
      <c r="G2271" s="1">
        <f>EOMONTH(tblData[[#This Row],[Rental Date]],0)</f>
        <v>46265</v>
      </c>
      <c r="H2271" t="s">
        <v>749</v>
      </c>
      <c r="I2271" t="s">
        <v>32</v>
      </c>
      <c r="J2271" t="s">
        <v>65</v>
      </c>
      <c r="K2271" t="s">
        <v>60</v>
      </c>
      <c r="L2271">
        <v>1</v>
      </c>
      <c r="M2271" s="2">
        <v>13.44</v>
      </c>
      <c r="N2271" t="s">
        <v>26</v>
      </c>
      <c r="O2271" s="3">
        <v>0</v>
      </c>
      <c r="P2271" s="3">
        <v>0</v>
      </c>
      <c r="Q2271" s="2">
        <v>13.44</v>
      </c>
      <c r="R2271" t="s">
        <v>57</v>
      </c>
      <c r="S2271" t="s">
        <v>50</v>
      </c>
      <c r="T2271" t="s">
        <v>51</v>
      </c>
      <c r="U2271" t="s">
        <v>79</v>
      </c>
    </row>
    <row r="2272" spans="1:21" x14ac:dyDescent="0.35">
      <c r="A2272" t="s">
        <v>2351</v>
      </c>
      <c r="B2272" s="1">
        <v>46262</v>
      </c>
      <c r="C2272" t="str">
        <f>TEXT(tblData[[#This Row],[Rental Date]],"mmm")</f>
        <v>Aug</v>
      </c>
      <c r="D2272" t="str">
        <f>TEXT(tblData[[#This Row],[Rental Date]],"mmmm")</f>
        <v>August</v>
      </c>
      <c r="E2272" t="s">
        <v>38</v>
      </c>
      <c r="F2272" t="str">
        <f>TEXT(WEEKNUM(tblData[[#This Row],[Rental Date]]),"00")</f>
        <v>35</v>
      </c>
      <c r="G2272" s="1">
        <f>EOMONTH(tblData[[#This Row],[Rental Date]],0)</f>
        <v>46265</v>
      </c>
      <c r="H2272" t="s">
        <v>749</v>
      </c>
      <c r="I2272" t="s">
        <v>23</v>
      </c>
      <c r="J2272" t="s">
        <v>44</v>
      </c>
      <c r="K2272" t="s">
        <v>25</v>
      </c>
      <c r="L2272">
        <v>1</v>
      </c>
      <c r="M2272" s="2">
        <v>58.24</v>
      </c>
      <c r="N2272" t="s">
        <v>89</v>
      </c>
      <c r="O2272" s="3">
        <v>6</v>
      </c>
      <c r="P2272" s="3">
        <v>0</v>
      </c>
      <c r="Q2272" s="2">
        <v>64.239999999999995</v>
      </c>
      <c r="R2272" t="s">
        <v>76</v>
      </c>
      <c r="S2272" t="s">
        <v>35</v>
      </c>
      <c r="T2272" t="s">
        <v>51</v>
      </c>
      <c r="U2272" t="s">
        <v>30</v>
      </c>
    </row>
    <row r="2273" spans="1:21" x14ac:dyDescent="0.35">
      <c r="A2273" t="s">
        <v>2352</v>
      </c>
      <c r="B2273" s="1">
        <v>46262</v>
      </c>
      <c r="C2273" t="str">
        <f>TEXT(tblData[[#This Row],[Rental Date]],"mmm")</f>
        <v>Aug</v>
      </c>
      <c r="D2273" t="str">
        <f>TEXT(tblData[[#This Row],[Rental Date]],"mmmm")</f>
        <v>August</v>
      </c>
      <c r="E2273" t="s">
        <v>38</v>
      </c>
      <c r="F2273" t="str">
        <f>TEXT(WEEKNUM(tblData[[#This Row],[Rental Date]]),"00")</f>
        <v>35</v>
      </c>
      <c r="G2273" s="1">
        <f>EOMONTH(tblData[[#This Row],[Rental Date]],0)</f>
        <v>46265</v>
      </c>
      <c r="H2273" t="s">
        <v>749</v>
      </c>
      <c r="I2273" t="s">
        <v>39</v>
      </c>
      <c r="J2273" t="s">
        <v>49</v>
      </c>
      <c r="K2273" t="s">
        <v>40</v>
      </c>
      <c r="L2273">
        <v>1</v>
      </c>
      <c r="M2273" s="2">
        <v>60.48</v>
      </c>
      <c r="N2273" t="s">
        <v>26</v>
      </c>
      <c r="O2273" s="3">
        <v>0</v>
      </c>
      <c r="P2273" s="3">
        <v>0</v>
      </c>
      <c r="Q2273" s="2">
        <v>60.48</v>
      </c>
      <c r="R2273" t="s">
        <v>34</v>
      </c>
      <c r="S2273" t="s">
        <v>54</v>
      </c>
      <c r="T2273" t="s">
        <v>29</v>
      </c>
      <c r="U2273" t="s">
        <v>79</v>
      </c>
    </row>
    <row r="2274" spans="1:21" x14ac:dyDescent="0.35">
      <c r="A2274" t="s">
        <v>2353</v>
      </c>
      <c r="B2274" s="1">
        <v>46262</v>
      </c>
      <c r="C2274" t="str">
        <f>TEXT(tblData[[#This Row],[Rental Date]],"mmm")</f>
        <v>Aug</v>
      </c>
      <c r="D2274" t="str">
        <f>TEXT(tblData[[#This Row],[Rental Date]],"mmmm")</f>
        <v>August</v>
      </c>
      <c r="E2274" t="s">
        <v>38</v>
      </c>
      <c r="F2274" t="str">
        <f>TEXT(WEEKNUM(tblData[[#This Row],[Rental Date]]),"00")</f>
        <v>35</v>
      </c>
      <c r="G2274" s="1">
        <f>EOMONTH(tblData[[#This Row],[Rental Date]],0)</f>
        <v>46265</v>
      </c>
      <c r="H2274" t="s">
        <v>749</v>
      </c>
      <c r="I2274" t="s">
        <v>39</v>
      </c>
      <c r="J2274" t="s">
        <v>44</v>
      </c>
      <c r="K2274" t="s">
        <v>40</v>
      </c>
      <c r="L2274">
        <v>1</v>
      </c>
      <c r="M2274" s="2">
        <v>87.36</v>
      </c>
      <c r="N2274" t="s">
        <v>26</v>
      </c>
      <c r="O2274" s="3">
        <v>0</v>
      </c>
      <c r="P2274" s="3">
        <v>0</v>
      </c>
      <c r="Q2274" s="2">
        <v>87.36</v>
      </c>
      <c r="R2274" t="s">
        <v>34</v>
      </c>
      <c r="S2274" t="s">
        <v>28</v>
      </c>
      <c r="T2274" t="s">
        <v>90</v>
      </c>
      <c r="U2274" t="s">
        <v>58</v>
      </c>
    </row>
    <row r="2275" spans="1:21" x14ac:dyDescent="0.35">
      <c r="A2275" t="s">
        <v>2354</v>
      </c>
      <c r="B2275" s="1">
        <v>46262</v>
      </c>
      <c r="C2275" t="str">
        <f>TEXT(tblData[[#This Row],[Rental Date]],"mmm")</f>
        <v>Aug</v>
      </c>
      <c r="D2275" t="str">
        <f>TEXT(tblData[[#This Row],[Rental Date]],"mmmm")</f>
        <v>August</v>
      </c>
      <c r="E2275" t="s">
        <v>38</v>
      </c>
      <c r="F2275" t="str">
        <f>TEXT(WEEKNUM(tblData[[#This Row],[Rental Date]]),"00")</f>
        <v>35</v>
      </c>
      <c r="G2275" s="1">
        <f>EOMONTH(tblData[[#This Row],[Rental Date]],0)</f>
        <v>46265</v>
      </c>
      <c r="H2275" t="s">
        <v>749</v>
      </c>
      <c r="I2275" t="s">
        <v>23</v>
      </c>
      <c r="J2275" t="s">
        <v>49</v>
      </c>
      <c r="K2275" t="s">
        <v>60</v>
      </c>
      <c r="L2275">
        <v>1</v>
      </c>
      <c r="M2275" s="2">
        <v>24.64</v>
      </c>
      <c r="N2275" t="s">
        <v>89</v>
      </c>
      <c r="O2275" s="3">
        <v>6</v>
      </c>
      <c r="P2275" s="3">
        <v>0</v>
      </c>
      <c r="Q2275" s="2">
        <v>30.64</v>
      </c>
      <c r="R2275" t="s">
        <v>34</v>
      </c>
      <c r="S2275" t="s">
        <v>35</v>
      </c>
      <c r="T2275" t="s">
        <v>90</v>
      </c>
      <c r="U2275" t="s">
        <v>30</v>
      </c>
    </row>
    <row r="2276" spans="1:21" x14ac:dyDescent="0.35">
      <c r="A2276" t="s">
        <v>2355</v>
      </c>
      <c r="B2276" s="1">
        <v>46262</v>
      </c>
      <c r="C2276" t="str">
        <f>TEXT(tblData[[#This Row],[Rental Date]],"mmm")</f>
        <v>Aug</v>
      </c>
      <c r="D2276" t="str">
        <f>TEXT(tblData[[#This Row],[Rental Date]],"mmmm")</f>
        <v>August</v>
      </c>
      <c r="E2276" t="s">
        <v>38</v>
      </c>
      <c r="F2276" t="str">
        <f>TEXT(WEEKNUM(tblData[[#This Row],[Rental Date]]),"00")</f>
        <v>35</v>
      </c>
      <c r="G2276" s="1">
        <f>EOMONTH(tblData[[#This Row],[Rental Date]],0)</f>
        <v>46265</v>
      </c>
      <c r="H2276" t="s">
        <v>749</v>
      </c>
      <c r="I2276" t="s">
        <v>23</v>
      </c>
      <c r="J2276" t="s">
        <v>78</v>
      </c>
      <c r="K2276" t="s">
        <v>25</v>
      </c>
      <c r="L2276">
        <v>1</v>
      </c>
      <c r="M2276" s="2">
        <v>47.04</v>
      </c>
      <c r="N2276" t="s">
        <v>26</v>
      </c>
      <c r="O2276" s="3">
        <v>0</v>
      </c>
      <c r="P2276" s="3">
        <v>0</v>
      </c>
      <c r="Q2276" s="2">
        <v>47.04</v>
      </c>
      <c r="R2276" t="s">
        <v>34</v>
      </c>
      <c r="S2276" t="s">
        <v>50</v>
      </c>
      <c r="T2276" t="s">
        <v>29</v>
      </c>
      <c r="U2276" t="s">
        <v>30</v>
      </c>
    </row>
    <row r="2277" spans="1:21" x14ac:dyDescent="0.35">
      <c r="A2277" t="s">
        <v>2356</v>
      </c>
      <c r="B2277" s="1">
        <v>46262</v>
      </c>
      <c r="C2277" t="str">
        <f>TEXT(tblData[[#This Row],[Rental Date]],"mmm")</f>
        <v>Aug</v>
      </c>
      <c r="D2277" t="str">
        <f>TEXT(tblData[[#This Row],[Rental Date]],"mmmm")</f>
        <v>August</v>
      </c>
      <c r="E2277" t="s">
        <v>38</v>
      </c>
      <c r="F2277" t="str">
        <f>TEXT(WEEKNUM(tblData[[#This Row],[Rental Date]]),"00")</f>
        <v>35</v>
      </c>
      <c r="G2277" s="1">
        <f>EOMONTH(tblData[[#This Row],[Rental Date]],0)</f>
        <v>46265</v>
      </c>
      <c r="H2277" t="s">
        <v>749</v>
      </c>
      <c r="I2277" t="s">
        <v>39</v>
      </c>
      <c r="J2277" t="s">
        <v>65</v>
      </c>
      <c r="K2277" t="s">
        <v>25</v>
      </c>
      <c r="L2277">
        <v>1</v>
      </c>
      <c r="M2277" s="2">
        <v>20.16</v>
      </c>
      <c r="N2277" t="s">
        <v>26</v>
      </c>
      <c r="O2277" s="3">
        <v>0</v>
      </c>
      <c r="P2277" s="3">
        <v>0</v>
      </c>
      <c r="Q2277" s="2">
        <v>20.16</v>
      </c>
      <c r="R2277" t="s">
        <v>45</v>
      </c>
      <c r="S2277" t="s">
        <v>54</v>
      </c>
      <c r="T2277" t="s">
        <v>90</v>
      </c>
      <c r="U2277" t="s">
        <v>30</v>
      </c>
    </row>
    <row r="2278" spans="1:21" x14ac:dyDescent="0.35">
      <c r="A2278" t="s">
        <v>2357</v>
      </c>
      <c r="B2278" s="1">
        <v>46262</v>
      </c>
      <c r="C2278" t="str">
        <f>TEXT(tblData[[#This Row],[Rental Date]],"mmm")</f>
        <v>Aug</v>
      </c>
      <c r="D2278" t="str">
        <f>TEXT(tblData[[#This Row],[Rental Date]],"mmmm")</f>
        <v>August</v>
      </c>
      <c r="E2278" t="s">
        <v>38</v>
      </c>
      <c r="F2278" t="str">
        <f>TEXT(WEEKNUM(tblData[[#This Row],[Rental Date]]),"00")</f>
        <v>35</v>
      </c>
      <c r="G2278" s="1">
        <f>EOMONTH(tblData[[#This Row],[Rental Date]],0)</f>
        <v>46265</v>
      </c>
      <c r="H2278" t="s">
        <v>749</v>
      </c>
      <c r="I2278" t="s">
        <v>48</v>
      </c>
      <c r="J2278" t="s">
        <v>44</v>
      </c>
      <c r="K2278" t="s">
        <v>25</v>
      </c>
      <c r="L2278">
        <v>1</v>
      </c>
      <c r="M2278" s="2">
        <v>58.24</v>
      </c>
      <c r="N2278" t="s">
        <v>26</v>
      </c>
      <c r="O2278" s="3">
        <v>0</v>
      </c>
      <c r="P2278" s="3">
        <v>0</v>
      </c>
      <c r="Q2278" s="2">
        <v>58.24</v>
      </c>
      <c r="R2278" t="s">
        <v>62</v>
      </c>
      <c r="S2278" t="s">
        <v>50</v>
      </c>
      <c r="T2278" t="s">
        <v>90</v>
      </c>
      <c r="U2278" t="s">
        <v>30</v>
      </c>
    </row>
    <row r="2279" spans="1:21" x14ac:dyDescent="0.35">
      <c r="A2279" t="s">
        <v>2358</v>
      </c>
      <c r="B2279" s="1">
        <v>46262</v>
      </c>
      <c r="C2279" t="str">
        <f>TEXT(tblData[[#This Row],[Rental Date]],"mmm")</f>
        <v>Aug</v>
      </c>
      <c r="D2279" t="str">
        <f>TEXT(tblData[[#This Row],[Rental Date]],"mmmm")</f>
        <v>August</v>
      </c>
      <c r="E2279" t="s">
        <v>38</v>
      </c>
      <c r="F2279" t="str">
        <f>TEXT(WEEKNUM(tblData[[#This Row],[Rental Date]]),"00")</f>
        <v>35</v>
      </c>
      <c r="G2279" s="1">
        <f>EOMONTH(tblData[[#This Row],[Rental Date]],0)</f>
        <v>46265</v>
      </c>
      <c r="H2279" t="s">
        <v>749</v>
      </c>
      <c r="I2279" t="s">
        <v>39</v>
      </c>
      <c r="J2279" t="s">
        <v>78</v>
      </c>
      <c r="K2279" t="s">
        <v>25</v>
      </c>
      <c r="L2279">
        <v>1</v>
      </c>
      <c r="M2279" s="2">
        <v>47.04</v>
      </c>
      <c r="N2279" t="s">
        <v>26</v>
      </c>
      <c r="O2279" s="3">
        <v>0</v>
      </c>
      <c r="P2279" s="3">
        <v>0</v>
      </c>
      <c r="Q2279" s="2">
        <v>47.04</v>
      </c>
      <c r="R2279" t="s">
        <v>34</v>
      </c>
      <c r="S2279" t="s">
        <v>46</v>
      </c>
      <c r="T2279" t="s">
        <v>51</v>
      </c>
      <c r="U2279" t="s">
        <v>58</v>
      </c>
    </row>
    <row r="2280" spans="1:21" x14ac:dyDescent="0.35">
      <c r="A2280" t="s">
        <v>2359</v>
      </c>
      <c r="B2280" s="1">
        <v>46262</v>
      </c>
      <c r="C2280" t="str">
        <f>TEXT(tblData[[#This Row],[Rental Date]],"mmm")</f>
        <v>Aug</v>
      </c>
      <c r="D2280" t="str">
        <f>TEXT(tblData[[#This Row],[Rental Date]],"mmmm")</f>
        <v>August</v>
      </c>
      <c r="E2280" t="s">
        <v>38</v>
      </c>
      <c r="F2280" t="str">
        <f>TEXT(WEEKNUM(tblData[[#This Row],[Rental Date]]),"00")</f>
        <v>35</v>
      </c>
      <c r="G2280" s="1">
        <f>EOMONTH(tblData[[#This Row],[Rental Date]],0)</f>
        <v>46265</v>
      </c>
      <c r="H2280" t="s">
        <v>749</v>
      </c>
      <c r="I2280" t="s">
        <v>23</v>
      </c>
      <c r="J2280" t="s">
        <v>44</v>
      </c>
      <c r="K2280" t="s">
        <v>60</v>
      </c>
      <c r="L2280">
        <v>1</v>
      </c>
      <c r="M2280" s="2">
        <v>38.08</v>
      </c>
      <c r="N2280" t="s">
        <v>89</v>
      </c>
      <c r="O2280" s="3">
        <v>6</v>
      </c>
      <c r="P2280" s="3">
        <v>0</v>
      </c>
      <c r="Q2280" s="2">
        <v>44.08</v>
      </c>
      <c r="R2280" t="s">
        <v>45</v>
      </c>
      <c r="S2280" t="s">
        <v>35</v>
      </c>
      <c r="T2280" t="s">
        <v>51</v>
      </c>
      <c r="U2280" t="s">
        <v>30</v>
      </c>
    </row>
    <row r="2281" spans="1:21" x14ac:dyDescent="0.35">
      <c r="A2281" t="s">
        <v>2360</v>
      </c>
      <c r="B2281" s="1">
        <v>46262</v>
      </c>
      <c r="C2281" t="str">
        <f>TEXT(tblData[[#This Row],[Rental Date]],"mmm")</f>
        <v>Aug</v>
      </c>
      <c r="D2281" t="str">
        <f>TEXT(tblData[[#This Row],[Rental Date]],"mmmm")</f>
        <v>August</v>
      </c>
      <c r="E2281" t="s">
        <v>38</v>
      </c>
      <c r="F2281" t="str">
        <f>TEXT(WEEKNUM(tblData[[#This Row],[Rental Date]]),"00")</f>
        <v>35</v>
      </c>
      <c r="G2281" s="1">
        <f>EOMONTH(tblData[[#This Row],[Rental Date]],0)</f>
        <v>46265</v>
      </c>
      <c r="H2281" t="s">
        <v>749</v>
      </c>
      <c r="I2281" t="s">
        <v>48</v>
      </c>
      <c r="J2281" t="s">
        <v>44</v>
      </c>
      <c r="K2281" t="s">
        <v>60</v>
      </c>
      <c r="L2281">
        <v>1</v>
      </c>
      <c r="M2281" s="2">
        <v>38.08</v>
      </c>
      <c r="N2281" t="s">
        <v>26</v>
      </c>
      <c r="O2281" s="3">
        <v>0</v>
      </c>
      <c r="P2281" s="3">
        <v>0</v>
      </c>
      <c r="Q2281" s="2">
        <v>38.08</v>
      </c>
      <c r="R2281" t="s">
        <v>71</v>
      </c>
      <c r="S2281" t="s">
        <v>28</v>
      </c>
      <c r="T2281" t="s">
        <v>29</v>
      </c>
      <c r="U2281" t="s">
        <v>30</v>
      </c>
    </row>
    <row r="2282" spans="1:21" x14ac:dyDescent="0.35">
      <c r="A2282" t="s">
        <v>2361</v>
      </c>
      <c r="B2282" s="1">
        <v>46262</v>
      </c>
      <c r="C2282" t="str">
        <f>TEXT(tblData[[#This Row],[Rental Date]],"mmm")</f>
        <v>Aug</v>
      </c>
      <c r="D2282" t="str">
        <f>TEXT(tblData[[#This Row],[Rental Date]],"mmmm")</f>
        <v>August</v>
      </c>
      <c r="E2282" t="s">
        <v>38</v>
      </c>
      <c r="F2282" t="str">
        <f>TEXT(WEEKNUM(tblData[[#This Row],[Rental Date]]),"00")</f>
        <v>35</v>
      </c>
      <c r="G2282" s="1">
        <f>EOMONTH(tblData[[#This Row],[Rental Date]],0)</f>
        <v>46265</v>
      </c>
      <c r="H2282" t="s">
        <v>749</v>
      </c>
      <c r="I2282" t="s">
        <v>39</v>
      </c>
      <c r="J2282" t="s">
        <v>44</v>
      </c>
      <c r="K2282" t="s">
        <v>40</v>
      </c>
      <c r="L2282">
        <v>1</v>
      </c>
      <c r="M2282" s="2">
        <v>87.36</v>
      </c>
      <c r="N2282" t="s">
        <v>70</v>
      </c>
      <c r="O2282" s="3">
        <v>7</v>
      </c>
      <c r="P2282" s="3">
        <v>0</v>
      </c>
      <c r="Q2282" s="2">
        <v>94.36</v>
      </c>
      <c r="R2282" t="s">
        <v>62</v>
      </c>
      <c r="S2282" t="s">
        <v>50</v>
      </c>
      <c r="T2282" t="s">
        <v>29</v>
      </c>
      <c r="U2282" t="s">
        <v>30</v>
      </c>
    </row>
    <row r="2283" spans="1:21" x14ac:dyDescent="0.35">
      <c r="A2283" t="s">
        <v>2362</v>
      </c>
      <c r="B2283" s="1">
        <v>46262</v>
      </c>
      <c r="C2283" t="str">
        <f>TEXT(tblData[[#This Row],[Rental Date]],"mmm")</f>
        <v>Aug</v>
      </c>
      <c r="D2283" t="str">
        <f>TEXT(tblData[[#This Row],[Rental Date]],"mmmm")</f>
        <v>August</v>
      </c>
      <c r="E2283" t="s">
        <v>38</v>
      </c>
      <c r="F2283" t="str">
        <f>TEXT(WEEKNUM(tblData[[#This Row],[Rental Date]]),"00")</f>
        <v>35</v>
      </c>
      <c r="G2283" s="1">
        <f>EOMONTH(tblData[[#This Row],[Rental Date]],0)</f>
        <v>46265</v>
      </c>
      <c r="H2283" t="s">
        <v>749</v>
      </c>
      <c r="I2283" t="s">
        <v>48</v>
      </c>
      <c r="J2283" t="s">
        <v>86</v>
      </c>
      <c r="K2283" t="s">
        <v>25</v>
      </c>
      <c r="L2283">
        <v>1</v>
      </c>
      <c r="M2283" s="2">
        <v>64.959999999999994</v>
      </c>
      <c r="N2283" t="s">
        <v>26</v>
      </c>
      <c r="O2283" s="3">
        <v>0</v>
      </c>
      <c r="P2283" s="3">
        <v>0</v>
      </c>
      <c r="Q2283" s="2">
        <v>64.959999999999994</v>
      </c>
      <c r="R2283" t="s">
        <v>71</v>
      </c>
      <c r="S2283" t="s">
        <v>35</v>
      </c>
      <c r="T2283" t="s">
        <v>29</v>
      </c>
      <c r="U2283" t="s">
        <v>30</v>
      </c>
    </row>
    <row r="2284" spans="1:21" x14ac:dyDescent="0.35">
      <c r="A2284" t="s">
        <v>2363</v>
      </c>
      <c r="B2284" s="1">
        <v>46262</v>
      </c>
      <c r="C2284" t="str">
        <f>TEXT(tblData[[#This Row],[Rental Date]],"mmm")</f>
        <v>Aug</v>
      </c>
      <c r="D2284" t="str">
        <f>TEXT(tblData[[#This Row],[Rental Date]],"mmmm")</f>
        <v>August</v>
      </c>
      <c r="E2284" t="s">
        <v>38</v>
      </c>
      <c r="F2284" t="str">
        <f>TEXT(WEEKNUM(tblData[[#This Row],[Rental Date]]),"00")</f>
        <v>35</v>
      </c>
      <c r="G2284" s="1">
        <f>EOMONTH(tblData[[#This Row],[Rental Date]],0)</f>
        <v>46265</v>
      </c>
      <c r="H2284" t="s">
        <v>749</v>
      </c>
      <c r="I2284" t="s">
        <v>23</v>
      </c>
      <c r="J2284" t="s">
        <v>78</v>
      </c>
      <c r="K2284" t="s">
        <v>60</v>
      </c>
      <c r="L2284">
        <v>1</v>
      </c>
      <c r="M2284" s="2">
        <v>29.12</v>
      </c>
      <c r="N2284" t="s">
        <v>26</v>
      </c>
      <c r="O2284" s="3">
        <v>0</v>
      </c>
      <c r="P2284" s="3">
        <v>0</v>
      </c>
      <c r="Q2284" s="2">
        <v>29.12</v>
      </c>
      <c r="R2284" t="s">
        <v>71</v>
      </c>
      <c r="S2284" t="s">
        <v>50</v>
      </c>
      <c r="T2284" t="s">
        <v>29</v>
      </c>
      <c r="U2284" t="s">
        <v>30</v>
      </c>
    </row>
    <row r="2285" spans="1:21" x14ac:dyDescent="0.35">
      <c r="A2285" t="s">
        <v>2364</v>
      </c>
      <c r="B2285" s="1">
        <v>46262</v>
      </c>
      <c r="C2285" t="str">
        <f>TEXT(tblData[[#This Row],[Rental Date]],"mmm")</f>
        <v>Aug</v>
      </c>
      <c r="D2285" t="str">
        <f>TEXT(tblData[[#This Row],[Rental Date]],"mmmm")</f>
        <v>August</v>
      </c>
      <c r="E2285" t="s">
        <v>38</v>
      </c>
      <c r="F2285" t="str">
        <f>TEXT(WEEKNUM(tblData[[#This Row],[Rental Date]]),"00")</f>
        <v>35</v>
      </c>
      <c r="G2285" s="1">
        <f>EOMONTH(tblData[[#This Row],[Rental Date]],0)</f>
        <v>46265</v>
      </c>
      <c r="H2285" t="s">
        <v>749</v>
      </c>
      <c r="I2285" t="s">
        <v>39</v>
      </c>
      <c r="J2285" t="s">
        <v>44</v>
      </c>
      <c r="K2285" t="s">
        <v>60</v>
      </c>
      <c r="L2285">
        <v>1</v>
      </c>
      <c r="M2285" s="2">
        <v>38.08</v>
      </c>
      <c r="N2285" t="s">
        <v>75</v>
      </c>
      <c r="O2285" s="3">
        <v>12</v>
      </c>
      <c r="P2285" s="3">
        <v>0</v>
      </c>
      <c r="Q2285" s="2">
        <v>50.08</v>
      </c>
      <c r="R2285" t="s">
        <v>94</v>
      </c>
      <c r="S2285" t="s">
        <v>35</v>
      </c>
      <c r="T2285" t="s">
        <v>29</v>
      </c>
      <c r="U2285" t="s">
        <v>79</v>
      </c>
    </row>
    <row r="2286" spans="1:21" x14ac:dyDescent="0.35">
      <c r="A2286" t="s">
        <v>2365</v>
      </c>
      <c r="B2286" s="1">
        <v>46262</v>
      </c>
      <c r="C2286" t="str">
        <f>TEXT(tblData[[#This Row],[Rental Date]],"mmm")</f>
        <v>Aug</v>
      </c>
      <c r="D2286" t="str">
        <f>TEXT(tblData[[#This Row],[Rental Date]],"mmmm")</f>
        <v>August</v>
      </c>
      <c r="E2286" t="s">
        <v>38</v>
      </c>
      <c r="F2286" t="str">
        <f>TEXT(WEEKNUM(tblData[[#This Row],[Rental Date]]),"00")</f>
        <v>35</v>
      </c>
      <c r="G2286" s="1">
        <f>EOMONTH(tblData[[#This Row],[Rental Date]],0)</f>
        <v>46265</v>
      </c>
      <c r="H2286" t="s">
        <v>749</v>
      </c>
      <c r="I2286" t="s">
        <v>48</v>
      </c>
      <c r="J2286" t="s">
        <v>33</v>
      </c>
      <c r="K2286" t="s">
        <v>25</v>
      </c>
      <c r="L2286">
        <v>1</v>
      </c>
      <c r="M2286" s="2">
        <v>42.56</v>
      </c>
      <c r="N2286" t="s">
        <v>87</v>
      </c>
      <c r="O2286" s="3">
        <v>10</v>
      </c>
      <c r="P2286" s="3">
        <v>0</v>
      </c>
      <c r="Q2286" s="2">
        <v>52.56</v>
      </c>
      <c r="R2286" t="s">
        <v>62</v>
      </c>
      <c r="S2286" t="s">
        <v>46</v>
      </c>
      <c r="T2286" t="s">
        <v>29</v>
      </c>
      <c r="U2286" t="s">
        <v>30</v>
      </c>
    </row>
    <row r="2287" spans="1:21" x14ac:dyDescent="0.35">
      <c r="A2287" t="s">
        <v>2366</v>
      </c>
      <c r="B2287" s="1">
        <v>46262</v>
      </c>
      <c r="C2287" t="str">
        <f>TEXT(tblData[[#This Row],[Rental Date]],"mmm")</f>
        <v>Aug</v>
      </c>
      <c r="D2287" t="str">
        <f>TEXT(tblData[[#This Row],[Rental Date]],"mmmm")</f>
        <v>August</v>
      </c>
      <c r="E2287" t="s">
        <v>38</v>
      </c>
      <c r="F2287" t="str">
        <f>TEXT(WEEKNUM(tblData[[#This Row],[Rental Date]]),"00")</f>
        <v>35</v>
      </c>
      <c r="G2287" s="1">
        <f>EOMONTH(tblData[[#This Row],[Rental Date]],0)</f>
        <v>46265</v>
      </c>
      <c r="H2287" t="s">
        <v>749</v>
      </c>
      <c r="I2287" t="s">
        <v>48</v>
      </c>
      <c r="J2287" t="s">
        <v>33</v>
      </c>
      <c r="K2287" t="s">
        <v>60</v>
      </c>
      <c r="L2287">
        <v>1</v>
      </c>
      <c r="M2287" s="2">
        <v>26.88</v>
      </c>
      <c r="N2287" t="s">
        <v>26</v>
      </c>
      <c r="O2287" s="3">
        <v>0</v>
      </c>
      <c r="P2287" s="3">
        <v>0</v>
      </c>
      <c r="Q2287" s="2">
        <v>26.88</v>
      </c>
      <c r="R2287" t="s">
        <v>34</v>
      </c>
      <c r="S2287" t="s">
        <v>46</v>
      </c>
      <c r="T2287" t="s">
        <v>90</v>
      </c>
      <c r="U2287" t="s">
        <v>30</v>
      </c>
    </row>
    <row r="2288" spans="1:21" x14ac:dyDescent="0.35">
      <c r="A2288" t="s">
        <v>2367</v>
      </c>
      <c r="B2288" s="1">
        <v>46262</v>
      </c>
      <c r="C2288" t="str">
        <f>TEXT(tblData[[#This Row],[Rental Date]],"mmm")</f>
        <v>Aug</v>
      </c>
      <c r="D2288" t="str">
        <f>TEXT(tblData[[#This Row],[Rental Date]],"mmmm")</f>
        <v>August</v>
      </c>
      <c r="E2288" t="s">
        <v>38</v>
      </c>
      <c r="F2288" t="str">
        <f>TEXT(WEEKNUM(tblData[[#This Row],[Rental Date]]),"00")</f>
        <v>35</v>
      </c>
      <c r="G2288" s="1">
        <f>EOMONTH(tblData[[#This Row],[Rental Date]],0)</f>
        <v>46265</v>
      </c>
      <c r="H2288" t="s">
        <v>749</v>
      </c>
      <c r="I2288" t="s">
        <v>39</v>
      </c>
      <c r="J2288" t="s">
        <v>44</v>
      </c>
      <c r="K2288" t="s">
        <v>60</v>
      </c>
      <c r="L2288">
        <v>1</v>
      </c>
      <c r="M2288" s="2">
        <v>38.08</v>
      </c>
      <c r="N2288" t="s">
        <v>89</v>
      </c>
      <c r="O2288" s="3">
        <v>6</v>
      </c>
      <c r="P2288" s="3">
        <v>0</v>
      </c>
      <c r="Q2288" s="2">
        <v>44.08</v>
      </c>
      <c r="R2288" t="s">
        <v>66</v>
      </c>
      <c r="S2288" t="s">
        <v>35</v>
      </c>
      <c r="T2288" t="s">
        <v>29</v>
      </c>
      <c r="U2288" t="s">
        <v>36</v>
      </c>
    </row>
    <row r="2289" spans="1:21" x14ac:dyDescent="0.35">
      <c r="A2289" t="s">
        <v>2368</v>
      </c>
      <c r="B2289" s="1">
        <v>46262</v>
      </c>
      <c r="C2289" t="str">
        <f>TEXT(tblData[[#This Row],[Rental Date]],"mmm")</f>
        <v>Aug</v>
      </c>
      <c r="D2289" t="str">
        <f>TEXT(tblData[[#This Row],[Rental Date]],"mmmm")</f>
        <v>August</v>
      </c>
      <c r="E2289" t="s">
        <v>38</v>
      </c>
      <c r="F2289" t="str">
        <f>TEXT(WEEKNUM(tblData[[#This Row],[Rental Date]]),"00")</f>
        <v>35</v>
      </c>
      <c r="G2289" s="1">
        <f>EOMONTH(tblData[[#This Row],[Rental Date]],0)</f>
        <v>46265</v>
      </c>
      <c r="H2289" t="s">
        <v>749</v>
      </c>
      <c r="I2289" t="s">
        <v>53</v>
      </c>
      <c r="J2289" t="s">
        <v>138</v>
      </c>
      <c r="K2289" t="s">
        <v>40</v>
      </c>
      <c r="L2289">
        <v>1</v>
      </c>
      <c r="M2289" s="2">
        <v>80.64</v>
      </c>
      <c r="N2289" t="s">
        <v>26</v>
      </c>
      <c r="O2289" s="3">
        <v>0</v>
      </c>
      <c r="P2289" s="3">
        <v>8.06</v>
      </c>
      <c r="Q2289" s="2">
        <v>72.58</v>
      </c>
      <c r="R2289" t="s">
        <v>34</v>
      </c>
      <c r="S2289" t="s">
        <v>50</v>
      </c>
      <c r="T2289" t="s">
        <v>29</v>
      </c>
      <c r="U2289" t="s">
        <v>30</v>
      </c>
    </row>
    <row r="2290" spans="1:21" x14ac:dyDescent="0.35">
      <c r="A2290" t="s">
        <v>2369</v>
      </c>
      <c r="B2290" s="1">
        <v>46262</v>
      </c>
      <c r="C2290" t="str">
        <f>TEXT(tblData[[#This Row],[Rental Date]],"mmm")</f>
        <v>Aug</v>
      </c>
      <c r="D2290" t="str">
        <f>TEXT(tblData[[#This Row],[Rental Date]],"mmmm")</f>
        <v>August</v>
      </c>
      <c r="E2290" t="s">
        <v>38</v>
      </c>
      <c r="F2290" t="str">
        <f>TEXT(WEEKNUM(tblData[[#This Row],[Rental Date]]),"00")</f>
        <v>35</v>
      </c>
      <c r="G2290" s="1">
        <f>EOMONTH(tblData[[#This Row],[Rental Date]],0)</f>
        <v>46265</v>
      </c>
      <c r="H2290" t="s">
        <v>749</v>
      </c>
      <c r="I2290" t="s">
        <v>48</v>
      </c>
      <c r="J2290" t="s">
        <v>24</v>
      </c>
      <c r="K2290" t="s">
        <v>25</v>
      </c>
      <c r="L2290">
        <v>1</v>
      </c>
      <c r="M2290" s="2">
        <v>56</v>
      </c>
      <c r="N2290" t="s">
        <v>26</v>
      </c>
      <c r="O2290" s="3">
        <v>0</v>
      </c>
      <c r="P2290" s="3">
        <v>0</v>
      </c>
      <c r="Q2290" s="2">
        <v>56</v>
      </c>
      <c r="R2290" t="s">
        <v>34</v>
      </c>
      <c r="S2290" t="s">
        <v>35</v>
      </c>
      <c r="T2290" t="s">
        <v>51</v>
      </c>
      <c r="U2290" t="s">
        <v>30</v>
      </c>
    </row>
    <row r="2291" spans="1:21" x14ac:dyDescent="0.35">
      <c r="A2291" t="s">
        <v>2370</v>
      </c>
      <c r="B2291" s="1">
        <v>46262</v>
      </c>
      <c r="C2291" t="str">
        <f>TEXT(tblData[[#This Row],[Rental Date]],"mmm")</f>
        <v>Aug</v>
      </c>
      <c r="D2291" t="str">
        <f>TEXT(tblData[[#This Row],[Rental Date]],"mmmm")</f>
        <v>August</v>
      </c>
      <c r="E2291" t="s">
        <v>38</v>
      </c>
      <c r="F2291" t="str">
        <f>TEXT(WEEKNUM(tblData[[#This Row],[Rental Date]]),"00")</f>
        <v>35</v>
      </c>
      <c r="G2291" s="1">
        <f>EOMONTH(tblData[[#This Row],[Rental Date]],0)</f>
        <v>46265</v>
      </c>
      <c r="H2291" t="s">
        <v>749</v>
      </c>
      <c r="I2291" t="s">
        <v>39</v>
      </c>
      <c r="J2291" t="s">
        <v>44</v>
      </c>
      <c r="K2291" t="s">
        <v>25</v>
      </c>
      <c r="L2291">
        <v>1</v>
      </c>
      <c r="M2291" s="2">
        <v>58.24</v>
      </c>
      <c r="N2291" t="s">
        <v>89</v>
      </c>
      <c r="O2291" s="3">
        <v>6</v>
      </c>
      <c r="P2291" s="3">
        <v>0</v>
      </c>
      <c r="Q2291" s="2">
        <v>64.239999999999995</v>
      </c>
      <c r="R2291" t="s">
        <v>62</v>
      </c>
      <c r="S2291" t="s">
        <v>35</v>
      </c>
      <c r="T2291" t="s">
        <v>29</v>
      </c>
      <c r="U2291" t="s">
        <v>30</v>
      </c>
    </row>
    <row r="2292" spans="1:21" x14ac:dyDescent="0.35">
      <c r="A2292" t="s">
        <v>2371</v>
      </c>
      <c r="B2292" s="1">
        <v>46263</v>
      </c>
      <c r="C2292" t="str">
        <f>TEXT(tblData[[#This Row],[Rental Date]],"mmm")</f>
        <v>Aug</v>
      </c>
      <c r="D2292" t="str">
        <f>TEXT(tblData[[#This Row],[Rental Date]],"mmmm")</f>
        <v>August</v>
      </c>
      <c r="E2292" t="s">
        <v>56</v>
      </c>
      <c r="F2292" t="str">
        <f>TEXT(WEEKNUM(tblData[[#This Row],[Rental Date]]),"00")</f>
        <v>35</v>
      </c>
      <c r="G2292" s="1">
        <f>EOMONTH(tblData[[#This Row],[Rental Date]],0)</f>
        <v>46265</v>
      </c>
      <c r="H2292" t="s">
        <v>749</v>
      </c>
      <c r="I2292" t="s">
        <v>48</v>
      </c>
      <c r="J2292" t="s">
        <v>78</v>
      </c>
      <c r="K2292" t="s">
        <v>60</v>
      </c>
      <c r="L2292">
        <v>1</v>
      </c>
      <c r="M2292" s="2">
        <v>31.2</v>
      </c>
      <c r="N2292" t="s">
        <v>87</v>
      </c>
      <c r="O2292" s="3">
        <v>10</v>
      </c>
      <c r="P2292" s="3">
        <v>0</v>
      </c>
      <c r="Q2292" s="2">
        <v>41.2</v>
      </c>
      <c r="R2292" t="s">
        <v>76</v>
      </c>
      <c r="S2292" t="s">
        <v>28</v>
      </c>
      <c r="T2292" t="s">
        <v>51</v>
      </c>
      <c r="U2292" t="s">
        <v>30</v>
      </c>
    </row>
    <row r="2293" spans="1:21" x14ac:dyDescent="0.35">
      <c r="A2293" t="s">
        <v>2372</v>
      </c>
      <c r="B2293" s="1">
        <v>46263</v>
      </c>
      <c r="C2293" t="str">
        <f>TEXT(tblData[[#This Row],[Rental Date]],"mmm")</f>
        <v>Aug</v>
      </c>
      <c r="D2293" t="str">
        <f>TEXT(tblData[[#This Row],[Rental Date]],"mmmm")</f>
        <v>August</v>
      </c>
      <c r="E2293" t="s">
        <v>56</v>
      </c>
      <c r="F2293" t="str">
        <f>TEXT(WEEKNUM(tblData[[#This Row],[Rental Date]]),"00")</f>
        <v>35</v>
      </c>
      <c r="G2293" s="1">
        <f>EOMONTH(tblData[[#This Row],[Rental Date]],0)</f>
        <v>46265</v>
      </c>
      <c r="H2293" t="s">
        <v>749</v>
      </c>
      <c r="I2293" t="s">
        <v>39</v>
      </c>
      <c r="J2293" t="s">
        <v>65</v>
      </c>
      <c r="K2293" t="s">
        <v>25</v>
      </c>
      <c r="L2293">
        <v>1</v>
      </c>
      <c r="M2293" s="2">
        <v>21.6</v>
      </c>
      <c r="N2293" t="s">
        <v>26</v>
      </c>
      <c r="O2293" s="3">
        <v>0</v>
      </c>
      <c r="P2293" s="3">
        <v>0</v>
      </c>
      <c r="Q2293" s="2">
        <v>21.6</v>
      </c>
      <c r="R2293" t="s">
        <v>66</v>
      </c>
      <c r="S2293" t="s">
        <v>46</v>
      </c>
      <c r="T2293" t="s">
        <v>29</v>
      </c>
      <c r="U2293" t="s">
        <v>30</v>
      </c>
    </row>
    <row r="2294" spans="1:21" x14ac:dyDescent="0.35">
      <c r="A2294" t="s">
        <v>2373</v>
      </c>
      <c r="B2294" s="1">
        <v>46263</v>
      </c>
      <c r="C2294" t="str">
        <f>TEXT(tblData[[#This Row],[Rental Date]],"mmm")</f>
        <v>Aug</v>
      </c>
      <c r="D2294" t="str">
        <f>TEXT(tblData[[#This Row],[Rental Date]],"mmmm")</f>
        <v>August</v>
      </c>
      <c r="E2294" t="s">
        <v>56</v>
      </c>
      <c r="F2294" t="str">
        <f>TEXT(WEEKNUM(tblData[[#This Row],[Rental Date]]),"00")</f>
        <v>35</v>
      </c>
      <c r="G2294" s="1">
        <f>EOMONTH(tblData[[#This Row],[Rental Date]],0)</f>
        <v>46265</v>
      </c>
      <c r="H2294" t="s">
        <v>749</v>
      </c>
      <c r="I2294" t="s">
        <v>53</v>
      </c>
      <c r="J2294" t="s">
        <v>65</v>
      </c>
      <c r="K2294" t="s">
        <v>40</v>
      </c>
      <c r="L2294">
        <v>1</v>
      </c>
      <c r="M2294" s="2">
        <v>33.6</v>
      </c>
      <c r="N2294" t="s">
        <v>26</v>
      </c>
      <c r="O2294" s="3">
        <v>0</v>
      </c>
      <c r="P2294" s="3">
        <v>3.36</v>
      </c>
      <c r="Q2294" s="2">
        <v>30.24</v>
      </c>
      <c r="R2294" t="s">
        <v>62</v>
      </c>
      <c r="S2294" t="s">
        <v>54</v>
      </c>
      <c r="T2294" t="s">
        <v>51</v>
      </c>
      <c r="U2294" t="s">
        <v>30</v>
      </c>
    </row>
    <row r="2295" spans="1:21" x14ac:dyDescent="0.35">
      <c r="A2295" t="s">
        <v>2374</v>
      </c>
      <c r="B2295" s="1">
        <v>46263</v>
      </c>
      <c r="C2295" t="str">
        <f>TEXT(tblData[[#This Row],[Rental Date]],"mmm")</f>
        <v>Aug</v>
      </c>
      <c r="D2295" t="str">
        <f>TEXT(tblData[[#This Row],[Rental Date]],"mmmm")</f>
        <v>August</v>
      </c>
      <c r="E2295" t="s">
        <v>56</v>
      </c>
      <c r="F2295" t="str">
        <f>TEXT(WEEKNUM(tblData[[#This Row],[Rental Date]]),"00")</f>
        <v>35</v>
      </c>
      <c r="G2295" s="1">
        <f>EOMONTH(tblData[[#This Row],[Rental Date]],0)</f>
        <v>46265</v>
      </c>
      <c r="H2295" t="s">
        <v>749</v>
      </c>
      <c r="I2295" t="s">
        <v>48</v>
      </c>
      <c r="J2295" t="s">
        <v>24</v>
      </c>
      <c r="K2295" t="s">
        <v>25</v>
      </c>
      <c r="L2295">
        <v>1</v>
      </c>
      <c r="M2295" s="2">
        <v>60</v>
      </c>
      <c r="N2295" t="s">
        <v>26</v>
      </c>
      <c r="O2295" s="3">
        <v>0</v>
      </c>
      <c r="P2295" s="3">
        <v>0</v>
      </c>
      <c r="Q2295" s="2">
        <v>60</v>
      </c>
      <c r="R2295" t="s">
        <v>71</v>
      </c>
      <c r="S2295" t="s">
        <v>46</v>
      </c>
      <c r="T2295" t="s">
        <v>29</v>
      </c>
      <c r="U2295" t="s">
        <v>58</v>
      </c>
    </row>
    <row r="2296" spans="1:21" x14ac:dyDescent="0.35">
      <c r="A2296" t="s">
        <v>2375</v>
      </c>
      <c r="B2296" s="1">
        <v>46263</v>
      </c>
      <c r="C2296" t="str">
        <f>TEXT(tblData[[#This Row],[Rental Date]],"mmm")</f>
        <v>Aug</v>
      </c>
      <c r="D2296" t="str">
        <f>TEXT(tblData[[#This Row],[Rental Date]],"mmmm")</f>
        <v>August</v>
      </c>
      <c r="E2296" t="s">
        <v>56</v>
      </c>
      <c r="F2296" t="str">
        <f>TEXT(WEEKNUM(tblData[[#This Row],[Rental Date]]),"00")</f>
        <v>35</v>
      </c>
      <c r="G2296" s="1">
        <f>EOMONTH(tblData[[#This Row],[Rental Date]],0)</f>
        <v>46265</v>
      </c>
      <c r="H2296" t="s">
        <v>749</v>
      </c>
      <c r="I2296" t="s">
        <v>23</v>
      </c>
      <c r="J2296" t="s">
        <v>33</v>
      </c>
      <c r="K2296" t="s">
        <v>60</v>
      </c>
      <c r="L2296">
        <v>1</v>
      </c>
      <c r="M2296" s="2">
        <v>28.8</v>
      </c>
      <c r="N2296" t="s">
        <v>26</v>
      </c>
      <c r="O2296" s="3">
        <v>0</v>
      </c>
      <c r="P2296" s="3">
        <v>0</v>
      </c>
      <c r="Q2296" s="2">
        <v>28.8</v>
      </c>
      <c r="R2296" t="s">
        <v>66</v>
      </c>
      <c r="S2296" t="s">
        <v>35</v>
      </c>
      <c r="T2296" t="s">
        <v>51</v>
      </c>
      <c r="U2296" t="s">
        <v>79</v>
      </c>
    </row>
    <row r="2297" spans="1:21" x14ac:dyDescent="0.35">
      <c r="A2297" t="s">
        <v>2376</v>
      </c>
      <c r="B2297" s="1">
        <v>46263</v>
      </c>
      <c r="C2297" t="str">
        <f>TEXT(tblData[[#This Row],[Rental Date]],"mmm")</f>
        <v>Aug</v>
      </c>
      <c r="D2297" t="str">
        <f>TEXT(tblData[[#This Row],[Rental Date]],"mmmm")</f>
        <v>August</v>
      </c>
      <c r="E2297" t="s">
        <v>56</v>
      </c>
      <c r="F2297" t="str">
        <f>TEXT(WEEKNUM(tblData[[#This Row],[Rental Date]]),"00")</f>
        <v>35</v>
      </c>
      <c r="G2297" s="1">
        <f>EOMONTH(tblData[[#This Row],[Rental Date]],0)</f>
        <v>46265</v>
      </c>
      <c r="H2297" t="s">
        <v>749</v>
      </c>
      <c r="I2297" t="s">
        <v>39</v>
      </c>
      <c r="J2297" t="s">
        <v>78</v>
      </c>
      <c r="K2297" t="s">
        <v>25</v>
      </c>
      <c r="L2297">
        <v>1</v>
      </c>
      <c r="M2297" s="2">
        <v>50.4</v>
      </c>
      <c r="N2297" t="s">
        <v>26</v>
      </c>
      <c r="O2297" s="3">
        <v>0</v>
      </c>
      <c r="P2297" s="3">
        <v>0</v>
      </c>
      <c r="Q2297" s="2">
        <v>50.4</v>
      </c>
      <c r="R2297" t="s">
        <v>42</v>
      </c>
      <c r="S2297" t="s">
        <v>54</v>
      </c>
      <c r="T2297" t="s">
        <v>29</v>
      </c>
      <c r="U2297" t="s">
        <v>30</v>
      </c>
    </row>
    <row r="2298" spans="1:21" x14ac:dyDescent="0.35">
      <c r="A2298" t="s">
        <v>2377</v>
      </c>
      <c r="B2298" s="1">
        <v>46263</v>
      </c>
      <c r="C2298" t="str">
        <f>TEXT(tblData[[#This Row],[Rental Date]],"mmm")</f>
        <v>Aug</v>
      </c>
      <c r="D2298" t="str">
        <f>TEXT(tblData[[#This Row],[Rental Date]],"mmmm")</f>
        <v>August</v>
      </c>
      <c r="E2298" t="s">
        <v>56</v>
      </c>
      <c r="F2298" t="str">
        <f>TEXT(WEEKNUM(tblData[[#This Row],[Rental Date]]),"00")</f>
        <v>35</v>
      </c>
      <c r="G2298" s="1">
        <f>EOMONTH(tblData[[#This Row],[Rental Date]],0)</f>
        <v>46265</v>
      </c>
      <c r="H2298" t="s">
        <v>749</v>
      </c>
      <c r="I2298" t="s">
        <v>32</v>
      </c>
      <c r="J2298" t="s">
        <v>49</v>
      </c>
      <c r="K2298" t="s">
        <v>25</v>
      </c>
      <c r="L2298">
        <v>1</v>
      </c>
      <c r="M2298" s="2">
        <v>43.2</v>
      </c>
      <c r="N2298" t="s">
        <v>41</v>
      </c>
      <c r="O2298" s="3">
        <v>5</v>
      </c>
      <c r="P2298" s="3">
        <v>2.41</v>
      </c>
      <c r="Q2298" s="2">
        <v>45.79</v>
      </c>
      <c r="R2298" t="s">
        <v>34</v>
      </c>
      <c r="S2298" t="s">
        <v>54</v>
      </c>
      <c r="T2298" t="s">
        <v>51</v>
      </c>
      <c r="U2298" t="s">
        <v>58</v>
      </c>
    </row>
    <row r="2299" spans="1:21" x14ac:dyDescent="0.35">
      <c r="A2299" t="s">
        <v>2378</v>
      </c>
      <c r="B2299" s="1">
        <v>46263</v>
      </c>
      <c r="C2299" t="str">
        <f>TEXT(tblData[[#This Row],[Rental Date]],"mmm")</f>
        <v>Aug</v>
      </c>
      <c r="D2299" t="str">
        <f>TEXT(tblData[[#This Row],[Rental Date]],"mmmm")</f>
        <v>August</v>
      </c>
      <c r="E2299" t="s">
        <v>56</v>
      </c>
      <c r="F2299" t="str">
        <f>TEXT(WEEKNUM(tblData[[#This Row],[Rental Date]]),"00")</f>
        <v>35</v>
      </c>
      <c r="G2299" s="1">
        <f>EOMONTH(tblData[[#This Row],[Rental Date]],0)</f>
        <v>46265</v>
      </c>
      <c r="H2299" t="s">
        <v>749</v>
      </c>
      <c r="I2299" t="s">
        <v>48</v>
      </c>
      <c r="J2299" t="s">
        <v>49</v>
      </c>
      <c r="K2299" t="s">
        <v>60</v>
      </c>
      <c r="L2299">
        <v>1</v>
      </c>
      <c r="M2299" s="2">
        <v>26.4</v>
      </c>
      <c r="N2299" t="s">
        <v>41</v>
      </c>
      <c r="O2299" s="3">
        <v>5</v>
      </c>
      <c r="P2299" s="3">
        <v>0</v>
      </c>
      <c r="Q2299" s="2">
        <v>31.4</v>
      </c>
      <c r="R2299" t="s">
        <v>34</v>
      </c>
      <c r="S2299" t="s">
        <v>54</v>
      </c>
      <c r="T2299" t="s">
        <v>29</v>
      </c>
      <c r="U2299" t="s">
        <v>30</v>
      </c>
    </row>
    <row r="2300" spans="1:21" x14ac:dyDescent="0.35">
      <c r="A2300" t="s">
        <v>2379</v>
      </c>
      <c r="B2300" s="1">
        <v>46263</v>
      </c>
      <c r="C2300" t="str">
        <f>TEXT(tblData[[#This Row],[Rental Date]],"mmm")</f>
        <v>Aug</v>
      </c>
      <c r="D2300" t="str">
        <f>TEXT(tblData[[#This Row],[Rental Date]],"mmmm")</f>
        <v>August</v>
      </c>
      <c r="E2300" t="s">
        <v>56</v>
      </c>
      <c r="F2300" t="str">
        <f>TEXT(WEEKNUM(tblData[[#This Row],[Rental Date]]),"00")</f>
        <v>35</v>
      </c>
      <c r="G2300" s="1">
        <f>EOMONTH(tblData[[#This Row],[Rental Date]],0)</f>
        <v>46265</v>
      </c>
      <c r="H2300" t="s">
        <v>749</v>
      </c>
      <c r="I2300" t="s">
        <v>39</v>
      </c>
      <c r="J2300" t="s">
        <v>78</v>
      </c>
      <c r="K2300" t="s">
        <v>25</v>
      </c>
      <c r="L2300">
        <v>1</v>
      </c>
      <c r="M2300" s="2">
        <v>50.4</v>
      </c>
      <c r="N2300" t="s">
        <v>26</v>
      </c>
      <c r="O2300" s="3">
        <v>0</v>
      </c>
      <c r="P2300" s="3">
        <v>0</v>
      </c>
      <c r="Q2300" s="2">
        <v>50.4</v>
      </c>
      <c r="R2300" t="s">
        <v>42</v>
      </c>
      <c r="S2300" t="s">
        <v>50</v>
      </c>
      <c r="T2300" t="s">
        <v>29</v>
      </c>
      <c r="U2300" t="s">
        <v>30</v>
      </c>
    </row>
    <row r="2301" spans="1:21" x14ac:dyDescent="0.35">
      <c r="A2301" t="s">
        <v>2380</v>
      </c>
      <c r="B2301" s="1">
        <v>46263</v>
      </c>
      <c r="C2301" t="str">
        <f>TEXT(tblData[[#This Row],[Rental Date]],"mmm")</f>
        <v>Aug</v>
      </c>
      <c r="D2301" t="str">
        <f>TEXT(tblData[[#This Row],[Rental Date]],"mmmm")</f>
        <v>August</v>
      </c>
      <c r="E2301" t="s">
        <v>56</v>
      </c>
      <c r="F2301" t="str">
        <f>TEXT(WEEKNUM(tblData[[#This Row],[Rental Date]]),"00")</f>
        <v>35</v>
      </c>
      <c r="G2301" s="1">
        <f>EOMONTH(tblData[[#This Row],[Rental Date]],0)</f>
        <v>46265</v>
      </c>
      <c r="H2301" t="s">
        <v>749</v>
      </c>
      <c r="I2301" t="s">
        <v>39</v>
      </c>
      <c r="J2301" t="s">
        <v>86</v>
      </c>
      <c r="K2301" t="s">
        <v>25</v>
      </c>
      <c r="L2301">
        <v>1</v>
      </c>
      <c r="M2301" s="2">
        <v>69.599999999999994</v>
      </c>
      <c r="N2301" t="s">
        <v>41</v>
      </c>
      <c r="O2301" s="3">
        <v>5</v>
      </c>
      <c r="P2301" s="3">
        <v>0</v>
      </c>
      <c r="Q2301" s="2">
        <v>74.599999999999994</v>
      </c>
      <c r="R2301" t="s">
        <v>94</v>
      </c>
      <c r="S2301" t="s">
        <v>46</v>
      </c>
      <c r="T2301" t="s">
        <v>90</v>
      </c>
      <c r="U2301" t="s">
        <v>30</v>
      </c>
    </row>
    <row r="2302" spans="1:21" x14ac:dyDescent="0.35">
      <c r="A2302" t="s">
        <v>2381</v>
      </c>
      <c r="B2302" s="1">
        <v>46263</v>
      </c>
      <c r="C2302" t="str">
        <f>TEXT(tblData[[#This Row],[Rental Date]],"mmm")</f>
        <v>Aug</v>
      </c>
      <c r="D2302" t="str">
        <f>TEXT(tblData[[#This Row],[Rental Date]],"mmmm")</f>
        <v>August</v>
      </c>
      <c r="E2302" t="s">
        <v>56</v>
      </c>
      <c r="F2302" t="str">
        <f>TEXT(WEEKNUM(tblData[[#This Row],[Rental Date]]),"00")</f>
        <v>35</v>
      </c>
      <c r="G2302" s="1">
        <f>EOMONTH(tblData[[#This Row],[Rental Date]],0)</f>
        <v>46265</v>
      </c>
      <c r="H2302" t="s">
        <v>749</v>
      </c>
      <c r="I2302" t="s">
        <v>48</v>
      </c>
      <c r="J2302" t="s">
        <v>44</v>
      </c>
      <c r="K2302" t="s">
        <v>60</v>
      </c>
      <c r="L2302">
        <v>1</v>
      </c>
      <c r="M2302" s="2">
        <v>40.799999999999997</v>
      </c>
      <c r="N2302" t="s">
        <v>26</v>
      </c>
      <c r="O2302" s="3">
        <v>0</v>
      </c>
      <c r="P2302" s="3">
        <v>2.04</v>
      </c>
      <c r="Q2302" s="2">
        <v>38.76</v>
      </c>
      <c r="R2302" t="s">
        <v>71</v>
      </c>
      <c r="S2302" t="s">
        <v>54</v>
      </c>
      <c r="T2302" t="s">
        <v>90</v>
      </c>
      <c r="U2302" t="s">
        <v>58</v>
      </c>
    </row>
    <row r="2303" spans="1:21" x14ac:dyDescent="0.35">
      <c r="A2303" t="s">
        <v>2382</v>
      </c>
      <c r="B2303" s="1">
        <v>46263</v>
      </c>
      <c r="C2303" t="str">
        <f>TEXT(tblData[[#This Row],[Rental Date]],"mmm")</f>
        <v>Aug</v>
      </c>
      <c r="D2303" t="str">
        <f>TEXT(tblData[[#This Row],[Rental Date]],"mmmm")</f>
        <v>August</v>
      </c>
      <c r="E2303" t="s">
        <v>56</v>
      </c>
      <c r="F2303" t="str">
        <f>TEXT(WEEKNUM(tblData[[#This Row],[Rental Date]]),"00")</f>
        <v>35</v>
      </c>
      <c r="G2303" s="1">
        <f>EOMONTH(tblData[[#This Row],[Rental Date]],0)</f>
        <v>46265</v>
      </c>
      <c r="H2303" t="s">
        <v>749</v>
      </c>
      <c r="I2303" t="s">
        <v>39</v>
      </c>
      <c r="J2303" t="s">
        <v>44</v>
      </c>
      <c r="K2303" t="s">
        <v>40</v>
      </c>
      <c r="L2303">
        <v>1</v>
      </c>
      <c r="M2303" s="2">
        <v>93.6</v>
      </c>
      <c r="N2303" t="s">
        <v>41</v>
      </c>
      <c r="O2303" s="3">
        <v>5</v>
      </c>
      <c r="P2303" s="3">
        <v>0</v>
      </c>
      <c r="Q2303" s="2">
        <v>98.6</v>
      </c>
      <c r="R2303" t="s">
        <v>76</v>
      </c>
      <c r="S2303" t="s">
        <v>35</v>
      </c>
      <c r="T2303" t="s">
        <v>29</v>
      </c>
      <c r="U2303" t="s">
        <v>30</v>
      </c>
    </row>
    <row r="2304" spans="1:21" x14ac:dyDescent="0.35">
      <c r="A2304" t="s">
        <v>2383</v>
      </c>
      <c r="B2304" s="1">
        <v>46263</v>
      </c>
      <c r="C2304" t="str">
        <f>TEXT(tblData[[#This Row],[Rental Date]],"mmm")</f>
        <v>Aug</v>
      </c>
      <c r="D2304" t="str">
        <f>TEXT(tblData[[#This Row],[Rental Date]],"mmmm")</f>
        <v>August</v>
      </c>
      <c r="E2304" t="s">
        <v>56</v>
      </c>
      <c r="F2304" t="str">
        <f>TEXT(WEEKNUM(tblData[[#This Row],[Rental Date]]),"00")</f>
        <v>35</v>
      </c>
      <c r="G2304" s="1">
        <f>EOMONTH(tblData[[#This Row],[Rental Date]],0)</f>
        <v>46265</v>
      </c>
      <c r="H2304" t="s">
        <v>749</v>
      </c>
      <c r="I2304" t="s">
        <v>39</v>
      </c>
      <c r="J2304" t="s">
        <v>78</v>
      </c>
      <c r="K2304" t="s">
        <v>25</v>
      </c>
      <c r="L2304">
        <v>1</v>
      </c>
      <c r="M2304" s="2">
        <v>50.4</v>
      </c>
      <c r="N2304" t="s">
        <v>26</v>
      </c>
      <c r="O2304" s="3">
        <v>0</v>
      </c>
      <c r="P2304" s="3">
        <v>0</v>
      </c>
      <c r="Q2304" s="2">
        <v>50.4</v>
      </c>
      <c r="R2304" t="s">
        <v>57</v>
      </c>
      <c r="S2304" t="s">
        <v>54</v>
      </c>
      <c r="T2304" t="s">
        <v>63</v>
      </c>
      <c r="U2304" t="s">
        <v>30</v>
      </c>
    </row>
    <row r="2305" spans="1:21" x14ac:dyDescent="0.35">
      <c r="A2305" t="s">
        <v>2384</v>
      </c>
      <c r="B2305" s="1">
        <v>46263</v>
      </c>
      <c r="C2305" t="str">
        <f>TEXT(tblData[[#This Row],[Rental Date]],"mmm")</f>
        <v>Aug</v>
      </c>
      <c r="D2305" t="str">
        <f>TEXT(tblData[[#This Row],[Rental Date]],"mmmm")</f>
        <v>August</v>
      </c>
      <c r="E2305" t="s">
        <v>56</v>
      </c>
      <c r="F2305" t="str">
        <f>TEXT(WEEKNUM(tblData[[#This Row],[Rental Date]]),"00")</f>
        <v>35</v>
      </c>
      <c r="G2305" s="1">
        <f>EOMONTH(tblData[[#This Row],[Rental Date]],0)</f>
        <v>46265</v>
      </c>
      <c r="H2305" t="s">
        <v>749</v>
      </c>
      <c r="I2305" t="s">
        <v>39</v>
      </c>
      <c r="J2305" t="s">
        <v>44</v>
      </c>
      <c r="K2305" t="s">
        <v>25</v>
      </c>
      <c r="L2305">
        <v>1</v>
      </c>
      <c r="M2305" s="2">
        <v>62.4</v>
      </c>
      <c r="N2305" t="s">
        <v>61</v>
      </c>
      <c r="O2305" s="3">
        <v>8</v>
      </c>
      <c r="P2305" s="3">
        <v>0</v>
      </c>
      <c r="Q2305" s="2">
        <v>70.400000000000006</v>
      </c>
      <c r="R2305" t="s">
        <v>94</v>
      </c>
      <c r="S2305" t="s">
        <v>35</v>
      </c>
      <c r="T2305" t="s">
        <v>90</v>
      </c>
      <c r="U2305" t="s">
        <v>30</v>
      </c>
    </row>
    <row r="2306" spans="1:21" x14ac:dyDescent="0.35">
      <c r="A2306" t="s">
        <v>2385</v>
      </c>
      <c r="B2306" s="1">
        <v>46263</v>
      </c>
      <c r="C2306" t="str">
        <f>TEXT(tblData[[#This Row],[Rental Date]],"mmm")</f>
        <v>Aug</v>
      </c>
      <c r="D2306" t="str">
        <f>TEXT(tblData[[#This Row],[Rental Date]],"mmmm")</f>
        <v>August</v>
      </c>
      <c r="E2306" t="s">
        <v>56</v>
      </c>
      <c r="F2306" t="str">
        <f>TEXT(WEEKNUM(tblData[[#This Row],[Rental Date]]),"00")</f>
        <v>35</v>
      </c>
      <c r="G2306" s="1">
        <f>EOMONTH(tblData[[#This Row],[Rental Date]],0)</f>
        <v>46265</v>
      </c>
      <c r="H2306" t="s">
        <v>749</v>
      </c>
      <c r="I2306" t="s">
        <v>48</v>
      </c>
      <c r="J2306" t="s">
        <v>44</v>
      </c>
      <c r="K2306" t="s">
        <v>25</v>
      </c>
      <c r="L2306">
        <v>1</v>
      </c>
      <c r="M2306" s="2">
        <v>62.4</v>
      </c>
      <c r="N2306" t="s">
        <v>26</v>
      </c>
      <c r="O2306" s="3">
        <v>0</v>
      </c>
      <c r="P2306" s="3">
        <v>0</v>
      </c>
      <c r="Q2306" s="2">
        <v>62.4</v>
      </c>
      <c r="R2306" t="s">
        <v>27</v>
      </c>
      <c r="S2306" t="s">
        <v>54</v>
      </c>
      <c r="T2306" t="s">
        <v>63</v>
      </c>
      <c r="U2306" t="s">
        <v>30</v>
      </c>
    </row>
    <row r="2307" spans="1:21" x14ac:dyDescent="0.35">
      <c r="A2307" t="s">
        <v>2386</v>
      </c>
      <c r="B2307" s="1">
        <v>46263</v>
      </c>
      <c r="C2307" t="str">
        <f>TEXT(tblData[[#This Row],[Rental Date]],"mmm")</f>
        <v>Aug</v>
      </c>
      <c r="D2307" t="str">
        <f>TEXT(tblData[[#This Row],[Rental Date]],"mmmm")</f>
        <v>August</v>
      </c>
      <c r="E2307" t="s">
        <v>56</v>
      </c>
      <c r="F2307" t="str">
        <f>TEXT(WEEKNUM(tblData[[#This Row],[Rental Date]]),"00")</f>
        <v>35</v>
      </c>
      <c r="G2307" s="1">
        <f>EOMONTH(tblData[[#This Row],[Rental Date]],0)</f>
        <v>46265</v>
      </c>
      <c r="H2307" t="s">
        <v>749</v>
      </c>
      <c r="I2307" t="s">
        <v>39</v>
      </c>
      <c r="J2307" t="s">
        <v>78</v>
      </c>
      <c r="K2307" t="s">
        <v>60</v>
      </c>
      <c r="L2307">
        <v>1</v>
      </c>
      <c r="M2307" s="2">
        <v>31.2</v>
      </c>
      <c r="N2307" t="s">
        <v>87</v>
      </c>
      <c r="O2307" s="3">
        <v>10</v>
      </c>
      <c r="P2307" s="3">
        <v>0</v>
      </c>
      <c r="Q2307" s="2">
        <v>41.2</v>
      </c>
      <c r="R2307" t="s">
        <v>27</v>
      </c>
      <c r="S2307" t="s">
        <v>28</v>
      </c>
      <c r="T2307" t="s">
        <v>29</v>
      </c>
      <c r="U2307" t="s">
        <v>30</v>
      </c>
    </row>
    <row r="2308" spans="1:21" x14ac:dyDescent="0.35">
      <c r="A2308" t="s">
        <v>2387</v>
      </c>
      <c r="B2308" s="1">
        <v>46263</v>
      </c>
      <c r="C2308" t="str">
        <f>TEXT(tblData[[#This Row],[Rental Date]],"mmm")</f>
        <v>Aug</v>
      </c>
      <c r="D2308" t="str">
        <f>TEXT(tblData[[#This Row],[Rental Date]],"mmmm")</f>
        <v>August</v>
      </c>
      <c r="E2308" t="s">
        <v>56</v>
      </c>
      <c r="F2308" t="str">
        <f>TEXT(WEEKNUM(tblData[[#This Row],[Rental Date]]),"00")</f>
        <v>35</v>
      </c>
      <c r="G2308" s="1">
        <f>EOMONTH(tblData[[#This Row],[Rental Date]],0)</f>
        <v>46265</v>
      </c>
      <c r="H2308" t="s">
        <v>749</v>
      </c>
      <c r="I2308" t="s">
        <v>32</v>
      </c>
      <c r="J2308" t="s">
        <v>33</v>
      </c>
      <c r="K2308" t="s">
        <v>60</v>
      </c>
      <c r="L2308">
        <v>1</v>
      </c>
      <c r="M2308" s="2">
        <v>28.8</v>
      </c>
      <c r="N2308" t="s">
        <v>26</v>
      </c>
      <c r="O2308" s="3">
        <v>0</v>
      </c>
      <c r="P2308" s="3">
        <v>0</v>
      </c>
      <c r="Q2308" s="2">
        <v>28.8</v>
      </c>
      <c r="R2308" t="s">
        <v>42</v>
      </c>
      <c r="S2308" t="s">
        <v>28</v>
      </c>
      <c r="T2308" t="s">
        <v>51</v>
      </c>
      <c r="U2308" t="s">
        <v>30</v>
      </c>
    </row>
    <row r="2309" spans="1:21" x14ac:dyDescent="0.35">
      <c r="A2309" t="s">
        <v>2388</v>
      </c>
      <c r="B2309" s="1">
        <v>46263</v>
      </c>
      <c r="C2309" t="str">
        <f>TEXT(tblData[[#This Row],[Rental Date]],"mmm")</f>
        <v>Aug</v>
      </c>
      <c r="D2309" t="str">
        <f>TEXT(tblData[[#This Row],[Rental Date]],"mmmm")</f>
        <v>August</v>
      </c>
      <c r="E2309" t="s">
        <v>56</v>
      </c>
      <c r="F2309" t="str">
        <f>TEXT(WEEKNUM(tblData[[#This Row],[Rental Date]]),"00")</f>
        <v>35</v>
      </c>
      <c r="G2309" s="1">
        <f>EOMONTH(tblData[[#This Row],[Rental Date]],0)</f>
        <v>46265</v>
      </c>
      <c r="H2309" t="s">
        <v>749</v>
      </c>
      <c r="I2309" t="s">
        <v>53</v>
      </c>
      <c r="J2309" t="s">
        <v>65</v>
      </c>
      <c r="K2309" t="s">
        <v>25</v>
      </c>
      <c r="L2309">
        <v>1</v>
      </c>
      <c r="M2309" s="2">
        <v>21.6</v>
      </c>
      <c r="N2309" t="s">
        <v>26</v>
      </c>
      <c r="O2309" s="3">
        <v>0</v>
      </c>
      <c r="P2309" s="3">
        <v>3.24</v>
      </c>
      <c r="Q2309" s="2">
        <v>18.36</v>
      </c>
      <c r="R2309" t="s">
        <v>42</v>
      </c>
      <c r="S2309" t="s">
        <v>50</v>
      </c>
      <c r="T2309" t="s">
        <v>29</v>
      </c>
      <c r="U2309" t="s">
        <v>30</v>
      </c>
    </row>
    <row r="2310" spans="1:21" x14ac:dyDescent="0.35">
      <c r="A2310" t="s">
        <v>2389</v>
      </c>
      <c r="B2310" s="1">
        <v>46263</v>
      </c>
      <c r="C2310" t="str">
        <f>TEXT(tblData[[#This Row],[Rental Date]],"mmm")</f>
        <v>Aug</v>
      </c>
      <c r="D2310" t="str">
        <f>TEXT(tblData[[#This Row],[Rental Date]],"mmmm")</f>
        <v>August</v>
      </c>
      <c r="E2310" t="s">
        <v>56</v>
      </c>
      <c r="F2310" t="str">
        <f>TEXT(WEEKNUM(tblData[[#This Row],[Rental Date]]),"00")</f>
        <v>35</v>
      </c>
      <c r="G2310" s="1">
        <f>EOMONTH(tblData[[#This Row],[Rental Date]],0)</f>
        <v>46265</v>
      </c>
      <c r="H2310" t="s">
        <v>749</v>
      </c>
      <c r="I2310" t="s">
        <v>23</v>
      </c>
      <c r="J2310" t="s">
        <v>138</v>
      </c>
      <c r="K2310" t="s">
        <v>25</v>
      </c>
      <c r="L2310">
        <v>1</v>
      </c>
      <c r="M2310" s="2">
        <v>57.6</v>
      </c>
      <c r="N2310" t="s">
        <v>87</v>
      </c>
      <c r="O2310" s="3">
        <v>10</v>
      </c>
      <c r="P2310" s="3">
        <v>3.38</v>
      </c>
      <c r="Q2310" s="2">
        <v>64.22</v>
      </c>
      <c r="R2310" t="s">
        <v>94</v>
      </c>
      <c r="S2310" t="s">
        <v>46</v>
      </c>
      <c r="T2310" t="s">
        <v>29</v>
      </c>
      <c r="U2310" t="s">
        <v>79</v>
      </c>
    </row>
    <row r="2311" spans="1:21" x14ac:dyDescent="0.35">
      <c r="A2311" t="s">
        <v>2390</v>
      </c>
      <c r="B2311" s="1">
        <v>46263</v>
      </c>
      <c r="C2311" t="str">
        <f>TEXT(tblData[[#This Row],[Rental Date]],"mmm")</f>
        <v>Aug</v>
      </c>
      <c r="D2311" t="str">
        <f>TEXT(tblData[[#This Row],[Rental Date]],"mmmm")</f>
        <v>August</v>
      </c>
      <c r="E2311" t="s">
        <v>56</v>
      </c>
      <c r="F2311" t="str">
        <f>TEXT(WEEKNUM(tblData[[#This Row],[Rental Date]]),"00")</f>
        <v>35</v>
      </c>
      <c r="G2311" s="1">
        <f>EOMONTH(tblData[[#This Row],[Rental Date]],0)</f>
        <v>46265</v>
      </c>
      <c r="H2311" t="s">
        <v>749</v>
      </c>
      <c r="I2311" t="s">
        <v>39</v>
      </c>
      <c r="J2311" t="s">
        <v>49</v>
      </c>
      <c r="K2311" t="s">
        <v>92</v>
      </c>
      <c r="L2311">
        <v>1</v>
      </c>
      <c r="M2311" s="2">
        <v>91.2</v>
      </c>
      <c r="N2311" t="s">
        <v>26</v>
      </c>
      <c r="O2311" s="3">
        <v>0</v>
      </c>
      <c r="P2311" s="3">
        <v>0</v>
      </c>
      <c r="Q2311" s="2">
        <v>91.2</v>
      </c>
      <c r="R2311" t="s">
        <v>27</v>
      </c>
      <c r="S2311" t="s">
        <v>46</v>
      </c>
      <c r="T2311" t="s">
        <v>63</v>
      </c>
      <c r="U2311" t="s">
        <v>30</v>
      </c>
    </row>
    <row r="2312" spans="1:21" x14ac:dyDescent="0.35">
      <c r="A2312" t="s">
        <v>2391</v>
      </c>
      <c r="B2312" s="1">
        <v>46263</v>
      </c>
      <c r="C2312" t="str">
        <f>TEXT(tblData[[#This Row],[Rental Date]],"mmm")</f>
        <v>Aug</v>
      </c>
      <c r="D2312" t="str">
        <f>TEXT(tblData[[#This Row],[Rental Date]],"mmmm")</f>
        <v>August</v>
      </c>
      <c r="E2312" t="s">
        <v>56</v>
      </c>
      <c r="F2312" t="str">
        <f>TEXT(WEEKNUM(tblData[[#This Row],[Rental Date]]),"00")</f>
        <v>35</v>
      </c>
      <c r="G2312" s="1">
        <f>EOMONTH(tblData[[#This Row],[Rental Date]],0)</f>
        <v>46265</v>
      </c>
      <c r="H2312" t="s">
        <v>749</v>
      </c>
      <c r="I2312" t="s">
        <v>39</v>
      </c>
      <c r="J2312" t="s">
        <v>78</v>
      </c>
      <c r="K2312" t="s">
        <v>60</v>
      </c>
      <c r="L2312">
        <v>1</v>
      </c>
      <c r="M2312" s="2">
        <v>31.2</v>
      </c>
      <c r="N2312" t="s">
        <v>26</v>
      </c>
      <c r="O2312" s="3">
        <v>0</v>
      </c>
      <c r="P2312" s="3">
        <v>0</v>
      </c>
      <c r="Q2312" s="2">
        <v>31.2</v>
      </c>
      <c r="R2312" t="s">
        <v>34</v>
      </c>
      <c r="S2312" t="s">
        <v>46</v>
      </c>
      <c r="T2312" t="s">
        <v>63</v>
      </c>
      <c r="U2312" t="s">
        <v>30</v>
      </c>
    </row>
    <row r="2313" spans="1:21" x14ac:dyDescent="0.35">
      <c r="A2313" t="s">
        <v>2392</v>
      </c>
      <c r="B2313" s="1">
        <v>46263</v>
      </c>
      <c r="C2313" t="str">
        <f>TEXT(tblData[[#This Row],[Rental Date]],"mmm")</f>
        <v>Aug</v>
      </c>
      <c r="D2313" t="str">
        <f>TEXT(tblData[[#This Row],[Rental Date]],"mmmm")</f>
        <v>August</v>
      </c>
      <c r="E2313" t="s">
        <v>56</v>
      </c>
      <c r="F2313" t="str">
        <f>TEXT(WEEKNUM(tblData[[#This Row],[Rental Date]]),"00")</f>
        <v>35</v>
      </c>
      <c r="G2313" s="1">
        <f>EOMONTH(tblData[[#This Row],[Rental Date]],0)</f>
        <v>46265</v>
      </c>
      <c r="H2313" t="s">
        <v>749</v>
      </c>
      <c r="I2313" t="s">
        <v>48</v>
      </c>
      <c r="J2313" t="s">
        <v>49</v>
      </c>
      <c r="K2313" t="s">
        <v>25</v>
      </c>
      <c r="L2313">
        <v>1</v>
      </c>
      <c r="M2313" s="2">
        <v>43.2</v>
      </c>
      <c r="N2313" t="s">
        <v>41</v>
      </c>
      <c r="O2313" s="3">
        <v>5</v>
      </c>
      <c r="P2313" s="3">
        <v>0</v>
      </c>
      <c r="Q2313" s="2">
        <v>48.2</v>
      </c>
      <c r="R2313" t="s">
        <v>57</v>
      </c>
      <c r="S2313" t="s">
        <v>46</v>
      </c>
      <c r="T2313" t="s">
        <v>51</v>
      </c>
      <c r="U2313" t="s">
        <v>30</v>
      </c>
    </row>
    <row r="2314" spans="1:21" x14ac:dyDescent="0.35">
      <c r="A2314" t="s">
        <v>2393</v>
      </c>
      <c r="B2314" s="1">
        <v>46263</v>
      </c>
      <c r="C2314" t="str">
        <f>TEXT(tblData[[#This Row],[Rental Date]],"mmm")</f>
        <v>Aug</v>
      </c>
      <c r="D2314" t="str">
        <f>TEXT(tblData[[#This Row],[Rental Date]],"mmmm")</f>
        <v>August</v>
      </c>
      <c r="E2314" t="s">
        <v>56</v>
      </c>
      <c r="F2314" t="str">
        <f>TEXT(WEEKNUM(tblData[[#This Row],[Rental Date]]),"00")</f>
        <v>35</v>
      </c>
      <c r="G2314" s="1">
        <f>EOMONTH(tblData[[#This Row],[Rental Date]],0)</f>
        <v>46265</v>
      </c>
      <c r="H2314" t="s">
        <v>749</v>
      </c>
      <c r="I2314" t="s">
        <v>32</v>
      </c>
      <c r="J2314" t="s">
        <v>86</v>
      </c>
      <c r="K2314" t="s">
        <v>25</v>
      </c>
      <c r="L2314">
        <v>1</v>
      </c>
      <c r="M2314" s="2">
        <v>69.599999999999994</v>
      </c>
      <c r="N2314" t="s">
        <v>26</v>
      </c>
      <c r="O2314" s="3">
        <v>0</v>
      </c>
      <c r="P2314" s="3">
        <v>0</v>
      </c>
      <c r="Q2314" s="2">
        <v>69.599999999999994</v>
      </c>
      <c r="R2314" t="s">
        <v>45</v>
      </c>
      <c r="S2314" t="s">
        <v>54</v>
      </c>
      <c r="T2314" t="s">
        <v>51</v>
      </c>
      <c r="U2314" t="s">
        <v>36</v>
      </c>
    </row>
    <row r="2315" spans="1:21" x14ac:dyDescent="0.35">
      <c r="A2315" t="s">
        <v>2394</v>
      </c>
      <c r="B2315" s="1">
        <v>46263</v>
      </c>
      <c r="C2315" t="str">
        <f>TEXT(tblData[[#This Row],[Rental Date]],"mmm")</f>
        <v>Aug</v>
      </c>
      <c r="D2315" t="str">
        <f>TEXT(tblData[[#This Row],[Rental Date]],"mmmm")</f>
        <v>August</v>
      </c>
      <c r="E2315" t="s">
        <v>56</v>
      </c>
      <c r="F2315" t="str">
        <f>TEXT(WEEKNUM(tblData[[#This Row],[Rental Date]]),"00")</f>
        <v>35</v>
      </c>
      <c r="G2315" s="1">
        <f>EOMONTH(tblData[[#This Row],[Rental Date]],0)</f>
        <v>46265</v>
      </c>
      <c r="H2315" t="s">
        <v>749</v>
      </c>
      <c r="I2315" t="s">
        <v>23</v>
      </c>
      <c r="J2315" t="s">
        <v>111</v>
      </c>
      <c r="K2315" t="s">
        <v>40</v>
      </c>
      <c r="L2315">
        <v>1</v>
      </c>
      <c r="M2315" s="2">
        <v>40.799999999999997</v>
      </c>
      <c r="N2315" t="s">
        <v>41</v>
      </c>
      <c r="O2315" s="3">
        <v>5</v>
      </c>
      <c r="P2315" s="3">
        <v>0</v>
      </c>
      <c r="Q2315" s="2">
        <v>45.8</v>
      </c>
      <c r="R2315" t="s">
        <v>94</v>
      </c>
      <c r="S2315" t="s">
        <v>54</v>
      </c>
      <c r="T2315" t="s">
        <v>63</v>
      </c>
      <c r="U2315" t="s">
        <v>30</v>
      </c>
    </row>
    <row r="2316" spans="1:21" x14ac:dyDescent="0.35">
      <c r="A2316" t="s">
        <v>2395</v>
      </c>
      <c r="B2316" s="1">
        <v>46263</v>
      </c>
      <c r="C2316" t="str">
        <f>TEXT(tblData[[#This Row],[Rental Date]],"mmm")</f>
        <v>Aug</v>
      </c>
      <c r="D2316" t="str">
        <f>TEXT(tblData[[#This Row],[Rental Date]],"mmmm")</f>
        <v>August</v>
      </c>
      <c r="E2316" t="s">
        <v>56</v>
      </c>
      <c r="F2316" t="str">
        <f>TEXT(WEEKNUM(tblData[[#This Row],[Rental Date]]),"00")</f>
        <v>35</v>
      </c>
      <c r="G2316" s="1">
        <f>EOMONTH(tblData[[#This Row],[Rental Date]],0)</f>
        <v>46265</v>
      </c>
      <c r="H2316" t="s">
        <v>749</v>
      </c>
      <c r="I2316" t="s">
        <v>32</v>
      </c>
      <c r="J2316" t="s">
        <v>86</v>
      </c>
      <c r="K2316" t="s">
        <v>25</v>
      </c>
      <c r="L2316">
        <v>1</v>
      </c>
      <c r="M2316" s="2">
        <v>69.599999999999994</v>
      </c>
      <c r="N2316" t="s">
        <v>26</v>
      </c>
      <c r="O2316" s="3">
        <v>0</v>
      </c>
      <c r="P2316" s="3">
        <v>6.96</v>
      </c>
      <c r="Q2316" s="2">
        <v>62.64</v>
      </c>
      <c r="R2316" t="s">
        <v>62</v>
      </c>
      <c r="S2316" t="s">
        <v>35</v>
      </c>
      <c r="T2316" t="s">
        <v>29</v>
      </c>
      <c r="U2316" t="s">
        <v>30</v>
      </c>
    </row>
    <row r="2317" spans="1:21" x14ac:dyDescent="0.35">
      <c r="A2317" t="s">
        <v>2396</v>
      </c>
      <c r="B2317" s="1">
        <v>46263</v>
      </c>
      <c r="C2317" t="str">
        <f>TEXT(tblData[[#This Row],[Rental Date]],"mmm")</f>
        <v>Aug</v>
      </c>
      <c r="D2317" t="str">
        <f>TEXT(tblData[[#This Row],[Rental Date]],"mmmm")</f>
        <v>August</v>
      </c>
      <c r="E2317" t="s">
        <v>56</v>
      </c>
      <c r="F2317" t="str">
        <f>TEXT(WEEKNUM(tblData[[#This Row],[Rental Date]]),"00")</f>
        <v>35</v>
      </c>
      <c r="G2317" s="1">
        <f>EOMONTH(tblData[[#This Row],[Rental Date]],0)</f>
        <v>46265</v>
      </c>
      <c r="H2317" t="s">
        <v>749</v>
      </c>
      <c r="I2317" t="s">
        <v>39</v>
      </c>
      <c r="J2317" t="s">
        <v>78</v>
      </c>
      <c r="K2317" t="s">
        <v>60</v>
      </c>
      <c r="L2317">
        <v>1</v>
      </c>
      <c r="M2317" s="2">
        <v>31.2</v>
      </c>
      <c r="N2317" t="s">
        <v>41</v>
      </c>
      <c r="O2317" s="3">
        <v>5</v>
      </c>
      <c r="P2317" s="3">
        <v>0</v>
      </c>
      <c r="Q2317" s="2">
        <v>36.200000000000003</v>
      </c>
      <c r="R2317" t="s">
        <v>66</v>
      </c>
      <c r="S2317" t="s">
        <v>46</v>
      </c>
      <c r="T2317" t="s">
        <v>63</v>
      </c>
      <c r="U2317" t="s">
        <v>30</v>
      </c>
    </row>
    <row r="2318" spans="1:21" x14ac:dyDescent="0.35">
      <c r="A2318" t="s">
        <v>2397</v>
      </c>
      <c r="B2318" s="1">
        <v>46263</v>
      </c>
      <c r="C2318" t="str">
        <f>TEXT(tblData[[#This Row],[Rental Date]],"mmm")</f>
        <v>Aug</v>
      </c>
      <c r="D2318" t="str">
        <f>TEXT(tblData[[#This Row],[Rental Date]],"mmmm")</f>
        <v>August</v>
      </c>
      <c r="E2318" t="s">
        <v>56</v>
      </c>
      <c r="F2318" t="str">
        <f>TEXT(WEEKNUM(tblData[[#This Row],[Rental Date]]),"00")</f>
        <v>35</v>
      </c>
      <c r="G2318" s="1">
        <f>EOMONTH(tblData[[#This Row],[Rental Date]],0)</f>
        <v>46265</v>
      </c>
      <c r="H2318" t="s">
        <v>749</v>
      </c>
      <c r="I2318" t="s">
        <v>23</v>
      </c>
      <c r="J2318" t="s">
        <v>49</v>
      </c>
      <c r="K2318" t="s">
        <v>40</v>
      </c>
      <c r="L2318">
        <v>1</v>
      </c>
      <c r="M2318" s="2">
        <v>64.8</v>
      </c>
      <c r="N2318" t="s">
        <v>75</v>
      </c>
      <c r="O2318" s="3">
        <v>12</v>
      </c>
      <c r="P2318" s="3">
        <v>0</v>
      </c>
      <c r="Q2318" s="2">
        <v>76.8</v>
      </c>
      <c r="R2318" t="s">
        <v>45</v>
      </c>
      <c r="S2318" t="s">
        <v>35</v>
      </c>
      <c r="T2318" t="s">
        <v>63</v>
      </c>
      <c r="U2318" t="s">
        <v>30</v>
      </c>
    </row>
    <row r="2319" spans="1:21" x14ac:dyDescent="0.35">
      <c r="A2319" t="s">
        <v>2398</v>
      </c>
      <c r="B2319" s="1">
        <v>46263</v>
      </c>
      <c r="C2319" t="str">
        <f>TEXT(tblData[[#This Row],[Rental Date]],"mmm")</f>
        <v>Aug</v>
      </c>
      <c r="D2319" t="str">
        <f>TEXT(tblData[[#This Row],[Rental Date]],"mmmm")</f>
        <v>August</v>
      </c>
      <c r="E2319" t="s">
        <v>56</v>
      </c>
      <c r="F2319" t="str">
        <f>TEXT(WEEKNUM(tblData[[#This Row],[Rental Date]]),"00")</f>
        <v>35</v>
      </c>
      <c r="G2319" s="1">
        <f>EOMONTH(tblData[[#This Row],[Rental Date]],0)</f>
        <v>46265</v>
      </c>
      <c r="H2319" t="s">
        <v>749</v>
      </c>
      <c r="I2319" t="s">
        <v>48</v>
      </c>
      <c r="J2319" t="s">
        <v>78</v>
      </c>
      <c r="K2319" t="s">
        <v>40</v>
      </c>
      <c r="L2319">
        <v>1</v>
      </c>
      <c r="M2319" s="2">
        <v>74.400000000000006</v>
      </c>
      <c r="N2319" t="s">
        <v>26</v>
      </c>
      <c r="O2319" s="3">
        <v>0</v>
      </c>
      <c r="P2319" s="3">
        <v>0</v>
      </c>
      <c r="Q2319" s="2">
        <v>74.400000000000006</v>
      </c>
      <c r="R2319" t="s">
        <v>76</v>
      </c>
      <c r="S2319" t="s">
        <v>50</v>
      </c>
      <c r="T2319" t="s">
        <v>29</v>
      </c>
      <c r="U2319" t="s">
        <v>30</v>
      </c>
    </row>
    <row r="2320" spans="1:21" x14ac:dyDescent="0.35">
      <c r="A2320" t="s">
        <v>2399</v>
      </c>
      <c r="B2320" s="1">
        <v>46263</v>
      </c>
      <c r="C2320" t="str">
        <f>TEXT(tblData[[#This Row],[Rental Date]],"mmm")</f>
        <v>Aug</v>
      </c>
      <c r="D2320" t="str">
        <f>TEXT(tblData[[#This Row],[Rental Date]],"mmmm")</f>
        <v>August</v>
      </c>
      <c r="E2320" t="s">
        <v>56</v>
      </c>
      <c r="F2320" t="str">
        <f>TEXT(WEEKNUM(tblData[[#This Row],[Rental Date]]),"00")</f>
        <v>35</v>
      </c>
      <c r="G2320" s="1">
        <f>EOMONTH(tblData[[#This Row],[Rental Date]],0)</f>
        <v>46265</v>
      </c>
      <c r="H2320" t="s">
        <v>749</v>
      </c>
      <c r="I2320" t="s">
        <v>23</v>
      </c>
      <c r="J2320" t="s">
        <v>33</v>
      </c>
      <c r="K2320" t="s">
        <v>60</v>
      </c>
      <c r="L2320">
        <v>1</v>
      </c>
      <c r="M2320" s="2">
        <v>28.8</v>
      </c>
      <c r="N2320" t="s">
        <v>26</v>
      </c>
      <c r="O2320" s="3">
        <v>0</v>
      </c>
      <c r="P2320" s="3">
        <v>0</v>
      </c>
      <c r="Q2320" s="2">
        <v>28.8</v>
      </c>
      <c r="R2320" t="s">
        <v>27</v>
      </c>
      <c r="S2320" t="s">
        <v>50</v>
      </c>
      <c r="T2320" t="s">
        <v>29</v>
      </c>
      <c r="U2320" t="s">
        <v>79</v>
      </c>
    </row>
    <row r="2321" spans="1:21" x14ac:dyDescent="0.35">
      <c r="A2321" t="s">
        <v>2400</v>
      </c>
      <c r="B2321" s="1">
        <v>46263</v>
      </c>
      <c r="C2321" t="str">
        <f>TEXT(tblData[[#This Row],[Rental Date]],"mmm")</f>
        <v>Aug</v>
      </c>
      <c r="D2321" t="str">
        <f>TEXT(tblData[[#This Row],[Rental Date]],"mmmm")</f>
        <v>August</v>
      </c>
      <c r="E2321" t="s">
        <v>56</v>
      </c>
      <c r="F2321" t="str">
        <f>TEXT(WEEKNUM(tblData[[#This Row],[Rental Date]]),"00")</f>
        <v>35</v>
      </c>
      <c r="G2321" s="1">
        <f>EOMONTH(tblData[[#This Row],[Rental Date]],0)</f>
        <v>46265</v>
      </c>
      <c r="H2321" t="s">
        <v>749</v>
      </c>
      <c r="I2321" t="s">
        <v>23</v>
      </c>
      <c r="J2321" t="s">
        <v>33</v>
      </c>
      <c r="K2321" t="s">
        <v>40</v>
      </c>
      <c r="L2321">
        <v>1</v>
      </c>
      <c r="M2321" s="2">
        <v>69.599999999999994</v>
      </c>
      <c r="N2321" t="s">
        <v>87</v>
      </c>
      <c r="O2321" s="3">
        <v>10</v>
      </c>
      <c r="P2321" s="3">
        <v>0</v>
      </c>
      <c r="Q2321" s="2">
        <v>79.599999999999994</v>
      </c>
      <c r="R2321" t="s">
        <v>66</v>
      </c>
      <c r="S2321" t="s">
        <v>46</v>
      </c>
      <c r="T2321" t="s">
        <v>29</v>
      </c>
      <c r="U2321" t="s">
        <v>30</v>
      </c>
    </row>
    <row r="2322" spans="1:21" x14ac:dyDescent="0.35">
      <c r="A2322" t="s">
        <v>2401</v>
      </c>
      <c r="B2322" s="1">
        <v>46263</v>
      </c>
      <c r="C2322" t="str">
        <f>TEXT(tblData[[#This Row],[Rental Date]],"mmm")</f>
        <v>Aug</v>
      </c>
      <c r="D2322" t="str">
        <f>TEXT(tblData[[#This Row],[Rental Date]],"mmmm")</f>
        <v>August</v>
      </c>
      <c r="E2322" t="s">
        <v>56</v>
      </c>
      <c r="F2322" t="str">
        <f>TEXT(WEEKNUM(tblData[[#This Row],[Rental Date]]),"00")</f>
        <v>35</v>
      </c>
      <c r="G2322" s="1">
        <f>EOMONTH(tblData[[#This Row],[Rental Date]],0)</f>
        <v>46265</v>
      </c>
      <c r="H2322" t="s">
        <v>749</v>
      </c>
      <c r="I2322" t="s">
        <v>23</v>
      </c>
      <c r="J2322" t="s">
        <v>49</v>
      </c>
      <c r="K2322" t="s">
        <v>60</v>
      </c>
      <c r="L2322">
        <v>1</v>
      </c>
      <c r="M2322" s="2">
        <v>26.4</v>
      </c>
      <c r="N2322" t="s">
        <v>26</v>
      </c>
      <c r="O2322" s="3">
        <v>0</v>
      </c>
      <c r="P2322" s="3">
        <v>0</v>
      </c>
      <c r="Q2322" s="2">
        <v>26.4</v>
      </c>
      <c r="R2322" t="s">
        <v>34</v>
      </c>
      <c r="S2322" t="s">
        <v>54</v>
      </c>
      <c r="T2322" t="s">
        <v>51</v>
      </c>
      <c r="U2322" t="s">
        <v>30</v>
      </c>
    </row>
    <row r="2323" spans="1:21" x14ac:dyDescent="0.35">
      <c r="A2323" t="s">
        <v>2402</v>
      </c>
      <c r="B2323" s="1">
        <v>46263</v>
      </c>
      <c r="C2323" t="str">
        <f>TEXT(tblData[[#This Row],[Rental Date]],"mmm")</f>
        <v>Aug</v>
      </c>
      <c r="D2323" t="str">
        <f>TEXT(tblData[[#This Row],[Rental Date]],"mmmm")</f>
        <v>August</v>
      </c>
      <c r="E2323" t="s">
        <v>56</v>
      </c>
      <c r="F2323" t="str">
        <f>TEXT(WEEKNUM(tblData[[#This Row],[Rental Date]]),"00")</f>
        <v>35</v>
      </c>
      <c r="G2323" s="1">
        <f>EOMONTH(tblData[[#This Row],[Rental Date]],0)</f>
        <v>46265</v>
      </c>
      <c r="H2323" t="s">
        <v>749</v>
      </c>
      <c r="I2323" t="s">
        <v>48</v>
      </c>
      <c r="J2323" t="s">
        <v>33</v>
      </c>
      <c r="K2323" t="s">
        <v>60</v>
      </c>
      <c r="L2323">
        <v>1</v>
      </c>
      <c r="M2323" s="2">
        <v>28.8</v>
      </c>
      <c r="N2323" t="s">
        <v>26</v>
      </c>
      <c r="O2323" s="3">
        <v>0</v>
      </c>
      <c r="P2323" s="3">
        <v>0</v>
      </c>
      <c r="Q2323" s="2">
        <v>28.8</v>
      </c>
      <c r="R2323" t="s">
        <v>34</v>
      </c>
      <c r="S2323" t="s">
        <v>28</v>
      </c>
      <c r="T2323" t="s">
        <v>90</v>
      </c>
      <c r="U2323" t="s">
        <v>58</v>
      </c>
    </row>
    <row r="2324" spans="1:21" x14ac:dyDescent="0.35">
      <c r="A2324" t="s">
        <v>2403</v>
      </c>
      <c r="B2324" s="1">
        <v>46263</v>
      </c>
      <c r="C2324" t="str">
        <f>TEXT(tblData[[#This Row],[Rental Date]],"mmm")</f>
        <v>Aug</v>
      </c>
      <c r="D2324" t="str">
        <f>TEXT(tblData[[#This Row],[Rental Date]],"mmmm")</f>
        <v>August</v>
      </c>
      <c r="E2324" t="s">
        <v>56</v>
      </c>
      <c r="F2324" t="str">
        <f>TEXT(WEEKNUM(tblData[[#This Row],[Rental Date]]),"00")</f>
        <v>35</v>
      </c>
      <c r="G2324" s="1">
        <f>EOMONTH(tblData[[#This Row],[Rental Date]],0)</f>
        <v>46265</v>
      </c>
      <c r="H2324" t="s">
        <v>749</v>
      </c>
      <c r="I2324" t="s">
        <v>53</v>
      </c>
      <c r="J2324" t="s">
        <v>49</v>
      </c>
      <c r="K2324" t="s">
        <v>60</v>
      </c>
      <c r="L2324">
        <v>1</v>
      </c>
      <c r="M2324" s="2">
        <v>26.4</v>
      </c>
      <c r="N2324" t="s">
        <v>75</v>
      </c>
      <c r="O2324" s="3">
        <v>12</v>
      </c>
      <c r="P2324" s="3">
        <v>5.76</v>
      </c>
      <c r="Q2324" s="2">
        <v>32.64</v>
      </c>
      <c r="R2324" t="s">
        <v>34</v>
      </c>
      <c r="S2324" t="s">
        <v>35</v>
      </c>
      <c r="T2324" t="s">
        <v>29</v>
      </c>
      <c r="U2324" t="s">
        <v>30</v>
      </c>
    </row>
    <row r="2325" spans="1:21" x14ac:dyDescent="0.35">
      <c r="A2325" t="s">
        <v>2404</v>
      </c>
      <c r="B2325" s="1">
        <v>46263</v>
      </c>
      <c r="C2325" t="str">
        <f>TEXT(tblData[[#This Row],[Rental Date]],"mmm")</f>
        <v>Aug</v>
      </c>
      <c r="D2325" t="str">
        <f>TEXT(tblData[[#This Row],[Rental Date]],"mmmm")</f>
        <v>August</v>
      </c>
      <c r="E2325" t="s">
        <v>56</v>
      </c>
      <c r="F2325" t="str">
        <f>TEXT(WEEKNUM(tblData[[#This Row],[Rental Date]]),"00")</f>
        <v>35</v>
      </c>
      <c r="G2325" s="1">
        <f>EOMONTH(tblData[[#This Row],[Rental Date]],0)</f>
        <v>46265</v>
      </c>
      <c r="H2325" t="s">
        <v>749</v>
      </c>
      <c r="I2325" t="s">
        <v>32</v>
      </c>
      <c r="J2325" t="s">
        <v>44</v>
      </c>
      <c r="K2325" t="s">
        <v>25</v>
      </c>
      <c r="L2325">
        <v>1</v>
      </c>
      <c r="M2325" s="2">
        <v>62.4</v>
      </c>
      <c r="N2325" t="s">
        <v>75</v>
      </c>
      <c r="O2325" s="3">
        <v>12</v>
      </c>
      <c r="P2325" s="3">
        <v>0</v>
      </c>
      <c r="Q2325" s="2">
        <v>74.400000000000006</v>
      </c>
      <c r="R2325" t="s">
        <v>94</v>
      </c>
      <c r="S2325" t="s">
        <v>35</v>
      </c>
      <c r="T2325" t="s">
        <v>29</v>
      </c>
      <c r="U2325" t="s">
        <v>58</v>
      </c>
    </row>
    <row r="2326" spans="1:21" x14ac:dyDescent="0.35">
      <c r="A2326" t="s">
        <v>2405</v>
      </c>
      <c r="B2326" s="1">
        <v>46264</v>
      </c>
      <c r="C2326" t="str">
        <f>TEXT(tblData[[#This Row],[Rental Date]],"mmm")</f>
        <v>Aug</v>
      </c>
      <c r="D2326" t="str">
        <f>TEXT(tblData[[#This Row],[Rental Date]],"mmmm")</f>
        <v>August</v>
      </c>
      <c r="E2326" t="s">
        <v>68</v>
      </c>
      <c r="F2326" t="str">
        <f>TEXT(WEEKNUM(tblData[[#This Row],[Rental Date]]),"00")</f>
        <v>36</v>
      </c>
      <c r="G2326" s="1">
        <f>EOMONTH(tblData[[#This Row],[Rental Date]],0)</f>
        <v>46265</v>
      </c>
      <c r="H2326" t="s">
        <v>749</v>
      </c>
      <c r="I2326" t="s">
        <v>39</v>
      </c>
      <c r="J2326" t="s">
        <v>44</v>
      </c>
      <c r="K2326" t="s">
        <v>60</v>
      </c>
      <c r="L2326">
        <v>1</v>
      </c>
      <c r="M2326" s="2">
        <v>40.799999999999997</v>
      </c>
      <c r="N2326" t="s">
        <v>87</v>
      </c>
      <c r="O2326" s="3">
        <v>10</v>
      </c>
      <c r="P2326" s="3">
        <v>0</v>
      </c>
      <c r="Q2326" s="2">
        <v>50.8</v>
      </c>
      <c r="R2326" t="s">
        <v>27</v>
      </c>
      <c r="S2326" t="s">
        <v>35</v>
      </c>
      <c r="T2326" t="s">
        <v>51</v>
      </c>
      <c r="U2326" t="s">
        <v>30</v>
      </c>
    </row>
    <row r="2327" spans="1:21" x14ac:dyDescent="0.35">
      <c r="A2327" t="s">
        <v>2406</v>
      </c>
      <c r="B2327" s="1">
        <v>46264</v>
      </c>
      <c r="C2327" t="str">
        <f>TEXT(tblData[[#This Row],[Rental Date]],"mmm")</f>
        <v>Aug</v>
      </c>
      <c r="D2327" t="str">
        <f>TEXT(tblData[[#This Row],[Rental Date]],"mmmm")</f>
        <v>August</v>
      </c>
      <c r="E2327" t="s">
        <v>68</v>
      </c>
      <c r="F2327" t="str">
        <f>TEXT(WEEKNUM(tblData[[#This Row],[Rental Date]]),"00")</f>
        <v>36</v>
      </c>
      <c r="G2327" s="1">
        <f>EOMONTH(tblData[[#This Row],[Rental Date]],0)</f>
        <v>46265</v>
      </c>
      <c r="H2327" t="s">
        <v>749</v>
      </c>
      <c r="I2327" t="s">
        <v>39</v>
      </c>
      <c r="J2327" t="s">
        <v>127</v>
      </c>
      <c r="K2327" t="s">
        <v>40</v>
      </c>
      <c r="L2327">
        <v>1</v>
      </c>
      <c r="M2327" s="2">
        <v>28.8</v>
      </c>
      <c r="N2327" t="s">
        <v>61</v>
      </c>
      <c r="O2327" s="3">
        <v>8</v>
      </c>
      <c r="P2327" s="3">
        <v>0</v>
      </c>
      <c r="Q2327" s="2">
        <v>36.799999999999997</v>
      </c>
      <c r="R2327" t="s">
        <v>45</v>
      </c>
      <c r="S2327" t="s">
        <v>35</v>
      </c>
      <c r="T2327" t="s">
        <v>29</v>
      </c>
      <c r="U2327" t="s">
        <v>30</v>
      </c>
    </row>
    <row r="2328" spans="1:21" x14ac:dyDescent="0.35">
      <c r="A2328" t="s">
        <v>2407</v>
      </c>
      <c r="B2328" s="1">
        <v>46264</v>
      </c>
      <c r="C2328" t="str">
        <f>TEXT(tblData[[#This Row],[Rental Date]],"mmm")</f>
        <v>Aug</v>
      </c>
      <c r="D2328" t="str">
        <f>TEXT(tblData[[#This Row],[Rental Date]],"mmmm")</f>
        <v>August</v>
      </c>
      <c r="E2328" t="s">
        <v>68</v>
      </c>
      <c r="F2328" t="str">
        <f>TEXT(WEEKNUM(tblData[[#This Row],[Rental Date]]),"00")</f>
        <v>36</v>
      </c>
      <c r="G2328" s="1">
        <f>EOMONTH(tblData[[#This Row],[Rental Date]],0)</f>
        <v>46265</v>
      </c>
      <c r="H2328" t="s">
        <v>749</v>
      </c>
      <c r="I2328" t="s">
        <v>39</v>
      </c>
      <c r="J2328" t="s">
        <v>44</v>
      </c>
      <c r="K2328" t="s">
        <v>25</v>
      </c>
      <c r="L2328">
        <v>1</v>
      </c>
      <c r="M2328" s="2">
        <v>62.4</v>
      </c>
      <c r="N2328" t="s">
        <v>89</v>
      </c>
      <c r="O2328" s="3">
        <v>6</v>
      </c>
      <c r="P2328" s="3">
        <v>0</v>
      </c>
      <c r="Q2328" s="2">
        <v>68.400000000000006</v>
      </c>
      <c r="R2328" t="s">
        <v>57</v>
      </c>
      <c r="S2328" t="s">
        <v>28</v>
      </c>
      <c r="T2328" t="s">
        <v>29</v>
      </c>
      <c r="U2328" t="s">
        <v>30</v>
      </c>
    </row>
    <row r="2329" spans="1:21" x14ac:dyDescent="0.35">
      <c r="A2329" t="s">
        <v>2408</v>
      </c>
      <c r="B2329" s="1">
        <v>46264</v>
      </c>
      <c r="C2329" t="str">
        <f>TEXT(tblData[[#This Row],[Rental Date]],"mmm")</f>
        <v>Aug</v>
      </c>
      <c r="D2329" t="str">
        <f>TEXT(tblData[[#This Row],[Rental Date]],"mmmm")</f>
        <v>August</v>
      </c>
      <c r="E2329" t="s">
        <v>68</v>
      </c>
      <c r="F2329" t="str">
        <f>TEXT(WEEKNUM(tblData[[#This Row],[Rental Date]]),"00")</f>
        <v>36</v>
      </c>
      <c r="G2329" s="1">
        <f>EOMONTH(tblData[[#This Row],[Rental Date]],0)</f>
        <v>46265</v>
      </c>
      <c r="H2329" t="s">
        <v>749</v>
      </c>
      <c r="I2329" t="s">
        <v>48</v>
      </c>
      <c r="J2329" t="s">
        <v>33</v>
      </c>
      <c r="K2329" t="s">
        <v>25</v>
      </c>
      <c r="L2329">
        <v>1</v>
      </c>
      <c r="M2329" s="2">
        <v>45.6</v>
      </c>
      <c r="N2329" t="s">
        <v>26</v>
      </c>
      <c r="O2329" s="3">
        <v>0</v>
      </c>
      <c r="P2329" s="3">
        <v>0</v>
      </c>
      <c r="Q2329" s="2">
        <v>45.6</v>
      </c>
      <c r="R2329" t="s">
        <v>42</v>
      </c>
      <c r="S2329" t="s">
        <v>46</v>
      </c>
      <c r="T2329" t="s">
        <v>29</v>
      </c>
      <c r="U2329" t="s">
        <v>30</v>
      </c>
    </row>
    <row r="2330" spans="1:21" x14ac:dyDescent="0.35">
      <c r="A2330" t="s">
        <v>2409</v>
      </c>
      <c r="B2330" s="1">
        <v>46264</v>
      </c>
      <c r="C2330" t="str">
        <f>TEXT(tblData[[#This Row],[Rental Date]],"mmm")</f>
        <v>Aug</v>
      </c>
      <c r="D2330" t="str">
        <f>TEXT(tblData[[#This Row],[Rental Date]],"mmmm")</f>
        <v>August</v>
      </c>
      <c r="E2330" t="s">
        <v>68</v>
      </c>
      <c r="F2330" t="str">
        <f>TEXT(WEEKNUM(tblData[[#This Row],[Rental Date]]),"00")</f>
        <v>36</v>
      </c>
      <c r="G2330" s="1">
        <f>EOMONTH(tblData[[#This Row],[Rental Date]],0)</f>
        <v>46265</v>
      </c>
      <c r="H2330" t="s">
        <v>749</v>
      </c>
      <c r="I2330" t="s">
        <v>32</v>
      </c>
      <c r="J2330" t="s">
        <v>33</v>
      </c>
      <c r="K2330" t="s">
        <v>25</v>
      </c>
      <c r="L2330">
        <v>1</v>
      </c>
      <c r="M2330" s="2">
        <v>45.6</v>
      </c>
      <c r="N2330" t="s">
        <v>26</v>
      </c>
      <c r="O2330" s="3">
        <v>0</v>
      </c>
      <c r="P2330" s="3">
        <v>2.2799999999999998</v>
      </c>
      <c r="Q2330" s="2">
        <v>43.32</v>
      </c>
      <c r="R2330" t="s">
        <v>62</v>
      </c>
      <c r="S2330" t="s">
        <v>54</v>
      </c>
      <c r="T2330" t="s">
        <v>51</v>
      </c>
      <c r="U2330" t="s">
        <v>30</v>
      </c>
    </row>
    <row r="2331" spans="1:21" x14ac:dyDescent="0.35">
      <c r="A2331" t="s">
        <v>2410</v>
      </c>
      <c r="B2331" s="1">
        <v>46264</v>
      </c>
      <c r="C2331" t="str">
        <f>TEXT(tblData[[#This Row],[Rental Date]],"mmm")</f>
        <v>Aug</v>
      </c>
      <c r="D2331" t="str">
        <f>TEXT(tblData[[#This Row],[Rental Date]],"mmmm")</f>
        <v>August</v>
      </c>
      <c r="E2331" t="s">
        <v>68</v>
      </c>
      <c r="F2331" t="str">
        <f>TEXT(WEEKNUM(tblData[[#This Row],[Rental Date]]),"00")</f>
        <v>36</v>
      </c>
      <c r="G2331" s="1">
        <f>EOMONTH(tblData[[#This Row],[Rental Date]],0)</f>
        <v>46265</v>
      </c>
      <c r="H2331" t="s">
        <v>749</v>
      </c>
      <c r="I2331" t="s">
        <v>48</v>
      </c>
      <c r="J2331" t="s">
        <v>127</v>
      </c>
      <c r="K2331" t="s">
        <v>25</v>
      </c>
      <c r="L2331">
        <v>1</v>
      </c>
      <c r="M2331" s="2">
        <v>19.2</v>
      </c>
      <c r="N2331" t="s">
        <v>26</v>
      </c>
      <c r="O2331" s="3">
        <v>0</v>
      </c>
      <c r="P2331" s="3">
        <v>0</v>
      </c>
      <c r="Q2331" s="2">
        <v>19.2</v>
      </c>
      <c r="R2331" t="s">
        <v>62</v>
      </c>
      <c r="S2331" t="s">
        <v>50</v>
      </c>
      <c r="T2331" t="s">
        <v>51</v>
      </c>
      <c r="U2331" t="s">
        <v>30</v>
      </c>
    </row>
    <row r="2332" spans="1:21" x14ac:dyDescent="0.35">
      <c r="A2332" t="s">
        <v>2411</v>
      </c>
      <c r="B2332" s="1">
        <v>46264</v>
      </c>
      <c r="C2332" t="str">
        <f>TEXT(tblData[[#This Row],[Rental Date]],"mmm")</f>
        <v>Aug</v>
      </c>
      <c r="D2332" t="str">
        <f>TEXT(tblData[[#This Row],[Rental Date]],"mmmm")</f>
        <v>August</v>
      </c>
      <c r="E2332" t="s">
        <v>68</v>
      </c>
      <c r="F2332" t="str">
        <f>TEXT(WEEKNUM(tblData[[#This Row],[Rental Date]]),"00")</f>
        <v>36</v>
      </c>
      <c r="G2332" s="1">
        <f>EOMONTH(tblData[[#This Row],[Rental Date]],0)</f>
        <v>46265</v>
      </c>
      <c r="H2332" t="s">
        <v>749</v>
      </c>
      <c r="I2332" t="s">
        <v>48</v>
      </c>
      <c r="J2332" t="s">
        <v>111</v>
      </c>
      <c r="K2332" t="s">
        <v>25</v>
      </c>
      <c r="L2332">
        <v>1</v>
      </c>
      <c r="M2332" s="2">
        <v>26.4</v>
      </c>
      <c r="N2332" t="s">
        <v>26</v>
      </c>
      <c r="O2332" s="3">
        <v>0</v>
      </c>
      <c r="P2332" s="3">
        <v>0</v>
      </c>
      <c r="Q2332" s="2">
        <v>26.4</v>
      </c>
      <c r="R2332" t="s">
        <v>66</v>
      </c>
      <c r="S2332" t="s">
        <v>54</v>
      </c>
      <c r="T2332" t="s">
        <v>83</v>
      </c>
      <c r="U2332" t="s">
        <v>30</v>
      </c>
    </row>
    <row r="2333" spans="1:21" x14ac:dyDescent="0.35">
      <c r="A2333" t="s">
        <v>2412</v>
      </c>
      <c r="B2333" s="1">
        <v>46264</v>
      </c>
      <c r="C2333" t="str">
        <f>TEXT(tblData[[#This Row],[Rental Date]],"mmm")</f>
        <v>Aug</v>
      </c>
      <c r="D2333" t="str">
        <f>TEXT(tblData[[#This Row],[Rental Date]],"mmmm")</f>
        <v>August</v>
      </c>
      <c r="E2333" t="s">
        <v>68</v>
      </c>
      <c r="F2333" t="str">
        <f>TEXT(WEEKNUM(tblData[[#This Row],[Rental Date]]),"00")</f>
        <v>36</v>
      </c>
      <c r="G2333" s="1">
        <f>EOMONTH(tblData[[#This Row],[Rental Date]],0)</f>
        <v>46265</v>
      </c>
      <c r="H2333" t="s">
        <v>749</v>
      </c>
      <c r="I2333" t="s">
        <v>39</v>
      </c>
      <c r="J2333" t="s">
        <v>78</v>
      </c>
      <c r="K2333" t="s">
        <v>60</v>
      </c>
      <c r="L2333">
        <v>1</v>
      </c>
      <c r="M2333" s="2">
        <v>31.2</v>
      </c>
      <c r="N2333" t="s">
        <v>87</v>
      </c>
      <c r="O2333" s="3">
        <v>10</v>
      </c>
      <c r="P2333" s="3">
        <v>0</v>
      </c>
      <c r="Q2333" s="2">
        <v>41.2</v>
      </c>
      <c r="R2333" t="s">
        <v>94</v>
      </c>
      <c r="S2333" t="s">
        <v>50</v>
      </c>
      <c r="T2333" t="s">
        <v>29</v>
      </c>
      <c r="U2333" t="s">
        <v>30</v>
      </c>
    </row>
    <row r="2334" spans="1:21" x14ac:dyDescent="0.35">
      <c r="A2334" t="s">
        <v>2413</v>
      </c>
      <c r="B2334" s="1">
        <v>46264</v>
      </c>
      <c r="C2334" t="str">
        <f>TEXT(tblData[[#This Row],[Rental Date]],"mmm")</f>
        <v>Aug</v>
      </c>
      <c r="D2334" t="str">
        <f>TEXT(tblData[[#This Row],[Rental Date]],"mmmm")</f>
        <v>August</v>
      </c>
      <c r="E2334" t="s">
        <v>68</v>
      </c>
      <c r="F2334" t="str">
        <f>TEXT(WEEKNUM(tblData[[#This Row],[Rental Date]]),"00")</f>
        <v>36</v>
      </c>
      <c r="G2334" s="1">
        <f>EOMONTH(tblData[[#This Row],[Rental Date]],0)</f>
        <v>46265</v>
      </c>
      <c r="H2334" t="s">
        <v>749</v>
      </c>
      <c r="I2334" t="s">
        <v>48</v>
      </c>
      <c r="J2334" t="s">
        <v>78</v>
      </c>
      <c r="K2334" t="s">
        <v>25</v>
      </c>
      <c r="L2334">
        <v>1</v>
      </c>
      <c r="M2334" s="2">
        <v>50.4</v>
      </c>
      <c r="N2334" t="s">
        <v>26</v>
      </c>
      <c r="O2334" s="3">
        <v>0</v>
      </c>
      <c r="P2334" s="3">
        <v>2.52</v>
      </c>
      <c r="Q2334" s="2">
        <v>47.88</v>
      </c>
      <c r="R2334" t="s">
        <v>66</v>
      </c>
      <c r="S2334" t="s">
        <v>50</v>
      </c>
      <c r="T2334" t="s">
        <v>29</v>
      </c>
      <c r="U2334" t="s">
        <v>30</v>
      </c>
    </row>
    <row r="2335" spans="1:21" x14ac:dyDescent="0.35">
      <c r="A2335" t="s">
        <v>2414</v>
      </c>
      <c r="B2335" s="1">
        <v>46264</v>
      </c>
      <c r="C2335" t="str">
        <f>TEXT(tblData[[#This Row],[Rental Date]],"mmm")</f>
        <v>Aug</v>
      </c>
      <c r="D2335" t="str">
        <f>TEXT(tblData[[#This Row],[Rental Date]],"mmmm")</f>
        <v>August</v>
      </c>
      <c r="E2335" t="s">
        <v>68</v>
      </c>
      <c r="F2335" t="str">
        <f>TEXT(WEEKNUM(tblData[[#This Row],[Rental Date]]),"00")</f>
        <v>36</v>
      </c>
      <c r="G2335" s="1">
        <f>EOMONTH(tblData[[#This Row],[Rental Date]],0)</f>
        <v>46265</v>
      </c>
      <c r="H2335" t="s">
        <v>749</v>
      </c>
      <c r="I2335" t="s">
        <v>39</v>
      </c>
      <c r="J2335" t="s">
        <v>78</v>
      </c>
      <c r="K2335" t="s">
        <v>25</v>
      </c>
      <c r="L2335">
        <v>1</v>
      </c>
      <c r="M2335" s="2">
        <v>50.4</v>
      </c>
      <c r="N2335" t="s">
        <v>26</v>
      </c>
      <c r="O2335" s="3">
        <v>0</v>
      </c>
      <c r="P2335" s="3">
        <v>0</v>
      </c>
      <c r="Q2335" s="2">
        <v>50.4</v>
      </c>
      <c r="R2335" t="s">
        <v>57</v>
      </c>
      <c r="S2335" t="s">
        <v>28</v>
      </c>
      <c r="T2335" t="s">
        <v>29</v>
      </c>
      <c r="U2335" t="s">
        <v>79</v>
      </c>
    </row>
    <row r="2336" spans="1:21" x14ac:dyDescent="0.35">
      <c r="A2336" t="s">
        <v>2415</v>
      </c>
      <c r="B2336" s="1">
        <v>46264</v>
      </c>
      <c r="C2336" t="str">
        <f>TEXT(tblData[[#This Row],[Rental Date]],"mmm")</f>
        <v>Aug</v>
      </c>
      <c r="D2336" t="str">
        <f>TEXT(tblData[[#This Row],[Rental Date]],"mmmm")</f>
        <v>August</v>
      </c>
      <c r="E2336" t="s">
        <v>68</v>
      </c>
      <c r="F2336" t="str">
        <f>TEXT(WEEKNUM(tblData[[#This Row],[Rental Date]]),"00")</f>
        <v>36</v>
      </c>
      <c r="G2336" s="1">
        <f>EOMONTH(tblData[[#This Row],[Rental Date]],0)</f>
        <v>46265</v>
      </c>
      <c r="H2336" t="s">
        <v>749</v>
      </c>
      <c r="I2336" t="s">
        <v>39</v>
      </c>
      <c r="J2336" t="s">
        <v>127</v>
      </c>
      <c r="K2336" t="s">
        <v>25</v>
      </c>
      <c r="L2336">
        <v>1</v>
      </c>
      <c r="M2336" s="2">
        <v>19.2</v>
      </c>
      <c r="N2336" t="s">
        <v>61</v>
      </c>
      <c r="O2336" s="3">
        <v>8</v>
      </c>
      <c r="P2336" s="3">
        <v>0</v>
      </c>
      <c r="Q2336" s="2">
        <v>27.2</v>
      </c>
      <c r="R2336" t="s">
        <v>57</v>
      </c>
      <c r="S2336" t="s">
        <v>54</v>
      </c>
      <c r="T2336" t="s">
        <v>51</v>
      </c>
      <c r="U2336" t="s">
        <v>30</v>
      </c>
    </row>
    <row r="2337" spans="1:21" x14ac:dyDescent="0.35">
      <c r="A2337" t="s">
        <v>2416</v>
      </c>
      <c r="B2337" s="1">
        <v>46264</v>
      </c>
      <c r="C2337" t="str">
        <f>TEXT(tblData[[#This Row],[Rental Date]],"mmm")</f>
        <v>Aug</v>
      </c>
      <c r="D2337" t="str">
        <f>TEXT(tblData[[#This Row],[Rental Date]],"mmmm")</f>
        <v>August</v>
      </c>
      <c r="E2337" t="s">
        <v>68</v>
      </c>
      <c r="F2337" t="str">
        <f>TEXT(WEEKNUM(tblData[[#This Row],[Rental Date]]),"00")</f>
        <v>36</v>
      </c>
      <c r="G2337" s="1">
        <f>EOMONTH(tblData[[#This Row],[Rental Date]],0)</f>
        <v>46265</v>
      </c>
      <c r="H2337" t="s">
        <v>749</v>
      </c>
      <c r="I2337" t="s">
        <v>39</v>
      </c>
      <c r="J2337" t="s">
        <v>24</v>
      </c>
      <c r="K2337" t="s">
        <v>40</v>
      </c>
      <c r="L2337">
        <v>1</v>
      </c>
      <c r="M2337" s="2">
        <v>91.2</v>
      </c>
      <c r="N2337" t="s">
        <v>26</v>
      </c>
      <c r="O2337" s="3">
        <v>0</v>
      </c>
      <c r="P2337" s="3">
        <v>0</v>
      </c>
      <c r="Q2337" s="2">
        <v>91.2</v>
      </c>
      <c r="R2337" t="s">
        <v>34</v>
      </c>
      <c r="S2337" t="s">
        <v>28</v>
      </c>
      <c r="T2337" t="s">
        <v>90</v>
      </c>
      <c r="U2337" t="s">
        <v>30</v>
      </c>
    </row>
    <row r="2338" spans="1:21" x14ac:dyDescent="0.35">
      <c r="A2338" t="s">
        <v>2417</v>
      </c>
      <c r="B2338" s="1">
        <v>46264</v>
      </c>
      <c r="C2338" t="str">
        <f>TEXT(tblData[[#This Row],[Rental Date]],"mmm")</f>
        <v>Aug</v>
      </c>
      <c r="D2338" t="str">
        <f>TEXT(tblData[[#This Row],[Rental Date]],"mmmm")</f>
        <v>August</v>
      </c>
      <c r="E2338" t="s">
        <v>68</v>
      </c>
      <c r="F2338" t="str">
        <f>TEXT(WEEKNUM(tblData[[#This Row],[Rental Date]]),"00")</f>
        <v>36</v>
      </c>
      <c r="G2338" s="1">
        <f>EOMONTH(tblData[[#This Row],[Rental Date]],0)</f>
        <v>46265</v>
      </c>
      <c r="H2338" t="s">
        <v>749</v>
      </c>
      <c r="I2338" t="s">
        <v>48</v>
      </c>
      <c r="J2338" t="s">
        <v>78</v>
      </c>
      <c r="K2338" t="s">
        <v>40</v>
      </c>
      <c r="L2338">
        <v>1</v>
      </c>
      <c r="M2338" s="2">
        <v>74.400000000000006</v>
      </c>
      <c r="N2338" t="s">
        <v>87</v>
      </c>
      <c r="O2338" s="3">
        <v>10</v>
      </c>
      <c r="P2338" s="3">
        <v>0</v>
      </c>
      <c r="Q2338" s="2">
        <v>84.4</v>
      </c>
      <c r="R2338" t="s">
        <v>57</v>
      </c>
      <c r="S2338" t="s">
        <v>50</v>
      </c>
      <c r="T2338" t="s">
        <v>29</v>
      </c>
      <c r="U2338" t="s">
        <v>30</v>
      </c>
    </row>
    <row r="2339" spans="1:21" x14ac:dyDescent="0.35">
      <c r="A2339" t="s">
        <v>2418</v>
      </c>
      <c r="B2339" s="1">
        <v>46264</v>
      </c>
      <c r="C2339" t="str">
        <f>TEXT(tblData[[#This Row],[Rental Date]],"mmm")</f>
        <v>Aug</v>
      </c>
      <c r="D2339" t="str">
        <f>TEXT(tblData[[#This Row],[Rental Date]],"mmmm")</f>
        <v>August</v>
      </c>
      <c r="E2339" t="s">
        <v>68</v>
      </c>
      <c r="F2339" t="str">
        <f>TEXT(WEEKNUM(tblData[[#This Row],[Rental Date]]),"00")</f>
        <v>36</v>
      </c>
      <c r="G2339" s="1">
        <f>EOMONTH(tblData[[#This Row],[Rental Date]],0)</f>
        <v>46265</v>
      </c>
      <c r="H2339" t="s">
        <v>749</v>
      </c>
      <c r="I2339" t="s">
        <v>23</v>
      </c>
      <c r="J2339" t="s">
        <v>138</v>
      </c>
      <c r="K2339" t="s">
        <v>60</v>
      </c>
      <c r="L2339">
        <v>1</v>
      </c>
      <c r="M2339" s="2">
        <v>36</v>
      </c>
      <c r="N2339" t="s">
        <v>26</v>
      </c>
      <c r="O2339" s="3">
        <v>0</v>
      </c>
      <c r="P2339" s="3">
        <v>0</v>
      </c>
      <c r="Q2339" s="2">
        <v>36</v>
      </c>
      <c r="R2339" t="s">
        <v>76</v>
      </c>
      <c r="S2339" t="s">
        <v>28</v>
      </c>
      <c r="T2339" t="s">
        <v>29</v>
      </c>
      <c r="U2339" t="s">
        <v>30</v>
      </c>
    </row>
    <row r="2340" spans="1:21" x14ac:dyDescent="0.35">
      <c r="A2340" t="s">
        <v>2419</v>
      </c>
      <c r="B2340" s="1">
        <v>46264</v>
      </c>
      <c r="C2340" t="str">
        <f>TEXT(tblData[[#This Row],[Rental Date]],"mmm")</f>
        <v>Aug</v>
      </c>
      <c r="D2340" t="str">
        <f>TEXT(tblData[[#This Row],[Rental Date]],"mmmm")</f>
        <v>August</v>
      </c>
      <c r="E2340" t="s">
        <v>68</v>
      </c>
      <c r="F2340" t="str">
        <f>TEXT(WEEKNUM(tblData[[#This Row],[Rental Date]]),"00")</f>
        <v>36</v>
      </c>
      <c r="G2340" s="1">
        <f>EOMONTH(tblData[[#This Row],[Rental Date]],0)</f>
        <v>46265</v>
      </c>
      <c r="H2340" t="s">
        <v>749</v>
      </c>
      <c r="I2340" t="s">
        <v>48</v>
      </c>
      <c r="J2340" t="s">
        <v>138</v>
      </c>
      <c r="K2340" t="s">
        <v>40</v>
      </c>
      <c r="L2340">
        <v>1</v>
      </c>
      <c r="M2340" s="2">
        <v>86.4</v>
      </c>
      <c r="N2340" t="s">
        <v>26</v>
      </c>
      <c r="O2340" s="3">
        <v>0</v>
      </c>
      <c r="P2340" s="3">
        <v>0</v>
      </c>
      <c r="Q2340" s="2">
        <v>86.4</v>
      </c>
      <c r="R2340" t="s">
        <v>66</v>
      </c>
      <c r="S2340" t="s">
        <v>54</v>
      </c>
      <c r="T2340" t="s">
        <v>29</v>
      </c>
      <c r="U2340" t="s">
        <v>30</v>
      </c>
    </row>
    <row r="2341" spans="1:21" x14ac:dyDescent="0.35">
      <c r="A2341" t="s">
        <v>2420</v>
      </c>
      <c r="B2341" s="1">
        <v>46264</v>
      </c>
      <c r="C2341" t="str">
        <f>TEXT(tblData[[#This Row],[Rental Date]],"mmm")</f>
        <v>Aug</v>
      </c>
      <c r="D2341" t="str">
        <f>TEXT(tblData[[#This Row],[Rental Date]],"mmmm")</f>
        <v>August</v>
      </c>
      <c r="E2341" t="s">
        <v>68</v>
      </c>
      <c r="F2341" t="str">
        <f>TEXT(WEEKNUM(tblData[[#This Row],[Rental Date]]),"00")</f>
        <v>36</v>
      </c>
      <c r="G2341" s="1">
        <f>EOMONTH(tblData[[#This Row],[Rental Date]],0)</f>
        <v>46265</v>
      </c>
      <c r="H2341" t="s">
        <v>749</v>
      </c>
      <c r="I2341" t="s">
        <v>48</v>
      </c>
      <c r="J2341" t="s">
        <v>138</v>
      </c>
      <c r="K2341" t="s">
        <v>25</v>
      </c>
      <c r="L2341">
        <v>1</v>
      </c>
      <c r="M2341" s="2">
        <v>57.6</v>
      </c>
      <c r="N2341" t="s">
        <v>75</v>
      </c>
      <c r="O2341" s="3">
        <v>12</v>
      </c>
      <c r="P2341" s="3">
        <v>0</v>
      </c>
      <c r="Q2341" s="2">
        <v>69.599999999999994</v>
      </c>
      <c r="R2341" t="s">
        <v>34</v>
      </c>
      <c r="S2341" t="s">
        <v>54</v>
      </c>
      <c r="T2341" t="s">
        <v>29</v>
      </c>
      <c r="U2341" t="s">
        <v>30</v>
      </c>
    </row>
    <row r="2342" spans="1:21" x14ac:dyDescent="0.35">
      <c r="A2342" t="s">
        <v>2421</v>
      </c>
      <c r="B2342" s="1">
        <v>46264</v>
      </c>
      <c r="C2342" t="str">
        <f>TEXT(tblData[[#This Row],[Rental Date]],"mmm")</f>
        <v>Aug</v>
      </c>
      <c r="D2342" t="str">
        <f>TEXT(tblData[[#This Row],[Rental Date]],"mmmm")</f>
        <v>August</v>
      </c>
      <c r="E2342" t="s">
        <v>68</v>
      </c>
      <c r="F2342" t="str">
        <f>TEXT(WEEKNUM(tblData[[#This Row],[Rental Date]]),"00")</f>
        <v>36</v>
      </c>
      <c r="G2342" s="1">
        <f>EOMONTH(tblData[[#This Row],[Rental Date]],0)</f>
        <v>46265</v>
      </c>
      <c r="H2342" t="s">
        <v>749</v>
      </c>
      <c r="I2342" t="s">
        <v>32</v>
      </c>
      <c r="J2342" t="s">
        <v>33</v>
      </c>
      <c r="K2342" t="s">
        <v>25</v>
      </c>
      <c r="L2342">
        <v>1</v>
      </c>
      <c r="M2342" s="2">
        <v>45.6</v>
      </c>
      <c r="N2342" t="s">
        <v>89</v>
      </c>
      <c r="O2342" s="3">
        <v>6</v>
      </c>
      <c r="P2342" s="3">
        <v>5.16</v>
      </c>
      <c r="Q2342" s="2">
        <v>46.44</v>
      </c>
      <c r="R2342" t="s">
        <v>27</v>
      </c>
      <c r="S2342" t="s">
        <v>54</v>
      </c>
      <c r="T2342" t="s">
        <v>63</v>
      </c>
      <c r="U2342" t="s">
        <v>30</v>
      </c>
    </row>
    <row r="2343" spans="1:21" x14ac:dyDescent="0.35">
      <c r="A2343" t="s">
        <v>2422</v>
      </c>
      <c r="B2343" s="1">
        <v>46264</v>
      </c>
      <c r="C2343" t="str">
        <f>TEXT(tblData[[#This Row],[Rental Date]],"mmm")</f>
        <v>Aug</v>
      </c>
      <c r="D2343" t="str">
        <f>TEXT(tblData[[#This Row],[Rental Date]],"mmmm")</f>
        <v>August</v>
      </c>
      <c r="E2343" t="s">
        <v>68</v>
      </c>
      <c r="F2343" t="str">
        <f>TEXT(WEEKNUM(tblData[[#This Row],[Rental Date]]),"00")</f>
        <v>36</v>
      </c>
      <c r="G2343" s="1">
        <f>EOMONTH(tblData[[#This Row],[Rental Date]],0)</f>
        <v>46265</v>
      </c>
      <c r="H2343" t="s">
        <v>749</v>
      </c>
      <c r="I2343" t="s">
        <v>48</v>
      </c>
      <c r="J2343" t="s">
        <v>24</v>
      </c>
      <c r="K2343" t="s">
        <v>92</v>
      </c>
      <c r="L2343">
        <v>1</v>
      </c>
      <c r="M2343" s="2">
        <v>132</v>
      </c>
      <c r="N2343" t="s">
        <v>87</v>
      </c>
      <c r="O2343" s="3">
        <v>10</v>
      </c>
      <c r="P2343" s="3">
        <v>0</v>
      </c>
      <c r="Q2343" s="2">
        <v>142</v>
      </c>
      <c r="R2343" t="s">
        <v>57</v>
      </c>
      <c r="S2343" t="s">
        <v>46</v>
      </c>
      <c r="T2343" t="s">
        <v>51</v>
      </c>
      <c r="U2343" t="s">
        <v>30</v>
      </c>
    </row>
    <row r="2344" spans="1:21" x14ac:dyDescent="0.35">
      <c r="A2344" t="s">
        <v>2423</v>
      </c>
      <c r="B2344" s="1">
        <v>46264</v>
      </c>
      <c r="C2344" t="str">
        <f>TEXT(tblData[[#This Row],[Rental Date]],"mmm")</f>
        <v>Aug</v>
      </c>
      <c r="D2344" t="str">
        <f>TEXT(tblData[[#This Row],[Rental Date]],"mmmm")</f>
        <v>August</v>
      </c>
      <c r="E2344" t="s">
        <v>68</v>
      </c>
      <c r="F2344" t="str">
        <f>TEXT(WEEKNUM(tblData[[#This Row],[Rental Date]]),"00")</f>
        <v>36</v>
      </c>
      <c r="G2344" s="1">
        <f>EOMONTH(tblData[[#This Row],[Rental Date]],0)</f>
        <v>46265</v>
      </c>
      <c r="H2344" t="s">
        <v>749</v>
      </c>
      <c r="I2344" t="s">
        <v>48</v>
      </c>
      <c r="J2344" t="s">
        <v>78</v>
      </c>
      <c r="K2344" t="s">
        <v>25</v>
      </c>
      <c r="L2344">
        <v>1</v>
      </c>
      <c r="M2344" s="2">
        <v>50.4</v>
      </c>
      <c r="N2344" t="s">
        <v>89</v>
      </c>
      <c r="O2344" s="3">
        <v>6</v>
      </c>
      <c r="P2344" s="3">
        <v>2.82</v>
      </c>
      <c r="Q2344" s="2">
        <v>53.58</v>
      </c>
      <c r="R2344" t="s">
        <v>66</v>
      </c>
      <c r="S2344" t="s">
        <v>46</v>
      </c>
      <c r="T2344" t="s">
        <v>29</v>
      </c>
      <c r="U2344" t="s">
        <v>58</v>
      </c>
    </row>
    <row r="2345" spans="1:21" x14ac:dyDescent="0.35">
      <c r="A2345" t="s">
        <v>2424</v>
      </c>
      <c r="B2345" s="1">
        <v>46264</v>
      </c>
      <c r="C2345" t="str">
        <f>TEXT(tblData[[#This Row],[Rental Date]],"mmm")</f>
        <v>Aug</v>
      </c>
      <c r="D2345" t="str">
        <f>TEXT(tblData[[#This Row],[Rental Date]],"mmmm")</f>
        <v>August</v>
      </c>
      <c r="E2345" t="s">
        <v>68</v>
      </c>
      <c r="F2345" t="str">
        <f>TEXT(WEEKNUM(tblData[[#This Row],[Rental Date]]),"00")</f>
        <v>36</v>
      </c>
      <c r="G2345" s="1">
        <f>EOMONTH(tblData[[#This Row],[Rental Date]],0)</f>
        <v>46265</v>
      </c>
      <c r="H2345" t="s">
        <v>749</v>
      </c>
      <c r="I2345" t="s">
        <v>48</v>
      </c>
      <c r="J2345" t="s">
        <v>111</v>
      </c>
      <c r="K2345" t="s">
        <v>60</v>
      </c>
      <c r="L2345">
        <v>1</v>
      </c>
      <c r="M2345" s="2">
        <v>16.8</v>
      </c>
      <c r="N2345" t="s">
        <v>41</v>
      </c>
      <c r="O2345" s="3">
        <v>5</v>
      </c>
      <c r="P2345" s="3">
        <v>0</v>
      </c>
      <c r="Q2345" s="2">
        <v>21.8</v>
      </c>
      <c r="R2345" t="s">
        <v>27</v>
      </c>
      <c r="S2345" t="s">
        <v>35</v>
      </c>
      <c r="T2345" t="s">
        <v>29</v>
      </c>
      <c r="U2345" t="s">
        <v>30</v>
      </c>
    </row>
    <row r="2346" spans="1:21" x14ac:dyDescent="0.35">
      <c r="A2346" t="s">
        <v>2425</v>
      </c>
      <c r="B2346" s="1">
        <v>46264</v>
      </c>
      <c r="C2346" t="str">
        <f>TEXT(tblData[[#This Row],[Rental Date]],"mmm")</f>
        <v>Aug</v>
      </c>
      <c r="D2346" t="str">
        <f>TEXT(tblData[[#This Row],[Rental Date]],"mmmm")</f>
        <v>August</v>
      </c>
      <c r="E2346" t="s">
        <v>68</v>
      </c>
      <c r="F2346" t="str">
        <f>TEXT(WEEKNUM(tblData[[#This Row],[Rental Date]]),"00")</f>
        <v>36</v>
      </c>
      <c r="G2346" s="1">
        <f>EOMONTH(tblData[[#This Row],[Rental Date]],0)</f>
        <v>46265</v>
      </c>
      <c r="H2346" t="s">
        <v>749</v>
      </c>
      <c r="I2346" t="s">
        <v>39</v>
      </c>
      <c r="J2346" t="s">
        <v>86</v>
      </c>
      <c r="K2346" t="s">
        <v>40</v>
      </c>
      <c r="L2346">
        <v>1</v>
      </c>
      <c r="M2346" s="2">
        <v>103.2</v>
      </c>
      <c r="N2346" t="s">
        <v>26</v>
      </c>
      <c r="O2346" s="3">
        <v>0</v>
      </c>
      <c r="P2346" s="3">
        <v>0</v>
      </c>
      <c r="Q2346" s="2">
        <v>103.2</v>
      </c>
      <c r="R2346" t="s">
        <v>27</v>
      </c>
      <c r="S2346" t="s">
        <v>54</v>
      </c>
      <c r="T2346" t="s">
        <v>90</v>
      </c>
      <c r="U2346" t="s">
        <v>30</v>
      </c>
    </row>
    <row r="2347" spans="1:21" x14ac:dyDescent="0.35">
      <c r="A2347" t="s">
        <v>2426</v>
      </c>
      <c r="B2347" s="1">
        <v>46264</v>
      </c>
      <c r="C2347" t="str">
        <f>TEXT(tblData[[#This Row],[Rental Date]],"mmm")</f>
        <v>Aug</v>
      </c>
      <c r="D2347" t="str">
        <f>TEXT(tblData[[#This Row],[Rental Date]],"mmmm")</f>
        <v>August</v>
      </c>
      <c r="E2347" t="s">
        <v>68</v>
      </c>
      <c r="F2347" t="str">
        <f>TEXT(WEEKNUM(tblData[[#This Row],[Rental Date]]),"00")</f>
        <v>36</v>
      </c>
      <c r="G2347" s="1">
        <f>EOMONTH(tblData[[#This Row],[Rental Date]],0)</f>
        <v>46265</v>
      </c>
      <c r="H2347" t="s">
        <v>749</v>
      </c>
      <c r="I2347" t="s">
        <v>39</v>
      </c>
      <c r="J2347" t="s">
        <v>49</v>
      </c>
      <c r="K2347" t="s">
        <v>25</v>
      </c>
      <c r="L2347">
        <v>1</v>
      </c>
      <c r="M2347" s="2">
        <v>43.2</v>
      </c>
      <c r="N2347" t="s">
        <v>41</v>
      </c>
      <c r="O2347" s="3">
        <v>5</v>
      </c>
      <c r="P2347" s="3">
        <v>0</v>
      </c>
      <c r="Q2347" s="2">
        <v>48.2</v>
      </c>
      <c r="R2347" t="s">
        <v>71</v>
      </c>
      <c r="S2347" t="s">
        <v>54</v>
      </c>
      <c r="T2347" t="s">
        <v>63</v>
      </c>
      <c r="U2347" t="s">
        <v>30</v>
      </c>
    </row>
    <row r="2348" spans="1:21" x14ac:dyDescent="0.35">
      <c r="A2348" t="s">
        <v>2427</v>
      </c>
      <c r="B2348" s="1">
        <v>46264</v>
      </c>
      <c r="C2348" t="str">
        <f>TEXT(tblData[[#This Row],[Rental Date]],"mmm")</f>
        <v>Aug</v>
      </c>
      <c r="D2348" t="str">
        <f>TEXT(tblData[[#This Row],[Rental Date]],"mmmm")</f>
        <v>August</v>
      </c>
      <c r="E2348" t="s">
        <v>68</v>
      </c>
      <c r="F2348" t="str">
        <f>TEXT(WEEKNUM(tblData[[#This Row],[Rental Date]]),"00")</f>
        <v>36</v>
      </c>
      <c r="G2348" s="1">
        <f>EOMONTH(tblData[[#This Row],[Rental Date]],0)</f>
        <v>46265</v>
      </c>
      <c r="H2348" t="s">
        <v>749</v>
      </c>
      <c r="I2348" t="s">
        <v>23</v>
      </c>
      <c r="J2348" t="s">
        <v>33</v>
      </c>
      <c r="K2348" t="s">
        <v>25</v>
      </c>
      <c r="L2348">
        <v>1</v>
      </c>
      <c r="M2348" s="2">
        <v>45.6</v>
      </c>
      <c r="N2348" t="s">
        <v>89</v>
      </c>
      <c r="O2348" s="3">
        <v>6</v>
      </c>
      <c r="P2348" s="3">
        <v>0</v>
      </c>
      <c r="Q2348" s="2">
        <v>51.6</v>
      </c>
      <c r="R2348" t="s">
        <v>45</v>
      </c>
      <c r="S2348" t="s">
        <v>28</v>
      </c>
      <c r="T2348" t="s">
        <v>29</v>
      </c>
      <c r="U2348" t="s">
        <v>30</v>
      </c>
    </row>
    <row r="2349" spans="1:21" x14ac:dyDescent="0.35">
      <c r="A2349" t="s">
        <v>2428</v>
      </c>
      <c r="B2349" s="1">
        <v>46264</v>
      </c>
      <c r="C2349" t="str">
        <f>TEXT(tblData[[#This Row],[Rental Date]],"mmm")</f>
        <v>Aug</v>
      </c>
      <c r="D2349" t="str">
        <f>TEXT(tblData[[#This Row],[Rental Date]],"mmmm")</f>
        <v>August</v>
      </c>
      <c r="E2349" t="s">
        <v>68</v>
      </c>
      <c r="F2349" t="str">
        <f>TEXT(WEEKNUM(tblData[[#This Row],[Rental Date]]),"00")</f>
        <v>36</v>
      </c>
      <c r="G2349" s="1">
        <f>EOMONTH(tblData[[#This Row],[Rental Date]],0)</f>
        <v>46265</v>
      </c>
      <c r="H2349" t="s">
        <v>749</v>
      </c>
      <c r="I2349" t="s">
        <v>32</v>
      </c>
      <c r="J2349" t="s">
        <v>78</v>
      </c>
      <c r="K2349" t="s">
        <v>60</v>
      </c>
      <c r="L2349">
        <v>1</v>
      </c>
      <c r="M2349" s="2">
        <v>31.2</v>
      </c>
      <c r="N2349" t="s">
        <v>26</v>
      </c>
      <c r="O2349" s="3">
        <v>0</v>
      </c>
      <c r="P2349" s="3">
        <v>0</v>
      </c>
      <c r="Q2349" s="2">
        <v>31.2</v>
      </c>
      <c r="R2349" t="s">
        <v>66</v>
      </c>
      <c r="S2349" t="s">
        <v>54</v>
      </c>
      <c r="T2349" t="s">
        <v>51</v>
      </c>
      <c r="U2349" t="s">
        <v>30</v>
      </c>
    </row>
    <row r="2350" spans="1:21" x14ac:dyDescent="0.35">
      <c r="A2350" t="s">
        <v>2429</v>
      </c>
      <c r="B2350" s="1">
        <v>46264</v>
      </c>
      <c r="C2350" t="str">
        <f>TEXT(tblData[[#This Row],[Rental Date]],"mmm")</f>
        <v>Aug</v>
      </c>
      <c r="D2350" t="str">
        <f>TEXT(tblData[[#This Row],[Rental Date]],"mmmm")</f>
        <v>August</v>
      </c>
      <c r="E2350" t="s">
        <v>68</v>
      </c>
      <c r="F2350" t="str">
        <f>TEXT(WEEKNUM(tblData[[#This Row],[Rental Date]]),"00")</f>
        <v>36</v>
      </c>
      <c r="G2350" s="1">
        <f>EOMONTH(tblData[[#This Row],[Rental Date]],0)</f>
        <v>46265</v>
      </c>
      <c r="H2350" t="s">
        <v>749</v>
      </c>
      <c r="I2350" t="s">
        <v>53</v>
      </c>
      <c r="J2350" t="s">
        <v>65</v>
      </c>
      <c r="K2350" t="s">
        <v>25</v>
      </c>
      <c r="L2350">
        <v>1</v>
      </c>
      <c r="M2350" s="2">
        <v>21.6</v>
      </c>
      <c r="N2350" t="s">
        <v>26</v>
      </c>
      <c r="O2350" s="3">
        <v>0</v>
      </c>
      <c r="P2350" s="3">
        <v>2.16</v>
      </c>
      <c r="Q2350" s="2">
        <v>19.440000000000001</v>
      </c>
      <c r="R2350" t="s">
        <v>34</v>
      </c>
      <c r="S2350" t="s">
        <v>28</v>
      </c>
      <c r="T2350" t="s">
        <v>29</v>
      </c>
      <c r="U2350" t="s">
        <v>30</v>
      </c>
    </row>
    <row r="2351" spans="1:21" x14ac:dyDescent="0.35">
      <c r="A2351" t="s">
        <v>2430</v>
      </c>
      <c r="B2351" s="1">
        <v>46264</v>
      </c>
      <c r="C2351" t="str">
        <f>TEXT(tblData[[#This Row],[Rental Date]],"mmm")</f>
        <v>Aug</v>
      </c>
      <c r="D2351" t="str">
        <f>TEXT(tblData[[#This Row],[Rental Date]],"mmmm")</f>
        <v>August</v>
      </c>
      <c r="E2351" t="s">
        <v>68</v>
      </c>
      <c r="F2351" t="str">
        <f>TEXT(WEEKNUM(tblData[[#This Row],[Rental Date]]),"00")</f>
        <v>36</v>
      </c>
      <c r="G2351" s="1">
        <f>EOMONTH(tblData[[#This Row],[Rental Date]],0)</f>
        <v>46265</v>
      </c>
      <c r="H2351" t="s">
        <v>749</v>
      </c>
      <c r="I2351" t="s">
        <v>23</v>
      </c>
      <c r="J2351" t="s">
        <v>33</v>
      </c>
      <c r="K2351" t="s">
        <v>60</v>
      </c>
      <c r="L2351">
        <v>1</v>
      </c>
      <c r="M2351" s="2">
        <v>28.8</v>
      </c>
      <c r="N2351" t="s">
        <v>26</v>
      </c>
      <c r="O2351" s="3">
        <v>0</v>
      </c>
      <c r="P2351" s="3">
        <v>0</v>
      </c>
      <c r="Q2351" s="2">
        <v>28.8</v>
      </c>
      <c r="R2351" t="s">
        <v>62</v>
      </c>
      <c r="S2351" t="s">
        <v>35</v>
      </c>
      <c r="T2351" t="s">
        <v>29</v>
      </c>
      <c r="U2351" t="s">
        <v>58</v>
      </c>
    </row>
    <row r="2352" spans="1:21" x14ac:dyDescent="0.35">
      <c r="A2352" t="s">
        <v>2431</v>
      </c>
      <c r="B2352" s="1">
        <v>46265</v>
      </c>
      <c r="C2352" t="str">
        <f>TEXT(tblData[[#This Row],[Rental Date]],"mmm")</f>
        <v>Aug</v>
      </c>
      <c r="D2352" t="str">
        <f>TEXT(tblData[[#This Row],[Rental Date]],"mmmm")</f>
        <v>August</v>
      </c>
      <c r="E2352" t="s">
        <v>74</v>
      </c>
      <c r="F2352" t="str">
        <f>TEXT(WEEKNUM(tblData[[#This Row],[Rental Date]]),"00")</f>
        <v>36</v>
      </c>
      <c r="G2352" s="1">
        <f>EOMONTH(tblData[[#This Row],[Rental Date]],0)</f>
        <v>46265</v>
      </c>
      <c r="H2352" t="s">
        <v>749</v>
      </c>
      <c r="I2352" t="s">
        <v>32</v>
      </c>
      <c r="J2352" t="s">
        <v>49</v>
      </c>
      <c r="K2352" t="s">
        <v>60</v>
      </c>
      <c r="L2352">
        <v>1</v>
      </c>
      <c r="M2352" s="2">
        <v>24.64</v>
      </c>
      <c r="N2352" t="s">
        <v>26</v>
      </c>
      <c r="O2352" s="3">
        <v>0</v>
      </c>
      <c r="P2352" s="3">
        <v>2.46</v>
      </c>
      <c r="Q2352" s="2">
        <v>22.18</v>
      </c>
      <c r="R2352" t="s">
        <v>62</v>
      </c>
      <c r="S2352" t="s">
        <v>35</v>
      </c>
      <c r="T2352" t="s">
        <v>29</v>
      </c>
      <c r="U2352" t="s">
        <v>58</v>
      </c>
    </row>
    <row r="2353" spans="1:21" x14ac:dyDescent="0.35">
      <c r="A2353" t="s">
        <v>2432</v>
      </c>
      <c r="B2353" s="1">
        <v>46265</v>
      </c>
      <c r="C2353" t="str">
        <f>TEXT(tblData[[#This Row],[Rental Date]],"mmm")</f>
        <v>Aug</v>
      </c>
      <c r="D2353" t="str">
        <f>TEXT(tblData[[#This Row],[Rental Date]],"mmmm")</f>
        <v>August</v>
      </c>
      <c r="E2353" t="s">
        <v>74</v>
      </c>
      <c r="F2353" t="str">
        <f>TEXT(WEEKNUM(tblData[[#This Row],[Rental Date]]),"00")</f>
        <v>36</v>
      </c>
      <c r="G2353" s="1">
        <f>EOMONTH(tblData[[#This Row],[Rental Date]],0)</f>
        <v>46265</v>
      </c>
      <c r="H2353" t="s">
        <v>749</v>
      </c>
      <c r="I2353" t="s">
        <v>39</v>
      </c>
      <c r="J2353" t="s">
        <v>33</v>
      </c>
      <c r="K2353" t="s">
        <v>60</v>
      </c>
      <c r="L2353">
        <v>1</v>
      </c>
      <c r="M2353" s="2">
        <v>26.88</v>
      </c>
      <c r="N2353" t="s">
        <v>26</v>
      </c>
      <c r="O2353" s="3">
        <v>0</v>
      </c>
      <c r="P2353" s="3">
        <v>0</v>
      </c>
      <c r="Q2353" s="2">
        <v>26.88</v>
      </c>
      <c r="R2353" t="s">
        <v>34</v>
      </c>
      <c r="S2353" t="s">
        <v>46</v>
      </c>
      <c r="T2353" t="s">
        <v>51</v>
      </c>
      <c r="U2353" t="s">
        <v>58</v>
      </c>
    </row>
    <row r="2354" spans="1:21" x14ac:dyDescent="0.35">
      <c r="A2354" t="s">
        <v>2433</v>
      </c>
      <c r="B2354" s="1">
        <v>46265</v>
      </c>
      <c r="C2354" t="str">
        <f>TEXT(tblData[[#This Row],[Rental Date]],"mmm")</f>
        <v>Aug</v>
      </c>
      <c r="D2354" t="str">
        <f>TEXT(tblData[[#This Row],[Rental Date]],"mmmm")</f>
        <v>August</v>
      </c>
      <c r="E2354" t="s">
        <v>74</v>
      </c>
      <c r="F2354" t="str">
        <f>TEXT(WEEKNUM(tblData[[#This Row],[Rental Date]]),"00")</f>
        <v>36</v>
      </c>
      <c r="G2354" s="1">
        <f>EOMONTH(tblData[[#This Row],[Rental Date]],0)</f>
        <v>46265</v>
      </c>
      <c r="H2354" t="s">
        <v>749</v>
      </c>
      <c r="I2354" t="s">
        <v>32</v>
      </c>
      <c r="J2354" t="s">
        <v>24</v>
      </c>
      <c r="K2354" t="s">
        <v>25</v>
      </c>
      <c r="L2354">
        <v>1</v>
      </c>
      <c r="M2354" s="2">
        <v>56</v>
      </c>
      <c r="N2354" t="s">
        <v>75</v>
      </c>
      <c r="O2354" s="3">
        <v>12</v>
      </c>
      <c r="P2354" s="3">
        <v>0</v>
      </c>
      <c r="Q2354" s="2">
        <v>68</v>
      </c>
      <c r="R2354" t="s">
        <v>45</v>
      </c>
      <c r="S2354" t="s">
        <v>28</v>
      </c>
      <c r="T2354" t="s">
        <v>51</v>
      </c>
      <c r="U2354" t="s">
        <v>30</v>
      </c>
    </row>
    <row r="2355" spans="1:21" x14ac:dyDescent="0.35">
      <c r="A2355" t="s">
        <v>2434</v>
      </c>
      <c r="B2355" s="1">
        <v>46265</v>
      </c>
      <c r="C2355" t="str">
        <f>TEXT(tblData[[#This Row],[Rental Date]],"mmm")</f>
        <v>Aug</v>
      </c>
      <c r="D2355" t="str">
        <f>TEXT(tblData[[#This Row],[Rental Date]],"mmmm")</f>
        <v>August</v>
      </c>
      <c r="E2355" t="s">
        <v>74</v>
      </c>
      <c r="F2355" t="str">
        <f>TEXT(WEEKNUM(tblData[[#This Row],[Rental Date]]),"00")</f>
        <v>36</v>
      </c>
      <c r="G2355" s="1">
        <f>EOMONTH(tblData[[#This Row],[Rental Date]],0)</f>
        <v>46265</v>
      </c>
      <c r="H2355" t="s">
        <v>749</v>
      </c>
      <c r="I2355" t="s">
        <v>39</v>
      </c>
      <c r="J2355" t="s">
        <v>78</v>
      </c>
      <c r="K2355" t="s">
        <v>92</v>
      </c>
      <c r="L2355">
        <v>1</v>
      </c>
      <c r="M2355" s="2">
        <v>98.56</v>
      </c>
      <c r="N2355" t="s">
        <v>26</v>
      </c>
      <c r="O2355" s="3">
        <v>0</v>
      </c>
      <c r="P2355" s="3">
        <v>0</v>
      </c>
      <c r="Q2355" s="2">
        <v>98.56</v>
      </c>
      <c r="R2355" t="s">
        <v>42</v>
      </c>
      <c r="S2355" t="s">
        <v>35</v>
      </c>
      <c r="T2355" t="s">
        <v>63</v>
      </c>
      <c r="U2355" t="s">
        <v>30</v>
      </c>
    </row>
    <row r="2356" spans="1:21" x14ac:dyDescent="0.35">
      <c r="A2356" t="s">
        <v>2435</v>
      </c>
      <c r="B2356" s="1">
        <v>46265</v>
      </c>
      <c r="C2356" t="str">
        <f>TEXT(tblData[[#This Row],[Rental Date]],"mmm")</f>
        <v>Aug</v>
      </c>
      <c r="D2356" t="str">
        <f>TEXT(tblData[[#This Row],[Rental Date]],"mmmm")</f>
        <v>August</v>
      </c>
      <c r="E2356" t="s">
        <v>74</v>
      </c>
      <c r="F2356" t="str">
        <f>TEXT(WEEKNUM(tblData[[#This Row],[Rental Date]]),"00")</f>
        <v>36</v>
      </c>
      <c r="G2356" s="1">
        <f>EOMONTH(tblData[[#This Row],[Rental Date]],0)</f>
        <v>46265</v>
      </c>
      <c r="H2356" t="s">
        <v>749</v>
      </c>
      <c r="I2356" t="s">
        <v>32</v>
      </c>
      <c r="J2356" t="s">
        <v>127</v>
      </c>
      <c r="K2356" t="s">
        <v>40</v>
      </c>
      <c r="L2356">
        <v>1</v>
      </c>
      <c r="M2356" s="2">
        <v>26.88</v>
      </c>
      <c r="N2356" t="s">
        <v>70</v>
      </c>
      <c r="O2356" s="3">
        <v>7</v>
      </c>
      <c r="P2356" s="3">
        <v>1.69</v>
      </c>
      <c r="Q2356" s="2">
        <v>32.19</v>
      </c>
      <c r="R2356" t="s">
        <v>27</v>
      </c>
      <c r="S2356" t="s">
        <v>46</v>
      </c>
      <c r="T2356" t="s">
        <v>63</v>
      </c>
      <c r="U2356" t="s">
        <v>30</v>
      </c>
    </row>
    <row r="2357" spans="1:21" x14ac:dyDescent="0.35">
      <c r="A2357" t="s">
        <v>2436</v>
      </c>
      <c r="B2357" s="1">
        <v>46265</v>
      </c>
      <c r="C2357" t="str">
        <f>TEXT(tblData[[#This Row],[Rental Date]],"mmm")</f>
        <v>Aug</v>
      </c>
      <c r="D2357" t="str">
        <f>TEXT(tblData[[#This Row],[Rental Date]],"mmmm")</f>
        <v>August</v>
      </c>
      <c r="E2357" t="s">
        <v>74</v>
      </c>
      <c r="F2357" t="str">
        <f>TEXT(WEEKNUM(tblData[[#This Row],[Rental Date]]),"00")</f>
        <v>36</v>
      </c>
      <c r="G2357" s="1">
        <f>EOMONTH(tblData[[#This Row],[Rental Date]],0)</f>
        <v>46265</v>
      </c>
      <c r="H2357" t="s">
        <v>749</v>
      </c>
      <c r="I2357" t="s">
        <v>32</v>
      </c>
      <c r="J2357" t="s">
        <v>44</v>
      </c>
      <c r="K2357" t="s">
        <v>92</v>
      </c>
      <c r="L2357">
        <v>1</v>
      </c>
      <c r="M2357" s="2">
        <v>125.44</v>
      </c>
      <c r="N2357" t="s">
        <v>41</v>
      </c>
      <c r="O2357" s="3">
        <v>5</v>
      </c>
      <c r="P2357" s="3">
        <v>13.04</v>
      </c>
      <c r="Q2357" s="2">
        <v>117.4</v>
      </c>
      <c r="R2357" t="s">
        <v>94</v>
      </c>
      <c r="S2357" t="s">
        <v>28</v>
      </c>
      <c r="T2357" t="s">
        <v>29</v>
      </c>
      <c r="U2357" t="s">
        <v>30</v>
      </c>
    </row>
    <row r="2358" spans="1:21" x14ac:dyDescent="0.35">
      <c r="A2358" t="s">
        <v>2437</v>
      </c>
      <c r="B2358" s="1">
        <v>46265</v>
      </c>
      <c r="C2358" t="str">
        <f>TEXT(tblData[[#This Row],[Rental Date]],"mmm")</f>
        <v>Aug</v>
      </c>
      <c r="D2358" t="str">
        <f>TEXT(tblData[[#This Row],[Rental Date]],"mmmm")</f>
        <v>August</v>
      </c>
      <c r="E2358" t="s">
        <v>74</v>
      </c>
      <c r="F2358" t="str">
        <f>TEXT(WEEKNUM(tblData[[#This Row],[Rental Date]]),"00")</f>
        <v>36</v>
      </c>
      <c r="G2358" s="1">
        <f>EOMONTH(tblData[[#This Row],[Rental Date]],0)</f>
        <v>46265</v>
      </c>
      <c r="H2358" t="s">
        <v>749</v>
      </c>
      <c r="I2358" t="s">
        <v>48</v>
      </c>
      <c r="J2358" t="s">
        <v>44</v>
      </c>
      <c r="K2358" t="s">
        <v>25</v>
      </c>
      <c r="L2358">
        <v>1</v>
      </c>
      <c r="M2358" s="2">
        <v>58.24</v>
      </c>
      <c r="N2358" t="s">
        <v>87</v>
      </c>
      <c r="O2358" s="3">
        <v>10</v>
      </c>
      <c r="P2358" s="3">
        <v>0</v>
      </c>
      <c r="Q2358" s="2">
        <v>68.239999999999995</v>
      </c>
      <c r="R2358" t="s">
        <v>66</v>
      </c>
      <c r="S2358" t="s">
        <v>54</v>
      </c>
      <c r="T2358" t="s">
        <v>51</v>
      </c>
      <c r="U2358" t="s">
        <v>30</v>
      </c>
    </row>
    <row r="2359" spans="1:21" x14ac:dyDescent="0.35">
      <c r="A2359" t="s">
        <v>2438</v>
      </c>
      <c r="B2359" s="1">
        <v>46265</v>
      </c>
      <c r="C2359" t="str">
        <f>TEXT(tblData[[#This Row],[Rental Date]],"mmm")</f>
        <v>Aug</v>
      </c>
      <c r="D2359" t="str">
        <f>TEXT(tblData[[#This Row],[Rental Date]],"mmmm")</f>
        <v>August</v>
      </c>
      <c r="E2359" t="s">
        <v>74</v>
      </c>
      <c r="F2359" t="str">
        <f>TEXT(WEEKNUM(tblData[[#This Row],[Rental Date]]),"00")</f>
        <v>36</v>
      </c>
      <c r="G2359" s="1">
        <f>EOMONTH(tblData[[#This Row],[Rental Date]],0)</f>
        <v>46265</v>
      </c>
      <c r="H2359" t="s">
        <v>749</v>
      </c>
      <c r="I2359" t="s">
        <v>32</v>
      </c>
      <c r="J2359" t="s">
        <v>33</v>
      </c>
      <c r="K2359" t="s">
        <v>60</v>
      </c>
      <c r="L2359">
        <v>1</v>
      </c>
      <c r="M2359" s="2">
        <v>26.88</v>
      </c>
      <c r="N2359" t="s">
        <v>41</v>
      </c>
      <c r="O2359" s="3">
        <v>5</v>
      </c>
      <c r="P2359" s="3">
        <v>0</v>
      </c>
      <c r="Q2359" s="2">
        <v>31.88</v>
      </c>
      <c r="R2359" t="s">
        <v>62</v>
      </c>
      <c r="S2359" t="s">
        <v>54</v>
      </c>
      <c r="T2359" t="s">
        <v>51</v>
      </c>
      <c r="U2359" t="s">
        <v>30</v>
      </c>
    </row>
    <row r="2360" spans="1:21" x14ac:dyDescent="0.35">
      <c r="A2360" t="s">
        <v>2439</v>
      </c>
      <c r="B2360" s="1">
        <v>46265</v>
      </c>
      <c r="C2360" t="str">
        <f>TEXT(tblData[[#This Row],[Rental Date]],"mmm")</f>
        <v>Aug</v>
      </c>
      <c r="D2360" t="str">
        <f>TEXT(tblData[[#This Row],[Rental Date]],"mmmm")</f>
        <v>August</v>
      </c>
      <c r="E2360" t="s">
        <v>74</v>
      </c>
      <c r="F2360" t="str">
        <f>TEXT(WEEKNUM(tblData[[#This Row],[Rental Date]]),"00")</f>
        <v>36</v>
      </c>
      <c r="G2360" s="1">
        <f>EOMONTH(tblData[[#This Row],[Rental Date]],0)</f>
        <v>46265</v>
      </c>
      <c r="H2360" t="s">
        <v>749</v>
      </c>
      <c r="I2360" t="s">
        <v>48</v>
      </c>
      <c r="J2360" t="s">
        <v>111</v>
      </c>
      <c r="K2360" t="s">
        <v>25</v>
      </c>
      <c r="L2360">
        <v>1</v>
      </c>
      <c r="M2360" s="2">
        <v>24.64</v>
      </c>
      <c r="N2360" t="s">
        <v>26</v>
      </c>
      <c r="O2360" s="3">
        <v>0</v>
      </c>
      <c r="P2360" s="3">
        <v>1.23</v>
      </c>
      <c r="Q2360" s="2">
        <v>23.41</v>
      </c>
      <c r="R2360" t="s">
        <v>71</v>
      </c>
      <c r="S2360" t="s">
        <v>28</v>
      </c>
      <c r="T2360" t="s">
        <v>29</v>
      </c>
      <c r="U2360" t="s">
        <v>30</v>
      </c>
    </row>
    <row r="2361" spans="1:21" x14ac:dyDescent="0.35">
      <c r="A2361" t="s">
        <v>2440</v>
      </c>
      <c r="B2361" s="1">
        <v>46266</v>
      </c>
      <c r="C2361" t="str">
        <f>TEXT(tblData[[#This Row],[Rental Date]],"mmm")</f>
        <v>Sep</v>
      </c>
      <c r="D2361" t="str">
        <f>TEXT(tblData[[#This Row],[Rental Date]],"mmmm")</f>
        <v>September</v>
      </c>
      <c r="E2361" t="s">
        <v>102</v>
      </c>
      <c r="F2361" t="str">
        <f>TEXT(WEEKNUM(tblData[[#This Row],[Rental Date]]),"00")</f>
        <v>36</v>
      </c>
      <c r="G2361" s="1">
        <f>EOMONTH(tblData[[#This Row],[Rental Date]],0)</f>
        <v>46295</v>
      </c>
      <c r="H2361" t="s">
        <v>2441</v>
      </c>
      <c r="I2361" t="s">
        <v>39</v>
      </c>
      <c r="J2361" t="s">
        <v>24</v>
      </c>
      <c r="K2361" t="s">
        <v>25</v>
      </c>
      <c r="L2361">
        <v>1</v>
      </c>
      <c r="M2361" s="2">
        <v>50</v>
      </c>
      <c r="N2361" t="s">
        <v>41</v>
      </c>
      <c r="O2361" s="3">
        <v>5</v>
      </c>
      <c r="P2361" s="3">
        <v>0</v>
      </c>
      <c r="Q2361" s="2">
        <v>55</v>
      </c>
      <c r="R2361" t="s">
        <v>76</v>
      </c>
      <c r="S2361" t="s">
        <v>46</v>
      </c>
      <c r="T2361" t="s">
        <v>83</v>
      </c>
      <c r="U2361" t="s">
        <v>30</v>
      </c>
    </row>
    <row r="2362" spans="1:21" x14ac:dyDescent="0.35">
      <c r="A2362" t="s">
        <v>2442</v>
      </c>
      <c r="B2362" s="1">
        <v>46266</v>
      </c>
      <c r="C2362" t="str">
        <f>TEXT(tblData[[#This Row],[Rental Date]],"mmm")</f>
        <v>Sep</v>
      </c>
      <c r="D2362" t="str">
        <f>TEXT(tblData[[#This Row],[Rental Date]],"mmmm")</f>
        <v>September</v>
      </c>
      <c r="E2362" t="s">
        <v>102</v>
      </c>
      <c r="F2362" t="str">
        <f>TEXT(WEEKNUM(tblData[[#This Row],[Rental Date]]),"00")</f>
        <v>36</v>
      </c>
      <c r="G2362" s="1">
        <f>EOMONTH(tblData[[#This Row],[Rental Date]],0)</f>
        <v>46295</v>
      </c>
      <c r="H2362" t="s">
        <v>2441</v>
      </c>
      <c r="I2362" t="s">
        <v>48</v>
      </c>
      <c r="J2362" t="s">
        <v>78</v>
      </c>
      <c r="K2362" t="s">
        <v>25</v>
      </c>
      <c r="L2362">
        <v>1</v>
      </c>
      <c r="M2362" s="2">
        <v>42</v>
      </c>
      <c r="N2362" t="s">
        <v>89</v>
      </c>
      <c r="O2362" s="3">
        <v>6</v>
      </c>
      <c r="P2362" s="3">
        <v>0</v>
      </c>
      <c r="Q2362" s="2">
        <v>48</v>
      </c>
      <c r="R2362" t="s">
        <v>66</v>
      </c>
      <c r="S2362" t="s">
        <v>35</v>
      </c>
      <c r="T2362" t="s">
        <v>29</v>
      </c>
      <c r="U2362" t="s">
        <v>30</v>
      </c>
    </row>
    <row r="2363" spans="1:21" x14ac:dyDescent="0.35">
      <c r="A2363" t="s">
        <v>2443</v>
      </c>
      <c r="B2363" s="1">
        <v>46266</v>
      </c>
      <c r="C2363" t="str">
        <f>TEXT(tblData[[#This Row],[Rental Date]],"mmm")</f>
        <v>Sep</v>
      </c>
      <c r="D2363" t="str">
        <f>TEXT(tblData[[#This Row],[Rental Date]],"mmmm")</f>
        <v>September</v>
      </c>
      <c r="E2363" t="s">
        <v>102</v>
      </c>
      <c r="F2363" t="str">
        <f>TEXT(WEEKNUM(tblData[[#This Row],[Rental Date]]),"00")</f>
        <v>36</v>
      </c>
      <c r="G2363" s="1">
        <f>EOMONTH(tblData[[#This Row],[Rental Date]],0)</f>
        <v>46295</v>
      </c>
      <c r="H2363" t="s">
        <v>2441</v>
      </c>
      <c r="I2363" t="s">
        <v>39</v>
      </c>
      <c r="J2363" t="s">
        <v>65</v>
      </c>
      <c r="K2363" t="s">
        <v>25</v>
      </c>
      <c r="L2363">
        <v>1</v>
      </c>
      <c r="M2363" s="2">
        <v>18</v>
      </c>
      <c r="N2363" t="s">
        <v>89</v>
      </c>
      <c r="O2363" s="3">
        <v>6</v>
      </c>
      <c r="P2363" s="3">
        <v>0</v>
      </c>
      <c r="Q2363" s="2">
        <v>24</v>
      </c>
      <c r="R2363" t="s">
        <v>34</v>
      </c>
      <c r="S2363" t="s">
        <v>50</v>
      </c>
      <c r="T2363" t="s">
        <v>29</v>
      </c>
      <c r="U2363" t="s">
        <v>30</v>
      </c>
    </row>
    <row r="2364" spans="1:21" x14ac:dyDescent="0.35">
      <c r="A2364" t="s">
        <v>2444</v>
      </c>
      <c r="B2364" s="1">
        <v>46266</v>
      </c>
      <c r="C2364" t="str">
        <f>TEXT(tblData[[#This Row],[Rental Date]],"mmm")</f>
        <v>Sep</v>
      </c>
      <c r="D2364" t="str">
        <f>TEXT(tblData[[#This Row],[Rental Date]],"mmmm")</f>
        <v>September</v>
      </c>
      <c r="E2364" t="s">
        <v>102</v>
      </c>
      <c r="F2364" t="str">
        <f>TEXT(WEEKNUM(tblData[[#This Row],[Rental Date]]),"00")</f>
        <v>36</v>
      </c>
      <c r="G2364" s="1">
        <f>EOMONTH(tblData[[#This Row],[Rental Date]],0)</f>
        <v>46295</v>
      </c>
      <c r="H2364" t="s">
        <v>2441</v>
      </c>
      <c r="I2364" t="s">
        <v>39</v>
      </c>
      <c r="J2364" t="s">
        <v>127</v>
      </c>
      <c r="K2364" t="s">
        <v>40</v>
      </c>
      <c r="L2364">
        <v>1</v>
      </c>
      <c r="M2364" s="2">
        <v>24</v>
      </c>
      <c r="N2364" t="s">
        <v>26</v>
      </c>
      <c r="O2364" s="3">
        <v>0</v>
      </c>
      <c r="P2364" s="3">
        <v>0</v>
      </c>
      <c r="Q2364" s="2">
        <v>24</v>
      </c>
      <c r="R2364" t="s">
        <v>66</v>
      </c>
      <c r="S2364" t="s">
        <v>46</v>
      </c>
      <c r="T2364" t="s">
        <v>29</v>
      </c>
      <c r="U2364" t="s">
        <v>36</v>
      </c>
    </row>
    <row r="2365" spans="1:21" x14ac:dyDescent="0.35">
      <c r="A2365" t="s">
        <v>2445</v>
      </c>
      <c r="B2365" s="1">
        <v>46266</v>
      </c>
      <c r="C2365" t="str">
        <f>TEXT(tblData[[#This Row],[Rental Date]],"mmm")</f>
        <v>Sep</v>
      </c>
      <c r="D2365" t="str">
        <f>TEXT(tblData[[#This Row],[Rental Date]],"mmmm")</f>
        <v>September</v>
      </c>
      <c r="E2365" t="s">
        <v>102</v>
      </c>
      <c r="F2365" t="str">
        <f>TEXT(WEEKNUM(tblData[[#This Row],[Rental Date]]),"00")</f>
        <v>36</v>
      </c>
      <c r="G2365" s="1">
        <f>EOMONTH(tblData[[#This Row],[Rental Date]],0)</f>
        <v>46295</v>
      </c>
      <c r="H2365" t="s">
        <v>2441</v>
      </c>
      <c r="I2365" t="s">
        <v>53</v>
      </c>
      <c r="J2365" t="s">
        <v>33</v>
      </c>
      <c r="K2365" t="s">
        <v>25</v>
      </c>
      <c r="L2365">
        <v>1</v>
      </c>
      <c r="M2365" s="2">
        <v>38</v>
      </c>
      <c r="N2365" t="s">
        <v>61</v>
      </c>
      <c r="O2365" s="3">
        <v>8</v>
      </c>
      <c r="P2365" s="3">
        <v>4.5999999999999996</v>
      </c>
      <c r="Q2365" s="2">
        <v>41.4</v>
      </c>
      <c r="R2365" t="s">
        <v>34</v>
      </c>
      <c r="S2365" t="s">
        <v>46</v>
      </c>
      <c r="T2365" t="s">
        <v>29</v>
      </c>
      <c r="U2365" t="s">
        <v>30</v>
      </c>
    </row>
    <row r="2366" spans="1:21" x14ac:dyDescent="0.35">
      <c r="A2366" t="s">
        <v>2446</v>
      </c>
      <c r="B2366" s="1">
        <v>46266</v>
      </c>
      <c r="C2366" t="str">
        <f>TEXT(tblData[[#This Row],[Rental Date]],"mmm")</f>
        <v>Sep</v>
      </c>
      <c r="D2366" t="str">
        <f>TEXT(tblData[[#This Row],[Rental Date]],"mmmm")</f>
        <v>September</v>
      </c>
      <c r="E2366" t="s">
        <v>102</v>
      </c>
      <c r="F2366" t="str">
        <f>TEXT(WEEKNUM(tblData[[#This Row],[Rental Date]]),"00")</f>
        <v>36</v>
      </c>
      <c r="G2366" s="1">
        <f>EOMONTH(tblData[[#This Row],[Rental Date]],0)</f>
        <v>46295</v>
      </c>
      <c r="H2366" t="s">
        <v>2441</v>
      </c>
      <c r="I2366" t="s">
        <v>39</v>
      </c>
      <c r="J2366" t="s">
        <v>44</v>
      </c>
      <c r="K2366" t="s">
        <v>25</v>
      </c>
      <c r="L2366">
        <v>1</v>
      </c>
      <c r="M2366" s="2">
        <v>52</v>
      </c>
      <c r="N2366" t="s">
        <v>26</v>
      </c>
      <c r="O2366" s="3">
        <v>0</v>
      </c>
      <c r="P2366" s="3">
        <v>0</v>
      </c>
      <c r="Q2366" s="2">
        <v>52</v>
      </c>
      <c r="R2366" t="s">
        <v>57</v>
      </c>
      <c r="S2366" t="s">
        <v>35</v>
      </c>
      <c r="T2366" t="s">
        <v>51</v>
      </c>
      <c r="U2366" t="s">
        <v>58</v>
      </c>
    </row>
    <row r="2367" spans="1:21" x14ac:dyDescent="0.35">
      <c r="A2367" t="s">
        <v>2447</v>
      </c>
      <c r="B2367" s="1">
        <v>46266</v>
      </c>
      <c r="C2367" t="str">
        <f>TEXT(tblData[[#This Row],[Rental Date]],"mmm")</f>
        <v>Sep</v>
      </c>
      <c r="D2367" t="str">
        <f>TEXT(tblData[[#This Row],[Rental Date]],"mmmm")</f>
        <v>September</v>
      </c>
      <c r="E2367" t="s">
        <v>102</v>
      </c>
      <c r="F2367" t="str">
        <f>TEXT(WEEKNUM(tblData[[#This Row],[Rental Date]]),"00")</f>
        <v>36</v>
      </c>
      <c r="G2367" s="1">
        <f>EOMONTH(tblData[[#This Row],[Rental Date]],0)</f>
        <v>46295</v>
      </c>
      <c r="H2367" t="s">
        <v>2441</v>
      </c>
      <c r="I2367" t="s">
        <v>39</v>
      </c>
      <c r="J2367" t="s">
        <v>33</v>
      </c>
      <c r="K2367" t="s">
        <v>60</v>
      </c>
      <c r="L2367">
        <v>1</v>
      </c>
      <c r="M2367" s="2">
        <v>24</v>
      </c>
      <c r="N2367" t="s">
        <v>89</v>
      </c>
      <c r="O2367" s="3">
        <v>6</v>
      </c>
      <c r="P2367" s="3">
        <v>0</v>
      </c>
      <c r="Q2367" s="2">
        <v>30</v>
      </c>
      <c r="R2367" t="s">
        <v>66</v>
      </c>
      <c r="S2367" t="s">
        <v>50</v>
      </c>
      <c r="T2367" t="s">
        <v>29</v>
      </c>
      <c r="U2367" t="s">
        <v>30</v>
      </c>
    </row>
    <row r="2368" spans="1:21" x14ac:dyDescent="0.35">
      <c r="A2368" t="s">
        <v>2448</v>
      </c>
      <c r="B2368" s="1">
        <v>46267</v>
      </c>
      <c r="C2368" t="str">
        <f>TEXT(tblData[[#This Row],[Rental Date]],"mmm")</f>
        <v>Sep</v>
      </c>
      <c r="D2368" t="str">
        <f>TEXT(tblData[[#This Row],[Rental Date]],"mmmm")</f>
        <v>September</v>
      </c>
      <c r="E2368" t="s">
        <v>109</v>
      </c>
      <c r="F2368" t="str">
        <f>TEXT(WEEKNUM(tblData[[#This Row],[Rental Date]]),"00")</f>
        <v>36</v>
      </c>
      <c r="G2368" s="1">
        <f>EOMONTH(tblData[[#This Row],[Rental Date]],0)</f>
        <v>46295</v>
      </c>
      <c r="H2368" t="s">
        <v>2441</v>
      </c>
      <c r="I2368" t="s">
        <v>39</v>
      </c>
      <c r="J2368" t="s">
        <v>65</v>
      </c>
      <c r="K2368" t="s">
        <v>60</v>
      </c>
      <c r="L2368">
        <v>1</v>
      </c>
      <c r="M2368" s="2">
        <v>12</v>
      </c>
      <c r="N2368" t="s">
        <v>26</v>
      </c>
      <c r="O2368" s="3">
        <v>0</v>
      </c>
      <c r="P2368" s="3">
        <v>0</v>
      </c>
      <c r="Q2368" s="2">
        <v>12</v>
      </c>
      <c r="R2368" t="s">
        <v>76</v>
      </c>
      <c r="S2368" t="s">
        <v>35</v>
      </c>
      <c r="T2368" t="s">
        <v>83</v>
      </c>
      <c r="U2368" t="s">
        <v>79</v>
      </c>
    </row>
    <row r="2369" spans="1:21" x14ac:dyDescent="0.35">
      <c r="A2369" t="s">
        <v>2449</v>
      </c>
      <c r="B2369" s="1">
        <v>46267</v>
      </c>
      <c r="C2369" t="str">
        <f>TEXT(tblData[[#This Row],[Rental Date]],"mmm")</f>
        <v>Sep</v>
      </c>
      <c r="D2369" t="str">
        <f>TEXT(tblData[[#This Row],[Rental Date]],"mmmm")</f>
        <v>September</v>
      </c>
      <c r="E2369" t="s">
        <v>109</v>
      </c>
      <c r="F2369" t="str">
        <f>TEXT(WEEKNUM(tblData[[#This Row],[Rental Date]]),"00")</f>
        <v>36</v>
      </c>
      <c r="G2369" s="1">
        <f>EOMONTH(tblData[[#This Row],[Rental Date]],0)</f>
        <v>46295</v>
      </c>
      <c r="H2369" t="s">
        <v>2441</v>
      </c>
      <c r="I2369" t="s">
        <v>23</v>
      </c>
      <c r="J2369" t="s">
        <v>33</v>
      </c>
      <c r="K2369" t="s">
        <v>92</v>
      </c>
      <c r="L2369">
        <v>1</v>
      </c>
      <c r="M2369" s="2">
        <v>84</v>
      </c>
      <c r="N2369" t="s">
        <v>70</v>
      </c>
      <c r="O2369" s="3">
        <v>7</v>
      </c>
      <c r="P2369" s="3">
        <v>0</v>
      </c>
      <c r="Q2369" s="2">
        <v>91</v>
      </c>
      <c r="R2369" t="s">
        <v>71</v>
      </c>
      <c r="S2369" t="s">
        <v>35</v>
      </c>
      <c r="T2369" t="s">
        <v>90</v>
      </c>
      <c r="U2369" t="s">
        <v>30</v>
      </c>
    </row>
    <row r="2370" spans="1:21" x14ac:dyDescent="0.35">
      <c r="A2370" t="s">
        <v>2450</v>
      </c>
      <c r="B2370" s="1">
        <v>46267</v>
      </c>
      <c r="C2370" t="str">
        <f>TEXT(tblData[[#This Row],[Rental Date]],"mmm")</f>
        <v>Sep</v>
      </c>
      <c r="D2370" t="str">
        <f>TEXT(tblData[[#This Row],[Rental Date]],"mmmm")</f>
        <v>September</v>
      </c>
      <c r="E2370" t="s">
        <v>109</v>
      </c>
      <c r="F2370" t="str">
        <f>TEXT(WEEKNUM(tblData[[#This Row],[Rental Date]]),"00")</f>
        <v>36</v>
      </c>
      <c r="G2370" s="1">
        <f>EOMONTH(tblData[[#This Row],[Rental Date]],0)</f>
        <v>46295</v>
      </c>
      <c r="H2370" t="s">
        <v>2441</v>
      </c>
      <c r="I2370" t="s">
        <v>39</v>
      </c>
      <c r="J2370" t="s">
        <v>127</v>
      </c>
      <c r="K2370" t="s">
        <v>25</v>
      </c>
      <c r="L2370">
        <v>1</v>
      </c>
      <c r="M2370" s="2">
        <v>16</v>
      </c>
      <c r="N2370" t="s">
        <v>26</v>
      </c>
      <c r="O2370" s="3">
        <v>0</v>
      </c>
      <c r="P2370" s="3">
        <v>0</v>
      </c>
      <c r="Q2370" s="2">
        <v>16</v>
      </c>
      <c r="R2370" t="s">
        <v>34</v>
      </c>
      <c r="S2370" t="s">
        <v>35</v>
      </c>
      <c r="T2370" t="s">
        <v>63</v>
      </c>
      <c r="U2370" t="s">
        <v>30</v>
      </c>
    </row>
    <row r="2371" spans="1:21" x14ac:dyDescent="0.35">
      <c r="A2371" t="s">
        <v>2451</v>
      </c>
      <c r="B2371" s="1">
        <v>46267</v>
      </c>
      <c r="C2371" t="str">
        <f>TEXT(tblData[[#This Row],[Rental Date]],"mmm")</f>
        <v>Sep</v>
      </c>
      <c r="D2371" t="str">
        <f>TEXT(tblData[[#This Row],[Rental Date]],"mmmm")</f>
        <v>September</v>
      </c>
      <c r="E2371" t="s">
        <v>109</v>
      </c>
      <c r="F2371" t="str">
        <f>TEXT(WEEKNUM(tblData[[#This Row],[Rental Date]]),"00")</f>
        <v>36</v>
      </c>
      <c r="G2371" s="1">
        <f>EOMONTH(tblData[[#This Row],[Rental Date]],0)</f>
        <v>46295</v>
      </c>
      <c r="H2371" t="s">
        <v>2441</v>
      </c>
      <c r="I2371" t="s">
        <v>53</v>
      </c>
      <c r="J2371" t="s">
        <v>78</v>
      </c>
      <c r="K2371" t="s">
        <v>60</v>
      </c>
      <c r="L2371">
        <v>1</v>
      </c>
      <c r="M2371" s="2">
        <v>26</v>
      </c>
      <c r="N2371" t="s">
        <v>41</v>
      </c>
      <c r="O2371" s="3">
        <v>5</v>
      </c>
      <c r="P2371" s="3">
        <v>4.6500000000000004</v>
      </c>
      <c r="Q2371" s="2">
        <v>26.35</v>
      </c>
      <c r="R2371" t="s">
        <v>76</v>
      </c>
      <c r="S2371" t="s">
        <v>35</v>
      </c>
      <c r="T2371" t="s">
        <v>29</v>
      </c>
      <c r="U2371" t="s">
        <v>30</v>
      </c>
    </row>
    <row r="2372" spans="1:21" x14ac:dyDescent="0.35">
      <c r="A2372" t="s">
        <v>2452</v>
      </c>
      <c r="B2372" s="1">
        <v>46267</v>
      </c>
      <c r="C2372" t="str">
        <f>TEXT(tblData[[#This Row],[Rental Date]],"mmm")</f>
        <v>Sep</v>
      </c>
      <c r="D2372" t="str">
        <f>TEXT(tblData[[#This Row],[Rental Date]],"mmmm")</f>
        <v>September</v>
      </c>
      <c r="E2372" t="s">
        <v>109</v>
      </c>
      <c r="F2372" t="str">
        <f>TEXT(WEEKNUM(tblData[[#This Row],[Rental Date]]),"00")</f>
        <v>36</v>
      </c>
      <c r="G2372" s="1">
        <f>EOMONTH(tblData[[#This Row],[Rental Date]],0)</f>
        <v>46295</v>
      </c>
      <c r="H2372" t="s">
        <v>2441</v>
      </c>
      <c r="I2372" t="s">
        <v>39</v>
      </c>
      <c r="J2372" t="s">
        <v>78</v>
      </c>
      <c r="K2372" t="s">
        <v>40</v>
      </c>
      <c r="L2372">
        <v>1</v>
      </c>
      <c r="M2372" s="2">
        <v>62</v>
      </c>
      <c r="N2372" t="s">
        <v>26</v>
      </c>
      <c r="O2372" s="3">
        <v>0</v>
      </c>
      <c r="P2372" s="3">
        <v>0</v>
      </c>
      <c r="Q2372" s="2">
        <v>62</v>
      </c>
      <c r="R2372" t="s">
        <v>57</v>
      </c>
      <c r="S2372" t="s">
        <v>50</v>
      </c>
      <c r="T2372" t="s">
        <v>51</v>
      </c>
      <c r="U2372" t="s">
        <v>36</v>
      </c>
    </row>
    <row r="2373" spans="1:21" x14ac:dyDescent="0.35">
      <c r="A2373" t="s">
        <v>2453</v>
      </c>
      <c r="B2373" s="1">
        <v>46267</v>
      </c>
      <c r="C2373" t="str">
        <f>TEXT(tblData[[#This Row],[Rental Date]],"mmm")</f>
        <v>Sep</v>
      </c>
      <c r="D2373" t="str">
        <f>TEXT(tblData[[#This Row],[Rental Date]],"mmmm")</f>
        <v>September</v>
      </c>
      <c r="E2373" t="s">
        <v>109</v>
      </c>
      <c r="F2373" t="str">
        <f>TEXT(WEEKNUM(tblData[[#This Row],[Rental Date]]),"00")</f>
        <v>36</v>
      </c>
      <c r="G2373" s="1">
        <f>EOMONTH(tblData[[#This Row],[Rental Date]],0)</f>
        <v>46295</v>
      </c>
      <c r="H2373" t="s">
        <v>2441</v>
      </c>
      <c r="I2373" t="s">
        <v>39</v>
      </c>
      <c r="J2373" t="s">
        <v>78</v>
      </c>
      <c r="K2373" t="s">
        <v>60</v>
      </c>
      <c r="L2373">
        <v>1</v>
      </c>
      <c r="M2373" s="2">
        <v>26</v>
      </c>
      <c r="N2373" t="s">
        <v>75</v>
      </c>
      <c r="O2373" s="3">
        <v>12</v>
      </c>
      <c r="P2373" s="3">
        <v>0</v>
      </c>
      <c r="Q2373" s="2">
        <v>38</v>
      </c>
      <c r="R2373" t="s">
        <v>62</v>
      </c>
      <c r="S2373" t="s">
        <v>54</v>
      </c>
      <c r="T2373" t="s">
        <v>90</v>
      </c>
      <c r="U2373" t="s">
        <v>58</v>
      </c>
    </row>
    <row r="2374" spans="1:21" x14ac:dyDescent="0.35">
      <c r="A2374" t="s">
        <v>2454</v>
      </c>
      <c r="B2374" s="1">
        <v>46267</v>
      </c>
      <c r="C2374" t="str">
        <f>TEXT(tblData[[#This Row],[Rental Date]],"mmm")</f>
        <v>Sep</v>
      </c>
      <c r="D2374" t="str">
        <f>TEXT(tblData[[#This Row],[Rental Date]],"mmmm")</f>
        <v>September</v>
      </c>
      <c r="E2374" t="s">
        <v>109</v>
      </c>
      <c r="F2374" t="str">
        <f>TEXT(WEEKNUM(tblData[[#This Row],[Rental Date]]),"00")</f>
        <v>36</v>
      </c>
      <c r="G2374" s="1">
        <f>EOMONTH(tblData[[#This Row],[Rental Date]],0)</f>
        <v>46295</v>
      </c>
      <c r="H2374" t="s">
        <v>2441</v>
      </c>
      <c r="I2374" t="s">
        <v>48</v>
      </c>
      <c r="J2374" t="s">
        <v>33</v>
      </c>
      <c r="K2374" t="s">
        <v>92</v>
      </c>
      <c r="L2374">
        <v>1</v>
      </c>
      <c r="M2374" s="2">
        <v>84</v>
      </c>
      <c r="N2374" t="s">
        <v>26</v>
      </c>
      <c r="O2374" s="3">
        <v>0</v>
      </c>
      <c r="P2374" s="3">
        <v>0</v>
      </c>
      <c r="Q2374" s="2">
        <v>84</v>
      </c>
      <c r="R2374" t="s">
        <v>42</v>
      </c>
      <c r="S2374" t="s">
        <v>50</v>
      </c>
      <c r="T2374" t="s">
        <v>90</v>
      </c>
      <c r="U2374" t="s">
        <v>30</v>
      </c>
    </row>
    <row r="2375" spans="1:21" x14ac:dyDescent="0.35">
      <c r="A2375" t="s">
        <v>2455</v>
      </c>
      <c r="B2375" s="1">
        <v>46267</v>
      </c>
      <c r="C2375" t="str">
        <f>TEXT(tblData[[#This Row],[Rental Date]],"mmm")</f>
        <v>Sep</v>
      </c>
      <c r="D2375" t="str">
        <f>TEXT(tblData[[#This Row],[Rental Date]],"mmmm")</f>
        <v>September</v>
      </c>
      <c r="E2375" t="s">
        <v>109</v>
      </c>
      <c r="F2375" t="str">
        <f>TEXT(WEEKNUM(tblData[[#This Row],[Rental Date]]),"00")</f>
        <v>36</v>
      </c>
      <c r="G2375" s="1">
        <f>EOMONTH(tblData[[#This Row],[Rental Date]],0)</f>
        <v>46295</v>
      </c>
      <c r="H2375" t="s">
        <v>2441</v>
      </c>
      <c r="I2375" t="s">
        <v>39</v>
      </c>
      <c r="J2375" t="s">
        <v>49</v>
      </c>
      <c r="K2375" t="s">
        <v>40</v>
      </c>
      <c r="L2375">
        <v>1</v>
      </c>
      <c r="M2375" s="2">
        <v>54</v>
      </c>
      <c r="N2375" t="s">
        <v>26</v>
      </c>
      <c r="O2375" s="3">
        <v>0</v>
      </c>
      <c r="P2375" s="3">
        <v>0</v>
      </c>
      <c r="Q2375" s="2">
        <v>54</v>
      </c>
      <c r="R2375" t="s">
        <v>66</v>
      </c>
      <c r="S2375" t="s">
        <v>28</v>
      </c>
      <c r="T2375" t="s">
        <v>29</v>
      </c>
      <c r="U2375" t="s">
        <v>30</v>
      </c>
    </row>
    <row r="2376" spans="1:21" x14ac:dyDescent="0.35">
      <c r="A2376" t="s">
        <v>2456</v>
      </c>
      <c r="B2376" s="1">
        <v>46267</v>
      </c>
      <c r="C2376" t="str">
        <f>TEXT(tblData[[#This Row],[Rental Date]],"mmm")</f>
        <v>Sep</v>
      </c>
      <c r="D2376" t="str">
        <f>TEXT(tblData[[#This Row],[Rental Date]],"mmmm")</f>
        <v>September</v>
      </c>
      <c r="E2376" t="s">
        <v>109</v>
      </c>
      <c r="F2376" t="str">
        <f>TEXT(WEEKNUM(tblData[[#This Row],[Rental Date]]),"00")</f>
        <v>36</v>
      </c>
      <c r="G2376" s="1">
        <f>EOMONTH(tblData[[#This Row],[Rental Date]],0)</f>
        <v>46295</v>
      </c>
      <c r="H2376" t="s">
        <v>2441</v>
      </c>
      <c r="I2376" t="s">
        <v>23</v>
      </c>
      <c r="J2376" t="s">
        <v>111</v>
      </c>
      <c r="K2376" t="s">
        <v>40</v>
      </c>
      <c r="L2376">
        <v>1</v>
      </c>
      <c r="M2376" s="2">
        <v>34</v>
      </c>
      <c r="N2376" t="s">
        <v>70</v>
      </c>
      <c r="O2376" s="3">
        <v>7</v>
      </c>
      <c r="P2376" s="3">
        <v>2.0499999999999998</v>
      </c>
      <c r="Q2376" s="2">
        <v>38.950000000000003</v>
      </c>
      <c r="R2376" t="s">
        <v>45</v>
      </c>
      <c r="S2376" t="s">
        <v>50</v>
      </c>
      <c r="T2376" t="s">
        <v>29</v>
      </c>
      <c r="U2376" t="s">
        <v>30</v>
      </c>
    </row>
    <row r="2377" spans="1:21" x14ac:dyDescent="0.35">
      <c r="A2377" t="s">
        <v>2457</v>
      </c>
      <c r="B2377" s="1">
        <v>46267</v>
      </c>
      <c r="C2377" t="str">
        <f>TEXT(tblData[[#This Row],[Rental Date]],"mmm")</f>
        <v>Sep</v>
      </c>
      <c r="D2377" t="str">
        <f>TEXT(tblData[[#This Row],[Rental Date]],"mmmm")</f>
        <v>September</v>
      </c>
      <c r="E2377" t="s">
        <v>109</v>
      </c>
      <c r="F2377" t="str">
        <f>TEXT(WEEKNUM(tblData[[#This Row],[Rental Date]]),"00")</f>
        <v>36</v>
      </c>
      <c r="G2377" s="1">
        <f>EOMONTH(tblData[[#This Row],[Rental Date]],0)</f>
        <v>46295</v>
      </c>
      <c r="H2377" t="s">
        <v>2441</v>
      </c>
      <c r="I2377" t="s">
        <v>48</v>
      </c>
      <c r="J2377" t="s">
        <v>49</v>
      </c>
      <c r="K2377" t="s">
        <v>60</v>
      </c>
      <c r="L2377">
        <v>1</v>
      </c>
      <c r="M2377" s="2">
        <v>22</v>
      </c>
      <c r="N2377" t="s">
        <v>26</v>
      </c>
      <c r="O2377" s="3">
        <v>0</v>
      </c>
      <c r="P2377" s="3">
        <v>0</v>
      </c>
      <c r="Q2377" s="2">
        <v>22</v>
      </c>
      <c r="R2377" t="s">
        <v>42</v>
      </c>
      <c r="S2377" t="s">
        <v>50</v>
      </c>
      <c r="T2377" t="s">
        <v>90</v>
      </c>
      <c r="U2377" t="s">
        <v>30</v>
      </c>
    </row>
    <row r="2378" spans="1:21" x14ac:dyDescent="0.35">
      <c r="A2378" t="s">
        <v>2458</v>
      </c>
      <c r="B2378" s="1">
        <v>46267</v>
      </c>
      <c r="C2378" t="str">
        <f>TEXT(tblData[[#This Row],[Rental Date]],"mmm")</f>
        <v>Sep</v>
      </c>
      <c r="D2378" t="str">
        <f>TEXT(tblData[[#This Row],[Rental Date]],"mmmm")</f>
        <v>September</v>
      </c>
      <c r="E2378" t="s">
        <v>109</v>
      </c>
      <c r="F2378" t="str">
        <f>TEXT(WEEKNUM(tblData[[#This Row],[Rental Date]]),"00")</f>
        <v>36</v>
      </c>
      <c r="G2378" s="1">
        <f>EOMONTH(tblData[[#This Row],[Rental Date]],0)</f>
        <v>46295</v>
      </c>
      <c r="H2378" t="s">
        <v>2441</v>
      </c>
      <c r="I2378" t="s">
        <v>32</v>
      </c>
      <c r="J2378" t="s">
        <v>33</v>
      </c>
      <c r="K2378" t="s">
        <v>40</v>
      </c>
      <c r="L2378">
        <v>1</v>
      </c>
      <c r="M2378" s="2">
        <v>58</v>
      </c>
      <c r="N2378" t="s">
        <v>26</v>
      </c>
      <c r="O2378" s="3">
        <v>0</v>
      </c>
      <c r="P2378" s="3">
        <v>5.8</v>
      </c>
      <c r="Q2378" s="2">
        <v>52.2</v>
      </c>
      <c r="R2378" t="s">
        <v>42</v>
      </c>
      <c r="S2378" t="s">
        <v>28</v>
      </c>
      <c r="T2378" t="s">
        <v>29</v>
      </c>
      <c r="U2378" t="s">
        <v>30</v>
      </c>
    </row>
    <row r="2379" spans="1:21" x14ac:dyDescent="0.35">
      <c r="A2379" t="s">
        <v>2459</v>
      </c>
      <c r="B2379" s="1">
        <v>46268</v>
      </c>
      <c r="C2379" t="str">
        <f>TEXT(tblData[[#This Row],[Rental Date]],"mmm")</f>
        <v>Sep</v>
      </c>
      <c r="D2379" t="str">
        <f>TEXT(tblData[[#This Row],[Rental Date]],"mmmm")</f>
        <v>September</v>
      </c>
      <c r="E2379" t="s">
        <v>21</v>
      </c>
      <c r="F2379" t="str">
        <f>TEXT(WEEKNUM(tblData[[#This Row],[Rental Date]]),"00")</f>
        <v>36</v>
      </c>
      <c r="G2379" s="1">
        <f>EOMONTH(tblData[[#This Row],[Rental Date]],0)</f>
        <v>46295</v>
      </c>
      <c r="H2379" t="s">
        <v>2441</v>
      </c>
      <c r="I2379" t="s">
        <v>48</v>
      </c>
      <c r="J2379" t="s">
        <v>65</v>
      </c>
      <c r="K2379" t="s">
        <v>92</v>
      </c>
      <c r="L2379">
        <v>1</v>
      </c>
      <c r="M2379" s="2">
        <v>40</v>
      </c>
      <c r="N2379" t="s">
        <v>26</v>
      </c>
      <c r="O2379" s="3">
        <v>0</v>
      </c>
      <c r="P2379" s="3">
        <v>0</v>
      </c>
      <c r="Q2379" s="2">
        <v>40</v>
      </c>
      <c r="R2379" t="s">
        <v>71</v>
      </c>
      <c r="S2379" t="s">
        <v>28</v>
      </c>
      <c r="T2379" t="s">
        <v>51</v>
      </c>
      <c r="U2379" t="s">
        <v>58</v>
      </c>
    </row>
    <row r="2380" spans="1:21" x14ac:dyDescent="0.35">
      <c r="A2380" t="s">
        <v>2460</v>
      </c>
      <c r="B2380" s="1">
        <v>46268</v>
      </c>
      <c r="C2380" t="str">
        <f>TEXT(tblData[[#This Row],[Rental Date]],"mmm")</f>
        <v>Sep</v>
      </c>
      <c r="D2380" t="str">
        <f>TEXT(tblData[[#This Row],[Rental Date]],"mmmm")</f>
        <v>September</v>
      </c>
      <c r="E2380" t="s">
        <v>21</v>
      </c>
      <c r="F2380" t="str">
        <f>TEXT(WEEKNUM(tblData[[#This Row],[Rental Date]]),"00")</f>
        <v>36</v>
      </c>
      <c r="G2380" s="1">
        <f>EOMONTH(tblData[[#This Row],[Rental Date]],0)</f>
        <v>46295</v>
      </c>
      <c r="H2380" t="s">
        <v>2441</v>
      </c>
      <c r="I2380" t="s">
        <v>48</v>
      </c>
      <c r="J2380" t="s">
        <v>49</v>
      </c>
      <c r="K2380" t="s">
        <v>92</v>
      </c>
      <c r="L2380">
        <v>1</v>
      </c>
      <c r="M2380" s="2">
        <v>76</v>
      </c>
      <c r="N2380" t="s">
        <v>70</v>
      </c>
      <c r="O2380" s="3">
        <v>7</v>
      </c>
      <c r="P2380" s="3">
        <v>0</v>
      </c>
      <c r="Q2380" s="2">
        <v>83</v>
      </c>
      <c r="R2380" t="s">
        <v>27</v>
      </c>
      <c r="S2380" t="s">
        <v>28</v>
      </c>
      <c r="T2380" t="s">
        <v>63</v>
      </c>
      <c r="U2380" t="s">
        <v>30</v>
      </c>
    </row>
    <row r="2381" spans="1:21" x14ac:dyDescent="0.35">
      <c r="A2381" t="s">
        <v>2461</v>
      </c>
      <c r="B2381" s="1">
        <v>46268</v>
      </c>
      <c r="C2381" t="str">
        <f>TEXT(tblData[[#This Row],[Rental Date]],"mmm")</f>
        <v>Sep</v>
      </c>
      <c r="D2381" t="str">
        <f>TEXT(tblData[[#This Row],[Rental Date]],"mmmm")</f>
        <v>September</v>
      </c>
      <c r="E2381" t="s">
        <v>21</v>
      </c>
      <c r="F2381" t="str">
        <f>TEXT(WEEKNUM(tblData[[#This Row],[Rental Date]]),"00")</f>
        <v>36</v>
      </c>
      <c r="G2381" s="1">
        <f>EOMONTH(tblData[[#This Row],[Rental Date]],0)</f>
        <v>46295</v>
      </c>
      <c r="H2381" t="s">
        <v>2441</v>
      </c>
      <c r="I2381" t="s">
        <v>32</v>
      </c>
      <c r="J2381" t="s">
        <v>78</v>
      </c>
      <c r="K2381" t="s">
        <v>25</v>
      </c>
      <c r="L2381">
        <v>1</v>
      </c>
      <c r="M2381" s="2">
        <v>42</v>
      </c>
      <c r="N2381" t="s">
        <v>26</v>
      </c>
      <c r="O2381" s="3">
        <v>0</v>
      </c>
      <c r="P2381" s="3">
        <v>2.1</v>
      </c>
      <c r="Q2381" s="2">
        <v>39.9</v>
      </c>
      <c r="R2381" t="s">
        <v>62</v>
      </c>
      <c r="S2381" t="s">
        <v>28</v>
      </c>
      <c r="T2381" t="s">
        <v>63</v>
      </c>
      <c r="U2381" t="s">
        <v>30</v>
      </c>
    </row>
    <row r="2382" spans="1:21" x14ac:dyDescent="0.35">
      <c r="A2382" t="s">
        <v>2462</v>
      </c>
      <c r="B2382" s="1">
        <v>46268</v>
      </c>
      <c r="C2382" t="str">
        <f>TEXT(tblData[[#This Row],[Rental Date]],"mmm")</f>
        <v>Sep</v>
      </c>
      <c r="D2382" t="str">
        <f>TEXT(tblData[[#This Row],[Rental Date]],"mmmm")</f>
        <v>September</v>
      </c>
      <c r="E2382" t="s">
        <v>21</v>
      </c>
      <c r="F2382" t="str">
        <f>TEXT(WEEKNUM(tblData[[#This Row],[Rental Date]]),"00")</f>
        <v>36</v>
      </c>
      <c r="G2382" s="1">
        <f>EOMONTH(tblData[[#This Row],[Rental Date]],0)</f>
        <v>46295</v>
      </c>
      <c r="H2382" t="s">
        <v>2441</v>
      </c>
      <c r="I2382" t="s">
        <v>39</v>
      </c>
      <c r="J2382" t="s">
        <v>111</v>
      </c>
      <c r="K2382" t="s">
        <v>60</v>
      </c>
      <c r="L2382">
        <v>1</v>
      </c>
      <c r="M2382" s="2">
        <v>14</v>
      </c>
      <c r="N2382" t="s">
        <v>41</v>
      </c>
      <c r="O2382" s="3">
        <v>5</v>
      </c>
      <c r="P2382" s="3">
        <v>0</v>
      </c>
      <c r="Q2382" s="2">
        <v>19</v>
      </c>
      <c r="R2382" t="s">
        <v>42</v>
      </c>
      <c r="S2382" t="s">
        <v>54</v>
      </c>
      <c r="T2382" t="s">
        <v>29</v>
      </c>
      <c r="U2382" t="s">
        <v>30</v>
      </c>
    </row>
    <row r="2383" spans="1:21" x14ac:dyDescent="0.35">
      <c r="A2383" t="s">
        <v>2463</v>
      </c>
      <c r="B2383" s="1">
        <v>46268</v>
      </c>
      <c r="C2383" t="str">
        <f>TEXT(tblData[[#This Row],[Rental Date]],"mmm")</f>
        <v>Sep</v>
      </c>
      <c r="D2383" t="str">
        <f>TEXT(tblData[[#This Row],[Rental Date]],"mmmm")</f>
        <v>September</v>
      </c>
      <c r="E2383" t="s">
        <v>21</v>
      </c>
      <c r="F2383" t="str">
        <f>TEXT(WEEKNUM(tblData[[#This Row],[Rental Date]]),"00")</f>
        <v>36</v>
      </c>
      <c r="G2383" s="1">
        <f>EOMONTH(tblData[[#This Row],[Rental Date]],0)</f>
        <v>46295</v>
      </c>
      <c r="H2383" t="s">
        <v>2441</v>
      </c>
      <c r="I2383" t="s">
        <v>48</v>
      </c>
      <c r="J2383" t="s">
        <v>33</v>
      </c>
      <c r="K2383" t="s">
        <v>60</v>
      </c>
      <c r="L2383">
        <v>1</v>
      </c>
      <c r="M2383" s="2">
        <v>24</v>
      </c>
      <c r="N2383" t="s">
        <v>26</v>
      </c>
      <c r="O2383" s="3">
        <v>0</v>
      </c>
      <c r="P2383" s="3">
        <v>0</v>
      </c>
      <c r="Q2383" s="2">
        <v>24</v>
      </c>
      <c r="R2383" t="s">
        <v>57</v>
      </c>
      <c r="S2383" t="s">
        <v>46</v>
      </c>
      <c r="T2383" t="s">
        <v>29</v>
      </c>
      <c r="U2383" t="s">
        <v>30</v>
      </c>
    </row>
    <row r="2384" spans="1:21" x14ac:dyDescent="0.35">
      <c r="A2384" t="s">
        <v>2464</v>
      </c>
      <c r="B2384" s="1">
        <v>46268</v>
      </c>
      <c r="C2384" t="str">
        <f>TEXT(tblData[[#This Row],[Rental Date]],"mmm")</f>
        <v>Sep</v>
      </c>
      <c r="D2384" t="str">
        <f>TEXT(tblData[[#This Row],[Rental Date]],"mmmm")</f>
        <v>September</v>
      </c>
      <c r="E2384" t="s">
        <v>21</v>
      </c>
      <c r="F2384" t="str">
        <f>TEXT(WEEKNUM(tblData[[#This Row],[Rental Date]]),"00")</f>
        <v>36</v>
      </c>
      <c r="G2384" s="1">
        <f>EOMONTH(tblData[[#This Row],[Rental Date]],0)</f>
        <v>46295</v>
      </c>
      <c r="H2384" t="s">
        <v>2441</v>
      </c>
      <c r="I2384" t="s">
        <v>39</v>
      </c>
      <c r="J2384" t="s">
        <v>111</v>
      </c>
      <c r="K2384" t="s">
        <v>25</v>
      </c>
      <c r="L2384">
        <v>1</v>
      </c>
      <c r="M2384" s="2">
        <v>22</v>
      </c>
      <c r="N2384" t="s">
        <v>89</v>
      </c>
      <c r="O2384" s="3">
        <v>6</v>
      </c>
      <c r="P2384" s="3">
        <v>0</v>
      </c>
      <c r="Q2384" s="2">
        <v>28</v>
      </c>
      <c r="R2384" t="s">
        <v>71</v>
      </c>
      <c r="S2384" t="s">
        <v>35</v>
      </c>
      <c r="T2384" t="s">
        <v>29</v>
      </c>
      <c r="U2384" t="s">
        <v>58</v>
      </c>
    </row>
    <row r="2385" spans="1:21" x14ac:dyDescent="0.35">
      <c r="A2385" t="s">
        <v>2465</v>
      </c>
      <c r="B2385" s="1">
        <v>46268</v>
      </c>
      <c r="C2385" t="str">
        <f>TEXT(tblData[[#This Row],[Rental Date]],"mmm")</f>
        <v>Sep</v>
      </c>
      <c r="D2385" t="str">
        <f>TEXT(tblData[[#This Row],[Rental Date]],"mmmm")</f>
        <v>September</v>
      </c>
      <c r="E2385" t="s">
        <v>21</v>
      </c>
      <c r="F2385" t="str">
        <f>TEXT(WEEKNUM(tblData[[#This Row],[Rental Date]]),"00")</f>
        <v>36</v>
      </c>
      <c r="G2385" s="1">
        <f>EOMONTH(tblData[[#This Row],[Rental Date]],0)</f>
        <v>46295</v>
      </c>
      <c r="H2385" t="s">
        <v>2441</v>
      </c>
      <c r="I2385" t="s">
        <v>48</v>
      </c>
      <c r="J2385" t="s">
        <v>78</v>
      </c>
      <c r="K2385" t="s">
        <v>92</v>
      </c>
      <c r="L2385">
        <v>1</v>
      </c>
      <c r="M2385" s="2">
        <v>88</v>
      </c>
      <c r="N2385" t="s">
        <v>87</v>
      </c>
      <c r="O2385" s="3">
        <v>10</v>
      </c>
      <c r="P2385" s="3">
        <v>0</v>
      </c>
      <c r="Q2385" s="2">
        <v>98</v>
      </c>
      <c r="R2385" t="s">
        <v>57</v>
      </c>
      <c r="S2385" t="s">
        <v>35</v>
      </c>
      <c r="T2385" t="s">
        <v>51</v>
      </c>
      <c r="U2385" t="s">
        <v>30</v>
      </c>
    </row>
    <row r="2386" spans="1:21" x14ac:dyDescent="0.35">
      <c r="A2386" t="s">
        <v>2466</v>
      </c>
      <c r="B2386" s="1">
        <v>46268</v>
      </c>
      <c r="C2386" t="str">
        <f>TEXT(tblData[[#This Row],[Rental Date]],"mmm")</f>
        <v>Sep</v>
      </c>
      <c r="D2386" t="str">
        <f>TEXT(tblData[[#This Row],[Rental Date]],"mmmm")</f>
        <v>September</v>
      </c>
      <c r="E2386" t="s">
        <v>21</v>
      </c>
      <c r="F2386" t="str">
        <f>TEXT(WEEKNUM(tblData[[#This Row],[Rental Date]]),"00")</f>
        <v>36</v>
      </c>
      <c r="G2386" s="1">
        <f>EOMONTH(tblData[[#This Row],[Rental Date]],0)</f>
        <v>46295</v>
      </c>
      <c r="H2386" t="s">
        <v>2441</v>
      </c>
      <c r="I2386" t="s">
        <v>23</v>
      </c>
      <c r="J2386" t="s">
        <v>33</v>
      </c>
      <c r="K2386" t="s">
        <v>60</v>
      </c>
      <c r="L2386">
        <v>1</v>
      </c>
      <c r="M2386" s="2">
        <v>24</v>
      </c>
      <c r="N2386" t="s">
        <v>89</v>
      </c>
      <c r="O2386" s="3">
        <v>6</v>
      </c>
      <c r="P2386" s="3">
        <v>0</v>
      </c>
      <c r="Q2386" s="2">
        <v>30</v>
      </c>
      <c r="R2386" t="s">
        <v>66</v>
      </c>
      <c r="S2386" t="s">
        <v>28</v>
      </c>
      <c r="T2386" t="s">
        <v>63</v>
      </c>
      <c r="U2386" t="s">
        <v>79</v>
      </c>
    </row>
    <row r="2387" spans="1:21" x14ac:dyDescent="0.35">
      <c r="A2387" t="s">
        <v>2467</v>
      </c>
      <c r="B2387" s="1">
        <v>46269</v>
      </c>
      <c r="C2387" t="str">
        <f>TEXT(tblData[[#This Row],[Rental Date]],"mmm")</f>
        <v>Sep</v>
      </c>
      <c r="D2387" t="str">
        <f>TEXT(tblData[[#This Row],[Rental Date]],"mmmm")</f>
        <v>September</v>
      </c>
      <c r="E2387" t="s">
        <v>38</v>
      </c>
      <c r="F2387" t="str">
        <f>TEXT(WEEKNUM(tblData[[#This Row],[Rental Date]]),"00")</f>
        <v>36</v>
      </c>
      <c r="G2387" s="1">
        <f>EOMONTH(tblData[[#This Row],[Rental Date]],0)</f>
        <v>46295</v>
      </c>
      <c r="H2387" t="s">
        <v>2441</v>
      </c>
      <c r="I2387" t="s">
        <v>48</v>
      </c>
      <c r="J2387" t="s">
        <v>111</v>
      </c>
      <c r="K2387" t="s">
        <v>25</v>
      </c>
      <c r="L2387">
        <v>1</v>
      </c>
      <c r="M2387" s="2">
        <v>22</v>
      </c>
      <c r="N2387" t="s">
        <v>61</v>
      </c>
      <c r="O2387" s="3">
        <v>8</v>
      </c>
      <c r="P2387" s="3">
        <v>0</v>
      </c>
      <c r="Q2387" s="2">
        <v>30</v>
      </c>
      <c r="R2387" t="s">
        <v>45</v>
      </c>
      <c r="S2387" t="s">
        <v>28</v>
      </c>
      <c r="T2387" t="s">
        <v>83</v>
      </c>
      <c r="U2387" t="s">
        <v>58</v>
      </c>
    </row>
    <row r="2388" spans="1:21" x14ac:dyDescent="0.35">
      <c r="A2388" t="s">
        <v>2468</v>
      </c>
      <c r="B2388" s="1">
        <v>46269</v>
      </c>
      <c r="C2388" t="str">
        <f>TEXT(tblData[[#This Row],[Rental Date]],"mmm")</f>
        <v>Sep</v>
      </c>
      <c r="D2388" t="str">
        <f>TEXT(tblData[[#This Row],[Rental Date]],"mmmm")</f>
        <v>September</v>
      </c>
      <c r="E2388" t="s">
        <v>38</v>
      </c>
      <c r="F2388" t="str">
        <f>TEXT(WEEKNUM(tblData[[#This Row],[Rental Date]]),"00")</f>
        <v>36</v>
      </c>
      <c r="G2388" s="1">
        <f>EOMONTH(tblData[[#This Row],[Rental Date]],0)</f>
        <v>46295</v>
      </c>
      <c r="H2388" t="s">
        <v>2441</v>
      </c>
      <c r="I2388" t="s">
        <v>23</v>
      </c>
      <c r="J2388" t="s">
        <v>78</v>
      </c>
      <c r="K2388" t="s">
        <v>40</v>
      </c>
      <c r="L2388">
        <v>1</v>
      </c>
      <c r="M2388" s="2">
        <v>62</v>
      </c>
      <c r="N2388" t="s">
        <v>61</v>
      </c>
      <c r="O2388" s="3">
        <v>8</v>
      </c>
      <c r="P2388" s="3">
        <v>0</v>
      </c>
      <c r="Q2388" s="2">
        <v>70</v>
      </c>
      <c r="R2388" t="s">
        <v>45</v>
      </c>
      <c r="S2388" t="s">
        <v>50</v>
      </c>
      <c r="T2388" t="s">
        <v>29</v>
      </c>
      <c r="U2388" t="s">
        <v>30</v>
      </c>
    </row>
    <row r="2389" spans="1:21" x14ac:dyDescent="0.35">
      <c r="A2389" t="s">
        <v>2469</v>
      </c>
      <c r="B2389" s="1">
        <v>46269</v>
      </c>
      <c r="C2389" t="str">
        <f>TEXT(tblData[[#This Row],[Rental Date]],"mmm")</f>
        <v>Sep</v>
      </c>
      <c r="D2389" t="str">
        <f>TEXT(tblData[[#This Row],[Rental Date]],"mmmm")</f>
        <v>September</v>
      </c>
      <c r="E2389" t="s">
        <v>38</v>
      </c>
      <c r="F2389" t="str">
        <f>TEXT(WEEKNUM(tblData[[#This Row],[Rental Date]]),"00")</f>
        <v>36</v>
      </c>
      <c r="G2389" s="1">
        <f>EOMONTH(tblData[[#This Row],[Rental Date]],0)</f>
        <v>46295</v>
      </c>
      <c r="H2389" t="s">
        <v>2441</v>
      </c>
      <c r="I2389" t="s">
        <v>48</v>
      </c>
      <c r="J2389" t="s">
        <v>138</v>
      </c>
      <c r="K2389" t="s">
        <v>25</v>
      </c>
      <c r="L2389">
        <v>1</v>
      </c>
      <c r="M2389" s="2">
        <v>48</v>
      </c>
      <c r="N2389" t="s">
        <v>26</v>
      </c>
      <c r="O2389" s="3">
        <v>0</v>
      </c>
      <c r="P2389" s="3">
        <v>0</v>
      </c>
      <c r="Q2389" s="2">
        <v>48</v>
      </c>
      <c r="R2389" t="s">
        <v>71</v>
      </c>
      <c r="S2389" t="s">
        <v>28</v>
      </c>
      <c r="T2389" t="s">
        <v>51</v>
      </c>
      <c r="U2389" t="s">
        <v>30</v>
      </c>
    </row>
    <row r="2390" spans="1:21" x14ac:dyDescent="0.35">
      <c r="A2390" t="s">
        <v>2470</v>
      </c>
      <c r="B2390" s="1">
        <v>46269</v>
      </c>
      <c r="C2390" t="str">
        <f>TEXT(tblData[[#This Row],[Rental Date]],"mmm")</f>
        <v>Sep</v>
      </c>
      <c r="D2390" t="str">
        <f>TEXT(tblData[[#This Row],[Rental Date]],"mmmm")</f>
        <v>September</v>
      </c>
      <c r="E2390" t="s">
        <v>38</v>
      </c>
      <c r="F2390" t="str">
        <f>TEXT(WEEKNUM(tblData[[#This Row],[Rental Date]]),"00")</f>
        <v>36</v>
      </c>
      <c r="G2390" s="1">
        <f>EOMONTH(tblData[[#This Row],[Rental Date]],0)</f>
        <v>46295</v>
      </c>
      <c r="H2390" t="s">
        <v>2441</v>
      </c>
      <c r="I2390" t="s">
        <v>23</v>
      </c>
      <c r="J2390" t="s">
        <v>78</v>
      </c>
      <c r="K2390" t="s">
        <v>60</v>
      </c>
      <c r="L2390">
        <v>1</v>
      </c>
      <c r="M2390" s="2">
        <v>26</v>
      </c>
      <c r="N2390" t="s">
        <v>26</v>
      </c>
      <c r="O2390" s="3">
        <v>0</v>
      </c>
      <c r="P2390" s="3">
        <v>0</v>
      </c>
      <c r="Q2390" s="2">
        <v>26</v>
      </c>
      <c r="R2390" t="s">
        <v>66</v>
      </c>
      <c r="S2390" t="s">
        <v>50</v>
      </c>
      <c r="T2390" t="s">
        <v>51</v>
      </c>
      <c r="U2390" t="s">
        <v>30</v>
      </c>
    </row>
    <row r="2391" spans="1:21" x14ac:dyDescent="0.35">
      <c r="A2391" t="s">
        <v>2471</v>
      </c>
      <c r="B2391" s="1">
        <v>46269</v>
      </c>
      <c r="C2391" t="str">
        <f>TEXT(tblData[[#This Row],[Rental Date]],"mmm")</f>
        <v>Sep</v>
      </c>
      <c r="D2391" t="str">
        <f>TEXT(tblData[[#This Row],[Rental Date]],"mmmm")</f>
        <v>September</v>
      </c>
      <c r="E2391" t="s">
        <v>38</v>
      </c>
      <c r="F2391" t="str">
        <f>TEXT(WEEKNUM(tblData[[#This Row],[Rental Date]]),"00")</f>
        <v>36</v>
      </c>
      <c r="G2391" s="1">
        <f>EOMONTH(tblData[[#This Row],[Rental Date]],0)</f>
        <v>46295</v>
      </c>
      <c r="H2391" t="s">
        <v>2441</v>
      </c>
      <c r="I2391" t="s">
        <v>39</v>
      </c>
      <c r="J2391" t="s">
        <v>24</v>
      </c>
      <c r="K2391" t="s">
        <v>25</v>
      </c>
      <c r="L2391">
        <v>1</v>
      </c>
      <c r="M2391" s="2">
        <v>50</v>
      </c>
      <c r="N2391" t="s">
        <v>87</v>
      </c>
      <c r="O2391" s="3">
        <v>10</v>
      </c>
      <c r="P2391" s="3">
        <v>0</v>
      </c>
      <c r="Q2391" s="2">
        <v>60</v>
      </c>
      <c r="R2391" t="s">
        <v>71</v>
      </c>
      <c r="S2391" t="s">
        <v>50</v>
      </c>
      <c r="T2391" t="s">
        <v>63</v>
      </c>
      <c r="U2391" t="s">
        <v>30</v>
      </c>
    </row>
    <row r="2392" spans="1:21" x14ac:dyDescent="0.35">
      <c r="A2392" t="s">
        <v>2472</v>
      </c>
      <c r="B2392" s="1">
        <v>46269</v>
      </c>
      <c r="C2392" t="str">
        <f>TEXT(tblData[[#This Row],[Rental Date]],"mmm")</f>
        <v>Sep</v>
      </c>
      <c r="D2392" t="str">
        <f>TEXT(tblData[[#This Row],[Rental Date]],"mmmm")</f>
        <v>September</v>
      </c>
      <c r="E2392" t="s">
        <v>38</v>
      </c>
      <c r="F2392" t="str">
        <f>TEXT(WEEKNUM(tblData[[#This Row],[Rental Date]]),"00")</f>
        <v>36</v>
      </c>
      <c r="G2392" s="1">
        <f>EOMONTH(tblData[[#This Row],[Rental Date]],0)</f>
        <v>46295</v>
      </c>
      <c r="H2392" t="s">
        <v>2441</v>
      </c>
      <c r="I2392" t="s">
        <v>39</v>
      </c>
      <c r="J2392" t="s">
        <v>127</v>
      </c>
      <c r="K2392" t="s">
        <v>25</v>
      </c>
      <c r="L2392">
        <v>1</v>
      </c>
      <c r="M2392" s="2">
        <v>16</v>
      </c>
      <c r="N2392" t="s">
        <v>26</v>
      </c>
      <c r="O2392" s="3">
        <v>0</v>
      </c>
      <c r="P2392" s="3">
        <v>0</v>
      </c>
      <c r="Q2392" s="2">
        <v>16</v>
      </c>
      <c r="R2392" t="s">
        <v>94</v>
      </c>
      <c r="S2392" t="s">
        <v>54</v>
      </c>
      <c r="T2392" t="s">
        <v>29</v>
      </c>
      <c r="U2392" t="s">
        <v>36</v>
      </c>
    </row>
    <row r="2393" spans="1:21" x14ac:dyDescent="0.35">
      <c r="A2393" t="s">
        <v>2473</v>
      </c>
      <c r="B2393" s="1">
        <v>46269</v>
      </c>
      <c r="C2393" t="str">
        <f>TEXT(tblData[[#This Row],[Rental Date]],"mmm")</f>
        <v>Sep</v>
      </c>
      <c r="D2393" t="str">
        <f>TEXT(tblData[[#This Row],[Rental Date]],"mmmm")</f>
        <v>September</v>
      </c>
      <c r="E2393" t="s">
        <v>38</v>
      </c>
      <c r="F2393" t="str">
        <f>TEXT(WEEKNUM(tblData[[#This Row],[Rental Date]]),"00")</f>
        <v>36</v>
      </c>
      <c r="G2393" s="1">
        <f>EOMONTH(tblData[[#This Row],[Rental Date]],0)</f>
        <v>46295</v>
      </c>
      <c r="H2393" t="s">
        <v>2441</v>
      </c>
      <c r="I2393" t="s">
        <v>48</v>
      </c>
      <c r="J2393" t="s">
        <v>86</v>
      </c>
      <c r="K2393" t="s">
        <v>25</v>
      </c>
      <c r="L2393">
        <v>1</v>
      </c>
      <c r="M2393" s="2">
        <v>58</v>
      </c>
      <c r="N2393" t="s">
        <v>26</v>
      </c>
      <c r="O2393" s="3">
        <v>0</v>
      </c>
      <c r="P2393" s="3">
        <v>0</v>
      </c>
      <c r="Q2393" s="2">
        <v>58</v>
      </c>
      <c r="R2393" t="s">
        <v>42</v>
      </c>
      <c r="S2393" t="s">
        <v>28</v>
      </c>
      <c r="T2393" t="s">
        <v>51</v>
      </c>
      <c r="U2393" t="s">
        <v>30</v>
      </c>
    </row>
    <row r="2394" spans="1:21" x14ac:dyDescent="0.35">
      <c r="A2394" t="s">
        <v>2474</v>
      </c>
      <c r="B2394" s="1">
        <v>46269</v>
      </c>
      <c r="C2394" t="str">
        <f>TEXT(tblData[[#This Row],[Rental Date]],"mmm")</f>
        <v>Sep</v>
      </c>
      <c r="D2394" t="str">
        <f>TEXT(tblData[[#This Row],[Rental Date]],"mmmm")</f>
        <v>September</v>
      </c>
      <c r="E2394" t="s">
        <v>38</v>
      </c>
      <c r="F2394" t="str">
        <f>TEXT(WEEKNUM(tblData[[#This Row],[Rental Date]]),"00")</f>
        <v>36</v>
      </c>
      <c r="G2394" s="1">
        <f>EOMONTH(tblData[[#This Row],[Rental Date]],0)</f>
        <v>46295</v>
      </c>
      <c r="H2394" t="s">
        <v>2441</v>
      </c>
      <c r="I2394" t="s">
        <v>48</v>
      </c>
      <c r="J2394" t="s">
        <v>49</v>
      </c>
      <c r="K2394" t="s">
        <v>25</v>
      </c>
      <c r="L2394">
        <v>1</v>
      </c>
      <c r="M2394" s="2">
        <v>36</v>
      </c>
      <c r="N2394" t="s">
        <v>61</v>
      </c>
      <c r="O2394" s="3">
        <v>8</v>
      </c>
      <c r="P2394" s="3">
        <v>0</v>
      </c>
      <c r="Q2394" s="2">
        <v>44</v>
      </c>
      <c r="R2394" t="s">
        <v>71</v>
      </c>
      <c r="S2394" t="s">
        <v>50</v>
      </c>
      <c r="T2394" t="s">
        <v>51</v>
      </c>
      <c r="U2394" t="s">
        <v>58</v>
      </c>
    </row>
    <row r="2395" spans="1:21" x14ac:dyDescent="0.35">
      <c r="A2395" t="s">
        <v>2475</v>
      </c>
      <c r="B2395" s="1">
        <v>46270</v>
      </c>
      <c r="C2395" t="str">
        <f>TEXT(tblData[[#This Row],[Rental Date]],"mmm")</f>
        <v>Sep</v>
      </c>
      <c r="D2395" t="str">
        <f>TEXT(tblData[[#This Row],[Rental Date]],"mmmm")</f>
        <v>September</v>
      </c>
      <c r="E2395" t="s">
        <v>56</v>
      </c>
      <c r="F2395" t="str">
        <f>TEXT(WEEKNUM(tblData[[#This Row],[Rental Date]]),"00")</f>
        <v>36</v>
      </c>
      <c r="G2395" s="1">
        <f>EOMONTH(tblData[[#This Row],[Rental Date]],0)</f>
        <v>46295</v>
      </c>
      <c r="H2395" t="s">
        <v>2441</v>
      </c>
      <c r="I2395" t="s">
        <v>32</v>
      </c>
      <c r="J2395" t="s">
        <v>111</v>
      </c>
      <c r="K2395" t="s">
        <v>60</v>
      </c>
      <c r="L2395">
        <v>1</v>
      </c>
      <c r="M2395" s="2">
        <v>15.12</v>
      </c>
      <c r="N2395" t="s">
        <v>41</v>
      </c>
      <c r="O2395" s="3">
        <v>5</v>
      </c>
      <c r="P2395" s="3">
        <v>2.0099999999999998</v>
      </c>
      <c r="Q2395" s="2">
        <v>18.11</v>
      </c>
      <c r="R2395" t="s">
        <v>76</v>
      </c>
      <c r="S2395" t="s">
        <v>50</v>
      </c>
      <c r="T2395" t="s">
        <v>29</v>
      </c>
      <c r="U2395" t="s">
        <v>30</v>
      </c>
    </row>
    <row r="2396" spans="1:21" x14ac:dyDescent="0.35">
      <c r="A2396" t="s">
        <v>2476</v>
      </c>
      <c r="B2396" s="1">
        <v>46270</v>
      </c>
      <c r="C2396" t="str">
        <f>TEXT(tblData[[#This Row],[Rental Date]],"mmm")</f>
        <v>Sep</v>
      </c>
      <c r="D2396" t="str">
        <f>TEXT(tblData[[#This Row],[Rental Date]],"mmmm")</f>
        <v>September</v>
      </c>
      <c r="E2396" t="s">
        <v>56</v>
      </c>
      <c r="F2396" t="str">
        <f>TEXT(WEEKNUM(tblData[[#This Row],[Rental Date]]),"00")</f>
        <v>36</v>
      </c>
      <c r="G2396" s="1">
        <f>EOMONTH(tblData[[#This Row],[Rental Date]],0)</f>
        <v>46295</v>
      </c>
      <c r="H2396" t="s">
        <v>2441</v>
      </c>
      <c r="I2396" t="s">
        <v>23</v>
      </c>
      <c r="J2396" t="s">
        <v>65</v>
      </c>
      <c r="K2396" t="s">
        <v>60</v>
      </c>
      <c r="L2396">
        <v>1</v>
      </c>
      <c r="M2396" s="2">
        <v>12.96</v>
      </c>
      <c r="N2396" t="s">
        <v>26</v>
      </c>
      <c r="O2396" s="3">
        <v>0</v>
      </c>
      <c r="P2396" s="3">
        <v>0</v>
      </c>
      <c r="Q2396" s="2">
        <v>12.96</v>
      </c>
      <c r="R2396" t="s">
        <v>34</v>
      </c>
      <c r="S2396" t="s">
        <v>50</v>
      </c>
      <c r="T2396" t="s">
        <v>29</v>
      </c>
      <c r="U2396" t="s">
        <v>30</v>
      </c>
    </row>
    <row r="2397" spans="1:21" x14ac:dyDescent="0.35">
      <c r="A2397" t="s">
        <v>2477</v>
      </c>
      <c r="B2397" s="1">
        <v>46270</v>
      </c>
      <c r="C2397" t="str">
        <f>TEXT(tblData[[#This Row],[Rental Date]],"mmm")</f>
        <v>Sep</v>
      </c>
      <c r="D2397" t="str">
        <f>TEXT(tblData[[#This Row],[Rental Date]],"mmmm")</f>
        <v>September</v>
      </c>
      <c r="E2397" t="s">
        <v>56</v>
      </c>
      <c r="F2397" t="str">
        <f>TEXT(WEEKNUM(tblData[[#This Row],[Rental Date]]),"00")</f>
        <v>36</v>
      </c>
      <c r="G2397" s="1">
        <f>EOMONTH(tblData[[#This Row],[Rental Date]],0)</f>
        <v>46295</v>
      </c>
      <c r="H2397" t="s">
        <v>2441</v>
      </c>
      <c r="I2397" t="s">
        <v>39</v>
      </c>
      <c r="J2397" t="s">
        <v>65</v>
      </c>
      <c r="K2397" t="s">
        <v>60</v>
      </c>
      <c r="L2397">
        <v>1</v>
      </c>
      <c r="M2397" s="2">
        <v>12.96</v>
      </c>
      <c r="N2397" t="s">
        <v>26</v>
      </c>
      <c r="O2397" s="3">
        <v>0</v>
      </c>
      <c r="P2397" s="3">
        <v>0</v>
      </c>
      <c r="Q2397" s="2">
        <v>12.96</v>
      </c>
      <c r="R2397" t="s">
        <v>71</v>
      </c>
      <c r="S2397" t="s">
        <v>46</v>
      </c>
      <c r="T2397" t="s">
        <v>51</v>
      </c>
      <c r="U2397" t="s">
        <v>58</v>
      </c>
    </row>
    <row r="2398" spans="1:21" x14ac:dyDescent="0.35">
      <c r="A2398" t="s">
        <v>2478</v>
      </c>
      <c r="B2398" s="1">
        <v>46270</v>
      </c>
      <c r="C2398" t="str">
        <f>TEXT(tblData[[#This Row],[Rental Date]],"mmm")</f>
        <v>Sep</v>
      </c>
      <c r="D2398" t="str">
        <f>TEXT(tblData[[#This Row],[Rental Date]],"mmmm")</f>
        <v>September</v>
      </c>
      <c r="E2398" t="s">
        <v>56</v>
      </c>
      <c r="F2398" t="str">
        <f>TEXT(WEEKNUM(tblData[[#This Row],[Rental Date]]),"00")</f>
        <v>36</v>
      </c>
      <c r="G2398" s="1">
        <f>EOMONTH(tblData[[#This Row],[Rental Date]],0)</f>
        <v>46295</v>
      </c>
      <c r="H2398" t="s">
        <v>2441</v>
      </c>
      <c r="I2398" t="s">
        <v>39</v>
      </c>
      <c r="J2398" t="s">
        <v>78</v>
      </c>
      <c r="K2398" t="s">
        <v>92</v>
      </c>
      <c r="L2398">
        <v>1</v>
      </c>
      <c r="M2398" s="2">
        <v>95.04</v>
      </c>
      <c r="N2398" t="s">
        <v>26</v>
      </c>
      <c r="O2398" s="3">
        <v>0</v>
      </c>
      <c r="P2398" s="3">
        <v>0</v>
      </c>
      <c r="Q2398" s="2">
        <v>95.04</v>
      </c>
      <c r="R2398" t="s">
        <v>45</v>
      </c>
      <c r="S2398" t="s">
        <v>28</v>
      </c>
      <c r="T2398" t="s">
        <v>51</v>
      </c>
      <c r="U2398" t="s">
        <v>36</v>
      </c>
    </row>
    <row r="2399" spans="1:21" x14ac:dyDescent="0.35">
      <c r="A2399" t="s">
        <v>2479</v>
      </c>
      <c r="B2399" s="1">
        <v>46270</v>
      </c>
      <c r="C2399" t="str">
        <f>TEXT(tblData[[#This Row],[Rental Date]],"mmm")</f>
        <v>Sep</v>
      </c>
      <c r="D2399" t="str">
        <f>TEXT(tblData[[#This Row],[Rental Date]],"mmmm")</f>
        <v>September</v>
      </c>
      <c r="E2399" t="s">
        <v>56</v>
      </c>
      <c r="F2399" t="str">
        <f>TEXT(WEEKNUM(tblData[[#This Row],[Rental Date]]),"00")</f>
        <v>36</v>
      </c>
      <c r="G2399" s="1">
        <f>EOMONTH(tblData[[#This Row],[Rental Date]],0)</f>
        <v>46295</v>
      </c>
      <c r="H2399" t="s">
        <v>2441</v>
      </c>
      <c r="I2399" t="s">
        <v>48</v>
      </c>
      <c r="J2399" t="s">
        <v>33</v>
      </c>
      <c r="K2399" t="s">
        <v>25</v>
      </c>
      <c r="L2399">
        <v>1</v>
      </c>
      <c r="M2399" s="2">
        <v>41.04</v>
      </c>
      <c r="N2399" t="s">
        <v>26</v>
      </c>
      <c r="O2399" s="3">
        <v>0</v>
      </c>
      <c r="P2399" s="3">
        <v>0</v>
      </c>
      <c r="Q2399" s="2">
        <v>41.04</v>
      </c>
      <c r="R2399" t="s">
        <v>66</v>
      </c>
      <c r="S2399" t="s">
        <v>35</v>
      </c>
      <c r="T2399" t="s">
        <v>29</v>
      </c>
      <c r="U2399" t="s">
        <v>58</v>
      </c>
    </row>
    <row r="2400" spans="1:21" x14ac:dyDescent="0.35">
      <c r="A2400" t="s">
        <v>2480</v>
      </c>
      <c r="B2400" s="1">
        <v>46270</v>
      </c>
      <c r="C2400" t="str">
        <f>TEXT(tblData[[#This Row],[Rental Date]],"mmm")</f>
        <v>Sep</v>
      </c>
      <c r="D2400" t="str">
        <f>TEXT(tblData[[#This Row],[Rental Date]],"mmmm")</f>
        <v>September</v>
      </c>
      <c r="E2400" t="s">
        <v>56</v>
      </c>
      <c r="F2400" t="str">
        <f>TEXT(WEEKNUM(tblData[[#This Row],[Rental Date]]),"00")</f>
        <v>36</v>
      </c>
      <c r="G2400" s="1">
        <f>EOMONTH(tblData[[#This Row],[Rental Date]],0)</f>
        <v>46295</v>
      </c>
      <c r="H2400" t="s">
        <v>2441</v>
      </c>
      <c r="I2400" t="s">
        <v>48</v>
      </c>
      <c r="J2400" t="s">
        <v>65</v>
      </c>
      <c r="K2400" t="s">
        <v>25</v>
      </c>
      <c r="L2400">
        <v>1</v>
      </c>
      <c r="M2400" s="2">
        <v>19.440000000000001</v>
      </c>
      <c r="N2400" t="s">
        <v>26</v>
      </c>
      <c r="O2400" s="3">
        <v>0</v>
      </c>
      <c r="P2400" s="3">
        <v>0</v>
      </c>
      <c r="Q2400" s="2">
        <v>19.440000000000001</v>
      </c>
      <c r="R2400" t="s">
        <v>66</v>
      </c>
      <c r="S2400" t="s">
        <v>35</v>
      </c>
      <c r="T2400" t="s">
        <v>29</v>
      </c>
      <c r="U2400" t="s">
        <v>30</v>
      </c>
    </row>
    <row r="2401" spans="1:21" x14ac:dyDescent="0.35">
      <c r="A2401" t="s">
        <v>2481</v>
      </c>
      <c r="B2401" s="1">
        <v>46270</v>
      </c>
      <c r="C2401" t="str">
        <f>TEXT(tblData[[#This Row],[Rental Date]],"mmm")</f>
        <v>Sep</v>
      </c>
      <c r="D2401" t="str">
        <f>TEXT(tblData[[#This Row],[Rental Date]],"mmmm")</f>
        <v>September</v>
      </c>
      <c r="E2401" t="s">
        <v>56</v>
      </c>
      <c r="F2401" t="str">
        <f>TEXT(WEEKNUM(tblData[[#This Row],[Rental Date]]),"00")</f>
        <v>36</v>
      </c>
      <c r="G2401" s="1">
        <f>EOMONTH(tblData[[#This Row],[Rental Date]],0)</f>
        <v>46295</v>
      </c>
      <c r="H2401" t="s">
        <v>2441</v>
      </c>
      <c r="I2401" t="s">
        <v>39</v>
      </c>
      <c r="J2401" t="s">
        <v>24</v>
      </c>
      <c r="K2401" t="s">
        <v>60</v>
      </c>
      <c r="L2401">
        <v>1</v>
      </c>
      <c r="M2401" s="2">
        <v>34.56</v>
      </c>
      <c r="N2401" t="s">
        <v>26</v>
      </c>
      <c r="O2401" s="3">
        <v>0</v>
      </c>
      <c r="P2401" s="3">
        <v>0</v>
      </c>
      <c r="Q2401" s="2">
        <v>34.56</v>
      </c>
      <c r="R2401" t="s">
        <v>76</v>
      </c>
      <c r="S2401" t="s">
        <v>46</v>
      </c>
      <c r="T2401" t="s">
        <v>63</v>
      </c>
      <c r="U2401" t="s">
        <v>58</v>
      </c>
    </row>
    <row r="2402" spans="1:21" x14ac:dyDescent="0.35">
      <c r="A2402" t="s">
        <v>2482</v>
      </c>
      <c r="B2402" s="1">
        <v>46270</v>
      </c>
      <c r="C2402" t="str">
        <f>TEXT(tblData[[#This Row],[Rental Date]],"mmm")</f>
        <v>Sep</v>
      </c>
      <c r="D2402" t="str">
        <f>TEXT(tblData[[#This Row],[Rental Date]],"mmmm")</f>
        <v>September</v>
      </c>
      <c r="E2402" t="s">
        <v>56</v>
      </c>
      <c r="F2402" t="str">
        <f>TEXT(WEEKNUM(tblData[[#This Row],[Rental Date]]),"00")</f>
        <v>36</v>
      </c>
      <c r="G2402" s="1">
        <f>EOMONTH(tblData[[#This Row],[Rental Date]],0)</f>
        <v>46295</v>
      </c>
      <c r="H2402" t="s">
        <v>2441</v>
      </c>
      <c r="I2402" t="s">
        <v>48</v>
      </c>
      <c r="J2402" t="s">
        <v>111</v>
      </c>
      <c r="K2402" t="s">
        <v>40</v>
      </c>
      <c r="L2402">
        <v>1</v>
      </c>
      <c r="M2402" s="2">
        <v>36.72</v>
      </c>
      <c r="N2402" t="s">
        <v>26</v>
      </c>
      <c r="O2402" s="3">
        <v>0</v>
      </c>
      <c r="P2402" s="3">
        <v>0</v>
      </c>
      <c r="Q2402" s="2">
        <v>36.72</v>
      </c>
      <c r="R2402" t="s">
        <v>66</v>
      </c>
      <c r="S2402" t="s">
        <v>35</v>
      </c>
      <c r="T2402" t="s">
        <v>29</v>
      </c>
      <c r="U2402" t="s">
        <v>58</v>
      </c>
    </row>
    <row r="2403" spans="1:21" x14ac:dyDescent="0.35">
      <c r="A2403" t="s">
        <v>2483</v>
      </c>
      <c r="B2403" s="1">
        <v>46270</v>
      </c>
      <c r="C2403" t="str">
        <f>TEXT(tblData[[#This Row],[Rental Date]],"mmm")</f>
        <v>Sep</v>
      </c>
      <c r="D2403" t="str">
        <f>TEXT(tblData[[#This Row],[Rental Date]],"mmmm")</f>
        <v>September</v>
      </c>
      <c r="E2403" t="s">
        <v>56</v>
      </c>
      <c r="F2403" t="str">
        <f>TEXT(WEEKNUM(tblData[[#This Row],[Rental Date]]),"00")</f>
        <v>36</v>
      </c>
      <c r="G2403" s="1">
        <f>EOMONTH(tblData[[#This Row],[Rental Date]],0)</f>
        <v>46295</v>
      </c>
      <c r="H2403" t="s">
        <v>2441</v>
      </c>
      <c r="I2403" t="s">
        <v>32</v>
      </c>
      <c r="J2403" t="s">
        <v>49</v>
      </c>
      <c r="K2403" t="s">
        <v>60</v>
      </c>
      <c r="L2403">
        <v>1</v>
      </c>
      <c r="M2403" s="2">
        <v>23.76</v>
      </c>
      <c r="N2403" t="s">
        <v>26</v>
      </c>
      <c r="O2403" s="3">
        <v>0</v>
      </c>
      <c r="P2403" s="3">
        <v>0</v>
      </c>
      <c r="Q2403" s="2">
        <v>23.76</v>
      </c>
      <c r="R2403" t="s">
        <v>27</v>
      </c>
      <c r="S2403" t="s">
        <v>28</v>
      </c>
      <c r="T2403" t="s">
        <v>29</v>
      </c>
      <c r="U2403" t="s">
        <v>30</v>
      </c>
    </row>
    <row r="2404" spans="1:21" x14ac:dyDescent="0.35">
      <c r="A2404" t="s">
        <v>2484</v>
      </c>
      <c r="B2404" s="1">
        <v>46270</v>
      </c>
      <c r="C2404" t="str">
        <f>TEXT(tblData[[#This Row],[Rental Date]],"mmm")</f>
        <v>Sep</v>
      </c>
      <c r="D2404" t="str">
        <f>TEXT(tblData[[#This Row],[Rental Date]],"mmmm")</f>
        <v>September</v>
      </c>
      <c r="E2404" t="s">
        <v>56</v>
      </c>
      <c r="F2404" t="str">
        <f>TEXT(WEEKNUM(tblData[[#This Row],[Rental Date]]),"00")</f>
        <v>36</v>
      </c>
      <c r="G2404" s="1">
        <f>EOMONTH(tblData[[#This Row],[Rental Date]],0)</f>
        <v>46295</v>
      </c>
      <c r="H2404" t="s">
        <v>2441</v>
      </c>
      <c r="I2404" t="s">
        <v>32</v>
      </c>
      <c r="J2404" t="s">
        <v>111</v>
      </c>
      <c r="K2404" t="s">
        <v>92</v>
      </c>
      <c r="L2404">
        <v>1</v>
      </c>
      <c r="M2404" s="2">
        <v>51.84</v>
      </c>
      <c r="N2404" t="s">
        <v>26</v>
      </c>
      <c r="O2404" s="3">
        <v>0</v>
      </c>
      <c r="P2404" s="3">
        <v>5.18</v>
      </c>
      <c r="Q2404" s="2">
        <v>46.66</v>
      </c>
      <c r="R2404" t="s">
        <v>62</v>
      </c>
      <c r="S2404" t="s">
        <v>28</v>
      </c>
      <c r="T2404" t="s">
        <v>51</v>
      </c>
      <c r="U2404" t="s">
        <v>30</v>
      </c>
    </row>
    <row r="2405" spans="1:21" x14ac:dyDescent="0.35">
      <c r="A2405" t="s">
        <v>2485</v>
      </c>
      <c r="B2405" s="1">
        <v>46270</v>
      </c>
      <c r="C2405" t="str">
        <f>TEXT(tblData[[#This Row],[Rental Date]],"mmm")</f>
        <v>Sep</v>
      </c>
      <c r="D2405" t="str">
        <f>TEXT(tblData[[#This Row],[Rental Date]],"mmmm")</f>
        <v>September</v>
      </c>
      <c r="E2405" t="s">
        <v>56</v>
      </c>
      <c r="F2405" t="str">
        <f>TEXT(WEEKNUM(tblData[[#This Row],[Rental Date]]),"00")</f>
        <v>36</v>
      </c>
      <c r="G2405" s="1">
        <f>EOMONTH(tblData[[#This Row],[Rental Date]],0)</f>
        <v>46295</v>
      </c>
      <c r="H2405" t="s">
        <v>2441</v>
      </c>
      <c r="I2405" t="s">
        <v>48</v>
      </c>
      <c r="J2405" t="s">
        <v>49</v>
      </c>
      <c r="K2405" t="s">
        <v>40</v>
      </c>
      <c r="L2405">
        <v>1</v>
      </c>
      <c r="M2405" s="2">
        <v>58.32</v>
      </c>
      <c r="N2405" t="s">
        <v>26</v>
      </c>
      <c r="O2405" s="3">
        <v>0</v>
      </c>
      <c r="P2405" s="3">
        <v>0</v>
      </c>
      <c r="Q2405" s="2">
        <v>58.32</v>
      </c>
      <c r="R2405" t="s">
        <v>76</v>
      </c>
      <c r="S2405" t="s">
        <v>54</v>
      </c>
      <c r="T2405" t="s">
        <v>83</v>
      </c>
      <c r="U2405" t="s">
        <v>58</v>
      </c>
    </row>
    <row r="2406" spans="1:21" x14ac:dyDescent="0.35">
      <c r="A2406" t="s">
        <v>2486</v>
      </c>
      <c r="B2406" s="1">
        <v>46270</v>
      </c>
      <c r="C2406" t="str">
        <f>TEXT(tblData[[#This Row],[Rental Date]],"mmm")</f>
        <v>Sep</v>
      </c>
      <c r="D2406" t="str">
        <f>TEXT(tblData[[#This Row],[Rental Date]],"mmmm")</f>
        <v>September</v>
      </c>
      <c r="E2406" t="s">
        <v>56</v>
      </c>
      <c r="F2406" t="str">
        <f>TEXT(WEEKNUM(tblData[[#This Row],[Rental Date]]),"00")</f>
        <v>36</v>
      </c>
      <c r="G2406" s="1">
        <f>EOMONTH(tblData[[#This Row],[Rental Date]],0)</f>
        <v>46295</v>
      </c>
      <c r="H2406" t="s">
        <v>2441</v>
      </c>
      <c r="I2406" t="s">
        <v>39</v>
      </c>
      <c r="J2406" t="s">
        <v>86</v>
      </c>
      <c r="K2406" t="s">
        <v>25</v>
      </c>
      <c r="L2406">
        <v>1</v>
      </c>
      <c r="M2406" s="2">
        <v>62.64</v>
      </c>
      <c r="N2406" t="s">
        <v>26</v>
      </c>
      <c r="O2406" s="3">
        <v>0</v>
      </c>
      <c r="P2406" s="3">
        <v>0</v>
      </c>
      <c r="Q2406" s="2">
        <v>62.64</v>
      </c>
      <c r="R2406" t="s">
        <v>76</v>
      </c>
      <c r="S2406" t="s">
        <v>28</v>
      </c>
      <c r="T2406" t="s">
        <v>29</v>
      </c>
      <c r="U2406" t="s">
        <v>30</v>
      </c>
    </row>
    <row r="2407" spans="1:21" x14ac:dyDescent="0.35">
      <c r="A2407" t="s">
        <v>2487</v>
      </c>
      <c r="B2407" s="1">
        <v>46271</v>
      </c>
      <c r="C2407" t="str">
        <f>TEXT(tblData[[#This Row],[Rental Date]],"mmm")</f>
        <v>Sep</v>
      </c>
      <c r="D2407" t="str">
        <f>TEXT(tblData[[#This Row],[Rental Date]],"mmmm")</f>
        <v>September</v>
      </c>
      <c r="E2407" t="s">
        <v>68</v>
      </c>
      <c r="F2407" t="str">
        <f>TEXT(WEEKNUM(tblData[[#This Row],[Rental Date]]),"00")</f>
        <v>37</v>
      </c>
      <c r="G2407" s="1">
        <f>EOMONTH(tblData[[#This Row],[Rental Date]],0)</f>
        <v>46295</v>
      </c>
      <c r="H2407" t="s">
        <v>2441</v>
      </c>
      <c r="I2407" t="s">
        <v>39</v>
      </c>
      <c r="J2407" t="s">
        <v>65</v>
      </c>
      <c r="K2407" t="s">
        <v>60</v>
      </c>
      <c r="L2407">
        <v>1</v>
      </c>
      <c r="M2407" s="2">
        <v>12.96</v>
      </c>
      <c r="N2407" t="s">
        <v>26</v>
      </c>
      <c r="O2407" s="3">
        <v>0</v>
      </c>
      <c r="P2407" s="3">
        <v>0</v>
      </c>
      <c r="Q2407" s="2">
        <v>12.96</v>
      </c>
      <c r="R2407" t="s">
        <v>57</v>
      </c>
      <c r="S2407" t="s">
        <v>46</v>
      </c>
      <c r="T2407" t="s">
        <v>51</v>
      </c>
      <c r="U2407" t="s">
        <v>30</v>
      </c>
    </row>
    <row r="2408" spans="1:21" x14ac:dyDescent="0.35">
      <c r="A2408" t="s">
        <v>2488</v>
      </c>
      <c r="B2408" s="1">
        <v>46271</v>
      </c>
      <c r="C2408" t="str">
        <f>TEXT(tblData[[#This Row],[Rental Date]],"mmm")</f>
        <v>Sep</v>
      </c>
      <c r="D2408" t="str">
        <f>TEXT(tblData[[#This Row],[Rental Date]],"mmmm")</f>
        <v>September</v>
      </c>
      <c r="E2408" t="s">
        <v>68</v>
      </c>
      <c r="F2408" t="str">
        <f>TEXT(WEEKNUM(tblData[[#This Row],[Rental Date]]),"00")</f>
        <v>37</v>
      </c>
      <c r="G2408" s="1">
        <f>EOMONTH(tblData[[#This Row],[Rental Date]],0)</f>
        <v>46295</v>
      </c>
      <c r="H2408" t="s">
        <v>2441</v>
      </c>
      <c r="I2408" t="s">
        <v>48</v>
      </c>
      <c r="J2408" t="s">
        <v>78</v>
      </c>
      <c r="K2408" t="s">
        <v>60</v>
      </c>
      <c r="L2408">
        <v>1</v>
      </c>
      <c r="M2408" s="2">
        <v>28.08</v>
      </c>
      <c r="N2408" t="s">
        <v>26</v>
      </c>
      <c r="O2408" s="3">
        <v>0</v>
      </c>
      <c r="P2408" s="3">
        <v>0</v>
      </c>
      <c r="Q2408" s="2">
        <v>28.08</v>
      </c>
      <c r="R2408" t="s">
        <v>27</v>
      </c>
      <c r="S2408" t="s">
        <v>28</v>
      </c>
      <c r="T2408" t="s">
        <v>90</v>
      </c>
      <c r="U2408" t="s">
        <v>30</v>
      </c>
    </row>
    <row r="2409" spans="1:21" x14ac:dyDescent="0.35">
      <c r="A2409" t="s">
        <v>2489</v>
      </c>
      <c r="B2409" s="1">
        <v>46271</v>
      </c>
      <c r="C2409" t="str">
        <f>TEXT(tblData[[#This Row],[Rental Date]],"mmm")</f>
        <v>Sep</v>
      </c>
      <c r="D2409" t="str">
        <f>TEXT(tblData[[#This Row],[Rental Date]],"mmmm")</f>
        <v>September</v>
      </c>
      <c r="E2409" t="s">
        <v>68</v>
      </c>
      <c r="F2409" t="str">
        <f>TEXT(WEEKNUM(tblData[[#This Row],[Rental Date]]),"00")</f>
        <v>37</v>
      </c>
      <c r="G2409" s="1">
        <f>EOMONTH(tblData[[#This Row],[Rental Date]],0)</f>
        <v>46295</v>
      </c>
      <c r="H2409" t="s">
        <v>2441</v>
      </c>
      <c r="I2409" t="s">
        <v>32</v>
      </c>
      <c r="J2409" t="s">
        <v>78</v>
      </c>
      <c r="K2409" t="s">
        <v>40</v>
      </c>
      <c r="L2409">
        <v>1</v>
      </c>
      <c r="M2409" s="2">
        <v>66.959999999999994</v>
      </c>
      <c r="N2409" t="s">
        <v>26</v>
      </c>
      <c r="O2409" s="3">
        <v>0</v>
      </c>
      <c r="P2409" s="3">
        <v>3.35</v>
      </c>
      <c r="Q2409" s="2">
        <v>63.61</v>
      </c>
      <c r="R2409" t="s">
        <v>45</v>
      </c>
      <c r="S2409" t="s">
        <v>35</v>
      </c>
      <c r="T2409" t="s">
        <v>29</v>
      </c>
      <c r="U2409" t="s">
        <v>30</v>
      </c>
    </row>
    <row r="2410" spans="1:21" x14ac:dyDescent="0.35">
      <c r="A2410" t="s">
        <v>2490</v>
      </c>
      <c r="B2410" s="1">
        <v>46271</v>
      </c>
      <c r="C2410" t="str">
        <f>TEXT(tblData[[#This Row],[Rental Date]],"mmm")</f>
        <v>Sep</v>
      </c>
      <c r="D2410" t="str">
        <f>TEXT(tblData[[#This Row],[Rental Date]],"mmmm")</f>
        <v>September</v>
      </c>
      <c r="E2410" t="s">
        <v>68</v>
      </c>
      <c r="F2410" t="str">
        <f>TEXT(WEEKNUM(tblData[[#This Row],[Rental Date]]),"00")</f>
        <v>37</v>
      </c>
      <c r="G2410" s="1">
        <f>EOMONTH(tblData[[#This Row],[Rental Date]],0)</f>
        <v>46295</v>
      </c>
      <c r="H2410" t="s">
        <v>2441</v>
      </c>
      <c r="I2410" t="s">
        <v>39</v>
      </c>
      <c r="J2410" t="s">
        <v>49</v>
      </c>
      <c r="K2410" t="s">
        <v>25</v>
      </c>
      <c r="L2410">
        <v>1</v>
      </c>
      <c r="M2410" s="2">
        <v>38.880000000000003</v>
      </c>
      <c r="N2410" t="s">
        <v>61</v>
      </c>
      <c r="O2410" s="3">
        <v>8</v>
      </c>
      <c r="P2410" s="3">
        <v>0</v>
      </c>
      <c r="Q2410" s="2">
        <v>46.88</v>
      </c>
      <c r="R2410" t="s">
        <v>57</v>
      </c>
      <c r="S2410" t="s">
        <v>50</v>
      </c>
      <c r="T2410" t="s">
        <v>51</v>
      </c>
      <c r="U2410" t="s">
        <v>30</v>
      </c>
    </row>
    <row r="2411" spans="1:21" x14ac:dyDescent="0.35">
      <c r="A2411" t="s">
        <v>2491</v>
      </c>
      <c r="B2411" s="1">
        <v>46271</v>
      </c>
      <c r="C2411" t="str">
        <f>TEXT(tblData[[#This Row],[Rental Date]],"mmm")</f>
        <v>Sep</v>
      </c>
      <c r="D2411" t="str">
        <f>TEXT(tblData[[#This Row],[Rental Date]],"mmmm")</f>
        <v>September</v>
      </c>
      <c r="E2411" t="s">
        <v>68</v>
      </c>
      <c r="F2411" t="str">
        <f>TEXT(WEEKNUM(tblData[[#This Row],[Rental Date]]),"00")</f>
        <v>37</v>
      </c>
      <c r="G2411" s="1">
        <f>EOMONTH(tblData[[#This Row],[Rental Date]],0)</f>
        <v>46295</v>
      </c>
      <c r="H2411" t="s">
        <v>2441</v>
      </c>
      <c r="I2411" t="s">
        <v>32</v>
      </c>
      <c r="J2411" t="s">
        <v>49</v>
      </c>
      <c r="K2411" t="s">
        <v>60</v>
      </c>
      <c r="L2411">
        <v>1</v>
      </c>
      <c r="M2411" s="2">
        <v>23.76</v>
      </c>
      <c r="N2411" t="s">
        <v>26</v>
      </c>
      <c r="O2411" s="3">
        <v>0</v>
      </c>
      <c r="P2411" s="3">
        <v>0</v>
      </c>
      <c r="Q2411" s="2">
        <v>23.76</v>
      </c>
      <c r="R2411" t="s">
        <v>66</v>
      </c>
      <c r="S2411" t="s">
        <v>50</v>
      </c>
      <c r="T2411" t="s">
        <v>29</v>
      </c>
      <c r="U2411" t="s">
        <v>30</v>
      </c>
    </row>
    <row r="2412" spans="1:21" x14ac:dyDescent="0.35">
      <c r="A2412" t="s">
        <v>2492</v>
      </c>
      <c r="B2412" s="1">
        <v>46271</v>
      </c>
      <c r="C2412" t="str">
        <f>TEXT(tblData[[#This Row],[Rental Date]],"mmm")</f>
        <v>Sep</v>
      </c>
      <c r="D2412" t="str">
        <f>TEXT(tblData[[#This Row],[Rental Date]],"mmmm")</f>
        <v>September</v>
      </c>
      <c r="E2412" t="s">
        <v>68</v>
      </c>
      <c r="F2412" t="str">
        <f>TEXT(WEEKNUM(tblData[[#This Row],[Rental Date]]),"00")</f>
        <v>37</v>
      </c>
      <c r="G2412" s="1">
        <f>EOMONTH(tblData[[#This Row],[Rental Date]],0)</f>
        <v>46295</v>
      </c>
      <c r="H2412" t="s">
        <v>2441</v>
      </c>
      <c r="I2412" t="s">
        <v>48</v>
      </c>
      <c r="J2412" t="s">
        <v>65</v>
      </c>
      <c r="K2412" t="s">
        <v>92</v>
      </c>
      <c r="L2412">
        <v>1</v>
      </c>
      <c r="M2412" s="2">
        <v>43.2</v>
      </c>
      <c r="N2412" t="s">
        <v>26</v>
      </c>
      <c r="O2412" s="3">
        <v>0</v>
      </c>
      <c r="P2412" s="3">
        <v>0</v>
      </c>
      <c r="Q2412" s="2">
        <v>43.2</v>
      </c>
      <c r="R2412" t="s">
        <v>34</v>
      </c>
      <c r="S2412" t="s">
        <v>50</v>
      </c>
      <c r="T2412" t="s">
        <v>51</v>
      </c>
      <c r="U2412" t="s">
        <v>79</v>
      </c>
    </row>
    <row r="2413" spans="1:21" x14ac:dyDescent="0.35">
      <c r="A2413" t="s">
        <v>2493</v>
      </c>
      <c r="B2413" s="1">
        <v>46271</v>
      </c>
      <c r="C2413" t="str">
        <f>TEXT(tblData[[#This Row],[Rental Date]],"mmm")</f>
        <v>Sep</v>
      </c>
      <c r="D2413" t="str">
        <f>TEXT(tblData[[#This Row],[Rental Date]],"mmmm")</f>
        <v>September</v>
      </c>
      <c r="E2413" t="s">
        <v>68</v>
      </c>
      <c r="F2413" t="str">
        <f>TEXT(WEEKNUM(tblData[[#This Row],[Rental Date]]),"00")</f>
        <v>37</v>
      </c>
      <c r="G2413" s="1">
        <f>EOMONTH(tblData[[#This Row],[Rental Date]],0)</f>
        <v>46295</v>
      </c>
      <c r="H2413" t="s">
        <v>2441</v>
      </c>
      <c r="I2413" t="s">
        <v>23</v>
      </c>
      <c r="J2413" t="s">
        <v>33</v>
      </c>
      <c r="K2413" t="s">
        <v>40</v>
      </c>
      <c r="L2413">
        <v>1</v>
      </c>
      <c r="M2413" s="2">
        <v>62.64</v>
      </c>
      <c r="N2413" t="s">
        <v>26</v>
      </c>
      <c r="O2413" s="3">
        <v>0</v>
      </c>
      <c r="P2413" s="3">
        <v>0</v>
      </c>
      <c r="Q2413" s="2">
        <v>62.64</v>
      </c>
      <c r="R2413" t="s">
        <v>62</v>
      </c>
      <c r="S2413" t="s">
        <v>46</v>
      </c>
      <c r="T2413" t="s">
        <v>90</v>
      </c>
      <c r="U2413" t="s">
        <v>30</v>
      </c>
    </row>
    <row r="2414" spans="1:21" x14ac:dyDescent="0.35">
      <c r="A2414" t="s">
        <v>2494</v>
      </c>
      <c r="B2414" s="1">
        <v>46271</v>
      </c>
      <c r="C2414" t="str">
        <f>TEXT(tblData[[#This Row],[Rental Date]],"mmm")</f>
        <v>Sep</v>
      </c>
      <c r="D2414" t="str">
        <f>TEXT(tblData[[#This Row],[Rental Date]],"mmmm")</f>
        <v>September</v>
      </c>
      <c r="E2414" t="s">
        <v>68</v>
      </c>
      <c r="F2414" t="str">
        <f>TEXT(WEEKNUM(tblData[[#This Row],[Rental Date]]),"00")</f>
        <v>37</v>
      </c>
      <c r="G2414" s="1">
        <f>EOMONTH(tblData[[#This Row],[Rental Date]],0)</f>
        <v>46295</v>
      </c>
      <c r="H2414" t="s">
        <v>2441</v>
      </c>
      <c r="I2414" t="s">
        <v>39</v>
      </c>
      <c r="J2414" t="s">
        <v>138</v>
      </c>
      <c r="K2414" t="s">
        <v>40</v>
      </c>
      <c r="L2414">
        <v>1</v>
      </c>
      <c r="M2414" s="2">
        <v>77.760000000000005</v>
      </c>
      <c r="N2414" t="s">
        <v>89</v>
      </c>
      <c r="O2414" s="3">
        <v>6</v>
      </c>
      <c r="P2414" s="3">
        <v>0</v>
      </c>
      <c r="Q2414" s="2">
        <v>83.76</v>
      </c>
      <c r="R2414" t="s">
        <v>45</v>
      </c>
      <c r="S2414" t="s">
        <v>28</v>
      </c>
      <c r="T2414" t="s">
        <v>90</v>
      </c>
      <c r="U2414" t="s">
        <v>30</v>
      </c>
    </row>
    <row r="2415" spans="1:21" x14ac:dyDescent="0.35">
      <c r="A2415" t="s">
        <v>2495</v>
      </c>
      <c r="B2415" s="1">
        <v>46271</v>
      </c>
      <c r="C2415" t="str">
        <f>TEXT(tblData[[#This Row],[Rental Date]],"mmm")</f>
        <v>Sep</v>
      </c>
      <c r="D2415" t="str">
        <f>TEXT(tblData[[#This Row],[Rental Date]],"mmmm")</f>
        <v>September</v>
      </c>
      <c r="E2415" t="s">
        <v>68</v>
      </c>
      <c r="F2415" t="str">
        <f>TEXT(WEEKNUM(tblData[[#This Row],[Rental Date]]),"00")</f>
        <v>37</v>
      </c>
      <c r="G2415" s="1">
        <f>EOMONTH(tblData[[#This Row],[Rental Date]],0)</f>
        <v>46295</v>
      </c>
      <c r="H2415" t="s">
        <v>2441</v>
      </c>
      <c r="I2415" t="s">
        <v>48</v>
      </c>
      <c r="J2415" t="s">
        <v>44</v>
      </c>
      <c r="K2415" t="s">
        <v>60</v>
      </c>
      <c r="L2415">
        <v>1</v>
      </c>
      <c r="M2415" s="2">
        <v>36.72</v>
      </c>
      <c r="N2415" t="s">
        <v>89</v>
      </c>
      <c r="O2415" s="3">
        <v>6</v>
      </c>
      <c r="P2415" s="3">
        <v>0</v>
      </c>
      <c r="Q2415" s="2">
        <v>42.72</v>
      </c>
      <c r="R2415" t="s">
        <v>45</v>
      </c>
      <c r="S2415" t="s">
        <v>35</v>
      </c>
      <c r="T2415" t="s">
        <v>90</v>
      </c>
      <c r="U2415" t="s">
        <v>30</v>
      </c>
    </row>
    <row r="2416" spans="1:21" x14ac:dyDescent="0.35">
      <c r="A2416" t="s">
        <v>2496</v>
      </c>
      <c r="B2416" s="1">
        <v>46271</v>
      </c>
      <c r="C2416" t="str">
        <f>TEXT(tblData[[#This Row],[Rental Date]],"mmm")</f>
        <v>Sep</v>
      </c>
      <c r="D2416" t="str">
        <f>TEXT(tblData[[#This Row],[Rental Date]],"mmmm")</f>
        <v>September</v>
      </c>
      <c r="E2416" t="s">
        <v>68</v>
      </c>
      <c r="F2416" t="str">
        <f>TEXT(WEEKNUM(tblData[[#This Row],[Rental Date]]),"00")</f>
        <v>37</v>
      </c>
      <c r="G2416" s="1">
        <f>EOMONTH(tblData[[#This Row],[Rental Date]],0)</f>
        <v>46295</v>
      </c>
      <c r="H2416" t="s">
        <v>2441</v>
      </c>
      <c r="I2416" t="s">
        <v>48</v>
      </c>
      <c r="J2416" t="s">
        <v>44</v>
      </c>
      <c r="K2416" t="s">
        <v>40</v>
      </c>
      <c r="L2416">
        <v>1</v>
      </c>
      <c r="M2416" s="2">
        <v>84.24</v>
      </c>
      <c r="N2416" t="s">
        <v>26</v>
      </c>
      <c r="O2416" s="3">
        <v>0</v>
      </c>
      <c r="P2416" s="3">
        <v>0</v>
      </c>
      <c r="Q2416" s="2">
        <v>84.24</v>
      </c>
      <c r="R2416" t="s">
        <v>71</v>
      </c>
      <c r="S2416" t="s">
        <v>54</v>
      </c>
      <c r="T2416" t="s">
        <v>29</v>
      </c>
      <c r="U2416" t="s">
        <v>30</v>
      </c>
    </row>
    <row r="2417" spans="1:21" x14ac:dyDescent="0.35">
      <c r="A2417" t="s">
        <v>2497</v>
      </c>
      <c r="B2417" s="1">
        <v>46271</v>
      </c>
      <c r="C2417" t="str">
        <f>TEXT(tblData[[#This Row],[Rental Date]],"mmm")</f>
        <v>Sep</v>
      </c>
      <c r="D2417" t="str">
        <f>TEXT(tblData[[#This Row],[Rental Date]],"mmmm")</f>
        <v>September</v>
      </c>
      <c r="E2417" t="s">
        <v>68</v>
      </c>
      <c r="F2417" t="str">
        <f>TEXT(WEEKNUM(tblData[[#This Row],[Rental Date]]),"00")</f>
        <v>37</v>
      </c>
      <c r="G2417" s="1">
        <f>EOMONTH(tblData[[#This Row],[Rental Date]],0)</f>
        <v>46295</v>
      </c>
      <c r="H2417" t="s">
        <v>2441</v>
      </c>
      <c r="I2417" t="s">
        <v>48</v>
      </c>
      <c r="J2417" t="s">
        <v>111</v>
      </c>
      <c r="K2417" t="s">
        <v>60</v>
      </c>
      <c r="L2417">
        <v>1</v>
      </c>
      <c r="M2417" s="2">
        <v>15.12</v>
      </c>
      <c r="N2417" t="s">
        <v>89</v>
      </c>
      <c r="O2417" s="3">
        <v>6</v>
      </c>
      <c r="P2417" s="3">
        <v>0</v>
      </c>
      <c r="Q2417" s="2">
        <v>21.12</v>
      </c>
      <c r="R2417" t="s">
        <v>76</v>
      </c>
      <c r="S2417" t="s">
        <v>46</v>
      </c>
      <c r="T2417" t="s">
        <v>90</v>
      </c>
      <c r="U2417" t="s">
        <v>30</v>
      </c>
    </row>
    <row r="2418" spans="1:21" x14ac:dyDescent="0.35">
      <c r="A2418" t="s">
        <v>2498</v>
      </c>
      <c r="B2418" s="1">
        <v>46271</v>
      </c>
      <c r="C2418" t="str">
        <f>TEXT(tblData[[#This Row],[Rental Date]],"mmm")</f>
        <v>Sep</v>
      </c>
      <c r="D2418" t="str">
        <f>TEXT(tblData[[#This Row],[Rental Date]],"mmmm")</f>
        <v>September</v>
      </c>
      <c r="E2418" t="s">
        <v>68</v>
      </c>
      <c r="F2418" t="str">
        <f>TEXT(WEEKNUM(tblData[[#This Row],[Rental Date]]),"00")</f>
        <v>37</v>
      </c>
      <c r="G2418" s="1">
        <f>EOMONTH(tblData[[#This Row],[Rental Date]],0)</f>
        <v>46295</v>
      </c>
      <c r="H2418" t="s">
        <v>2441</v>
      </c>
      <c r="I2418" t="s">
        <v>48</v>
      </c>
      <c r="J2418" t="s">
        <v>65</v>
      </c>
      <c r="K2418" t="s">
        <v>25</v>
      </c>
      <c r="L2418">
        <v>1</v>
      </c>
      <c r="M2418" s="2">
        <v>19.440000000000001</v>
      </c>
      <c r="N2418" t="s">
        <v>87</v>
      </c>
      <c r="O2418" s="3">
        <v>10</v>
      </c>
      <c r="P2418" s="3">
        <v>0</v>
      </c>
      <c r="Q2418" s="2">
        <v>29.44</v>
      </c>
      <c r="R2418" t="s">
        <v>66</v>
      </c>
      <c r="S2418" t="s">
        <v>35</v>
      </c>
      <c r="T2418" t="s">
        <v>90</v>
      </c>
      <c r="U2418" t="s">
        <v>58</v>
      </c>
    </row>
    <row r="2419" spans="1:21" x14ac:dyDescent="0.35">
      <c r="A2419" t="s">
        <v>2499</v>
      </c>
      <c r="B2419" s="1">
        <v>46271</v>
      </c>
      <c r="C2419" t="str">
        <f>TEXT(tblData[[#This Row],[Rental Date]],"mmm")</f>
        <v>Sep</v>
      </c>
      <c r="D2419" t="str">
        <f>TEXT(tblData[[#This Row],[Rental Date]],"mmmm")</f>
        <v>September</v>
      </c>
      <c r="E2419" t="s">
        <v>68</v>
      </c>
      <c r="F2419" t="str">
        <f>TEXT(WEEKNUM(tblData[[#This Row],[Rental Date]]),"00")</f>
        <v>37</v>
      </c>
      <c r="G2419" s="1">
        <f>EOMONTH(tblData[[#This Row],[Rental Date]],0)</f>
        <v>46295</v>
      </c>
      <c r="H2419" t="s">
        <v>2441</v>
      </c>
      <c r="I2419" t="s">
        <v>39</v>
      </c>
      <c r="J2419" t="s">
        <v>86</v>
      </c>
      <c r="K2419" t="s">
        <v>25</v>
      </c>
      <c r="L2419">
        <v>1</v>
      </c>
      <c r="M2419" s="2">
        <v>62.64</v>
      </c>
      <c r="N2419" t="s">
        <v>89</v>
      </c>
      <c r="O2419" s="3">
        <v>6</v>
      </c>
      <c r="P2419" s="3">
        <v>0</v>
      </c>
      <c r="Q2419" s="2">
        <v>68.64</v>
      </c>
      <c r="R2419" t="s">
        <v>62</v>
      </c>
      <c r="S2419" t="s">
        <v>35</v>
      </c>
      <c r="T2419" t="s">
        <v>29</v>
      </c>
      <c r="U2419" t="s">
        <v>58</v>
      </c>
    </row>
    <row r="2420" spans="1:21" x14ac:dyDescent="0.35">
      <c r="A2420" t="s">
        <v>2500</v>
      </c>
      <c r="B2420" s="1">
        <v>46271</v>
      </c>
      <c r="C2420" t="str">
        <f>TEXT(tblData[[#This Row],[Rental Date]],"mmm")</f>
        <v>Sep</v>
      </c>
      <c r="D2420" t="str">
        <f>TEXT(tblData[[#This Row],[Rental Date]],"mmmm")</f>
        <v>September</v>
      </c>
      <c r="E2420" t="s">
        <v>68</v>
      </c>
      <c r="F2420" t="str">
        <f>TEXT(WEEKNUM(tblData[[#This Row],[Rental Date]]),"00")</f>
        <v>37</v>
      </c>
      <c r="G2420" s="1">
        <f>EOMONTH(tblData[[#This Row],[Rental Date]],0)</f>
        <v>46295</v>
      </c>
      <c r="H2420" t="s">
        <v>2441</v>
      </c>
      <c r="I2420" t="s">
        <v>39</v>
      </c>
      <c r="J2420" t="s">
        <v>33</v>
      </c>
      <c r="K2420" t="s">
        <v>40</v>
      </c>
      <c r="L2420">
        <v>1</v>
      </c>
      <c r="M2420" s="2">
        <v>62.64</v>
      </c>
      <c r="N2420" t="s">
        <v>26</v>
      </c>
      <c r="O2420" s="3">
        <v>0</v>
      </c>
      <c r="P2420" s="3">
        <v>0</v>
      </c>
      <c r="Q2420" s="2">
        <v>62.64</v>
      </c>
      <c r="R2420" t="s">
        <v>66</v>
      </c>
      <c r="S2420" t="s">
        <v>35</v>
      </c>
      <c r="T2420" t="s">
        <v>90</v>
      </c>
      <c r="U2420" t="s">
        <v>30</v>
      </c>
    </row>
    <row r="2421" spans="1:21" x14ac:dyDescent="0.35">
      <c r="A2421" t="s">
        <v>2501</v>
      </c>
      <c r="B2421" s="1">
        <v>46271</v>
      </c>
      <c r="C2421" t="str">
        <f>TEXT(tblData[[#This Row],[Rental Date]],"mmm")</f>
        <v>Sep</v>
      </c>
      <c r="D2421" t="str">
        <f>TEXT(tblData[[#This Row],[Rental Date]],"mmmm")</f>
        <v>September</v>
      </c>
      <c r="E2421" t="s">
        <v>68</v>
      </c>
      <c r="F2421" t="str">
        <f>TEXT(WEEKNUM(tblData[[#This Row],[Rental Date]]),"00")</f>
        <v>37</v>
      </c>
      <c r="G2421" s="1">
        <f>EOMONTH(tblData[[#This Row],[Rental Date]],0)</f>
        <v>46295</v>
      </c>
      <c r="H2421" t="s">
        <v>2441</v>
      </c>
      <c r="I2421" t="s">
        <v>39</v>
      </c>
      <c r="J2421" t="s">
        <v>33</v>
      </c>
      <c r="K2421" t="s">
        <v>60</v>
      </c>
      <c r="L2421">
        <v>1</v>
      </c>
      <c r="M2421" s="2">
        <v>25.92</v>
      </c>
      <c r="N2421" t="s">
        <v>41</v>
      </c>
      <c r="O2421" s="3">
        <v>5</v>
      </c>
      <c r="P2421" s="3">
        <v>0</v>
      </c>
      <c r="Q2421" s="2">
        <v>30.92</v>
      </c>
      <c r="R2421" t="s">
        <v>62</v>
      </c>
      <c r="S2421" t="s">
        <v>50</v>
      </c>
      <c r="T2421" t="s">
        <v>51</v>
      </c>
      <c r="U2421" t="s">
        <v>79</v>
      </c>
    </row>
    <row r="2422" spans="1:21" x14ac:dyDescent="0.35">
      <c r="A2422" t="s">
        <v>2502</v>
      </c>
      <c r="B2422" s="1">
        <v>46271</v>
      </c>
      <c r="C2422" t="str">
        <f>TEXT(tblData[[#This Row],[Rental Date]],"mmm")</f>
        <v>Sep</v>
      </c>
      <c r="D2422" t="str">
        <f>TEXT(tblData[[#This Row],[Rental Date]],"mmmm")</f>
        <v>September</v>
      </c>
      <c r="E2422" t="s">
        <v>68</v>
      </c>
      <c r="F2422" t="str">
        <f>TEXT(WEEKNUM(tblData[[#This Row],[Rental Date]]),"00")</f>
        <v>37</v>
      </c>
      <c r="G2422" s="1">
        <f>EOMONTH(tblData[[#This Row],[Rental Date]],0)</f>
        <v>46295</v>
      </c>
      <c r="H2422" t="s">
        <v>2441</v>
      </c>
      <c r="I2422" t="s">
        <v>39</v>
      </c>
      <c r="J2422" t="s">
        <v>33</v>
      </c>
      <c r="K2422" t="s">
        <v>60</v>
      </c>
      <c r="L2422">
        <v>1</v>
      </c>
      <c r="M2422" s="2">
        <v>25.92</v>
      </c>
      <c r="N2422" t="s">
        <v>26</v>
      </c>
      <c r="O2422" s="3">
        <v>0</v>
      </c>
      <c r="P2422" s="3">
        <v>0</v>
      </c>
      <c r="Q2422" s="2">
        <v>25.92</v>
      </c>
      <c r="R2422" t="s">
        <v>71</v>
      </c>
      <c r="S2422" t="s">
        <v>54</v>
      </c>
      <c r="T2422" t="s">
        <v>29</v>
      </c>
      <c r="U2422" t="s">
        <v>30</v>
      </c>
    </row>
    <row r="2423" spans="1:21" x14ac:dyDescent="0.35">
      <c r="A2423" t="s">
        <v>2503</v>
      </c>
      <c r="B2423" s="1">
        <v>46271</v>
      </c>
      <c r="C2423" t="str">
        <f>TEXT(tblData[[#This Row],[Rental Date]],"mmm")</f>
        <v>Sep</v>
      </c>
      <c r="D2423" t="str">
        <f>TEXT(tblData[[#This Row],[Rental Date]],"mmmm")</f>
        <v>September</v>
      </c>
      <c r="E2423" t="s">
        <v>68</v>
      </c>
      <c r="F2423" t="str">
        <f>TEXT(WEEKNUM(tblData[[#This Row],[Rental Date]]),"00")</f>
        <v>37</v>
      </c>
      <c r="G2423" s="1">
        <f>EOMONTH(tblData[[#This Row],[Rental Date]],0)</f>
        <v>46295</v>
      </c>
      <c r="H2423" t="s">
        <v>2441</v>
      </c>
      <c r="I2423" t="s">
        <v>48</v>
      </c>
      <c r="J2423" t="s">
        <v>138</v>
      </c>
      <c r="K2423" t="s">
        <v>60</v>
      </c>
      <c r="L2423">
        <v>1</v>
      </c>
      <c r="M2423" s="2">
        <v>32.4</v>
      </c>
      <c r="N2423" t="s">
        <v>26</v>
      </c>
      <c r="O2423" s="3">
        <v>0</v>
      </c>
      <c r="P2423" s="3">
        <v>0</v>
      </c>
      <c r="Q2423" s="2">
        <v>32.4</v>
      </c>
      <c r="R2423" t="s">
        <v>42</v>
      </c>
      <c r="S2423" t="s">
        <v>35</v>
      </c>
      <c r="T2423" t="s">
        <v>29</v>
      </c>
      <c r="U2423" t="s">
        <v>30</v>
      </c>
    </row>
    <row r="2424" spans="1:21" x14ac:dyDescent="0.35">
      <c r="A2424" t="s">
        <v>2504</v>
      </c>
      <c r="B2424" s="1">
        <v>46271</v>
      </c>
      <c r="C2424" t="str">
        <f>TEXT(tblData[[#This Row],[Rental Date]],"mmm")</f>
        <v>Sep</v>
      </c>
      <c r="D2424" t="str">
        <f>TEXT(tblData[[#This Row],[Rental Date]],"mmmm")</f>
        <v>September</v>
      </c>
      <c r="E2424" t="s">
        <v>68</v>
      </c>
      <c r="F2424" t="str">
        <f>TEXT(WEEKNUM(tblData[[#This Row],[Rental Date]]),"00")</f>
        <v>37</v>
      </c>
      <c r="G2424" s="1">
        <f>EOMONTH(tblData[[#This Row],[Rental Date]],0)</f>
        <v>46295</v>
      </c>
      <c r="H2424" t="s">
        <v>2441</v>
      </c>
      <c r="I2424" t="s">
        <v>32</v>
      </c>
      <c r="J2424" t="s">
        <v>86</v>
      </c>
      <c r="K2424" t="s">
        <v>40</v>
      </c>
      <c r="L2424">
        <v>1</v>
      </c>
      <c r="M2424" s="2">
        <v>92.88</v>
      </c>
      <c r="N2424" t="s">
        <v>26</v>
      </c>
      <c r="O2424" s="3">
        <v>0</v>
      </c>
      <c r="P2424" s="3">
        <v>0</v>
      </c>
      <c r="Q2424" s="2">
        <v>92.88</v>
      </c>
      <c r="R2424" t="s">
        <v>62</v>
      </c>
      <c r="S2424" t="s">
        <v>28</v>
      </c>
      <c r="T2424" t="s">
        <v>29</v>
      </c>
      <c r="U2424" t="s">
        <v>30</v>
      </c>
    </row>
    <row r="2425" spans="1:21" x14ac:dyDescent="0.35">
      <c r="A2425" t="s">
        <v>2505</v>
      </c>
      <c r="B2425" s="1">
        <v>46271</v>
      </c>
      <c r="C2425" t="str">
        <f>TEXT(tblData[[#This Row],[Rental Date]],"mmm")</f>
        <v>Sep</v>
      </c>
      <c r="D2425" t="str">
        <f>TEXT(tblData[[#This Row],[Rental Date]],"mmmm")</f>
        <v>September</v>
      </c>
      <c r="E2425" t="s">
        <v>68</v>
      </c>
      <c r="F2425" t="str">
        <f>TEXT(WEEKNUM(tblData[[#This Row],[Rental Date]]),"00")</f>
        <v>37</v>
      </c>
      <c r="G2425" s="1">
        <f>EOMONTH(tblData[[#This Row],[Rental Date]],0)</f>
        <v>46295</v>
      </c>
      <c r="H2425" t="s">
        <v>2441</v>
      </c>
      <c r="I2425" t="s">
        <v>23</v>
      </c>
      <c r="J2425" t="s">
        <v>127</v>
      </c>
      <c r="K2425" t="s">
        <v>60</v>
      </c>
      <c r="L2425">
        <v>1</v>
      </c>
      <c r="M2425" s="2">
        <v>10.8</v>
      </c>
      <c r="N2425" t="s">
        <v>26</v>
      </c>
      <c r="O2425" s="3">
        <v>0</v>
      </c>
      <c r="P2425" s="3">
        <v>0</v>
      </c>
      <c r="Q2425" s="2">
        <v>10.8</v>
      </c>
      <c r="R2425" t="s">
        <v>45</v>
      </c>
      <c r="S2425" t="s">
        <v>54</v>
      </c>
      <c r="T2425" t="s">
        <v>51</v>
      </c>
      <c r="U2425" t="s">
        <v>30</v>
      </c>
    </row>
    <row r="2426" spans="1:21" x14ac:dyDescent="0.35">
      <c r="A2426" t="s">
        <v>2506</v>
      </c>
      <c r="B2426" s="1">
        <v>46271</v>
      </c>
      <c r="C2426" t="str">
        <f>TEXT(tblData[[#This Row],[Rental Date]],"mmm")</f>
        <v>Sep</v>
      </c>
      <c r="D2426" t="str">
        <f>TEXT(tblData[[#This Row],[Rental Date]],"mmmm")</f>
        <v>September</v>
      </c>
      <c r="E2426" t="s">
        <v>68</v>
      </c>
      <c r="F2426" t="str">
        <f>TEXT(WEEKNUM(tblData[[#This Row],[Rental Date]]),"00")</f>
        <v>37</v>
      </c>
      <c r="G2426" s="1">
        <f>EOMONTH(tblData[[#This Row],[Rental Date]],0)</f>
        <v>46295</v>
      </c>
      <c r="H2426" t="s">
        <v>2441</v>
      </c>
      <c r="I2426" t="s">
        <v>39</v>
      </c>
      <c r="J2426" t="s">
        <v>44</v>
      </c>
      <c r="K2426" t="s">
        <v>92</v>
      </c>
      <c r="L2426">
        <v>1</v>
      </c>
      <c r="M2426" s="2">
        <v>120.96</v>
      </c>
      <c r="N2426" t="s">
        <v>87</v>
      </c>
      <c r="O2426" s="3">
        <v>10</v>
      </c>
      <c r="P2426" s="3">
        <v>0</v>
      </c>
      <c r="Q2426" s="2">
        <v>130.96</v>
      </c>
      <c r="R2426" t="s">
        <v>45</v>
      </c>
      <c r="S2426" t="s">
        <v>54</v>
      </c>
      <c r="T2426" t="s">
        <v>29</v>
      </c>
      <c r="U2426" t="s">
        <v>30</v>
      </c>
    </row>
    <row r="2427" spans="1:21" x14ac:dyDescent="0.35">
      <c r="A2427" t="s">
        <v>2507</v>
      </c>
      <c r="B2427" s="1">
        <v>46271</v>
      </c>
      <c r="C2427" t="str">
        <f>TEXT(tblData[[#This Row],[Rental Date]],"mmm")</f>
        <v>Sep</v>
      </c>
      <c r="D2427" t="str">
        <f>TEXT(tblData[[#This Row],[Rental Date]],"mmmm")</f>
        <v>September</v>
      </c>
      <c r="E2427" t="s">
        <v>68</v>
      </c>
      <c r="F2427" t="str">
        <f>TEXT(WEEKNUM(tblData[[#This Row],[Rental Date]]),"00")</f>
        <v>37</v>
      </c>
      <c r="G2427" s="1">
        <f>EOMONTH(tblData[[#This Row],[Rental Date]],0)</f>
        <v>46295</v>
      </c>
      <c r="H2427" t="s">
        <v>2441</v>
      </c>
      <c r="I2427" t="s">
        <v>48</v>
      </c>
      <c r="J2427" t="s">
        <v>44</v>
      </c>
      <c r="K2427" t="s">
        <v>40</v>
      </c>
      <c r="L2427">
        <v>1</v>
      </c>
      <c r="M2427" s="2">
        <v>84.24</v>
      </c>
      <c r="N2427" t="s">
        <v>89</v>
      </c>
      <c r="O2427" s="3">
        <v>6</v>
      </c>
      <c r="P2427" s="3">
        <v>0</v>
      </c>
      <c r="Q2427" s="2">
        <v>90.24</v>
      </c>
      <c r="R2427" t="s">
        <v>57</v>
      </c>
      <c r="S2427" t="s">
        <v>54</v>
      </c>
      <c r="T2427" t="s">
        <v>51</v>
      </c>
      <c r="U2427" t="s">
        <v>30</v>
      </c>
    </row>
    <row r="2428" spans="1:21" x14ac:dyDescent="0.35">
      <c r="A2428" t="s">
        <v>2508</v>
      </c>
      <c r="B2428" s="1">
        <v>46272</v>
      </c>
      <c r="C2428" t="str">
        <f>TEXT(tblData[[#This Row],[Rental Date]],"mmm")</f>
        <v>Sep</v>
      </c>
      <c r="D2428" t="str">
        <f>TEXT(tblData[[#This Row],[Rental Date]],"mmmm")</f>
        <v>September</v>
      </c>
      <c r="E2428" t="s">
        <v>74</v>
      </c>
      <c r="F2428" t="str">
        <f>TEXT(WEEKNUM(tblData[[#This Row],[Rental Date]]),"00")</f>
        <v>37</v>
      </c>
      <c r="G2428" s="1">
        <f>EOMONTH(tblData[[#This Row],[Rental Date]],0)</f>
        <v>46295</v>
      </c>
      <c r="H2428" t="s">
        <v>2441</v>
      </c>
      <c r="I2428" t="s">
        <v>39</v>
      </c>
      <c r="J2428" t="s">
        <v>78</v>
      </c>
      <c r="K2428" t="s">
        <v>25</v>
      </c>
      <c r="L2428">
        <v>1</v>
      </c>
      <c r="M2428" s="2">
        <v>48.3</v>
      </c>
      <c r="N2428" t="s">
        <v>41</v>
      </c>
      <c r="O2428" s="3">
        <v>5</v>
      </c>
      <c r="P2428" s="3">
        <v>0</v>
      </c>
      <c r="Q2428" s="2">
        <v>53.3</v>
      </c>
      <c r="R2428" t="s">
        <v>94</v>
      </c>
      <c r="S2428" t="s">
        <v>50</v>
      </c>
      <c r="T2428" t="s">
        <v>29</v>
      </c>
      <c r="U2428" t="s">
        <v>30</v>
      </c>
    </row>
    <row r="2429" spans="1:21" x14ac:dyDescent="0.35">
      <c r="A2429" t="s">
        <v>2509</v>
      </c>
      <c r="B2429" s="1">
        <v>46272</v>
      </c>
      <c r="C2429" t="str">
        <f>TEXT(tblData[[#This Row],[Rental Date]],"mmm")</f>
        <v>Sep</v>
      </c>
      <c r="D2429" t="str">
        <f>TEXT(tblData[[#This Row],[Rental Date]],"mmmm")</f>
        <v>September</v>
      </c>
      <c r="E2429" t="s">
        <v>74</v>
      </c>
      <c r="F2429" t="str">
        <f>TEXT(WEEKNUM(tblData[[#This Row],[Rental Date]]),"00")</f>
        <v>37</v>
      </c>
      <c r="G2429" s="1">
        <f>EOMONTH(tblData[[#This Row],[Rental Date]],0)</f>
        <v>46295</v>
      </c>
      <c r="H2429" t="s">
        <v>2441</v>
      </c>
      <c r="I2429" t="s">
        <v>48</v>
      </c>
      <c r="J2429" t="s">
        <v>44</v>
      </c>
      <c r="K2429" t="s">
        <v>25</v>
      </c>
      <c r="L2429">
        <v>1</v>
      </c>
      <c r="M2429" s="2">
        <v>59.8</v>
      </c>
      <c r="N2429" t="s">
        <v>26</v>
      </c>
      <c r="O2429" s="3">
        <v>0</v>
      </c>
      <c r="P2429" s="3">
        <v>2.99</v>
      </c>
      <c r="Q2429" s="2">
        <v>56.81</v>
      </c>
      <c r="R2429" t="s">
        <v>71</v>
      </c>
      <c r="S2429" t="s">
        <v>35</v>
      </c>
      <c r="T2429" t="s">
        <v>29</v>
      </c>
      <c r="U2429" t="s">
        <v>30</v>
      </c>
    </row>
    <row r="2430" spans="1:21" x14ac:dyDescent="0.35">
      <c r="A2430" t="s">
        <v>2510</v>
      </c>
      <c r="B2430" s="1">
        <v>46272</v>
      </c>
      <c r="C2430" t="str">
        <f>TEXT(tblData[[#This Row],[Rental Date]],"mmm")</f>
        <v>Sep</v>
      </c>
      <c r="D2430" t="str">
        <f>TEXT(tblData[[#This Row],[Rental Date]],"mmmm")</f>
        <v>September</v>
      </c>
      <c r="E2430" t="s">
        <v>74</v>
      </c>
      <c r="F2430" t="str">
        <f>TEXT(WEEKNUM(tblData[[#This Row],[Rental Date]]),"00")</f>
        <v>37</v>
      </c>
      <c r="G2430" s="1">
        <f>EOMONTH(tblData[[#This Row],[Rental Date]],0)</f>
        <v>46295</v>
      </c>
      <c r="H2430" t="s">
        <v>2441</v>
      </c>
      <c r="I2430" t="s">
        <v>48</v>
      </c>
      <c r="J2430" t="s">
        <v>33</v>
      </c>
      <c r="K2430" t="s">
        <v>25</v>
      </c>
      <c r="L2430">
        <v>1</v>
      </c>
      <c r="M2430" s="2">
        <v>43.7</v>
      </c>
      <c r="N2430" t="s">
        <v>26</v>
      </c>
      <c r="O2430" s="3">
        <v>0</v>
      </c>
      <c r="P2430" s="3">
        <v>0</v>
      </c>
      <c r="Q2430" s="2">
        <v>43.7</v>
      </c>
      <c r="R2430" t="s">
        <v>76</v>
      </c>
      <c r="S2430" t="s">
        <v>46</v>
      </c>
      <c r="T2430" t="s">
        <v>29</v>
      </c>
      <c r="U2430" t="s">
        <v>30</v>
      </c>
    </row>
    <row r="2431" spans="1:21" x14ac:dyDescent="0.35">
      <c r="A2431" t="s">
        <v>2511</v>
      </c>
      <c r="B2431" s="1">
        <v>46272</v>
      </c>
      <c r="C2431" t="str">
        <f>TEXT(tblData[[#This Row],[Rental Date]],"mmm")</f>
        <v>Sep</v>
      </c>
      <c r="D2431" t="str">
        <f>TEXT(tblData[[#This Row],[Rental Date]],"mmmm")</f>
        <v>September</v>
      </c>
      <c r="E2431" t="s">
        <v>74</v>
      </c>
      <c r="F2431" t="str">
        <f>TEXT(WEEKNUM(tblData[[#This Row],[Rental Date]]),"00")</f>
        <v>37</v>
      </c>
      <c r="G2431" s="1">
        <f>EOMONTH(tblData[[#This Row],[Rental Date]],0)</f>
        <v>46295</v>
      </c>
      <c r="H2431" t="s">
        <v>2441</v>
      </c>
      <c r="I2431" t="s">
        <v>48</v>
      </c>
      <c r="J2431" t="s">
        <v>33</v>
      </c>
      <c r="K2431" t="s">
        <v>25</v>
      </c>
      <c r="L2431">
        <v>1</v>
      </c>
      <c r="M2431" s="2">
        <v>43.7</v>
      </c>
      <c r="N2431" t="s">
        <v>41</v>
      </c>
      <c r="O2431" s="3">
        <v>5</v>
      </c>
      <c r="P2431" s="3">
        <v>0</v>
      </c>
      <c r="Q2431" s="2">
        <v>48.7</v>
      </c>
      <c r="R2431" t="s">
        <v>76</v>
      </c>
      <c r="S2431" t="s">
        <v>50</v>
      </c>
      <c r="T2431" t="s">
        <v>29</v>
      </c>
      <c r="U2431" t="s">
        <v>58</v>
      </c>
    </row>
    <row r="2432" spans="1:21" x14ac:dyDescent="0.35">
      <c r="A2432" t="s">
        <v>2512</v>
      </c>
      <c r="B2432" s="1">
        <v>46272</v>
      </c>
      <c r="C2432" t="str">
        <f>TEXT(tblData[[#This Row],[Rental Date]],"mmm")</f>
        <v>Sep</v>
      </c>
      <c r="D2432" t="str">
        <f>TEXT(tblData[[#This Row],[Rental Date]],"mmmm")</f>
        <v>September</v>
      </c>
      <c r="E2432" t="s">
        <v>74</v>
      </c>
      <c r="F2432" t="str">
        <f>TEXT(WEEKNUM(tblData[[#This Row],[Rental Date]]),"00")</f>
        <v>37</v>
      </c>
      <c r="G2432" s="1">
        <f>EOMONTH(tblData[[#This Row],[Rental Date]],0)</f>
        <v>46295</v>
      </c>
      <c r="H2432" t="s">
        <v>2441</v>
      </c>
      <c r="I2432" t="s">
        <v>48</v>
      </c>
      <c r="J2432" t="s">
        <v>78</v>
      </c>
      <c r="K2432" t="s">
        <v>25</v>
      </c>
      <c r="L2432">
        <v>1</v>
      </c>
      <c r="M2432" s="2">
        <v>48.3</v>
      </c>
      <c r="N2432" t="s">
        <v>89</v>
      </c>
      <c r="O2432" s="3">
        <v>6</v>
      </c>
      <c r="P2432" s="3">
        <v>0</v>
      </c>
      <c r="Q2432" s="2">
        <v>54.3</v>
      </c>
      <c r="R2432" t="s">
        <v>76</v>
      </c>
      <c r="S2432" t="s">
        <v>54</v>
      </c>
      <c r="T2432" t="s">
        <v>83</v>
      </c>
      <c r="U2432" t="s">
        <v>58</v>
      </c>
    </row>
    <row r="2433" spans="1:21" x14ac:dyDescent="0.35">
      <c r="A2433" t="s">
        <v>2513</v>
      </c>
      <c r="B2433" s="1">
        <v>46272</v>
      </c>
      <c r="C2433" t="str">
        <f>TEXT(tblData[[#This Row],[Rental Date]],"mmm")</f>
        <v>Sep</v>
      </c>
      <c r="D2433" t="str">
        <f>TEXT(tblData[[#This Row],[Rental Date]],"mmmm")</f>
        <v>September</v>
      </c>
      <c r="E2433" t="s">
        <v>74</v>
      </c>
      <c r="F2433" t="str">
        <f>TEXT(WEEKNUM(tblData[[#This Row],[Rental Date]]),"00")</f>
        <v>37</v>
      </c>
      <c r="G2433" s="1">
        <f>EOMONTH(tblData[[#This Row],[Rental Date]],0)</f>
        <v>46295</v>
      </c>
      <c r="H2433" t="s">
        <v>2441</v>
      </c>
      <c r="I2433" t="s">
        <v>39</v>
      </c>
      <c r="J2433" t="s">
        <v>111</v>
      </c>
      <c r="K2433" t="s">
        <v>25</v>
      </c>
      <c r="L2433">
        <v>1</v>
      </c>
      <c r="M2433" s="2">
        <v>25.3</v>
      </c>
      <c r="N2433" t="s">
        <v>41</v>
      </c>
      <c r="O2433" s="3">
        <v>5</v>
      </c>
      <c r="P2433" s="3">
        <v>0</v>
      </c>
      <c r="Q2433" s="2">
        <v>30.3</v>
      </c>
      <c r="R2433" t="s">
        <v>94</v>
      </c>
      <c r="S2433" t="s">
        <v>46</v>
      </c>
      <c r="T2433" t="s">
        <v>29</v>
      </c>
      <c r="U2433" t="s">
        <v>30</v>
      </c>
    </row>
    <row r="2434" spans="1:21" x14ac:dyDescent="0.35">
      <c r="A2434" t="s">
        <v>2514</v>
      </c>
      <c r="B2434" s="1">
        <v>46272</v>
      </c>
      <c r="C2434" t="str">
        <f>TEXT(tblData[[#This Row],[Rental Date]],"mmm")</f>
        <v>Sep</v>
      </c>
      <c r="D2434" t="str">
        <f>TEXT(tblData[[#This Row],[Rental Date]],"mmmm")</f>
        <v>September</v>
      </c>
      <c r="E2434" t="s">
        <v>74</v>
      </c>
      <c r="F2434" t="str">
        <f>TEXT(WEEKNUM(tblData[[#This Row],[Rental Date]]),"00")</f>
        <v>37</v>
      </c>
      <c r="G2434" s="1">
        <f>EOMONTH(tblData[[#This Row],[Rental Date]],0)</f>
        <v>46295</v>
      </c>
      <c r="H2434" t="s">
        <v>2441</v>
      </c>
      <c r="I2434" t="s">
        <v>23</v>
      </c>
      <c r="J2434" t="s">
        <v>33</v>
      </c>
      <c r="K2434" t="s">
        <v>60</v>
      </c>
      <c r="L2434">
        <v>1</v>
      </c>
      <c r="M2434" s="2">
        <v>27.6</v>
      </c>
      <c r="N2434" t="s">
        <v>61</v>
      </c>
      <c r="O2434" s="3">
        <v>8</v>
      </c>
      <c r="P2434" s="3">
        <v>0</v>
      </c>
      <c r="Q2434" s="2">
        <v>35.6</v>
      </c>
      <c r="R2434" t="s">
        <v>66</v>
      </c>
      <c r="S2434" t="s">
        <v>54</v>
      </c>
      <c r="T2434" t="s">
        <v>29</v>
      </c>
      <c r="U2434" t="s">
        <v>30</v>
      </c>
    </row>
    <row r="2435" spans="1:21" x14ac:dyDescent="0.35">
      <c r="A2435" t="s">
        <v>2515</v>
      </c>
      <c r="B2435" s="1">
        <v>46272</v>
      </c>
      <c r="C2435" t="str">
        <f>TEXT(tblData[[#This Row],[Rental Date]],"mmm")</f>
        <v>Sep</v>
      </c>
      <c r="D2435" t="str">
        <f>TEXT(tblData[[#This Row],[Rental Date]],"mmmm")</f>
        <v>September</v>
      </c>
      <c r="E2435" t="s">
        <v>74</v>
      </c>
      <c r="F2435" t="str">
        <f>TEXT(WEEKNUM(tblData[[#This Row],[Rental Date]]),"00")</f>
        <v>37</v>
      </c>
      <c r="G2435" s="1">
        <f>EOMONTH(tblData[[#This Row],[Rental Date]],0)</f>
        <v>46295</v>
      </c>
      <c r="H2435" t="s">
        <v>2441</v>
      </c>
      <c r="I2435" t="s">
        <v>48</v>
      </c>
      <c r="J2435" t="s">
        <v>49</v>
      </c>
      <c r="K2435" t="s">
        <v>40</v>
      </c>
      <c r="L2435">
        <v>1</v>
      </c>
      <c r="M2435" s="2">
        <v>62.1</v>
      </c>
      <c r="N2435" t="s">
        <v>41</v>
      </c>
      <c r="O2435" s="3">
        <v>5</v>
      </c>
      <c r="P2435" s="3">
        <v>0</v>
      </c>
      <c r="Q2435" s="2">
        <v>67.099999999999994</v>
      </c>
      <c r="R2435" t="s">
        <v>34</v>
      </c>
      <c r="S2435" t="s">
        <v>35</v>
      </c>
      <c r="T2435" t="s">
        <v>29</v>
      </c>
      <c r="U2435" t="s">
        <v>30</v>
      </c>
    </row>
    <row r="2436" spans="1:21" x14ac:dyDescent="0.35">
      <c r="A2436" t="s">
        <v>2516</v>
      </c>
      <c r="B2436" s="1">
        <v>46272</v>
      </c>
      <c r="C2436" t="str">
        <f>TEXT(tblData[[#This Row],[Rental Date]],"mmm")</f>
        <v>Sep</v>
      </c>
      <c r="D2436" t="str">
        <f>TEXT(tblData[[#This Row],[Rental Date]],"mmmm")</f>
        <v>September</v>
      </c>
      <c r="E2436" t="s">
        <v>74</v>
      </c>
      <c r="F2436" t="str">
        <f>TEXT(WEEKNUM(tblData[[#This Row],[Rental Date]]),"00")</f>
        <v>37</v>
      </c>
      <c r="G2436" s="1">
        <f>EOMONTH(tblData[[#This Row],[Rental Date]],0)</f>
        <v>46295</v>
      </c>
      <c r="H2436" t="s">
        <v>2441</v>
      </c>
      <c r="I2436" t="s">
        <v>48</v>
      </c>
      <c r="J2436" t="s">
        <v>49</v>
      </c>
      <c r="K2436" t="s">
        <v>60</v>
      </c>
      <c r="L2436">
        <v>1</v>
      </c>
      <c r="M2436" s="2">
        <v>25.3</v>
      </c>
      <c r="N2436" t="s">
        <v>61</v>
      </c>
      <c r="O2436" s="3">
        <v>8</v>
      </c>
      <c r="P2436" s="3">
        <v>0</v>
      </c>
      <c r="Q2436" s="2">
        <v>33.299999999999997</v>
      </c>
      <c r="R2436" t="s">
        <v>34</v>
      </c>
      <c r="S2436" t="s">
        <v>28</v>
      </c>
      <c r="T2436" t="s">
        <v>29</v>
      </c>
      <c r="U2436" t="s">
        <v>79</v>
      </c>
    </row>
    <row r="2437" spans="1:21" x14ac:dyDescent="0.35">
      <c r="A2437" t="s">
        <v>2517</v>
      </c>
      <c r="B2437" s="1">
        <v>46272</v>
      </c>
      <c r="C2437" t="str">
        <f>TEXT(tblData[[#This Row],[Rental Date]],"mmm")</f>
        <v>Sep</v>
      </c>
      <c r="D2437" t="str">
        <f>TEXT(tblData[[#This Row],[Rental Date]],"mmmm")</f>
        <v>September</v>
      </c>
      <c r="E2437" t="s">
        <v>74</v>
      </c>
      <c r="F2437" t="str">
        <f>TEXT(WEEKNUM(tblData[[#This Row],[Rental Date]]),"00")</f>
        <v>37</v>
      </c>
      <c r="G2437" s="1">
        <f>EOMONTH(tblData[[#This Row],[Rental Date]],0)</f>
        <v>46295</v>
      </c>
      <c r="H2437" t="s">
        <v>2441</v>
      </c>
      <c r="I2437" t="s">
        <v>39</v>
      </c>
      <c r="J2437" t="s">
        <v>78</v>
      </c>
      <c r="K2437" t="s">
        <v>25</v>
      </c>
      <c r="L2437">
        <v>1</v>
      </c>
      <c r="M2437" s="2">
        <v>48.3</v>
      </c>
      <c r="N2437" t="s">
        <v>26</v>
      </c>
      <c r="O2437" s="3">
        <v>0</v>
      </c>
      <c r="P2437" s="3">
        <v>0</v>
      </c>
      <c r="Q2437" s="2">
        <v>48.3</v>
      </c>
      <c r="R2437" t="s">
        <v>62</v>
      </c>
      <c r="S2437" t="s">
        <v>46</v>
      </c>
      <c r="T2437" t="s">
        <v>29</v>
      </c>
      <c r="U2437" t="s">
        <v>30</v>
      </c>
    </row>
    <row r="2438" spans="1:21" x14ac:dyDescent="0.35">
      <c r="A2438" t="s">
        <v>2518</v>
      </c>
      <c r="B2438" s="1">
        <v>46272</v>
      </c>
      <c r="C2438" t="str">
        <f>TEXT(tblData[[#This Row],[Rental Date]],"mmm")</f>
        <v>Sep</v>
      </c>
      <c r="D2438" t="str">
        <f>TEXT(tblData[[#This Row],[Rental Date]],"mmmm")</f>
        <v>September</v>
      </c>
      <c r="E2438" t="s">
        <v>74</v>
      </c>
      <c r="F2438" t="str">
        <f>TEXT(WEEKNUM(tblData[[#This Row],[Rental Date]]),"00")</f>
        <v>37</v>
      </c>
      <c r="G2438" s="1">
        <f>EOMONTH(tblData[[#This Row],[Rental Date]],0)</f>
        <v>46295</v>
      </c>
      <c r="H2438" t="s">
        <v>2441</v>
      </c>
      <c r="I2438" t="s">
        <v>23</v>
      </c>
      <c r="J2438" t="s">
        <v>44</v>
      </c>
      <c r="K2438" t="s">
        <v>25</v>
      </c>
      <c r="L2438">
        <v>1</v>
      </c>
      <c r="M2438" s="2">
        <v>59.8</v>
      </c>
      <c r="N2438" t="s">
        <v>26</v>
      </c>
      <c r="O2438" s="3">
        <v>0</v>
      </c>
      <c r="P2438" s="3">
        <v>0</v>
      </c>
      <c r="Q2438" s="2">
        <v>59.8</v>
      </c>
      <c r="R2438" t="s">
        <v>42</v>
      </c>
      <c r="S2438" t="s">
        <v>54</v>
      </c>
      <c r="T2438" t="s">
        <v>63</v>
      </c>
      <c r="U2438" t="s">
        <v>79</v>
      </c>
    </row>
    <row r="2439" spans="1:21" x14ac:dyDescent="0.35">
      <c r="A2439" t="s">
        <v>2519</v>
      </c>
      <c r="B2439" s="1">
        <v>46272</v>
      </c>
      <c r="C2439" t="str">
        <f>TEXT(tblData[[#This Row],[Rental Date]],"mmm")</f>
        <v>Sep</v>
      </c>
      <c r="D2439" t="str">
        <f>TEXT(tblData[[#This Row],[Rental Date]],"mmmm")</f>
        <v>September</v>
      </c>
      <c r="E2439" t="s">
        <v>74</v>
      </c>
      <c r="F2439" t="str">
        <f>TEXT(WEEKNUM(tblData[[#This Row],[Rental Date]]),"00")</f>
        <v>37</v>
      </c>
      <c r="G2439" s="1">
        <f>EOMONTH(tblData[[#This Row],[Rental Date]],0)</f>
        <v>46295</v>
      </c>
      <c r="H2439" t="s">
        <v>2441</v>
      </c>
      <c r="I2439" t="s">
        <v>48</v>
      </c>
      <c r="J2439" t="s">
        <v>44</v>
      </c>
      <c r="K2439" t="s">
        <v>25</v>
      </c>
      <c r="L2439">
        <v>1</v>
      </c>
      <c r="M2439" s="2">
        <v>59.8</v>
      </c>
      <c r="N2439" t="s">
        <v>61</v>
      </c>
      <c r="O2439" s="3">
        <v>8</v>
      </c>
      <c r="P2439" s="3">
        <v>0</v>
      </c>
      <c r="Q2439" s="2">
        <v>67.8</v>
      </c>
      <c r="R2439" t="s">
        <v>94</v>
      </c>
      <c r="S2439" t="s">
        <v>54</v>
      </c>
      <c r="T2439" t="s">
        <v>51</v>
      </c>
      <c r="U2439" t="s">
        <v>79</v>
      </c>
    </row>
    <row r="2440" spans="1:21" x14ac:dyDescent="0.35">
      <c r="A2440" t="s">
        <v>2520</v>
      </c>
      <c r="B2440" s="1">
        <v>46272</v>
      </c>
      <c r="C2440" t="str">
        <f>TEXT(tblData[[#This Row],[Rental Date]],"mmm")</f>
        <v>Sep</v>
      </c>
      <c r="D2440" t="str">
        <f>TEXT(tblData[[#This Row],[Rental Date]],"mmmm")</f>
        <v>September</v>
      </c>
      <c r="E2440" t="s">
        <v>74</v>
      </c>
      <c r="F2440" t="str">
        <f>TEXT(WEEKNUM(tblData[[#This Row],[Rental Date]]),"00")</f>
        <v>37</v>
      </c>
      <c r="G2440" s="1">
        <f>EOMONTH(tblData[[#This Row],[Rental Date]],0)</f>
        <v>46295</v>
      </c>
      <c r="H2440" t="s">
        <v>2441</v>
      </c>
      <c r="I2440" t="s">
        <v>39</v>
      </c>
      <c r="J2440" t="s">
        <v>78</v>
      </c>
      <c r="K2440" t="s">
        <v>25</v>
      </c>
      <c r="L2440">
        <v>1</v>
      </c>
      <c r="M2440" s="2">
        <v>48.3</v>
      </c>
      <c r="N2440" t="s">
        <v>26</v>
      </c>
      <c r="O2440" s="3">
        <v>0</v>
      </c>
      <c r="P2440" s="3">
        <v>0</v>
      </c>
      <c r="Q2440" s="2">
        <v>48.3</v>
      </c>
      <c r="R2440" t="s">
        <v>42</v>
      </c>
      <c r="S2440" t="s">
        <v>28</v>
      </c>
      <c r="T2440" t="s">
        <v>63</v>
      </c>
      <c r="U2440" t="s">
        <v>30</v>
      </c>
    </row>
    <row r="2441" spans="1:21" x14ac:dyDescent="0.35">
      <c r="A2441" t="s">
        <v>2521</v>
      </c>
      <c r="B2441" s="1">
        <v>46272</v>
      </c>
      <c r="C2441" t="str">
        <f>TEXT(tblData[[#This Row],[Rental Date]],"mmm")</f>
        <v>Sep</v>
      </c>
      <c r="D2441" t="str">
        <f>TEXT(tblData[[#This Row],[Rental Date]],"mmmm")</f>
        <v>September</v>
      </c>
      <c r="E2441" t="s">
        <v>74</v>
      </c>
      <c r="F2441" t="str">
        <f>TEXT(WEEKNUM(tblData[[#This Row],[Rental Date]]),"00")</f>
        <v>37</v>
      </c>
      <c r="G2441" s="1">
        <f>EOMONTH(tblData[[#This Row],[Rental Date]],0)</f>
        <v>46295</v>
      </c>
      <c r="H2441" t="s">
        <v>2441</v>
      </c>
      <c r="I2441" t="s">
        <v>39</v>
      </c>
      <c r="J2441" t="s">
        <v>65</v>
      </c>
      <c r="K2441" t="s">
        <v>60</v>
      </c>
      <c r="L2441">
        <v>1</v>
      </c>
      <c r="M2441" s="2">
        <v>13.8</v>
      </c>
      <c r="N2441" t="s">
        <v>41</v>
      </c>
      <c r="O2441" s="3">
        <v>5</v>
      </c>
      <c r="P2441" s="3">
        <v>0</v>
      </c>
      <c r="Q2441" s="2">
        <v>18.8</v>
      </c>
      <c r="R2441" t="s">
        <v>76</v>
      </c>
      <c r="S2441" t="s">
        <v>35</v>
      </c>
      <c r="T2441" t="s">
        <v>29</v>
      </c>
      <c r="U2441" t="s">
        <v>58</v>
      </c>
    </row>
    <row r="2442" spans="1:21" x14ac:dyDescent="0.35">
      <c r="A2442" t="s">
        <v>2522</v>
      </c>
      <c r="B2442" s="1">
        <v>46272</v>
      </c>
      <c r="C2442" t="str">
        <f>TEXT(tblData[[#This Row],[Rental Date]],"mmm")</f>
        <v>Sep</v>
      </c>
      <c r="D2442" t="str">
        <f>TEXT(tblData[[#This Row],[Rental Date]],"mmmm")</f>
        <v>September</v>
      </c>
      <c r="E2442" t="s">
        <v>74</v>
      </c>
      <c r="F2442" t="str">
        <f>TEXT(WEEKNUM(tblData[[#This Row],[Rental Date]]),"00")</f>
        <v>37</v>
      </c>
      <c r="G2442" s="1">
        <f>EOMONTH(tblData[[#This Row],[Rental Date]],0)</f>
        <v>46295</v>
      </c>
      <c r="H2442" t="s">
        <v>2441</v>
      </c>
      <c r="I2442" t="s">
        <v>39</v>
      </c>
      <c r="J2442" t="s">
        <v>24</v>
      </c>
      <c r="K2442" t="s">
        <v>60</v>
      </c>
      <c r="L2442">
        <v>1</v>
      </c>
      <c r="M2442" s="2">
        <v>36.799999999999997</v>
      </c>
      <c r="N2442" t="s">
        <v>41</v>
      </c>
      <c r="O2442" s="3">
        <v>5</v>
      </c>
      <c r="P2442" s="3">
        <v>2.09</v>
      </c>
      <c r="Q2442" s="2">
        <v>39.71</v>
      </c>
      <c r="R2442" t="s">
        <v>66</v>
      </c>
      <c r="S2442" t="s">
        <v>35</v>
      </c>
      <c r="T2442" t="s">
        <v>29</v>
      </c>
      <c r="U2442" t="s">
        <v>30</v>
      </c>
    </row>
    <row r="2443" spans="1:21" x14ac:dyDescent="0.35">
      <c r="A2443" t="s">
        <v>2523</v>
      </c>
      <c r="B2443" s="1">
        <v>46273</v>
      </c>
      <c r="C2443" t="str">
        <f>TEXT(tblData[[#This Row],[Rental Date]],"mmm")</f>
        <v>Sep</v>
      </c>
      <c r="D2443" t="str">
        <f>TEXT(tblData[[#This Row],[Rental Date]],"mmmm")</f>
        <v>September</v>
      </c>
      <c r="E2443" t="s">
        <v>102</v>
      </c>
      <c r="F2443" t="str">
        <f>TEXT(WEEKNUM(tblData[[#This Row],[Rental Date]]),"00")</f>
        <v>37</v>
      </c>
      <c r="G2443" s="1">
        <f>EOMONTH(tblData[[#This Row],[Rental Date]],0)</f>
        <v>46295</v>
      </c>
      <c r="H2443" t="s">
        <v>2441</v>
      </c>
      <c r="I2443" t="s">
        <v>48</v>
      </c>
      <c r="J2443" t="s">
        <v>138</v>
      </c>
      <c r="K2443" t="s">
        <v>40</v>
      </c>
      <c r="L2443">
        <v>1</v>
      </c>
      <c r="M2443" s="2">
        <v>72</v>
      </c>
      <c r="N2443" t="s">
        <v>41</v>
      </c>
      <c r="O2443" s="3">
        <v>5</v>
      </c>
      <c r="P2443" s="3">
        <v>0</v>
      </c>
      <c r="Q2443" s="2">
        <v>77</v>
      </c>
      <c r="R2443" t="s">
        <v>45</v>
      </c>
      <c r="S2443" t="s">
        <v>46</v>
      </c>
      <c r="T2443" t="s">
        <v>29</v>
      </c>
      <c r="U2443" t="s">
        <v>30</v>
      </c>
    </row>
    <row r="2444" spans="1:21" x14ac:dyDescent="0.35">
      <c r="A2444" t="s">
        <v>2524</v>
      </c>
      <c r="B2444" s="1">
        <v>46273</v>
      </c>
      <c r="C2444" t="str">
        <f>TEXT(tblData[[#This Row],[Rental Date]],"mmm")</f>
        <v>Sep</v>
      </c>
      <c r="D2444" t="str">
        <f>TEXT(tblData[[#This Row],[Rental Date]],"mmmm")</f>
        <v>September</v>
      </c>
      <c r="E2444" t="s">
        <v>102</v>
      </c>
      <c r="F2444" t="str">
        <f>TEXT(WEEKNUM(tblData[[#This Row],[Rental Date]]),"00")</f>
        <v>37</v>
      </c>
      <c r="G2444" s="1">
        <f>EOMONTH(tblData[[#This Row],[Rental Date]],0)</f>
        <v>46295</v>
      </c>
      <c r="H2444" t="s">
        <v>2441</v>
      </c>
      <c r="I2444" t="s">
        <v>32</v>
      </c>
      <c r="J2444" t="s">
        <v>49</v>
      </c>
      <c r="K2444" t="s">
        <v>25</v>
      </c>
      <c r="L2444">
        <v>1</v>
      </c>
      <c r="M2444" s="2">
        <v>36</v>
      </c>
      <c r="N2444" t="s">
        <v>26</v>
      </c>
      <c r="O2444" s="3">
        <v>0</v>
      </c>
      <c r="P2444" s="3">
        <v>1.8</v>
      </c>
      <c r="Q2444" s="2">
        <v>34.200000000000003</v>
      </c>
      <c r="R2444" t="s">
        <v>62</v>
      </c>
      <c r="S2444" t="s">
        <v>28</v>
      </c>
      <c r="T2444" t="s">
        <v>29</v>
      </c>
      <c r="U2444" t="s">
        <v>30</v>
      </c>
    </row>
    <row r="2445" spans="1:21" x14ac:dyDescent="0.35">
      <c r="A2445" t="s">
        <v>2525</v>
      </c>
      <c r="B2445" s="1">
        <v>46273</v>
      </c>
      <c r="C2445" t="str">
        <f>TEXT(tblData[[#This Row],[Rental Date]],"mmm")</f>
        <v>Sep</v>
      </c>
      <c r="D2445" t="str">
        <f>TEXT(tblData[[#This Row],[Rental Date]],"mmmm")</f>
        <v>September</v>
      </c>
      <c r="E2445" t="s">
        <v>102</v>
      </c>
      <c r="F2445" t="str">
        <f>TEXT(WEEKNUM(tblData[[#This Row],[Rental Date]]),"00")</f>
        <v>37</v>
      </c>
      <c r="G2445" s="1">
        <f>EOMONTH(tblData[[#This Row],[Rental Date]],0)</f>
        <v>46295</v>
      </c>
      <c r="H2445" t="s">
        <v>2441</v>
      </c>
      <c r="I2445" t="s">
        <v>39</v>
      </c>
      <c r="J2445" t="s">
        <v>127</v>
      </c>
      <c r="K2445" t="s">
        <v>25</v>
      </c>
      <c r="L2445">
        <v>1</v>
      </c>
      <c r="M2445" s="2">
        <v>16</v>
      </c>
      <c r="N2445" t="s">
        <v>89</v>
      </c>
      <c r="O2445" s="3">
        <v>6</v>
      </c>
      <c r="P2445" s="3">
        <v>1.1000000000000001</v>
      </c>
      <c r="Q2445" s="2">
        <v>20.9</v>
      </c>
      <c r="R2445" t="s">
        <v>94</v>
      </c>
      <c r="S2445" t="s">
        <v>50</v>
      </c>
      <c r="T2445" t="s">
        <v>63</v>
      </c>
      <c r="U2445" t="s">
        <v>30</v>
      </c>
    </row>
    <row r="2446" spans="1:21" x14ac:dyDescent="0.35">
      <c r="A2446" t="s">
        <v>2526</v>
      </c>
      <c r="B2446" s="1">
        <v>46273</v>
      </c>
      <c r="C2446" t="str">
        <f>TEXT(tblData[[#This Row],[Rental Date]],"mmm")</f>
        <v>Sep</v>
      </c>
      <c r="D2446" t="str">
        <f>TEXT(tblData[[#This Row],[Rental Date]],"mmmm")</f>
        <v>September</v>
      </c>
      <c r="E2446" t="s">
        <v>102</v>
      </c>
      <c r="F2446" t="str">
        <f>TEXT(WEEKNUM(tblData[[#This Row],[Rental Date]]),"00")</f>
        <v>37</v>
      </c>
      <c r="G2446" s="1">
        <f>EOMONTH(tblData[[#This Row],[Rental Date]],0)</f>
        <v>46295</v>
      </c>
      <c r="H2446" t="s">
        <v>2441</v>
      </c>
      <c r="I2446" t="s">
        <v>39</v>
      </c>
      <c r="J2446" t="s">
        <v>33</v>
      </c>
      <c r="K2446" t="s">
        <v>25</v>
      </c>
      <c r="L2446">
        <v>1</v>
      </c>
      <c r="M2446" s="2">
        <v>38</v>
      </c>
      <c r="N2446" t="s">
        <v>89</v>
      </c>
      <c r="O2446" s="3">
        <v>6</v>
      </c>
      <c r="P2446" s="3">
        <v>0</v>
      </c>
      <c r="Q2446" s="2">
        <v>44</v>
      </c>
      <c r="R2446" t="s">
        <v>94</v>
      </c>
      <c r="S2446" t="s">
        <v>46</v>
      </c>
      <c r="T2446" t="s">
        <v>51</v>
      </c>
      <c r="U2446" t="s">
        <v>30</v>
      </c>
    </row>
    <row r="2447" spans="1:21" x14ac:dyDescent="0.35">
      <c r="A2447" t="s">
        <v>2527</v>
      </c>
      <c r="B2447" s="1">
        <v>46273</v>
      </c>
      <c r="C2447" t="str">
        <f>TEXT(tblData[[#This Row],[Rental Date]],"mmm")</f>
        <v>Sep</v>
      </c>
      <c r="D2447" t="str">
        <f>TEXT(tblData[[#This Row],[Rental Date]],"mmmm")</f>
        <v>September</v>
      </c>
      <c r="E2447" t="s">
        <v>102</v>
      </c>
      <c r="F2447" t="str">
        <f>TEXT(WEEKNUM(tblData[[#This Row],[Rental Date]]),"00")</f>
        <v>37</v>
      </c>
      <c r="G2447" s="1">
        <f>EOMONTH(tblData[[#This Row],[Rental Date]],0)</f>
        <v>46295</v>
      </c>
      <c r="H2447" t="s">
        <v>2441</v>
      </c>
      <c r="I2447" t="s">
        <v>23</v>
      </c>
      <c r="J2447" t="s">
        <v>78</v>
      </c>
      <c r="K2447" t="s">
        <v>92</v>
      </c>
      <c r="L2447">
        <v>1</v>
      </c>
      <c r="M2447" s="2">
        <v>88</v>
      </c>
      <c r="N2447" t="s">
        <v>26</v>
      </c>
      <c r="O2447" s="3">
        <v>0</v>
      </c>
      <c r="P2447" s="3">
        <v>0</v>
      </c>
      <c r="Q2447" s="2">
        <v>88</v>
      </c>
      <c r="R2447" t="s">
        <v>66</v>
      </c>
      <c r="S2447" t="s">
        <v>50</v>
      </c>
      <c r="T2447" t="s">
        <v>29</v>
      </c>
      <c r="U2447" t="s">
        <v>58</v>
      </c>
    </row>
    <row r="2448" spans="1:21" x14ac:dyDescent="0.35">
      <c r="A2448" t="s">
        <v>2528</v>
      </c>
      <c r="B2448" s="1">
        <v>46273</v>
      </c>
      <c r="C2448" t="str">
        <f>TEXT(tblData[[#This Row],[Rental Date]],"mmm")</f>
        <v>Sep</v>
      </c>
      <c r="D2448" t="str">
        <f>TEXT(tblData[[#This Row],[Rental Date]],"mmmm")</f>
        <v>September</v>
      </c>
      <c r="E2448" t="s">
        <v>102</v>
      </c>
      <c r="F2448" t="str">
        <f>TEXT(WEEKNUM(tblData[[#This Row],[Rental Date]]),"00")</f>
        <v>37</v>
      </c>
      <c r="G2448" s="1">
        <f>EOMONTH(tblData[[#This Row],[Rental Date]],0)</f>
        <v>46295</v>
      </c>
      <c r="H2448" t="s">
        <v>2441</v>
      </c>
      <c r="I2448" t="s">
        <v>48</v>
      </c>
      <c r="J2448" t="s">
        <v>78</v>
      </c>
      <c r="K2448" t="s">
        <v>60</v>
      </c>
      <c r="L2448">
        <v>1</v>
      </c>
      <c r="M2448" s="2">
        <v>26</v>
      </c>
      <c r="N2448" t="s">
        <v>26</v>
      </c>
      <c r="O2448" s="3">
        <v>0</v>
      </c>
      <c r="P2448" s="3">
        <v>0</v>
      </c>
      <c r="Q2448" s="2">
        <v>26</v>
      </c>
      <c r="R2448" t="s">
        <v>66</v>
      </c>
      <c r="S2448" t="s">
        <v>35</v>
      </c>
      <c r="T2448" t="s">
        <v>29</v>
      </c>
      <c r="U2448" t="s">
        <v>79</v>
      </c>
    </row>
    <row r="2449" spans="1:21" x14ac:dyDescent="0.35">
      <c r="A2449" t="s">
        <v>2529</v>
      </c>
      <c r="B2449" s="1">
        <v>46273</v>
      </c>
      <c r="C2449" t="str">
        <f>TEXT(tblData[[#This Row],[Rental Date]],"mmm")</f>
        <v>Sep</v>
      </c>
      <c r="D2449" t="str">
        <f>TEXT(tblData[[#This Row],[Rental Date]],"mmmm")</f>
        <v>September</v>
      </c>
      <c r="E2449" t="s">
        <v>102</v>
      </c>
      <c r="F2449" t="str">
        <f>TEXT(WEEKNUM(tblData[[#This Row],[Rental Date]]),"00")</f>
        <v>37</v>
      </c>
      <c r="G2449" s="1">
        <f>EOMONTH(tblData[[#This Row],[Rental Date]],0)</f>
        <v>46295</v>
      </c>
      <c r="H2449" t="s">
        <v>2441</v>
      </c>
      <c r="I2449" t="s">
        <v>39</v>
      </c>
      <c r="J2449" t="s">
        <v>33</v>
      </c>
      <c r="K2449" t="s">
        <v>60</v>
      </c>
      <c r="L2449">
        <v>1</v>
      </c>
      <c r="M2449" s="2">
        <v>24</v>
      </c>
      <c r="N2449" t="s">
        <v>26</v>
      </c>
      <c r="O2449" s="3">
        <v>0</v>
      </c>
      <c r="P2449" s="3">
        <v>0</v>
      </c>
      <c r="Q2449" s="2">
        <v>24</v>
      </c>
      <c r="R2449" t="s">
        <v>45</v>
      </c>
      <c r="S2449" t="s">
        <v>35</v>
      </c>
      <c r="T2449" t="s">
        <v>51</v>
      </c>
      <c r="U2449" t="s">
        <v>30</v>
      </c>
    </row>
    <row r="2450" spans="1:21" x14ac:dyDescent="0.35">
      <c r="A2450" t="s">
        <v>2530</v>
      </c>
      <c r="B2450" s="1">
        <v>46274</v>
      </c>
      <c r="C2450" t="str">
        <f>TEXT(tblData[[#This Row],[Rental Date]],"mmm")</f>
        <v>Sep</v>
      </c>
      <c r="D2450" t="str">
        <f>TEXT(tblData[[#This Row],[Rental Date]],"mmmm")</f>
        <v>September</v>
      </c>
      <c r="E2450" t="s">
        <v>109</v>
      </c>
      <c r="F2450" t="str">
        <f>TEXT(WEEKNUM(tblData[[#This Row],[Rental Date]]),"00")</f>
        <v>37</v>
      </c>
      <c r="G2450" s="1">
        <f>EOMONTH(tblData[[#This Row],[Rental Date]],0)</f>
        <v>46295</v>
      </c>
      <c r="H2450" t="s">
        <v>2441</v>
      </c>
      <c r="I2450" t="s">
        <v>39</v>
      </c>
      <c r="J2450" t="s">
        <v>49</v>
      </c>
      <c r="K2450" t="s">
        <v>25</v>
      </c>
      <c r="L2450">
        <v>1</v>
      </c>
      <c r="M2450" s="2">
        <v>36</v>
      </c>
      <c r="N2450" t="s">
        <v>70</v>
      </c>
      <c r="O2450" s="3">
        <v>7</v>
      </c>
      <c r="P2450" s="3">
        <v>0</v>
      </c>
      <c r="Q2450" s="2">
        <v>43</v>
      </c>
      <c r="R2450" t="s">
        <v>62</v>
      </c>
      <c r="S2450" t="s">
        <v>54</v>
      </c>
      <c r="T2450" t="s">
        <v>29</v>
      </c>
      <c r="U2450" t="s">
        <v>30</v>
      </c>
    </row>
    <row r="2451" spans="1:21" x14ac:dyDescent="0.35">
      <c r="A2451" t="s">
        <v>2531</v>
      </c>
      <c r="B2451" s="1">
        <v>46274</v>
      </c>
      <c r="C2451" t="str">
        <f>TEXT(tblData[[#This Row],[Rental Date]],"mmm")</f>
        <v>Sep</v>
      </c>
      <c r="D2451" t="str">
        <f>TEXT(tblData[[#This Row],[Rental Date]],"mmmm")</f>
        <v>September</v>
      </c>
      <c r="E2451" t="s">
        <v>109</v>
      </c>
      <c r="F2451" t="str">
        <f>TEXT(WEEKNUM(tblData[[#This Row],[Rental Date]]),"00")</f>
        <v>37</v>
      </c>
      <c r="G2451" s="1">
        <f>EOMONTH(tblData[[#This Row],[Rental Date]],0)</f>
        <v>46295</v>
      </c>
      <c r="H2451" t="s">
        <v>2441</v>
      </c>
      <c r="I2451" t="s">
        <v>23</v>
      </c>
      <c r="J2451" t="s">
        <v>111</v>
      </c>
      <c r="K2451" t="s">
        <v>40</v>
      </c>
      <c r="L2451">
        <v>1</v>
      </c>
      <c r="M2451" s="2">
        <v>34</v>
      </c>
      <c r="N2451" t="s">
        <v>41</v>
      </c>
      <c r="O2451" s="3">
        <v>5</v>
      </c>
      <c r="P2451" s="3">
        <v>0</v>
      </c>
      <c r="Q2451" s="2">
        <v>39</v>
      </c>
      <c r="R2451" t="s">
        <v>42</v>
      </c>
      <c r="S2451" t="s">
        <v>28</v>
      </c>
      <c r="T2451" t="s">
        <v>51</v>
      </c>
      <c r="U2451" t="s">
        <v>30</v>
      </c>
    </row>
    <row r="2452" spans="1:21" x14ac:dyDescent="0.35">
      <c r="A2452" t="s">
        <v>2532</v>
      </c>
      <c r="B2452" s="1">
        <v>46274</v>
      </c>
      <c r="C2452" t="str">
        <f>TEXT(tblData[[#This Row],[Rental Date]],"mmm")</f>
        <v>Sep</v>
      </c>
      <c r="D2452" t="str">
        <f>TEXT(tblData[[#This Row],[Rental Date]],"mmmm")</f>
        <v>September</v>
      </c>
      <c r="E2452" t="s">
        <v>109</v>
      </c>
      <c r="F2452" t="str">
        <f>TEXT(WEEKNUM(tblData[[#This Row],[Rental Date]]),"00")</f>
        <v>37</v>
      </c>
      <c r="G2452" s="1">
        <f>EOMONTH(tblData[[#This Row],[Rental Date]],0)</f>
        <v>46295</v>
      </c>
      <c r="H2452" t="s">
        <v>2441</v>
      </c>
      <c r="I2452" t="s">
        <v>32</v>
      </c>
      <c r="J2452" t="s">
        <v>111</v>
      </c>
      <c r="K2452" t="s">
        <v>60</v>
      </c>
      <c r="L2452">
        <v>1</v>
      </c>
      <c r="M2452" s="2">
        <v>14</v>
      </c>
      <c r="N2452" t="s">
        <v>26</v>
      </c>
      <c r="O2452" s="3">
        <v>0</v>
      </c>
      <c r="P2452" s="3">
        <v>0.7</v>
      </c>
      <c r="Q2452" s="2">
        <v>13.3</v>
      </c>
      <c r="R2452" t="s">
        <v>57</v>
      </c>
      <c r="S2452" t="s">
        <v>28</v>
      </c>
      <c r="T2452" t="s">
        <v>51</v>
      </c>
      <c r="U2452" t="s">
        <v>30</v>
      </c>
    </row>
    <row r="2453" spans="1:21" x14ac:dyDescent="0.35">
      <c r="A2453" t="s">
        <v>2533</v>
      </c>
      <c r="B2453" s="1">
        <v>46274</v>
      </c>
      <c r="C2453" t="str">
        <f>TEXT(tblData[[#This Row],[Rental Date]],"mmm")</f>
        <v>Sep</v>
      </c>
      <c r="D2453" t="str">
        <f>TEXT(tblData[[#This Row],[Rental Date]],"mmmm")</f>
        <v>September</v>
      </c>
      <c r="E2453" t="s">
        <v>109</v>
      </c>
      <c r="F2453" t="str">
        <f>TEXT(WEEKNUM(tblData[[#This Row],[Rental Date]]),"00")</f>
        <v>37</v>
      </c>
      <c r="G2453" s="1">
        <f>EOMONTH(tblData[[#This Row],[Rental Date]],0)</f>
        <v>46295</v>
      </c>
      <c r="H2453" t="s">
        <v>2441</v>
      </c>
      <c r="I2453" t="s">
        <v>39</v>
      </c>
      <c r="J2453" t="s">
        <v>78</v>
      </c>
      <c r="K2453" t="s">
        <v>25</v>
      </c>
      <c r="L2453">
        <v>1</v>
      </c>
      <c r="M2453" s="2">
        <v>42</v>
      </c>
      <c r="N2453" t="s">
        <v>26</v>
      </c>
      <c r="O2453" s="3">
        <v>0</v>
      </c>
      <c r="P2453" s="3">
        <v>0</v>
      </c>
      <c r="Q2453" s="2">
        <v>42</v>
      </c>
      <c r="R2453" t="s">
        <v>76</v>
      </c>
      <c r="S2453" t="s">
        <v>35</v>
      </c>
      <c r="T2453" t="s">
        <v>29</v>
      </c>
      <c r="U2453" t="s">
        <v>30</v>
      </c>
    </row>
    <row r="2454" spans="1:21" x14ac:dyDescent="0.35">
      <c r="A2454" t="s">
        <v>2534</v>
      </c>
      <c r="B2454" s="1">
        <v>46274</v>
      </c>
      <c r="C2454" t="str">
        <f>TEXT(tblData[[#This Row],[Rental Date]],"mmm")</f>
        <v>Sep</v>
      </c>
      <c r="D2454" t="str">
        <f>TEXT(tblData[[#This Row],[Rental Date]],"mmmm")</f>
        <v>September</v>
      </c>
      <c r="E2454" t="s">
        <v>109</v>
      </c>
      <c r="F2454" t="str">
        <f>TEXT(WEEKNUM(tblData[[#This Row],[Rental Date]]),"00")</f>
        <v>37</v>
      </c>
      <c r="G2454" s="1">
        <f>EOMONTH(tblData[[#This Row],[Rental Date]],0)</f>
        <v>46295</v>
      </c>
      <c r="H2454" t="s">
        <v>2441</v>
      </c>
      <c r="I2454" t="s">
        <v>53</v>
      </c>
      <c r="J2454" t="s">
        <v>111</v>
      </c>
      <c r="K2454" t="s">
        <v>40</v>
      </c>
      <c r="L2454">
        <v>1</v>
      </c>
      <c r="M2454" s="2">
        <v>34</v>
      </c>
      <c r="N2454" t="s">
        <v>41</v>
      </c>
      <c r="O2454" s="3">
        <v>5</v>
      </c>
      <c r="P2454" s="3">
        <v>5.85</v>
      </c>
      <c r="Q2454" s="2">
        <v>33.15</v>
      </c>
      <c r="R2454" t="s">
        <v>27</v>
      </c>
      <c r="S2454" t="s">
        <v>35</v>
      </c>
      <c r="T2454" t="s">
        <v>83</v>
      </c>
      <c r="U2454" t="s">
        <v>30</v>
      </c>
    </row>
    <row r="2455" spans="1:21" x14ac:dyDescent="0.35">
      <c r="A2455" t="s">
        <v>2535</v>
      </c>
      <c r="B2455" s="1">
        <v>46274</v>
      </c>
      <c r="C2455" t="str">
        <f>TEXT(tblData[[#This Row],[Rental Date]],"mmm")</f>
        <v>Sep</v>
      </c>
      <c r="D2455" t="str">
        <f>TEXT(tblData[[#This Row],[Rental Date]],"mmmm")</f>
        <v>September</v>
      </c>
      <c r="E2455" t="s">
        <v>109</v>
      </c>
      <c r="F2455" t="str">
        <f>TEXT(WEEKNUM(tblData[[#This Row],[Rental Date]]),"00")</f>
        <v>37</v>
      </c>
      <c r="G2455" s="1">
        <f>EOMONTH(tblData[[#This Row],[Rental Date]],0)</f>
        <v>46295</v>
      </c>
      <c r="H2455" t="s">
        <v>2441</v>
      </c>
      <c r="I2455" t="s">
        <v>53</v>
      </c>
      <c r="J2455" t="s">
        <v>33</v>
      </c>
      <c r="K2455" t="s">
        <v>25</v>
      </c>
      <c r="L2455">
        <v>1</v>
      </c>
      <c r="M2455" s="2">
        <v>38</v>
      </c>
      <c r="N2455" t="s">
        <v>26</v>
      </c>
      <c r="O2455" s="3">
        <v>0</v>
      </c>
      <c r="P2455" s="3">
        <v>5.7</v>
      </c>
      <c r="Q2455" s="2">
        <v>32.299999999999997</v>
      </c>
      <c r="R2455" t="s">
        <v>42</v>
      </c>
      <c r="S2455" t="s">
        <v>46</v>
      </c>
      <c r="T2455" t="s">
        <v>63</v>
      </c>
      <c r="U2455" t="s">
        <v>58</v>
      </c>
    </row>
    <row r="2456" spans="1:21" x14ac:dyDescent="0.35">
      <c r="A2456" t="s">
        <v>2536</v>
      </c>
      <c r="B2456" s="1">
        <v>46274</v>
      </c>
      <c r="C2456" t="str">
        <f>TEXT(tblData[[#This Row],[Rental Date]],"mmm")</f>
        <v>Sep</v>
      </c>
      <c r="D2456" t="str">
        <f>TEXT(tblData[[#This Row],[Rental Date]],"mmmm")</f>
        <v>September</v>
      </c>
      <c r="E2456" t="s">
        <v>109</v>
      </c>
      <c r="F2456" t="str">
        <f>TEXT(WEEKNUM(tblData[[#This Row],[Rental Date]]),"00")</f>
        <v>37</v>
      </c>
      <c r="G2456" s="1">
        <f>EOMONTH(tblData[[#This Row],[Rental Date]],0)</f>
        <v>46295</v>
      </c>
      <c r="H2456" t="s">
        <v>2441</v>
      </c>
      <c r="I2456" t="s">
        <v>39</v>
      </c>
      <c r="J2456" t="s">
        <v>33</v>
      </c>
      <c r="K2456" t="s">
        <v>25</v>
      </c>
      <c r="L2456">
        <v>1</v>
      </c>
      <c r="M2456" s="2">
        <v>38</v>
      </c>
      <c r="N2456" t="s">
        <v>26</v>
      </c>
      <c r="O2456" s="3">
        <v>0</v>
      </c>
      <c r="P2456" s="3">
        <v>0</v>
      </c>
      <c r="Q2456" s="2">
        <v>38</v>
      </c>
      <c r="R2456" t="s">
        <v>42</v>
      </c>
      <c r="S2456" t="s">
        <v>35</v>
      </c>
      <c r="T2456" t="s">
        <v>51</v>
      </c>
      <c r="U2456" t="s">
        <v>79</v>
      </c>
    </row>
    <row r="2457" spans="1:21" x14ac:dyDescent="0.35">
      <c r="A2457" t="s">
        <v>2537</v>
      </c>
      <c r="B2457" s="1">
        <v>46274</v>
      </c>
      <c r="C2457" t="str">
        <f>TEXT(tblData[[#This Row],[Rental Date]],"mmm")</f>
        <v>Sep</v>
      </c>
      <c r="D2457" t="str">
        <f>TEXT(tblData[[#This Row],[Rental Date]],"mmmm")</f>
        <v>September</v>
      </c>
      <c r="E2457" t="s">
        <v>109</v>
      </c>
      <c r="F2457" t="str">
        <f>TEXT(WEEKNUM(tblData[[#This Row],[Rental Date]]),"00")</f>
        <v>37</v>
      </c>
      <c r="G2457" s="1">
        <f>EOMONTH(tblData[[#This Row],[Rental Date]],0)</f>
        <v>46295</v>
      </c>
      <c r="H2457" t="s">
        <v>2441</v>
      </c>
      <c r="I2457" t="s">
        <v>39</v>
      </c>
      <c r="J2457" t="s">
        <v>49</v>
      </c>
      <c r="K2457" t="s">
        <v>40</v>
      </c>
      <c r="L2457">
        <v>1</v>
      </c>
      <c r="M2457" s="2">
        <v>54</v>
      </c>
      <c r="N2457" t="s">
        <v>89</v>
      </c>
      <c r="O2457" s="3">
        <v>6</v>
      </c>
      <c r="P2457" s="3">
        <v>0</v>
      </c>
      <c r="Q2457" s="2">
        <v>60</v>
      </c>
      <c r="R2457" t="s">
        <v>94</v>
      </c>
      <c r="S2457" t="s">
        <v>46</v>
      </c>
      <c r="T2457" t="s">
        <v>51</v>
      </c>
      <c r="U2457" t="s">
        <v>30</v>
      </c>
    </row>
    <row r="2458" spans="1:21" x14ac:dyDescent="0.35">
      <c r="A2458" t="s">
        <v>2538</v>
      </c>
      <c r="B2458" s="1">
        <v>46274</v>
      </c>
      <c r="C2458" t="str">
        <f>TEXT(tblData[[#This Row],[Rental Date]],"mmm")</f>
        <v>Sep</v>
      </c>
      <c r="D2458" t="str">
        <f>TEXT(tblData[[#This Row],[Rental Date]],"mmmm")</f>
        <v>September</v>
      </c>
      <c r="E2458" t="s">
        <v>109</v>
      </c>
      <c r="F2458" t="str">
        <f>TEXT(WEEKNUM(tblData[[#This Row],[Rental Date]]),"00")</f>
        <v>37</v>
      </c>
      <c r="G2458" s="1">
        <f>EOMONTH(tblData[[#This Row],[Rental Date]],0)</f>
        <v>46295</v>
      </c>
      <c r="H2458" t="s">
        <v>2441</v>
      </c>
      <c r="I2458" t="s">
        <v>39</v>
      </c>
      <c r="J2458" t="s">
        <v>44</v>
      </c>
      <c r="K2458" t="s">
        <v>40</v>
      </c>
      <c r="L2458">
        <v>1</v>
      </c>
      <c r="M2458" s="2">
        <v>78</v>
      </c>
      <c r="N2458" t="s">
        <v>26</v>
      </c>
      <c r="O2458" s="3">
        <v>0</v>
      </c>
      <c r="P2458" s="3">
        <v>0</v>
      </c>
      <c r="Q2458" s="2">
        <v>78</v>
      </c>
      <c r="R2458" t="s">
        <v>57</v>
      </c>
      <c r="S2458" t="s">
        <v>46</v>
      </c>
      <c r="T2458" t="s">
        <v>29</v>
      </c>
      <c r="U2458" t="s">
        <v>30</v>
      </c>
    </row>
    <row r="2459" spans="1:21" x14ac:dyDescent="0.35">
      <c r="A2459" t="s">
        <v>2539</v>
      </c>
      <c r="B2459" s="1">
        <v>46274</v>
      </c>
      <c r="C2459" t="str">
        <f>TEXT(tblData[[#This Row],[Rental Date]],"mmm")</f>
        <v>Sep</v>
      </c>
      <c r="D2459" t="str">
        <f>TEXT(tblData[[#This Row],[Rental Date]],"mmmm")</f>
        <v>September</v>
      </c>
      <c r="E2459" t="s">
        <v>109</v>
      </c>
      <c r="F2459" t="str">
        <f>TEXT(WEEKNUM(tblData[[#This Row],[Rental Date]]),"00")</f>
        <v>37</v>
      </c>
      <c r="G2459" s="1">
        <f>EOMONTH(tblData[[#This Row],[Rental Date]],0)</f>
        <v>46295</v>
      </c>
      <c r="H2459" t="s">
        <v>2441</v>
      </c>
      <c r="I2459" t="s">
        <v>32</v>
      </c>
      <c r="J2459" t="s">
        <v>127</v>
      </c>
      <c r="K2459" t="s">
        <v>60</v>
      </c>
      <c r="L2459">
        <v>1</v>
      </c>
      <c r="M2459" s="2">
        <v>10</v>
      </c>
      <c r="N2459" t="s">
        <v>61</v>
      </c>
      <c r="O2459" s="3">
        <v>8</v>
      </c>
      <c r="P2459" s="3">
        <v>0</v>
      </c>
      <c r="Q2459" s="2">
        <v>18</v>
      </c>
      <c r="R2459" t="s">
        <v>62</v>
      </c>
      <c r="S2459" t="s">
        <v>50</v>
      </c>
      <c r="T2459" t="s">
        <v>90</v>
      </c>
      <c r="U2459" t="s">
        <v>30</v>
      </c>
    </row>
    <row r="2460" spans="1:21" x14ac:dyDescent="0.35">
      <c r="A2460" t="s">
        <v>2540</v>
      </c>
      <c r="B2460" s="1">
        <v>46274</v>
      </c>
      <c r="C2460" t="str">
        <f>TEXT(tblData[[#This Row],[Rental Date]],"mmm")</f>
        <v>Sep</v>
      </c>
      <c r="D2460" t="str">
        <f>TEXT(tblData[[#This Row],[Rental Date]],"mmmm")</f>
        <v>September</v>
      </c>
      <c r="E2460" t="s">
        <v>109</v>
      </c>
      <c r="F2460" t="str">
        <f>TEXT(WEEKNUM(tblData[[#This Row],[Rental Date]]),"00")</f>
        <v>37</v>
      </c>
      <c r="G2460" s="1">
        <f>EOMONTH(tblData[[#This Row],[Rental Date]],0)</f>
        <v>46295</v>
      </c>
      <c r="H2460" t="s">
        <v>2441</v>
      </c>
      <c r="I2460" t="s">
        <v>48</v>
      </c>
      <c r="J2460" t="s">
        <v>49</v>
      </c>
      <c r="K2460" t="s">
        <v>40</v>
      </c>
      <c r="L2460">
        <v>1</v>
      </c>
      <c r="M2460" s="2">
        <v>54</v>
      </c>
      <c r="N2460" t="s">
        <v>41</v>
      </c>
      <c r="O2460" s="3">
        <v>5</v>
      </c>
      <c r="P2460" s="3">
        <v>0</v>
      </c>
      <c r="Q2460" s="2">
        <v>59</v>
      </c>
      <c r="R2460" t="s">
        <v>45</v>
      </c>
      <c r="S2460" t="s">
        <v>46</v>
      </c>
      <c r="T2460" t="s">
        <v>51</v>
      </c>
      <c r="U2460" t="s">
        <v>58</v>
      </c>
    </row>
    <row r="2461" spans="1:21" x14ac:dyDescent="0.35">
      <c r="A2461" t="s">
        <v>2541</v>
      </c>
      <c r="B2461" s="1">
        <v>46275</v>
      </c>
      <c r="C2461" t="str">
        <f>TEXT(tblData[[#This Row],[Rental Date]],"mmm")</f>
        <v>Sep</v>
      </c>
      <c r="D2461" t="str">
        <f>TEXT(tblData[[#This Row],[Rental Date]],"mmmm")</f>
        <v>September</v>
      </c>
      <c r="E2461" t="s">
        <v>21</v>
      </c>
      <c r="F2461" t="str">
        <f>TEXT(WEEKNUM(tblData[[#This Row],[Rental Date]]),"00")</f>
        <v>37</v>
      </c>
      <c r="G2461" s="1">
        <f>EOMONTH(tblData[[#This Row],[Rental Date]],0)</f>
        <v>46295</v>
      </c>
      <c r="H2461" t="s">
        <v>2441</v>
      </c>
      <c r="I2461" t="s">
        <v>39</v>
      </c>
      <c r="J2461" t="s">
        <v>78</v>
      </c>
      <c r="K2461" t="s">
        <v>40</v>
      </c>
      <c r="L2461">
        <v>1</v>
      </c>
      <c r="M2461" s="2">
        <v>62</v>
      </c>
      <c r="N2461" t="s">
        <v>26</v>
      </c>
      <c r="O2461" s="3">
        <v>0</v>
      </c>
      <c r="P2461" s="3">
        <v>0</v>
      </c>
      <c r="Q2461" s="2">
        <v>62</v>
      </c>
      <c r="R2461" t="s">
        <v>66</v>
      </c>
      <c r="S2461" t="s">
        <v>46</v>
      </c>
      <c r="T2461" t="s">
        <v>51</v>
      </c>
      <c r="U2461" t="s">
        <v>79</v>
      </c>
    </row>
    <row r="2462" spans="1:21" x14ac:dyDescent="0.35">
      <c r="A2462" t="s">
        <v>2542</v>
      </c>
      <c r="B2462" s="1">
        <v>46275</v>
      </c>
      <c r="C2462" t="str">
        <f>TEXT(tblData[[#This Row],[Rental Date]],"mmm")</f>
        <v>Sep</v>
      </c>
      <c r="D2462" t="str">
        <f>TEXT(tblData[[#This Row],[Rental Date]],"mmmm")</f>
        <v>September</v>
      </c>
      <c r="E2462" t="s">
        <v>21</v>
      </c>
      <c r="F2462" t="str">
        <f>TEXT(WEEKNUM(tblData[[#This Row],[Rental Date]]),"00")</f>
        <v>37</v>
      </c>
      <c r="G2462" s="1">
        <f>EOMONTH(tblData[[#This Row],[Rental Date]],0)</f>
        <v>46295</v>
      </c>
      <c r="H2462" t="s">
        <v>2441</v>
      </c>
      <c r="I2462" t="s">
        <v>48</v>
      </c>
      <c r="J2462" t="s">
        <v>49</v>
      </c>
      <c r="K2462" t="s">
        <v>40</v>
      </c>
      <c r="L2462">
        <v>1</v>
      </c>
      <c r="M2462" s="2">
        <v>54</v>
      </c>
      <c r="N2462" t="s">
        <v>87</v>
      </c>
      <c r="O2462" s="3">
        <v>10</v>
      </c>
      <c r="P2462" s="3">
        <v>0</v>
      </c>
      <c r="Q2462" s="2">
        <v>64</v>
      </c>
      <c r="R2462" t="s">
        <v>57</v>
      </c>
      <c r="S2462" t="s">
        <v>46</v>
      </c>
      <c r="T2462" t="s">
        <v>29</v>
      </c>
      <c r="U2462" t="s">
        <v>30</v>
      </c>
    </row>
    <row r="2463" spans="1:21" x14ac:dyDescent="0.35">
      <c r="A2463" t="s">
        <v>2543</v>
      </c>
      <c r="B2463" s="1">
        <v>46275</v>
      </c>
      <c r="C2463" t="str">
        <f>TEXT(tblData[[#This Row],[Rental Date]],"mmm")</f>
        <v>Sep</v>
      </c>
      <c r="D2463" t="str">
        <f>TEXT(tblData[[#This Row],[Rental Date]],"mmmm")</f>
        <v>September</v>
      </c>
      <c r="E2463" t="s">
        <v>21</v>
      </c>
      <c r="F2463" t="str">
        <f>TEXT(WEEKNUM(tblData[[#This Row],[Rental Date]]),"00")</f>
        <v>37</v>
      </c>
      <c r="G2463" s="1">
        <f>EOMONTH(tblData[[#This Row],[Rental Date]],0)</f>
        <v>46295</v>
      </c>
      <c r="H2463" t="s">
        <v>2441</v>
      </c>
      <c r="I2463" t="s">
        <v>39</v>
      </c>
      <c r="J2463" t="s">
        <v>127</v>
      </c>
      <c r="K2463" t="s">
        <v>25</v>
      </c>
      <c r="L2463">
        <v>1</v>
      </c>
      <c r="M2463" s="2">
        <v>16</v>
      </c>
      <c r="N2463" t="s">
        <v>26</v>
      </c>
      <c r="O2463" s="3">
        <v>0</v>
      </c>
      <c r="P2463" s="3">
        <v>0</v>
      </c>
      <c r="Q2463" s="2">
        <v>16</v>
      </c>
      <c r="R2463" t="s">
        <v>76</v>
      </c>
      <c r="S2463" t="s">
        <v>46</v>
      </c>
      <c r="T2463" t="s">
        <v>29</v>
      </c>
      <c r="U2463" t="s">
        <v>79</v>
      </c>
    </row>
    <row r="2464" spans="1:21" x14ac:dyDescent="0.35">
      <c r="A2464" t="s">
        <v>2544</v>
      </c>
      <c r="B2464" s="1">
        <v>46275</v>
      </c>
      <c r="C2464" t="str">
        <f>TEXT(tblData[[#This Row],[Rental Date]],"mmm")</f>
        <v>Sep</v>
      </c>
      <c r="D2464" t="str">
        <f>TEXT(tblData[[#This Row],[Rental Date]],"mmmm")</f>
        <v>September</v>
      </c>
      <c r="E2464" t="s">
        <v>21</v>
      </c>
      <c r="F2464" t="str">
        <f>TEXT(WEEKNUM(tblData[[#This Row],[Rental Date]]),"00")</f>
        <v>37</v>
      </c>
      <c r="G2464" s="1">
        <f>EOMONTH(tblData[[#This Row],[Rental Date]],0)</f>
        <v>46295</v>
      </c>
      <c r="H2464" t="s">
        <v>2441</v>
      </c>
      <c r="I2464" t="s">
        <v>53</v>
      </c>
      <c r="J2464" t="s">
        <v>33</v>
      </c>
      <c r="K2464" t="s">
        <v>40</v>
      </c>
      <c r="L2464">
        <v>1</v>
      </c>
      <c r="M2464" s="2">
        <v>58</v>
      </c>
      <c r="N2464" t="s">
        <v>70</v>
      </c>
      <c r="O2464" s="3">
        <v>7</v>
      </c>
      <c r="P2464" s="3">
        <v>9.75</v>
      </c>
      <c r="Q2464" s="2">
        <v>55.25</v>
      </c>
      <c r="R2464" t="s">
        <v>27</v>
      </c>
      <c r="S2464" t="s">
        <v>54</v>
      </c>
      <c r="T2464" t="s">
        <v>90</v>
      </c>
      <c r="U2464" t="s">
        <v>79</v>
      </c>
    </row>
    <row r="2465" spans="1:21" x14ac:dyDescent="0.35">
      <c r="A2465" t="s">
        <v>2545</v>
      </c>
      <c r="B2465" s="1">
        <v>46275</v>
      </c>
      <c r="C2465" t="str">
        <f>TEXT(tblData[[#This Row],[Rental Date]],"mmm")</f>
        <v>Sep</v>
      </c>
      <c r="D2465" t="str">
        <f>TEXT(tblData[[#This Row],[Rental Date]],"mmmm")</f>
        <v>September</v>
      </c>
      <c r="E2465" t="s">
        <v>21</v>
      </c>
      <c r="F2465" t="str">
        <f>TEXT(WEEKNUM(tblData[[#This Row],[Rental Date]]),"00")</f>
        <v>37</v>
      </c>
      <c r="G2465" s="1">
        <f>EOMONTH(tblData[[#This Row],[Rental Date]],0)</f>
        <v>46295</v>
      </c>
      <c r="H2465" t="s">
        <v>2441</v>
      </c>
      <c r="I2465" t="s">
        <v>48</v>
      </c>
      <c r="J2465" t="s">
        <v>33</v>
      </c>
      <c r="K2465" t="s">
        <v>40</v>
      </c>
      <c r="L2465">
        <v>1</v>
      </c>
      <c r="M2465" s="2">
        <v>58</v>
      </c>
      <c r="N2465" t="s">
        <v>26</v>
      </c>
      <c r="O2465" s="3">
        <v>0</v>
      </c>
      <c r="P2465" s="3">
        <v>0</v>
      </c>
      <c r="Q2465" s="2">
        <v>58</v>
      </c>
      <c r="R2465" t="s">
        <v>57</v>
      </c>
      <c r="S2465" t="s">
        <v>50</v>
      </c>
      <c r="T2465" t="s">
        <v>29</v>
      </c>
      <c r="U2465" t="s">
        <v>30</v>
      </c>
    </row>
    <row r="2466" spans="1:21" x14ac:dyDescent="0.35">
      <c r="A2466" t="s">
        <v>2546</v>
      </c>
      <c r="B2466" s="1">
        <v>46275</v>
      </c>
      <c r="C2466" t="str">
        <f>TEXT(tblData[[#This Row],[Rental Date]],"mmm")</f>
        <v>Sep</v>
      </c>
      <c r="D2466" t="str">
        <f>TEXT(tblData[[#This Row],[Rental Date]],"mmmm")</f>
        <v>September</v>
      </c>
      <c r="E2466" t="s">
        <v>21</v>
      </c>
      <c r="F2466" t="str">
        <f>TEXT(WEEKNUM(tblData[[#This Row],[Rental Date]]),"00")</f>
        <v>37</v>
      </c>
      <c r="G2466" s="1">
        <f>EOMONTH(tblData[[#This Row],[Rental Date]],0)</f>
        <v>46295</v>
      </c>
      <c r="H2466" t="s">
        <v>2441</v>
      </c>
      <c r="I2466" t="s">
        <v>23</v>
      </c>
      <c r="J2466" t="s">
        <v>44</v>
      </c>
      <c r="K2466" t="s">
        <v>60</v>
      </c>
      <c r="L2466">
        <v>1</v>
      </c>
      <c r="M2466" s="2">
        <v>34</v>
      </c>
      <c r="N2466" t="s">
        <v>41</v>
      </c>
      <c r="O2466" s="3">
        <v>5</v>
      </c>
      <c r="P2466" s="3">
        <v>0</v>
      </c>
      <c r="Q2466" s="2">
        <v>39</v>
      </c>
      <c r="R2466" t="s">
        <v>45</v>
      </c>
      <c r="S2466" t="s">
        <v>35</v>
      </c>
      <c r="T2466" t="s">
        <v>29</v>
      </c>
      <c r="U2466" t="s">
        <v>30</v>
      </c>
    </row>
    <row r="2467" spans="1:21" x14ac:dyDescent="0.35">
      <c r="A2467" t="s">
        <v>2547</v>
      </c>
      <c r="B2467" s="1">
        <v>46276</v>
      </c>
      <c r="C2467" t="str">
        <f>TEXT(tblData[[#This Row],[Rental Date]],"mmm")</f>
        <v>Sep</v>
      </c>
      <c r="D2467" t="str">
        <f>TEXT(tblData[[#This Row],[Rental Date]],"mmmm")</f>
        <v>September</v>
      </c>
      <c r="E2467" t="s">
        <v>38</v>
      </c>
      <c r="F2467" t="str">
        <f>TEXT(WEEKNUM(tblData[[#This Row],[Rental Date]]),"00")</f>
        <v>37</v>
      </c>
      <c r="G2467" s="1">
        <f>EOMONTH(tblData[[#This Row],[Rental Date]],0)</f>
        <v>46295</v>
      </c>
      <c r="H2467" t="s">
        <v>2441</v>
      </c>
      <c r="I2467" t="s">
        <v>32</v>
      </c>
      <c r="J2467" t="s">
        <v>33</v>
      </c>
      <c r="K2467" t="s">
        <v>60</v>
      </c>
      <c r="L2467">
        <v>1</v>
      </c>
      <c r="M2467" s="2">
        <v>24</v>
      </c>
      <c r="N2467" t="s">
        <v>61</v>
      </c>
      <c r="O2467" s="3">
        <v>8</v>
      </c>
      <c r="P2467" s="3">
        <v>3.2</v>
      </c>
      <c r="Q2467" s="2">
        <v>28.8</v>
      </c>
      <c r="R2467" t="s">
        <v>94</v>
      </c>
      <c r="S2467" t="s">
        <v>28</v>
      </c>
      <c r="T2467" t="s">
        <v>63</v>
      </c>
      <c r="U2467" t="s">
        <v>58</v>
      </c>
    </row>
    <row r="2468" spans="1:21" x14ac:dyDescent="0.35">
      <c r="A2468" t="s">
        <v>2548</v>
      </c>
      <c r="B2468" s="1">
        <v>46276</v>
      </c>
      <c r="C2468" t="str">
        <f>TEXT(tblData[[#This Row],[Rental Date]],"mmm")</f>
        <v>Sep</v>
      </c>
      <c r="D2468" t="str">
        <f>TEXT(tblData[[#This Row],[Rental Date]],"mmmm")</f>
        <v>September</v>
      </c>
      <c r="E2468" t="s">
        <v>38</v>
      </c>
      <c r="F2468" t="str">
        <f>TEXT(WEEKNUM(tblData[[#This Row],[Rental Date]]),"00")</f>
        <v>37</v>
      </c>
      <c r="G2468" s="1">
        <f>EOMONTH(tblData[[#This Row],[Rental Date]],0)</f>
        <v>46295</v>
      </c>
      <c r="H2468" t="s">
        <v>2441</v>
      </c>
      <c r="I2468" t="s">
        <v>39</v>
      </c>
      <c r="J2468" t="s">
        <v>111</v>
      </c>
      <c r="K2468" t="s">
        <v>25</v>
      </c>
      <c r="L2468">
        <v>1</v>
      </c>
      <c r="M2468" s="2">
        <v>22</v>
      </c>
      <c r="N2468" t="s">
        <v>26</v>
      </c>
      <c r="O2468" s="3">
        <v>0</v>
      </c>
      <c r="P2468" s="3">
        <v>0</v>
      </c>
      <c r="Q2468" s="2">
        <v>22</v>
      </c>
      <c r="R2468" t="s">
        <v>42</v>
      </c>
      <c r="S2468" t="s">
        <v>46</v>
      </c>
      <c r="T2468" t="s">
        <v>51</v>
      </c>
      <c r="U2468" t="s">
        <v>79</v>
      </c>
    </row>
    <row r="2469" spans="1:21" x14ac:dyDescent="0.35">
      <c r="A2469" t="s">
        <v>2549</v>
      </c>
      <c r="B2469" s="1">
        <v>46276</v>
      </c>
      <c r="C2469" t="str">
        <f>TEXT(tblData[[#This Row],[Rental Date]],"mmm")</f>
        <v>Sep</v>
      </c>
      <c r="D2469" t="str">
        <f>TEXT(tblData[[#This Row],[Rental Date]],"mmmm")</f>
        <v>September</v>
      </c>
      <c r="E2469" t="s">
        <v>38</v>
      </c>
      <c r="F2469" t="str">
        <f>TEXT(WEEKNUM(tblData[[#This Row],[Rental Date]]),"00")</f>
        <v>37</v>
      </c>
      <c r="G2469" s="1">
        <f>EOMONTH(tblData[[#This Row],[Rental Date]],0)</f>
        <v>46295</v>
      </c>
      <c r="H2469" t="s">
        <v>2441</v>
      </c>
      <c r="I2469" t="s">
        <v>39</v>
      </c>
      <c r="J2469" t="s">
        <v>33</v>
      </c>
      <c r="K2469" t="s">
        <v>92</v>
      </c>
      <c r="L2469">
        <v>1</v>
      </c>
      <c r="M2469" s="2">
        <v>84</v>
      </c>
      <c r="N2469" t="s">
        <v>87</v>
      </c>
      <c r="O2469" s="3">
        <v>10</v>
      </c>
      <c r="P2469" s="3">
        <v>0</v>
      </c>
      <c r="Q2469" s="2">
        <v>94</v>
      </c>
      <c r="R2469" t="s">
        <v>42</v>
      </c>
      <c r="S2469" t="s">
        <v>46</v>
      </c>
      <c r="T2469" t="s">
        <v>29</v>
      </c>
      <c r="U2469" t="s">
        <v>36</v>
      </c>
    </row>
    <row r="2470" spans="1:21" x14ac:dyDescent="0.35">
      <c r="A2470" t="s">
        <v>2550</v>
      </c>
      <c r="B2470" s="1">
        <v>46276</v>
      </c>
      <c r="C2470" t="str">
        <f>TEXT(tblData[[#This Row],[Rental Date]],"mmm")</f>
        <v>Sep</v>
      </c>
      <c r="D2470" t="str">
        <f>TEXT(tblData[[#This Row],[Rental Date]],"mmmm")</f>
        <v>September</v>
      </c>
      <c r="E2470" t="s">
        <v>38</v>
      </c>
      <c r="F2470" t="str">
        <f>TEXT(WEEKNUM(tblData[[#This Row],[Rental Date]]),"00")</f>
        <v>37</v>
      </c>
      <c r="G2470" s="1">
        <f>EOMONTH(tblData[[#This Row],[Rental Date]],0)</f>
        <v>46295</v>
      </c>
      <c r="H2470" t="s">
        <v>2441</v>
      </c>
      <c r="I2470" t="s">
        <v>39</v>
      </c>
      <c r="J2470" t="s">
        <v>24</v>
      </c>
      <c r="K2470" t="s">
        <v>25</v>
      </c>
      <c r="L2470">
        <v>1</v>
      </c>
      <c r="M2470" s="2">
        <v>50</v>
      </c>
      <c r="N2470" t="s">
        <v>26</v>
      </c>
      <c r="O2470" s="3">
        <v>0</v>
      </c>
      <c r="P2470" s="3">
        <v>0</v>
      </c>
      <c r="Q2470" s="2">
        <v>50</v>
      </c>
      <c r="R2470" t="s">
        <v>66</v>
      </c>
      <c r="S2470" t="s">
        <v>54</v>
      </c>
      <c r="T2470" t="s">
        <v>29</v>
      </c>
      <c r="U2470" t="s">
        <v>30</v>
      </c>
    </row>
    <row r="2471" spans="1:21" x14ac:dyDescent="0.35">
      <c r="A2471" t="s">
        <v>2551</v>
      </c>
      <c r="B2471" s="1">
        <v>46276</v>
      </c>
      <c r="C2471" t="str">
        <f>TEXT(tblData[[#This Row],[Rental Date]],"mmm")</f>
        <v>Sep</v>
      </c>
      <c r="D2471" t="str">
        <f>TEXT(tblData[[#This Row],[Rental Date]],"mmmm")</f>
        <v>September</v>
      </c>
      <c r="E2471" t="s">
        <v>38</v>
      </c>
      <c r="F2471" t="str">
        <f>TEXT(WEEKNUM(tblData[[#This Row],[Rental Date]]),"00")</f>
        <v>37</v>
      </c>
      <c r="G2471" s="1">
        <f>EOMONTH(tblData[[#This Row],[Rental Date]],0)</f>
        <v>46295</v>
      </c>
      <c r="H2471" t="s">
        <v>2441</v>
      </c>
      <c r="I2471" t="s">
        <v>48</v>
      </c>
      <c r="J2471" t="s">
        <v>33</v>
      </c>
      <c r="K2471" t="s">
        <v>40</v>
      </c>
      <c r="L2471">
        <v>1</v>
      </c>
      <c r="M2471" s="2">
        <v>58</v>
      </c>
      <c r="N2471" t="s">
        <v>41</v>
      </c>
      <c r="O2471" s="3">
        <v>5</v>
      </c>
      <c r="P2471" s="3">
        <v>0</v>
      </c>
      <c r="Q2471" s="2">
        <v>63</v>
      </c>
      <c r="R2471" t="s">
        <v>66</v>
      </c>
      <c r="S2471" t="s">
        <v>46</v>
      </c>
      <c r="T2471" t="s">
        <v>29</v>
      </c>
      <c r="U2471" t="s">
        <v>58</v>
      </c>
    </row>
    <row r="2472" spans="1:21" x14ac:dyDescent="0.35">
      <c r="A2472" t="s">
        <v>2552</v>
      </c>
      <c r="B2472" s="1">
        <v>46276</v>
      </c>
      <c r="C2472" t="str">
        <f>TEXT(tblData[[#This Row],[Rental Date]],"mmm")</f>
        <v>Sep</v>
      </c>
      <c r="D2472" t="str">
        <f>TEXT(tblData[[#This Row],[Rental Date]],"mmmm")</f>
        <v>September</v>
      </c>
      <c r="E2472" t="s">
        <v>38</v>
      </c>
      <c r="F2472" t="str">
        <f>TEXT(WEEKNUM(tblData[[#This Row],[Rental Date]]),"00")</f>
        <v>37</v>
      </c>
      <c r="G2472" s="1">
        <f>EOMONTH(tblData[[#This Row],[Rental Date]],0)</f>
        <v>46295</v>
      </c>
      <c r="H2472" t="s">
        <v>2441</v>
      </c>
      <c r="I2472" t="s">
        <v>53</v>
      </c>
      <c r="J2472" t="s">
        <v>111</v>
      </c>
      <c r="K2472" t="s">
        <v>40</v>
      </c>
      <c r="L2472">
        <v>1</v>
      </c>
      <c r="M2472" s="2">
        <v>34</v>
      </c>
      <c r="N2472" t="s">
        <v>26</v>
      </c>
      <c r="O2472" s="3">
        <v>0</v>
      </c>
      <c r="P2472" s="3">
        <v>3.4</v>
      </c>
      <c r="Q2472" s="2">
        <v>30.6</v>
      </c>
      <c r="R2472" t="s">
        <v>71</v>
      </c>
      <c r="S2472" t="s">
        <v>35</v>
      </c>
      <c r="T2472" t="s">
        <v>29</v>
      </c>
      <c r="U2472" t="s">
        <v>79</v>
      </c>
    </row>
    <row r="2473" spans="1:21" x14ac:dyDescent="0.35">
      <c r="A2473" t="s">
        <v>2553</v>
      </c>
      <c r="B2473" s="1">
        <v>46276</v>
      </c>
      <c r="C2473" t="str">
        <f>TEXT(tblData[[#This Row],[Rental Date]],"mmm")</f>
        <v>Sep</v>
      </c>
      <c r="D2473" t="str">
        <f>TEXT(tblData[[#This Row],[Rental Date]],"mmmm")</f>
        <v>September</v>
      </c>
      <c r="E2473" t="s">
        <v>38</v>
      </c>
      <c r="F2473" t="str">
        <f>TEXT(WEEKNUM(tblData[[#This Row],[Rental Date]]),"00")</f>
        <v>37</v>
      </c>
      <c r="G2473" s="1">
        <f>EOMONTH(tblData[[#This Row],[Rental Date]],0)</f>
        <v>46295</v>
      </c>
      <c r="H2473" t="s">
        <v>2441</v>
      </c>
      <c r="I2473" t="s">
        <v>48</v>
      </c>
      <c r="J2473" t="s">
        <v>44</v>
      </c>
      <c r="K2473" t="s">
        <v>60</v>
      </c>
      <c r="L2473">
        <v>1</v>
      </c>
      <c r="M2473" s="2">
        <v>34</v>
      </c>
      <c r="N2473" t="s">
        <v>75</v>
      </c>
      <c r="O2473" s="3">
        <v>12</v>
      </c>
      <c r="P2473" s="3">
        <v>0</v>
      </c>
      <c r="Q2473" s="2">
        <v>46</v>
      </c>
      <c r="R2473" t="s">
        <v>34</v>
      </c>
      <c r="S2473" t="s">
        <v>28</v>
      </c>
      <c r="T2473" t="s">
        <v>29</v>
      </c>
      <c r="U2473" t="s">
        <v>30</v>
      </c>
    </row>
    <row r="2474" spans="1:21" x14ac:dyDescent="0.35">
      <c r="A2474" t="s">
        <v>2554</v>
      </c>
      <c r="B2474" s="1">
        <v>46276</v>
      </c>
      <c r="C2474" t="str">
        <f>TEXT(tblData[[#This Row],[Rental Date]],"mmm")</f>
        <v>Sep</v>
      </c>
      <c r="D2474" t="str">
        <f>TEXT(tblData[[#This Row],[Rental Date]],"mmmm")</f>
        <v>September</v>
      </c>
      <c r="E2474" t="s">
        <v>38</v>
      </c>
      <c r="F2474" t="str">
        <f>TEXT(WEEKNUM(tblData[[#This Row],[Rental Date]]),"00")</f>
        <v>37</v>
      </c>
      <c r="G2474" s="1">
        <f>EOMONTH(tblData[[#This Row],[Rental Date]],0)</f>
        <v>46295</v>
      </c>
      <c r="H2474" t="s">
        <v>2441</v>
      </c>
      <c r="I2474" t="s">
        <v>32</v>
      </c>
      <c r="J2474" t="s">
        <v>65</v>
      </c>
      <c r="K2474" t="s">
        <v>25</v>
      </c>
      <c r="L2474">
        <v>1</v>
      </c>
      <c r="M2474" s="2">
        <v>18</v>
      </c>
      <c r="N2474" t="s">
        <v>26</v>
      </c>
      <c r="O2474" s="3">
        <v>0</v>
      </c>
      <c r="P2474" s="3">
        <v>1.8</v>
      </c>
      <c r="Q2474" s="2">
        <v>16.2</v>
      </c>
      <c r="R2474" t="s">
        <v>62</v>
      </c>
      <c r="S2474" t="s">
        <v>28</v>
      </c>
      <c r="T2474" t="s">
        <v>29</v>
      </c>
      <c r="U2474" t="s">
        <v>79</v>
      </c>
    </row>
    <row r="2475" spans="1:21" x14ac:dyDescent="0.35">
      <c r="A2475" t="s">
        <v>2555</v>
      </c>
      <c r="B2475" s="1">
        <v>46276</v>
      </c>
      <c r="C2475" t="str">
        <f>TEXT(tblData[[#This Row],[Rental Date]],"mmm")</f>
        <v>Sep</v>
      </c>
      <c r="D2475" t="str">
        <f>TEXT(tblData[[#This Row],[Rental Date]],"mmmm")</f>
        <v>September</v>
      </c>
      <c r="E2475" t="s">
        <v>38</v>
      </c>
      <c r="F2475" t="str">
        <f>TEXT(WEEKNUM(tblData[[#This Row],[Rental Date]]),"00")</f>
        <v>37</v>
      </c>
      <c r="G2475" s="1">
        <f>EOMONTH(tblData[[#This Row],[Rental Date]],0)</f>
        <v>46295</v>
      </c>
      <c r="H2475" t="s">
        <v>2441</v>
      </c>
      <c r="I2475" t="s">
        <v>48</v>
      </c>
      <c r="J2475" t="s">
        <v>78</v>
      </c>
      <c r="K2475" t="s">
        <v>40</v>
      </c>
      <c r="L2475">
        <v>1</v>
      </c>
      <c r="M2475" s="2">
        <v>62</v>
      </c>
      <c r="N2475" t="s">
        <v>26</v>
      </c>
      <c r="O2475" s="3">
        <v>0</v>
      </c>
      <c r="P2475" s="3">
        <v>0</v>
      </c>
      <c r="Q2475" s="2">
        <v>62</v>
      </c>
      <c r="R2475" t="s">
        <v>66</v>
      </c>
      <c r="S2475" t="s">
        <v>35</v>
      </c>
      <c r="T2475" t="s">
        <v>51</v>
      </c>
      <c r="U2475" t="s">
        <v>30</v>
      </c>
    </row>
    <row r="2476" spans="1:21" x14ac:dyDescent="0.35">
      <c r="A2476" t="s">
        <v>2556</v>
      </c>
      <c r="B2476" s="1">
        <v>46276</v>
      </c>
      <c r="C2476" t="str">
        <f>TEXT(tblData[[#This Row],[Rental Date]],"mmm")</f>
        <v>Sep</v>
      </c>
      <c r="D2476" t="str">
        <f>TEXT(tblData[[#This Row],[Rental Date]],"mmmm")</f>
        <v>September</v>
      </c>
      <c r="E2476" t="s">
        <v>38</v>
      </c>
      <c r="F2476" t="str">
        <f>TEXT(WEEKNUM(tblData[[#This Row],[Rental Date]]),"00")</f>
        <v>37</v>
      </c>
      <c r="G2476" s="1">
        <f>EOMONTH(tblData[[#This Row],[Rental Date]],0)</f>
        <v>46295</v>
      </c>
      <c r="H2476" t="s">
        <v>2441</v>
      </c>
      <c r="I2476" t="s">
        <v>39</v>
      </c>
      <c r="J2476" t="s">
        <v>111</v>
      </c>
      <c r="K2476" t="s">
        <v>92</v>
      </c>
      <c r="L2476">
        <v>1</v>
      </c>
      <c r="M2476" s="2">
        <v>48</v>
      </c>
      <c r="N2476" t="s">
        <v>26</v>
      </c>
      <c r="O2476" s="3">
        <v>0</v>
      </c>
      <c r="P2476" s="3">
        <v>0</v>
      </c>
      <c r="Q2476" s="2">
        <v>48</v>
      </c>
      <c r="R2476" t="s">
        <v>34</v>
      </c>
      <c r="S2476" t="s">
        <v>35</v>
      </c>
      <c r="T2476" t="s">
        <v>29</v>
      </c>
      <c r="U2476" t="s">
        <v>30</v>
      </c>
    </row>
    <row r="2477" spans="1:21" x14ac:dyDescent="0.35">
      <c r="A2477" t="s">
        <v>2557</v>
      </c>
      <c r="B2477" s="1">
        <v>46276</v>
      </c>
      <c r="C2477" t="str">
        <f>TEXT(tblData[[#This Row],[Rental Date]],"mmm")</f>
        <v>Sep</v>
      </c>
      <c r="D2477" t="str">
        <f>TEXT(tblData[[#This Row],[Rental Date]],"mmmm")</f>
        <v>September</v>
      </c>
      <c r="E2477" t="s">
        <v>38</v>
      </c>
      <c r="F2477" t="str">
        <f>TEXT(WEEKNUM(tblData[[#This Row],[Rental Date]]),"00")</f>
        <v>37</v>
      </c>
      <c r="G2477" s="1">
        <f>EOMONTH(tblData[[#This Row],[Rental Date]],0)</f>
        <v>46295</v>
      </c>
      <c r="H2477" t="s">
        <v>2441</v>
      </c>
      <c r="I2477" t="s">
        <v>48</v>
      </c>
      <c r="J2477" t="s">
        <v>111</v>
      </c>
      <c r="K2477" t="s">
        <v>25</v>
      </c>
      <c r="L2477">
        <v>1</v>
      </c>
      <c r="M2477" s="2">
        <v>22</v>
      </c>
      <c r="N2477" t="s">
        <v>26</v>
      </c>
      <c r="O2477" s="3">
        <v>0</v>
      </c>
      <c r="P2477" s="3">
        <v>1.1000000000000001</v>
      </c>
      <c r="Q2477" s="2">
        <v>20.9</v>
      </c>
      <c r="R2477" t="s">
        <v>45</v>
      </c>
      <c r="S2477" t="s">
        <v>46</v>
      </c>
      <c r="T2477" t="s">
        <v>29</v>
      </c>
      <c r="U2477" t="s">
        <v>30</v>
      </c>
    </row>
    <row r="2478" spans="1:21" x14ac:dyDescent="0.35">
      <c r="A2478" t="s">
        <v>2558</v>
      </c>
      <c r="B2478" s="1">
        <v>46276</v>
      </c>
      <c r="C2478" t="str">
        <f>TEXT(tblData[[#This Row],[Rental Date]],"mmm")</f>
        <v>Sep</v>
      </c>
      <c r="D2478" t="str">
        <f>TEXT(tblData[[#This Row],[Rental Date]],"mmmm")</f>
        <v>September</v>
      </c>
      <c r="E2478" t="s">
        <v>38</v>
      </c>
      <c r="F2478" t="str">
        <f>TEXT(WEEKNUM(tblData[[#This Row],[Rental Date]]),"00")</f>
        <v>37</v>
      </c>
      <c r="G2478" s="1">
        <f>EOMONTH(tblData[[#This Row],[Rental Date]],0)</f>
        <v>46295</v>
      </c>
      <c r="H2478" t="s">
        <v>2441</v>
      </c>
      <c r="I2478" t="s">
        <v>48</v>
      </c>
      <c r="J2478" t="s">
        <v>33</v>
      </c>
      <c r="K2478" t="s">
        <v>25</v>
      </c>
      <c r="L2478">
        <v>1</v>
      </c>
      <c r="M2478" s="2">
        <v>38</v>
      </c>
      <c r="N2478" t="s">
        <v>75</v>
      </c>
      <c r="O2478" s="3">
        <v>12</v>
      </c>
      <c r="P2478" s="3">
        <v>0</v>
      </c>
      <c r="Q2478" s="2">
        <v>50</v>
      </c>
      <c r="R2478" t="s">
        <v>27</v>
      </c>
      <c r="S2478" t="s">
        <v>35</v>
      </c>
      <c r="T2478" t="s">
        <v>29</v>
      </c>
      <c r="U2478" t="s">
        <v>30</v>
      </c>
    </row>
    <row r="2479" spans="1:21" x14ac:dyDescent="0.35">
      <c r="A2479" t="s">
        <v>2559</v>
      </c>
      <c r="B2479" s="1">
        <v>46276</v>
      </c>
      <c r="C2479" t="str">
        <f>TEXT(tblData[[#This Row],[Rental Date]],"mmm")</f>
        <v>Sep</v>
      </c>
      <c r="D2479" t="str">
        <f>TEXT(tblData[[#This Row],[Rental Date]],"mmmm")</f>
        <v>September</v>
      </c>
      <c r="E2479" t="s">
        <v>38</v>
      </c>
      <c r="F2479" t="str">
        <f>TEXT(WEEKNUM(tblData[[#This Row],[Rental Date]]),"00")</f>
        <v>37</v>
      </c>
      <c r="G2479" s="1">
        <f>EOMONTH(tblData[[#This Row],[Rental Date]],0)</f>
        <v>46295</v>
      </c>
      <c r="H2479" t="s">
        <v>2441</v>
      </c>
      <c r="I2479" t="s">
        <v>48</v>
      </c>
      <c r="J2479" t="s">
        <v>78</v>
      </c>
      <c r="K2479" t="s">
        <v>25</v>
      </c>
      <c r="L2479">
        <v>1</v>
      </c>
      <c r="M2479" s="2">
        <v>42</v>
      </c>
      <c r="N2479" t="s">
        <v>89</v>
      </c>
      <c r="O2479" s="3">
        <v>6</v>
      </c>
      <c r="P2479" s="3">
        <v>0</v>
      </c>
      <c r="Q2479" s="2">
        <v>48</v>
      </c>
      <c r="R2479" t="s">
        <v>62</v>
      </c>
      <c r="S2479" t="s">
        <v>46</v>
      </c>
      <c r="T2479" t="s">
        <v>29</v>
      </c>
      <c r="U2479" t="s">
        <v>30</v>
      </c>
    </row>
    <row r="2480" spans="1:21" x14ac:dyDescent="0.35">
      <c r="A2480" t="s">
        <v>2560</v>
      </c>
      <c r="B2480" s="1">
        <v>46277</v>
      </c>
      <c r="C2480" t="str">
        <f>TEXT(tblData[[#This Row],[Rental Date]],"mmm")</f>
        <v>Sep</v>
      </c>
      <c r="D2480" t="str">
        <f>TEXT(tblData[[#This Row],[Rental Date]],"mmmm")</f>
        <v>September</v>
      </c>
      <c r="E2480" t="s">
        <v>56</v>
      </c>
      <c r="F2480" t="str">
        <f>TEXT(WEEKNUM(tblData[[#This Row],[Rental Date]]),"00")</f>
        <v>37</v>
      </c>
      <c r="G2480" s="1">
        <f>EOMONTH(tblData[[#This Row],[Rental Date]],0)</f>
        <v>46295</v>
      </c>
      <c r="H2480" t="s">
        <v>2441</v>
      </c>
      <c r="I2480" t="s">
        <v>32</v>
      </c>
      <c r="J2480" t="s">
        <v>78</v>
      </c>
      <c r="K2480" t="s">
        <v>25</v>
      </c>
      <c r="L2480">
        <v>1</v>
      </c>
      <c r="M2480" s="2">
        <v>45.36</v>
      </c>
      <c r="N2480" t="s">
        <v>26</v>
      </c>
      <c r="O2480" s="3">
        <v>0</v>
      </c>
      <c r="P2480" s="3">
        <v>0</v>
      </c>
      <c r="Q2480" s="2">
        <v>45.36</v>
      </c>
      <c r="R2480" t="s">
        <v>71</v>
      </c>
      <c r="S2480" t="s">
        <v>50</v>
      </c>
      <c r="T2480" t="s">
        <v>29</v>
      </c>
      <c r="U2480" t="s">
        <v>30</v>
      </c>
    </row>
    <row r="2481" spans="1:21" x14ac:dyDescent="0.35">
      <c r="A2481" t="s">
        <v>2561</v>
      </c>
      <c r="B2481" s="1">
        <v>46277</v>
      </c>
      <c r="C2481" t="str">
        <f>TEXT(tblData[[#This Row],[Rental Date]],"mmm")</f>
        <v>Sep</v>
      </c>
      <c r="D2481" t="str">
        <f>TEXT(tblData[[#This Row],[Rental Date]],"mmmm")</f>
        <v>September</v>
      </c>
      <c r="E2481" t="s">
        <v>56</v>
      </c>
      <c r="F2481" t="str">
        <f>TEXT(WEEKNUM(tblData[[#This Row],[Rental Date]]),"00")</f>
        <v>37</v>
      </c>
      <c r="G2481" s="1">
        <f>EOMONTH(tblData[[#This Row],[Rental Date]],0)</f>
        <v>46295</v>
      </c>
      <c r="H2481" t="s">
        <v>2441</v>
      </c>
      <c r="I2481" t="s">
        <v>48</v>
      </c>
      <c r="J2481" t="s">
        <v>78</v>
      </c>
      <c r="K2481" t="s">
        <v>25</v>
      </c>
      <c r="L2481">
        <v>1</v>
      </c>
      <c r="M2481" s="2">
        <v>45.36</v>
      </c>
      <c r="N2481" t="s">
        <v>26</v>
      </c>
      <c r="O2481" s="3">
        <v>0</v>
      </c>
      <c r="P2481" s="3">
        <v>0</v>
      </c>
      <c r="Q2481" s="2">
        <v>45.36</v>
      </c>
      <c r="R2481" t="s">
        <v>71</v>
      </c>
      <c r="S2481" t="s">
        <v>46</v>
      </c>
      <c r="T2481" t="s">
        <v>51</v>
      </c>
      <c r="U2481" t="s">
        <v>30</v>
      </c>
    </row>
    <row r="2482" spans="1:21" x14ac:dyDescent="0.35">
      <c r="A2482" t="s">
        <v>2562</v>
      </c>
      <c r="B2482" s="1">
        <v>46277</v>
      </c>
      <c r="C2482" t="str">
        <f>TEXT(tblData[[#This Row],[Rental Date]],"mmm")</f>
        <v>Sep</v>
      </c>
      <c r="D2482" t="str">
        <f>TEXT(tblData[[#This Row],[Rental Date]],"mmmm")</f>
        <v>September</v>
      </c>
      <c r="E2482" t="s">
        <v>56</v>
      </c>
      <c r="F2482" t="str">
        <f>TEXT(WEEKNUM(tblData[[#This Row],[Rental Date]]),"00")</f>
        <v>37</v>
      </c>
      <c r="G2482" s="1">
        <f>EOMONTH(tblData[[#This Row],[Rental Date]],0)</f>
        <v>46295</v>
      </c>
      <c r="H2482" t="s">
        <v>2441</v>
      </c>
      <c r="I2482" t="s">
        <v>23</v>
      </c>
      <c r="J2482" t="s">
        <v>111</v>
      </c>
      <c r="K2482" t="s">
        <v>60</v>
      </c>
      <c r="L2482">
        <v>1</v>
      </c>
      <c r="M2482" s="2">
        <v>15.12</v>
      </c>
      <c r="N2482" t="s">
        <v>26</v>
      </c>
      <c r="O2482" s="3">
        <v>0</v>
      </c>
      <c r="P2482" s="3">
        <v>0</v>
      </c>
      <c r="Q2482" s="2">
        <v>15.12</v>
      </c>
      <c r="R2482" t="s">
        <v>27</v>
      </c>
      <c r="S2482" t="s">
        <v>28</v>
      </c>
      <c r="T2482" t="s">
        <v>29</v>
      </c>
      <c r="U2482" t="s">
        <v>30</v>
      </c>
    </row>
    <row r="2483" spans="1:21" x14ac:dyDescent="0.35">
      <c r="A2483" t="s">
        <v>2563</v>
      </c>
      <c r="B2483" s="1">
        <v>46277</v>
      </c>
      <c r="C2483" t="str">
        <f>TEXT(tblData[[#This Row],[Rental Date]],"mmm")</f>
        <v>Sep</v>
      </c>
      <c r="D2483" t="str">
        <f>TEXT(tblData[[#This Row],[Rental Date]],"mmmm")</f>
        <v>September</v>
      </c>
      <c r="E2483" t="s">
        <v>56</v>
      </c>
      <c r="F2483" t="str">
        <f>TEXT(WEEKNUM(tblData[[#This Row],[Rental Date]]),"00")</f>
        <v>37</v>
      </c>
      <c r="G2483" s="1">
        <f>EOMONTH(tblData[[#This Row],[Rental Date]],0)</f>
        <v>46295</v>
      </c>
      <c r="H2483" t="s">
        <v>2441</v>
      </c>
      <c r="I2483" t="s">
        <v>48</v>
      </c>
      <c r="J2483" t="s">
        <v>44</v>
      </c>
      <c r="K2483" t="s">
        <v>40</v>
      </c>
      <c r="L2483">
        <v>1</v>
      </c>
      <c r="M2483" s="2">
        <v>84.24</v>
      </c>
      <c r="N2483" t="s">
        <v>26</v>
      </c>
      <c r="O2483" s="3">
        <v>0</v>
      </c>
      <c r="P2483" s="3">
        <v>0</v>
      </c>
      <c r="Q2483" s="2">
        <v>84.24</v>
      </c>
      <c r="R2483" t="s">
        <v>76</v>
      </c>
      <c r="S2483" t="s">
        <v>50</v>
      </c>
      <c r="T2483" t="s">
        <v>51</v>
      </c>
      <c r="U2483" t="s">
        <v>36</v>
      </c>
    </row>
    <row r="2484" spans="1:21" x14ac:dyDescent="0.35">
      <c r="A2484" t="s">
        <v>2564</v>
      </c>
      <c r="B2484" s="1">
        <v>46277</v>
      </c>
      <c r="C2484" t="str">
        <f>TEXT(tblData[[#This Row],[Rental Date]],"mmm")</f>
        <v>Sep</v>
      </c>
      <c r="D2484" t="str">
        <f>TEXT(tblData[[#This Row],[Rental Date]],"mmmm")</f>
        <v>September</v>
      </c>
      <c r="E2484" t="s">
        <v>56</v>
      </c>
      <c r="F2484" t="str">
        <f>TEXT(WEEKNUM(tblData[[#This Row],[Rental Date]]),"00")</f>
        <v>37</v>
      </c>
      <c r="G2484" s="1">
        <f>EOMONTH(tblData[[#This Row],[Rental Date]],0)</f>
        <v>46295</v>
      </c>
      <c r="H2484" t="s">
        <v>2441</v>
      </c>
      <c r="I2484" t="s">
        <v>48</v>
      </c>
      <c r="J2484" t="s">
        <v>44</v>
      </c>
      <c r="K2484" t="s">
        <v>25</v>
      </c>
      <c r="L2484">
        <v>1</v>
      </c>
      <c r="M2484" s="2">
        <v>56.16</v>
      </c>
      <c r="N2484" t="s">
        <v>70</v>
      </c>
      <c r="O2484" s="3">
        <v>7</v>
      </c>
      <c r="P2484" s="3">
        <v>0</v>
      </c>
      <c r="Q2484" s="2">
        <v>63.16</v>
      </c>
      <c r="R2484" t="s">
        <v>42</v>
      </c>
      <c r="S2484" t="s">
        <v>50</v>
      </c>
      <c r="T2484" t="s">
        <v>29</v>
      </c>
      <c r="U2484" t="s">
        <v>30</v>
      </c>
    </row>
    <row r="2485" spans="1:21" x14ac:dyDescent="0.35">
      <c r="A2485" t="s">
        <v>2565</v>
      </c>
      <c r="B2485" s="1">
        <v>46277</v>
      </c>
      <c r="C2485" t="str">
        <f>TEXT(tblData[[#This Row],[Rental Date]],"mmm")</f>
        <v>Sep</v>
      </c>
      <c r="D2485" t="str">
        <f>TEXT(tblData[[#This Row],[Rental Date]],"mmmm")</f>
        <v>September</v>
      </c>
      <c r="E2485" t="s">
        <v>56</v>
      </c>
      <c r="F2485" t="str">
        <f>TEXT(WEEKNUM(tblData[[#This Row],[Rental Date]]),"00")</f>
        <v>37</v>
      </c>
      <c r="G2485" s="1">
        <f>EOMONTH(tblData[[#This Row],[Rental Date]],0)</f>
        <v>46295</v>
      </c>
      <c r="H2485" t="s">
        <v>2441</v>
      </c>
      <c r="I2485" t="s">
        <v>32</v>
      </c>
      <c r="J2485" t="s">
        <v>78</v>
      </c>
      <c r="K2485" t="s">
        <v>40</v>
      </c>
      <c r="L2485">
        <v>1</v>
      </c>
      <c r="M2485" s="2">
        <v>66.959999999999994</v>
      </c>
      <c r="N2485" t="s">
        <v>26</v>
      </c>
      <c r="O2485" s="3">
        <v>0</v>
      </c>
      <c r="P2485" s="3">
        <v>0</v>
      </c>
      <c r="Q2485" s="2">
        <v>66.959999999999994</v>
      </c>
      <c r="R2485" t="s">
        <v>76</v>
      </c>
      <c r="S2485" t="s">
        <v>46</v>
      </c>
      <c r="T2485" t="s">
        <v>29</v>
      </c>
      <c r="U2485" t="s">
        <v>58</v>
      </c>
    </row>
    <row r="2486" spans="1:21" x14ac:dyDescent="0.35">
      <c r="A2486" t="s">
        <v>2566</v>
      </c>
      <c r="B2486" s="1">
        <v>46277</v>
      </c>
      <c r="C2486" t="str">
        <f>TEXT(tblData[[#This Row],[Rental Date]],"mmm")</f>
        <v>Sep</v>
      </c>
      <c r="D2486" t="str">
        <f>TEXT(tblData[[#This Row],[Rental Date]],"mmmm")</f>
        <v>September</v>
      </c>
      <c r="E2486" t="s">
        <v>56</v>
      </c>
      <c r="F2486" t="str">
        <f>TEXT(WEEKNUM(tblData[[#This Row],[Rental Date]]),"00")</f>
        <v>37</v>
      </c>
      <c r="G2486" s="1">
        <f>EOMONTH(tblData[[#This Row],[Rental Date]],0)</f>
        <v>46295</v>
      </c>
      <c r="H2486" t="s">
        <v>2441</v>
      </c>
      <c r="I2486" t="s">
        <v>48</v>
      </c>
      <c r="J2486" t="s">
        <v>33</v>
      </c>
      <c r="K2486" t="s">
        <v>60</v>
      </c>
      <c r="L2486">
        <v>1</v>
      </c>
      <c r="M2486" s="2">
        <v>25.92</v>
      </c>
      <c r="N2486" t="s">
        <v>26</v>
      </c>
      <c r="O2486" s="3">
        <v>0</v>
      </c>
      <c r="P2486" s="3">
        <v>0</v>
      </c>
      <c r="Q2486" s="2">
        <v>25.92</v>
      </c>
      <c r="R2486" t="s">
        <v>27</v>
      </c>
      <c r="S2486" t="s">
        <v>50</v>
      </c>
      <c r="T2486" t="s">
        <v>90</v>
      </c>
      <c r="U2486" t="s">
        <v>30</v>
      </c>
    </row>
    <row r="2487" spans="1:21" x14ac:dyDescent="0.35">
      <c r="A2487" t="s">
        <v>2567</v>
      </c>
      <c r="B2487" s="1">
        <v>46277</v>
      </c>
      <c r="C2487" t="str">
        <f>TEXT(tblData[[#This Row],[Rental Date]],"mmm")</f>
        <v>Sep</v>
      </c>
      <c r="D2487" t="str">
        <f>TEXT(tblData[[#This Row],[Rental Date]],"mmmm")</f>
        <v>September</v>
      </c>
      <c r="E2487" t="s">
        <v>56</v>
      </c>
      <c r="F2487" t="str">
        <f>TEXT(WEEKNUM(tblData[[#This Row],[Rental Date]]),"00")</f>
        <v>37</v>
      </c>
      <c r="G2487" s="1">
        <f>EOMONTH(tblData[[#This Row],[Rental Date]],0)</f>
        <v>46295</v>
      </c>
      <c r="H2487" t="s">
        <v>2441</v>
      </c>
      <c r="I2487" t="s">
        <v>32</v>
      </c>
      <c r="J2487" t="s">
        <v>65</v>
      </c>
      <c r="K2487" t="s">
        <v>25</v>
      </c>
      <c r="L2487">
        <v>1</v>
      </c>
      <c r="M2487" s="2">
        <v>19.440000000000001</v>
      </c>
      <c r="N2487" t="s">
        <v>89</v>
      </c>
      <c r="O2487" s="3">
        <v>6</v>
      </c>
      <c r="P2487" s="3">
        <v>2.54</v>
      </c>
      <c r="Q2487" s="2">
        <v>22.9</v>
      </c>
      <c r="R2487" t="s">
        <v>66</v>
      </c>
      <c r="S2487" t="s">
        <v>50</v>
      </c>
      <c r="T2487" t="s">
        <v>29</v>
      </c>
      <c r="U2487" t="s">
        <v>36</v>
      </c>
    </row>
    <row r="2488" spans="1:21" x14ac:dyDescent="0.35">
      <c r="A2488" t="s">
        <v>2568</v>
      </c>
      <c r="B2488" s="1">
        <v>46277</v>
      </c>
      <c r="C2488" t="str">
        <f>TEXT(tblData[[#This Row],[Rental Date]],"mmm")</f>
        <v>Sep</v>
      </c>
      <c r="D2488" t="str">
        <f>TEXT(tblData[[#This Row],[Rental Date]],"mmmm")</f>
        <v>September</v>
      </c>
      <c r="E2488" t="s">
        <v>56</v>
      </c>
      <c r="F2488" t="str">
        <f>TEXT(WEEKNUM(tblData[[#This Row],[Rental Date]]),"00")</f>
        <v>37</v>
      </c>
      <c r="G2488" s="1">
        <f>EOMONTH(tblData[[#This Row],[Rental Date]],0)</f>
        <v>46295</v>
      </c>
      <c r="H2488" t="s">
        <v>2441</v>
      </c>
      <c r="I2488" t="s">
        <v>48</v>
      </c>
      <c r="J2488" t="s">
        <v>78</v>
      </c>
      <c r="K2488" t="s">
        <v>25</v>
      </c>
      <c r="L2488">
        <v>1</v>
      </c>
      <c r="M2488" s="2">
        <v>45.36</v>
      </c>
      <c r="N2488" t="s">
        <v>89</v>
      </c>
      <c r="O2488" s="3">
        <v>6</v>
      </c>
      <c r="P2488" s="3">
        <v>0</v>
      </c>
      <c r="Q2488" s="2">
        <v>51.36</v>
      </c>
      <c r="R2488" t="s">
        <v>34</v>
      </c>
      <c r="S2488" t="s">
        <v>54</v>
      </c>
      <c r="T2488" t="s">
        <v>29</v>
      </c>
      <c r="U2488" t="s">
        <v>30</v>
      </c>
    </row>
    <row r="2489" spans="1:21" x14ac:dyDescent="0.35">
      <c r="A2489" t="s">
        <v>2569</v>
      </c>
      <c r="B2489" s="1">
        <v>46277</v>
      </c>
      <c r="C2489" t="str">
        <f>TEXT(tblData[[#This Row],[Rental Date]],"mmm")</f>
        <v>Sep</v>
      </c>
      <c r="D2489" t="str">
        <f>TEXT(tblData[[#This Row],[Rental Date]],"mmmm")</f>
        <v>September</v>
      </c>
      <c r="E2489" t="s">
        <v>56</v>
      </c>
      <c r="F2489" t="str">
        <f>TEXT(WEEKNUM(tblData[[#This Row],[Rental Date]]),"00")</f>
        <v>37</v>
      </c>
      <c r="G2489" s="1">
        <f>EOMONTH(tblData[[#This Row],[Rental Date]],0)</f>
        <v>46295</v>
      </c>
      <c r="H2489" t="s">
        <v>2441</v>
      </c>
      <c r="I2489" t="s">
        <v>39</v>
      </c>
      <c r="J2489" t="s">
        <v>49</v>
      </c>
      <c r="K2489" t="s">
        <v>40</v>
      </c>
      <c r="L2489">
        <v>1</v>
      </c>
      <c r="M2489" s="2">
        <v>58.32</v>
      </c>
      <c r="N2489" t="s">
        <v>26</v>
      </c>
      <c r="O2489" s="3">
        <v>0</v>
      </c>
      <c r="P2489" s="3">
        <v>0</v>
      </c>
      <c r="Q2489" s="2">
        <v>58.32</v>
      </c>
      <c r="R2489" t="s">
        <v>57</v>
      </c>
      <c r="S2489" t="s">
        <v>50</v>
      </c>
      <c r="T2489" t="s">
        <v>51</v>
      </c>
      <c r="U2489" t="s">
        <v>30</v>
      </c>
    </row>
    <row r="2490" spans="1:21" x14ac:dyDescent="0.35">
      <c r="A2490" t="s">
        <v>2570</v>
      </c>
      <c r="B2490" s="1">
        <v>46277</v>
      </c>
      <c r="C2490" t="str">
        <f>TEXT(tblData[[#This Row],[Rental Date]],"mmm")</f>
        <v>Sep</v>
      </c>
      <c r="D2490" t="str">
        <f>TEXT(tblData[[#This Row],[Rental Date]],"mmmm")</f>
        <v>September</v>
      </c>
      <c r="E2490" t="s">
        <v>56</v>
      </c>
      <c r="F2490" t="str">
        <f>TEXT(WEEKNUM(tblData[[#This Row],[Rental Date]]),"00")</f>
        <v>37</v>
      </c>
      <c r="G2490" s="1">
        <f>EOMONTH(tblData[[#This Row],[Rental Date]],0)</f>
        <v>46295</v>
      </c>
      <c r="H2490" t="s">
        <v>2441</v>
      </c>
      <c r="I2490" t="s">
        <v>48</v>
      </c>
      <c r="J2490" t="s">
        <v>65</v>
      </c>
      <c r="K2490" t="s">
        <v>40</v>
      </c>
      <c r="L2490">
        <v>1</v>
      </c>
      <c r="M2490" s="2">
        <v>30.24</v>
      </c>
      <c r="N2490" t="s">
        <v>26</v>
      </c>
      <c r="O2490" s="3">
        <v>0</v>
      </c>
      <c r="P2490" s="3">
        <v>0</v>
      </c>
      <c r="Q2490" s="2">
        <v>30.24</v>
      </c>
      <c r="R2490" t="s">
        <v>42</v>
      </c>
      <c r="S2490" t="s">
        <v>28</v>
      </c>
      <c r="T2490" t="s">
        <v>83</v>
      </c>
      <c r="U2490" t="s">
        <v>58</v>
      </c>
    </row>
    <row r="2491" spans="1:21" x14ac:dyDescent="0.35">
      <c r="A2491" t="s">
        <v>2571</v>
      </c>
      <c r="B2491" s="1">
        <v>46277</v>
      </c>
      <c r="C2491" t="str">
        <f>TEXT(tblData[[#This Row],[Rental Date]],"mmm")</f>
        <v>Sep</v>
      </c>
      <c r="D2491" t="str">
        <f>TEXT(tblData[[#This Row],[Rental Date]],"mmmm")</f>
        <v>September</v>
      </c>
      <c r="E2491" t="s">
        <v>56</v>
      </c>
      <c r="F2491" t="str">
        <f>TEXT(WEEKNUM(tblData[[#This Row],[Rental Date]]),"00")</f>
        <v>37</v>
      </c>
      <c r="G2491" s="1">
        <f>EOMONTH(tblData[[#This Row],[Rental Date]],0)</f>
        <v>46295</v>
      </c>
      <c r="H2491" t="s">
        <v>2441</v>
      </c>
      <c r="I2491" t="s">
        <v>39</v>
      </c>
      <c r="J2491" t="s">
        <v>111</v>
      </c>
      <c r="K2491" t="s">
        <v>25</v>
      </c>
      <c r="L2491">
        <v>1</v>
      </c>
      <c r="M2491" s="2">
        <v>23.76</v>
      </c>
      <c r="N2491" t="s">
        <v>70</v>
      </c>
      <c r="O2491" s="3">
        <v>7</v>
      </c>
      <c r="P2491" s="3">
        <v>0</v>
      </c>
      <c r="Q2491" s="2">
        <v>30.76</v>
      </c>
      <c r="R2491" t="s">
        <v>34</v>
      </c>
      <c r="S2491" t="s">
        <v>50</v>
      </c>
      <c r="T2491" t="s">
        <v>51</v>
      </c>
      <c r="U2491" t="s">
        <v>30</v>
      </c>
    </row>
    <row r="2492" spans="1:21" x14ac:dyDescent="0.35">
      <c r="A2492" t="s">
        <v>2572</v>
      </c>
      <c r="B2492" s="1">
        <v>46277</v>
      </c>
      <c r="C2492" t="str">
        <f>TEXT(tblData[[#This Row],[Rental Date]],"mmm")</f>
        <v>Sep</v>
      </c>
      <c r="D2492" t="str">
        <f>TEXT(tblData[[#This Row],[Rental Date]],"mmmm")</f>
        <v>September</v>
      </c>
      <c r="E2492" t="s">
        <v>56</v>
      </c>
      <c r="F2492" t="str">
        <f>TEXT(WEEKNUM(tblData[[#This Row],[Rental Date]]),"00")</f>
        <v>37</v>
      </c>
      <c r="G2492" s="1">
        <f>EOMONTH(tblData[[#This Row],[Rental Date]],0)</f>
        <v>46295</v>
      </c>
      <c r="H2492" t="s">
        <v>2441</v>
      </c>
      <c r="I2492" t="s">
        <v>23</v>
      </c>
      <c r="J2492" t="s">
        <v>78</v>
      </c>
      <c r="K2492" t="s">
        <v>60</v>
      </c>
      <c r="L2492">
        <v>1</v>
      </c>
      <c r="M2492" s="2">
        <v>28.08</v>
      </c>
      <c r="N2492" t="s">
        <v>87</v>
      </c>
      <c r="O2492" s="3">
        <v>10</v>
      </c>
      <c r="P2492" s="3">
        <v>1.9</v>
      </c>
      <c r="Q2492" s="2">
        <v>36.18</v>
      </c>
      <c r="R2492" t="s">
        <v>27</v>
      </c>
      <c r="S2492" t="s">
        <v>54</v>
      </c>
      <c r="T2492" t="s">
        <v>51</v>
      </c>
      <c r="U2492" t="s">
        <v>30</v>
      </c>
    </row>
    <row r="2493" spans="1:21" x14ac:dyDescent="0.35">
      <c r="A2493" t="s">
        <v>2573</v>
      </c>
      <c r="B2493" s="1">
        <v>46278</v>
      </c>
      <c r="C2493" t="str">
        <f>TEXT(tblData[[#This Row],[Rental Date]],"mmm")</f>
        <v>Sep</v>
      </c>
      <c r="D2493" t="str">
        <f>TEXT(tblData[[#This Row],[Rental Date]],"mmmm")</f>
        <v>September</v>
      </c>
      <c r="E2493" t="s">
        <v>68</v>
      </c>
      <c r="F2493" t="str">
        <f>TEXT(WEEKNUM(tblData[[#This Row],[Rental Date]]),"00")</f>
        <v>38</v>
      </c>
      <c r="G2493" s="1">
        <f>EOMONTH(tblData[[#This Row],[Rental Date]],0)</f>
        <v>46295</v>
      </c>
      <c r="H2493" t="s">
        <v>2441</v>
      </c>
      <c r="I2493" t="s">
        <v>48</v>
      </c>
      <c r="J2493" t="s">
        <v>44</v>
      </c>
      <c r="K2493" t="s">
        <v>25</v>
      </c>
      <c r="L2493">
        <v>1</v>
      </c>
      <c r="M2493" s="2">
        <v>56.16</v>
      </c>
      <c r="N2493" t="s">
        <v>26</v>
      </c>
      <c r="O2493" s="3">
        <v>0</v>
      </c>
      <c r="P2493" s="3">
        <v>0</v>
      </c>
      <c r="Q2493" s="2">
        <v>56.16</v>
      </c>
      <c r="R2493" t="s">
        <v>71</v>
      </c>
      <c r="S2493" t="s">
        <v>28</v>
      </c>
      <c r="T2493" t="s">
        <v>63</v>
      </c>
      <c r="U2493" t="s">
        <v>36</v>
      </c>
    </row>
    <row r="2494" spans="1:21" x14ac:dyDescent="0.35">
      <c r="A2494" t="s">
        <v>2574</v>
      </c>
      <c r="B2494" s="1">
        <v>46278</v>
      </c>
      <c r="C2494" t="str">
        <f>TEXT(tblData[[#This Row],[Rental Date]],"mmm")</f>
        <v>Sep</v>
      </c>
      <c r="D2494" t="str">
        <f>TEXT(tblData[[#This Row],[Rental Date]],"mmmm")</f>
        <v>September</v>
      </c>
      <c r="E2494" t="s">
        <v>68</v>
      </c>
      <c r="F2494" t="str">
        <f>TEXT(WEEKNUM(tblData[[#This Row],[Rental Date]]),"00")</f>
        <v>38</v>
      </c>
      <c r="G2494" s="1">
        <f>EOMONTH(tblData[[#This Row],[Rental Date]],0)</f>
        <v>46295</v>
      </c>
      <c r="H2494" t="s">
        <v>2441</v>
      </c>
      <c r="I2494" t="s">
        <v>48</v>
      </c>
      <c r="J2494" t="s">
        <v>127</v>
      </c>
      <c r="K2494" t="s">
        <v>25</v>
      </c>
      <c r="L2494">
        <v>1</v>
      </c>
      <c r="M2494" s="2">
        <v>17.28</v>
      </c>
      <c r="N2494" t="s">
        <v>89</v>
      </c>
      <c r="O2494" s="3">
        <v>6</v>
      </c>
      <c r="P2494" s="3">
        <v>0</v>
      </c>
      <c r="Q2494" s="2">
        <v>23.28</v>
      </c>
      <c r="R2494" t="s">
        <v>42</v>
      </c>
      <c r="S2494" t="s">
        <v>28</v>
      </c>
      <c r="T2494" t="s">
        <v>29</v>
      </c>
      <c r="U2494" t="s">
        <v>30</v>
      </c>
    </row>
    <row r="2495" spans="1:21" x14ac:dyDescent="0.35">
      <c r="A2495" t="s">
        <v>2575</v>
      </c>
      <c r="B2495" s="1">
        <v>46278</v>
      </c>
      <c r="C2495" t="str">
        <f>TEXT(tblData[[#This Row],[Rental Date]],"mmm")</f>
        <v>Sep</v>
      </c>
      <c r="D2495" t="str">
        <f>TEXT(tblData[[#This Row],[Rental Date]],"mmmm")</f>
        <v>September</v>
      </c>
      <c r="E2495" t="s">
        <v>68</v>
      </c>
      <c r="F2495" t="str">
        <f>TEXT(WEEKNUM(tblData[[#This Row],[Rental Date]]),"00")</f>
        <v>38</v>
      </c>
      <c r="G2495" s="1">
        <f>EOMONTH(tblData[[#This Row],[Rental Date]],0)</f>
        <v>46295</v>
      </c>
      <c r="H2495" t="s">
        <v>2441</v>
      </c>
      <c r="I2495" t="s">
        <v>53</v>
      </c>
      <c r="J2495" t="s">
        <v>49</v>
      </c>
      <c r="K2495" t="s">
        <v>25</v>
      </c>
      <c r="L2495">
        <v>1</v>
      </c>
      <c r="M2495" s="2">
        <v>38.880000000000003</v>
      </c>
      <c r="N2495" t="s">
        <v>41</v>
      </c>
      <c r="O2495" s="3">
        <v>5</v>
      </c>
      <c r="P2495" s="3">
        <v>6.58</v>
      </c>
      <c r="Q2495" s="2">
        <v>37.299999999999997</v>
      </c>
      <c r="R2495" t="s">
        <v>42</v>
      </c>
      <c r="S2495" t="s">
        <v>28</v>
      </c>
      <c r="T2495" t="s">
        <v>29</v>
      </c>
      <c r="U2495" t="s">
        <v>79</v>
      </c>
    </row>
    <row r="2496" spans="1:21" x14ac:dyDescent="0.35">
      <c r="A2496" t="s">
        <v>2576</v>
      </c>
      <c r="B2496" s="1">
        <v>46278</v>
      </c>
      <c r="C2496" t="str">
        <f>TEXT(tblData[[#This Row],[Rental Date]],"mmm")</f>
        <v>Sep</v>
      </c>
      <c r="D2496" t="str">
        <f>TEXT(tblData[[#This Row],[Rental Date]],"mmmm")</f>
        <v>September</v>
      </c>
      <c r="E2496" t="s">
        <v>68</v>
      </c>
      <c r="F2496" t="str">
        <f>TEXT(WEEKNUM(tblData[[#This Row],[Rental Date]]),"00")</f>
        <v>38</v>
      </c>
      <c r="G2496" s="1">
        <f>EOMONTH(tblData[[#This Row],[Rental Date]],0)</f>
        <v>46295</v>
      </c>
      <c r="H2496" t="s">
        <v>2441</v>
      </c>
      <c r="I2496" t="s">
        <v>23</v>
      </c>
      <c r="J2496" t="s">
        <v>65</v>
      </c>
      <c r="K2496" t="s">
        <v>60</v>
      </c>
      <c r="L2496">
        <v>1</v>
      </c>
      <c r="M2496" s="2">
        <v>12.96</v>
      </c>
      <c r="N2496" t="s">
        <v>70</v>
      </c>
      <c r="O2496" s="3">
        <v>7</v>
      </c>
      <c r="P2496" s="3">
        <v>0</v>
      </c>
      <c r="Q2496" s="2">
        <v>19.96</v>
      </c>
      <c r="R2496" t="s">
        <v>27</v>
      </c>
      <c r="S2496" t="s">
        <v>54</v>
      </c>
      <c r="T2496" t="s">
        <v>51</v>
      </c>
      <c r="U2496" t="s">
        <v>30</v>
      </c>
    </row>
    <row r="2497" spans="1:21" x14ac:dyDescent="0.35">
      <c r="A2497" t="s">
        <v>2577</v>
      </c>
      <c r="B2497" s="1">
        <v>46278</v>
      </c>
      <c r="C2497" t="str">
        <f>TEXT(tblData[[#This Row],[Rental Date]],"mmm")</f>
        <v>Sep</v>
      </c>
      <c r="D2497" t="str">
        <f>TEXT(tblData[[#This Row],[Rental Date]],"mmmm")</f>
        <v>September</v>
      </c>
      <c r="E2497" t="s">
        <v>68</v>
      </c>
      <c r="F2497" t="str">
        <f>TEXT(WEEKNUM(tblData[[#This Row],[Rental Date]]),"00")</f>
        <v>38</v>
      </c>
      <c r="G2497" s="1">
        <f>EOMONTH(tblData[[#This Row],[Rental Date]],0)</f>
        <v>46295</v>
      </c>
      <c r="H2497" t="s">
        <v>2441</v>
      </c>
      <c r="I2497" t="s">
        <v>48</v>
      </c>
      <c r="J2497" t="s">
        <v>24</v>
      </c>
      <c r="K2497" t="s">
        <v>92</v>
      </c>
      <c r="L2497">
        <v>1</v>
      </c>
      <c r="M2497" s="2">
        <v>118.8</v>
      </c>
      <c r="N2497" t="s">
        <v>61</v>
      </c>
      <c r="O2497" s="3">
        <v>8</v>
      </c>
      <c r="P2497" s="3">
        <v>6.34</v>
      </c>
      <c r="Q2497" s="2">
        <v>120.46</v>
      </c>
      <c r="R2497" t="s">
        <v>94</v>
      </c>
      <c r="S2497" t="s">
        <v>54</v>
      </c>
      <c r="T2497" t="s">
        <v>29</v>
      </c>
      <c r="U2497" t="s">
        <v>58</v>
      </c>
    </row>
    <row r="2498" spans="1:21" x14ac:dyDescent="0.35">
      <c r="A2498" t="s">
        <v>2578</v>
      </c>
      <c r="B2498" s="1">
        <v>46278</v>
      </c>
      <c r="C2498" t="str">
        <f>TEXT(tblData[[#This Row],[Rental Date]],"mmm")</f>
        <v>Sep</v>
      </c>
      <c r="D2498" t="str">
        <f>TEXT(tblData[[#This Row],[Rental Date]],"mmmm")</f>
        <v>September</v>
      </c>
      <c r="E2498" t="s">
        <v>68</v>
      </c>
      <c r="F2498" t="str">
        <f>TEXT(WEEKNUM(tblData[[#This Row],[Rental Date]]),"00")</f>
        <v>38</v>
      </c>
      <c r="G2498" s="1">
        <f>EOMONTH(tblData[[#This Row],[Rental Date]],0)</f>
        <v>46295</v>
      </c>
      <c r="H2498" t="s">
        <v>2441</v>
      </c>
      <c r="I2498" t="s">
        <v>48</v>
      </c>
      <c r="J2498" t="s">
        <v>138</v>
      </c>
      <c r="K2498" t="s">
        <v>60</v>
      </c>
      <c r="L2498">
        <v>1</v>
      </c>
      <c r="M2498" s="2">
        <v>32.4</v>
      </c>
      <c r="N2498" t="s">
        <v>26</v>
      </c>
      <c r="O2498" s="3">
        <v>0</v>
      </c>
      <c r="P2498" s="3">
        <v>0</v>
      </c>
      <c r="Q2498" s="2">
        <v>32.4</v>
      </c>
      <c r="R2498" t="s">
        <v>71</v>
      </c>
      <c r="S2498" t="s">
        <v>28</v>
      </c>
      <c r="T2498" t="s">
        <v>90</v>
      </c>
      <c r="U2498" t="s">
        <v>58</v>
      </c>
    </row>
    <row r="2499" spans="1:21" x14ac:dyDescent="0.35">
      <c r="A2499" t="s">
        <v>2579</v>
      </c>
      <c r="B2499" s="1">
        <v>46278</v>
      </c>
      <c r="C2499" t="str">
        <f>TEXT(tblData[[#This Row],[Rental Date]],"mmm")</f>
        <v>Sep</v>
      </c>
      <c r="D2499" t="str">
        <f>TEXT(tblData[[#This Row],[Rental Date]],"mmmm")</f>
        <v>September</v>
      </c>
      <c r="E2499" t="s">
        <v>68</v>
      </c>
      <c r="F2499" t="str">
        <f>TEXT(WEEKNUM(tblData[[#This Row],[Rental Date]]),"00")</f>
        <v>38</v>
      </c>
      <c r="G2499" s="1">
        <f>EOMONTH(tblData[[#This Row],[Rental Date]],0)</f>
        <v>46295</v>
      </c>
      <c r="H2499" t="s">
        <v>2441</v>
      </c>
      <c r="I2499" t="s">
        <v>23</v>
      </c>
      <c r="J2499" t="s">
        <v>78</v>
      </c>
      <c r="K2499" t="s">
        <v>25</v>
      </c>
      <c r="L2499">
        <v>1</v>
      </c>
      <c r="M2499" s="2">
        <v>45.36</v>
      </c>
      <c r="N2499" t="s">
        <v>89</v>
      </c>
      <c r="O2499" s="3">
        <v>6</v>
      </c>
      <c r="P2499" s="3">
        <v>0</v>
      </c>
      <c r="Q2499" s="2">
        <v>51.36</v>
      </c>
      <c r="R2499" t="s">
        <v>71</v>
      </c>
      <c r="S2499" t="s">
        <v>35</v>
      </c>
      <c r="T2499" t="s">
        <v>29</v>
      </c>
      <c r="U2499" t="s">
        <v>30</v>
      </c>
    </row>
    <row r="2500" spans="1:21" x14ac:dyDescent="0.35">
      <c r="A2500" t="s">
        <v>2580</v>
      </c>
      <c r="B2500" s="1">
        <v>46278</v>
      </c>
      <c r="C2500" t="str">
        <f>TEXT(tblData[[#This Row],[Rental Date]],"mmm")</f>
        <v>Sep</v>
      </c>
      <c r="D2500" t="str">
        <f>TEXT(tblData[[#This Row],[Rental Date]],"mmmm")</f>
        <v>September</v>
      </c>
      <c r="E2500" t="s">
        <v>68</v>
      </c>
      <c r="F2500" t="str">
        <f>TEXT(WEEKNUM(tblData[[#This Row],[Rental Date]]),"00")</f>
        <v>38</v>
      </c>
      <c r="G2500" s="1">
        <f>EOMONTH(tblData[[#This Row],[Rental Date]],0)</f>
        <v>46295</v>
      </c>
      <c r="H2500" t="s">
        <v>2441</v>
      </c>
      <c r="I2500" t="s">
        <v>32</v>
      </c>
      <c r="J2500" t="s">
        <v>33</v>
      </c>
      <c r="K2500" t="s">
        <v>60</v>
      </c>
      <c r="L2500">
        <v>1</v>
      </c>
      <c r="M2500" s="2">
        <v>25.92</v>
      </c>
      <c r="N2500" t="s">
        <v>87</v>
      </c>
      <c r="O2500" s="3">
        <v>10</v>
      </c>
      <c r="P2500" s="3">
        <v>3.59</v>
      </c>
      <c r="Q2500" s="2">
        <v>32.33</v>
      </c>
      <c r="R2500" t="s">
        <v>45</v>
      </c>
      <c r="S2500" t="s">
        <v>54</v>
      </c>
      <c r="T2500" t="s">
        <v>29</v>
      </c>
      <c r="U2500" t="s">
        <v>30</v>
      </c>
    </row>
    <row r="2501" spans="1:21" x14ac:dyDescent="0.35">
      <c r="A2501" t="s">
        <v>2581</v>
      </c>
      <c r="B2501" s="1">
        <v>46278</v>
      </c>
      <c r="C2501" t="str">
        <f>TEXT(tblData[[#This Row],[Rental Date]],"mmm")</f>
        <v>Sep</v>
      </c>
      <c r="D2501" t="str">
        <f>TEXT(tblData[[#This Row],[Rental Date]],"mmmm")</f>
        <v>September</v>
      </c>
      <c r="E2501" t="s">
        <v>68</v>
      </c>
      <c r="F2501" t="str">
        <f>TEXT(WEEKNUM(tblData[[#This Row],[Rental Date]]),"00")</f>
        <v>38</v>
      </c>
      <c r="G2501" s="1">
        <f>EOMONTH(tblData[[#This Row],[Rental Date]],0)</f>
        <v>46295</v>
      </c>
      <c r="H2501" t="s">
        <v>2441</v>
      </c>
      <c r="I2501" t="s">
        <v>39</v>
      </c>
      <c r="J2501" t="s">
        <v>78</v>
      </c>
      <c r="K2501" t="s">
        <v>40</v>
      </c>
      <c r="L2501">
        <v>1</v>
      </c>
      <c r="M2501" s="2">
        <v>66.959999999999994</v>
      </c>
      <c r="N2501" t="s">
        <v>61</v>
      </c>
      <c r="O2501" s="3">
        <v>8</v>
      </c>
      <c r="P2501" s="3">
        <v>0</v>
      </c>
      <c r="Q2501" s="2">
        <v>74.959999999999994</v>
      </c>
      <c r="R2501" t="s">
        <v>71</v>
      </c>
      <c r="S2501" t="s">
        <v>46</v>
      </c>
      <c r="T2501" t="s">
        <v>51</v>
      </c>
      <c r="U2501" t="s">
        <v>30</v>
      </c>
    </row>
    <row r="2502" spans="1:21" x14ac:dyDescent="0.35">
      <c r="A2502" t="s">
        <v>2582</v>
      </c>
      <c r="B2502" s="1">
        <v>46278</v>
      </c>
      <c r="C2502" t="str">
        <f>TEXT(tblData[[#This Row],[Rental Date]],"mmm")</f>
        <v>Sep</v>
      </c>
      <c r="D2502" t="str">
        <f>TEXT(tblData[[#This Row],[Rental Date]],"mmmm")</f>
        <v>September</v>
      </c>
      <c r="E2502" t="s">
        <v>68</v>
      </c>
      <c r="F2502" t="str">
        <f>TEXT(WEEKNUM(tblData[[#This Row],[Rental Date]]),"00")</f>
        <v>38</v>
      </c>
      <c r="G2502" s="1">
        <f>EOMONTH(tblData[[#This Row],[Rental Date]],0)</f>
        <v>46295</v>
      </c>
      <c r="H2502" t="s">
        <v>2441</v>
      </c>
      <c r="I2502" t="s">
        <v>32</v>
      </c>
      <c r="J2502" t="s">
        <v>44</v>
      </c>
      <c r="K2502" t="s">
        <v>40</v>
      </c>
      <c r="L2502">
        <v>1</v>
      </c>
      <c r="M2502" s="2">
        <v>84.24</v>
      </c>
      <c r="N2502" t="s">
        <v>87</v>
      </c>
      <c r="O2502" s="3">
        <v>10</v>
      </c>
      <c r="P2502" s="3">
        <v>9.42</v>
      </c>
      <c r="Q2502" s="2">
        <v>84.82</v>
      </c>
      <c r="R2502" t="s">
        <v>94</v>
      </c>
      <c r="S2502" t="s">
        <v>28</v>
      </c>
      <c r="T2502" t="s">
        <v>51</v>
      </c>
      <c r="U2502" t="s">
        <v>30</v>
      </c>
    </row>
    <row r="2503" spans="1:21" x14ac:dyDescent="0.35">
      <c r="A2503" t="s">
        <v>2583</v>
      </c>
      <c r="B2503" s="1">
        <v>46278</v>
      </c>
      <c r="C2503" t="str">
        <f>TEXT(tblData[[#This Row],[Rental Date]],"mmm")</f>
        <v>Sep</v>
      </c>
      <c r="D2503" t="str">
        <f>TEXT(tblData[[#This Row],[Rental Date]],"mmmm")</f>
        <v>September</v>
      </c>
      <c r="E2503" t="s">
        <v>68</v>
      </c>
      <c r="F2503" t="str">
        <f>TEXT(WEEKNUM(tblData[[#This Row],[Rental Date]]),"00")</f>
        <v>38</v>
      </c>
      <c r="G2503" s="1">
        <f>EOMONTH(tblData[[#This Row],[Rental Date]],0)</f>
        <v>46295</v>
      </c>
      <c r="H2503" t="s">
        <v>2441</v>
      </c>
      <c r="I2503" t="s">
        <v>23</v>
      </c>
      <c r="J2503" t="s">
        <v>65</v>
      </c>
      <c r="K2503" t="s">
        <v>60</v>
      </c>
      <c r="L2503">
        <v>1</v>
      </c>
      <c r="M2503" s="2">
        <v>12.96</v>
      </c>
      <c r="N2503" t="s">
        <v>87</v>
      </c>
      <c r="O2503" s="3">
        <v>10</v>
      </c>
      <c r="P2503" s="3">
        <v>0</v>
      </c>
      <c r="Q2503" s="2">
        <v>22.96</v>
      </c>
      <c r="R2503" t="s">
        <v>34</v>
      </c>
      <c r="S2503" t="s">
        <v>54</v>
      </c>
      <c r="T2503" t="s">
        <v>51</v>
      </c>
      <c r="U2503" t="s">
        <v>30</v>
      </c>
    </row>
    <row r="2504" spans="1:21" x14ac:dyDescent="0.35">
      <c r="A2504" t="s">
        <v>2584</v>
      </c>
      <c r="B2504" s="1">
        <v>46278</v>
      </c>
      <c r="C2504" t="str">
        <f>TEXT(tblData[[#This Row],[Rental Date]],"mmm")</f>
        <v>Sep</v>
      </c>
      <c r="D2504" t="str">
        <f>TEXT(tblData[[#This Row],[Rental Date]],"mmmm")</f>
        <v>September</v>
      </c>
      <c r="E2504" t="s">
        <v>68</v>
      </c>
      <c r="F2504" t="str">
        <f>TEXT(WEEKNUM(tblData[[#This Row],[Rental Date]]),"00")</f>
        <v>38</v>
      </c>
      <c r="G2504" s="1">
        <f>EOMONTH(tblData[[#This Row],[Rental Date]],0)</f>
        <v>46295</v>
      </c>
      <c r="H2504" t="s">
        <v>2441</v>
      </c>
      <c r="I2504" t="s">
        <v>48</v>
      </c>
      <c r="J2504" t="s">
        <v>138</v>
      </c>
      <c r="K2504" t="s">
        <v>25</v>
      </c>
      <c r="L2504">
        <v>1</v>
      </c>
      <c r="M2504" s="2">
        <v>51.84</v>
      </c>
      <c r="N2504" t="s">
        <v>26</v>
      </c>
      <c r="O2504" s="3">
        <v>0</v>
      </c>
      <c r="P2504" s="3">
        <v>0</v>
      </c>
      <c r="Q2504" s="2">
        <v>51.84</v>
      </c>
      <c r="R2504" t="s">
        <v>27</v>
      </c>
      <c r="S2504" t="s">
        <v>46</v>
      </c>
      <c r="T2504" t="s">
        <v>90</v>
      </c>
      <c r="U2504" t="s">
        <v>79</v>
      </c>
    </row>
    <row r="2505" spans="1:21" x14ac:dyDescent="0.35">
      <c r="A2505" t="s">
        <v>2585</v>
      </c>
      <c r="B2505" s="1">
        <v>46278</v>
      </c>
      <c r="C2505" t="str">
        <f>TEXT(tblData[[#This Row],[Rental Date]],"mmm")</f>
        <v>Sep</v>
      </c>
      <c r="D2505" t="str">
        <f>TEXT(tblData[[#This Row],[Rental Date]],"mmmm")</f>
        <v>September</v>
      </c>
      <c r="E2505" t="s">
        <v>68</v>
      </c>
      <c r="F2505" t="str">
        <f>TEXT(WEEKNUM(tblData[[#This Row],[Rental Date]]),"00")</f>
        <v>38</v>
      </c>
      <c r="G2505" s="1">
        <f>EOMONTH(tblData[[#This Row],[Rental Date]],0)</f>
        <v>46295</v>
      </c>
      <c r="H2505" t="s">
        <v>2441</v>
      </c>
      <c r="I2505" t="s">
        <v>39</v>
      </c>
      <c r="J2505" t="s">
        <v>78</v>
      </c>
      <c r="K2505" t="s">
        <v>25</v>
      </c>
      <c r="L2505">
        <v>1</v>
      </c>
      <c r="M2505" s="2">
        <v>45.36</v>
      </c>
      <c r="N2505" t="s">
        <v>26</v>
      </c>
      <c r="O2505" s="3">
        <v>0</v>
      </c>
      <c r="P2505" s="3">
        <v>0</v>
      </c>
      <c r="Q2505" s="2">
        <v>45.36</v>
      </c>
      <c r="R2505" t="s">
        <v>94</v>
      </c>
      <c r="S2505" t="s">
        <v>54</v>
      </c>
      <c r="T2505" t="s">
        <v>29</v>
      </c>
      <c r="U2505" t="s">
        <v>36</v>
      </c>
    </row>
    <row r="2506" spans="1:21" x14ac:dyDescent="0.35">
      <c r="A2506" t="s">
        <v>2586</v>
      </c>
      <c r="B2506" s="1">
        <v>46278</v>
      </c>
      <c r="C2506" t="str">
        <f>TEXT(tblData[[#This Row],[Rental Date]],"mmm")</f>
        <v>Sep</v>
      </c>
      <c r="D2506" t="str">
        <f>TEXT(tblData[[#This Row],[Rental Date]],"mmmm")</f>
        <v>September</v>
      </c>
      <c r="E2506" t="s">
        <v>68</v>
      </c>
      <c r="F2506" t="str">
        <f>TEXT(WEEKNUM(tblData[[#This Row],[Rental Date]]),"00")</f>
        <v>38</v>
      </c>
      <c r="G2506" s="1">
        <f>EOMONTH(tblData[[#This Row],[Rental Date]],0)</f>
        <v>46295</v>
      </c>
      <c r="H2506" t="s">
        <v>2441</v>
      </c>
      <c r="I2506" t="s">
        <v>48</v>
      </c>
      <c r="J2506" t="s">
        <v>65</v>
      </c>
      <c r="K2506" t="s">
        <v>60</v>
      </c>
      <c r="L2506">
        <v>1</v>
      </c>
      <c r="M2506" s="2">
        <v>12.96</v>
      </c>
      <c r="N2506" t="s">
        <v>26</v>
      </c>
      <c r="O2506" s="3">
        <v>0</v>
      </c>
      <c r="P2506" s="3">
        <v>0</v>
      </c>
      <c r="Q2506" s="2">
        <v>12.96</v>
      </c>
      <c r="R2506" t="s">
        <v>45</v>
      </c>
      <c r="S2506" t="s">
        <v>50</v>
      </c>
      <c r="T2506" t="s">
        <v>63</v>
      </c>
      <c r="U2506" t="s">
        <v>30</v>
      </c>
    </row>
    <row r="2507" spans="1:21" x14ac:dyDescent="0.35">
      <c r="A2507" t="s">
        <v>2587</v>
      </c>
      <c r="B2507" s="1">
        <v>46278</v>
      </c>
      <c r="C2507" t="str">
        <f>TEXT(tblData[[#This Row],[Rental Date]],"mmm")</f>
        <v>Sep</v>
      </c>
      <c r="D2507" t="str">
        <f>TEXT(tblData[[#This Row],[Rental Date]],"mmmm")</f>
        <v>September</v>
      </c>
      <c r="E2507" t="s">
        <v>68</v>
      </c>
      <c r="F2507" t="str">
        <f>TEXT(WEEKNUM(tblData[[#This Row],[Rental Date]]),"00")</f>
        <v>38</v>
      </c>
      <c r="G2507" s="1">
        <f>EOMONTH(tblData[[#This Row],[Rental Date]],0)</f>
        <v>46295</v>
      </c>
      <c r="H2507" t="s">
        <v>2441</v>
      </c>
      <c r="I2507" t="s">
        <v>48</v>
      </c>
      <c r="J2507" t="s">
        <v>65</v>
      </c>
      <c r="K2507" t="s">
        <v>60</v>
      </c>
      <c r="L2507">
        <v>1</v>
      </c>
      <c r="M2507" s="2">
        <v>12.96</v>
      </c>
      <c r="N2507" t="s">
        <v>26</v>
      </c>
      <c r="O2507" s="3">
        <v>0</v>
      </c>
      <c r="P2507" s="3">
        <v>0</v>
      </c>
      <c r="Q2507" s="2">
        <v>12.96</v>
      </c>
      <c r="R2507" t="s">
        <v>57</v>
      </c>
      <c r="S2507" t="s">
        <v>28</v>
      </c>
      <c r="T2507" t="s">
        <v>29</v>
      </c>
      <c r="U2507" t="s">
        <v>30</v>
      </c>
    </row>
    <row r="2508" spans="1:21" x14ac:dyDescent="0.35">
      <c r="A2508" t="s">
        <v>2588</v>
      </c>
      <c r="B2508" s="1">
        <v>46278</v>
      </c>
      <c r="C2508" t="str">
        <f>TEXT(tblData[[#This Row],[Rental Date]],"mmm")</f>
        <v>Sep</v>
      </c>
      <c r="D2508" t="str">
        <f>TEXT(tblData[[#This Row],[Rental Date]],"mmmm")</f>
        <v>September</v>
      </c>
      <c r="E2508" t="s">
        <v>68</v>
      </c>
      <c r="F2508" t="str">
        <f>TEXT(WEEKNUM(tblData[[#This Row],[Rental Date]]),"00")</f>
        <v>38</v>
      </c>
      <c r="G2508" s="1">
        <f>EOMONTH(tblData[[#This Row],[Rental Date]],0)</f>
        <v>46295</v>
      </c>
      <c r="H2508" t="s">
        <v>2441</v>
      </c>
      <c r="I2508" t="s">
        <v>32</v>
      </c>
      <c r="J2508" t="s">
        <v>78</v>
      </c>
      <c r="K2508" t="s">
        <v>40</v>
      </c>
      <c r="L2508">
        <v>1</v>
      </c>
      <c r="M2508" s="2">
        <v>66.959999999999994</v>
      </c>
      <c r="N2508" t="s">
        <v>26</v>
      </c>
      <c r="O2508" s="3">
        <v>0</v>
      </c>
      <c r="P2508" s="3">
        <v>0</v>
      </c>
      <c r="Q2508" s="2">
        <v>66.959999999999994</v>
      </c>
      <c r="R2508" t="s">
        <v>27</v>
      </c>
      <c r="S2508" t="s">
        <v>54</v>
      </c>
      <c r="T2508" t="s">
        <v>29</v>
      </c>
      <c r="U2508" t="s">
        <v>79</v>
      </c>
    </row>
    <row r="2509" spans="1:21" x14ac:dyDescent="0.35">
      <c r="A2509" t="s">
        <v>2589</v>
      </c>
      <c r="B2509" s="1">
        <v>46278</v>
      </c>
      <c r="C2509" t="str">
        <f>TEXT(tblData[[#This Row],[Rental Date]],"mmm")</f>
        <v>Sep</v>
      </c>
      <c r="D2509" t="str">
        <f>TEXT(tblData[[#This Row],[Rental Date]],"mmmm")</f>
        <v>September</v>
      </c>
      <c r="E2509" t="s">
        <v>68</v>
      </c>
      <c r="F2509" t="str">
        <f>TEXT(WEEKNUM(tblData[[#This Row],[Rental Date]]),"00")</f>
        <v>38</v>
      </c>
      <c r="G2509" s="1">
        <f>EOMONTH(tblData[[#This Row],[Rental Date]],0)</f>
        <v>46295</v>
      </c>
      <c r="H2509" t="s">
        <v>2441</v>
      </c>
      <c r="I2509" t="s">
        <v>48</v>
      </c>
      <c r="J2509" t="s">
        <v>78</v>
      </c>
      <c r="K2509" t="s">
        <v>40</v>
      </c>
      <c r="L2509">
        <v>1</v>
      </c>
      <c r="M2509" s="2">
        <v>66.959999999999994</v>
      </c>
      <c r="N2509" t="s">
        <v>26</v>
      </c>
      <c r="O2509" s="3">
        <v>0</v>
      </c>
      <c r="P2509" s="3">
        <v>0</v>
      </c>
      <c r="Q2509" s="2">
        <v>66.959999999999994</v>
      </c>
      <c r="R2509" t="s">
        <v>45</v>
      </c>
      <c r="S2509" t="s">
        <v>54</v>
      </c>
      <c r="T2509" t="s">
        <v>29</v>
      </c>
      <c r="U2509" t="s">
        <v>30</v>
      </c>
    </row>
    <row r="2510" spans="1:21" x14ac:dyDescent="0.35">
      <c r="A2510" t="s">
        <v>2590</v>
      </c>
      <c r="B2510" s="1">
        <v>46278</v>
      </c>
      <c r="C2510" t="str">
        <f>TEXT(tblData[[#This Row],[Rental Date]],"mmm")</f>
        <v>Sep</v>
      </c>
      <c r="D2510" t="str">
        <f>TEXT(tblData[[#This Row],[Rental Date]],"mmmm")</f>
        <v>September</v>
      </c>
      <c r="E2510" t="s">
        <v>68</v>
      </c>
      <c r="F2510" t="str">
        <f>TEXT(WEEKNUM(tblData[[#This Row],[Rental Date]]),"00")</f>
        <v>38</v>
      </c>
      <c r="G2510" s="1">
        <f>EOMONTH(tblData[[#This Row],[Rental Date]],0)</f>
        <v>46295</v>
      </c>
      <c r="H2510" t="s">
        <v>2441</v>
      </c>
      <c r="I2510" t="s">
        <v>32</v>
      </c>
      <c r="J2510" t="s">
        <v>33</v>
      </c>
      <c r="K2510" t="s">
        <v>25</v>
      </c>
      <c r="L2510">
        <v>1</v>
      </c>
      <c r="M2510" s="2">
        <v>41.04</v>
      </c>
      <c r="N2510" t="s">
        <v>75</v>
      </c>
      <c r="O2510" s="3">
        <v>12</v>
      </c>
      <c r="P2510" s="3">
        <v>5.3</v>
      </c>
      <c r="Q2510" s="2">
        <v>47.74</v>
      </c>
      <c r="R2510" t="s">
        <v>42</v>
      </c>
      <c r="S2510" t="s">
        <v>54</v>
      </c>
      <c r="T2510" t="s">
        <v>29</v>
      </c>
      <c r="U2510" t="s">
        <v>30</v>
      </c>
    </row>
    <row r="2511" spans="1:21" x14ac:dyDescent="0.35">
      <c r="A2511" t="s">
        <v>2591</v>
      </c>
      <c r="B2511" s="1">
        <v>46278</v>
      </c>
      <c r="C2511" t="str">
        <f>TEXT(tblData[[#This Row],[Rental Date]],"mmm")</f>
        <v>Sep</v>
      </c>
      <c r="D2511" t="str">
        <f>TEXT(tblData[[#This Row],[Rental Date]],"mmmm")</f>
        <v>September</v>
      </c>
      <c r="E2511" t="s">
        <v>68</v>
      </c>
      <c r="F2511" t="str">
        <f>TEXT(WEEKNUM(tblData[[#This Row],[Rental Date]]),"00")</f>
        <v>38</v>
      </c>
      <c r="G2511" s="1">
        <f>EOMONTH(tblData[[#This Row],[Rental Date]],0)</f>
        <v>46295</v>
      </c>
      <c r="H2511" t="s">
        <v>2441</v>
      </c>
      <c r="I2511" t="s">
        <v>48</v>
      </c>
      <c r="J2511" t="s">
        <v>138</v>
      </c>
      <c r="K2511" t="s">
        <v>25</v>
      </c>
      <c r="L2511">
        <v>1</v>
      </c>
      <c r="M2511" s="2">
        <v>51.84</v>
      </c>
      <c r="N2511" t="s">
        <v>26</v>
      </c>
      <c r="O2511" s="3">
        <v>0</v>
      </c>
      <c r="P2511" s="3">
        <v>0</v>
      </c>
      <c r="Q2511" s="2">
        <v>51.84</v>
      </c>
      <c r="R2511" t="s">
        <v>45</v>
      </c>
      <c r="S2511" t="s">
        <v>50</v>
      </c>
      <c r="T2511" t="s">
        <v>63</v>
      </c>
      <c r="U2511" t="s">
        <v>30</v>
      </c>
    </row>
    <row r="2512" spans="1:21" x14ac:dyDescent="0.35">
      <c r="A2512" t="s">
        <v>2592</v>
      </c>
      <c r="B2512" s="1">
        <v>46279</v>
      </c>
      <c r="C2512" t="str">
        <f>TEXT(tblData[[#This Row],[Rental Date]],"mmm")</f>
        <v>Sep</v>
      </c>
      <c r="D2512" t="str">
        <f>TEXT(tblData[[#This Row],[Rental Date]],"mmmm")</f>
        <v>September</v>
      </c>
      <c r="E2512" t="s">
        <v>74</v>
      </c>
      <c r="F2512" t="str">
        <f>TEXT(WEEKNUM(tblData[[#This Row],[Rental Date]]),"00")</f>
        <v>38</v>
      </c>
      <c r="G2512" s="1">
        <f>EOMONTH(tblData[[#This Row],[Rental Date]],0)</f>
        <v>46295</v>
      </c>
      <c r="H2512" t="s">
        <v>2441</v>
      </c>
      <c r="I2512" t="s">
        <v>23</v>
      </c>
      <c r="J2512" t="s">
        <v>78</v>
      </c>
      <c r="K2512" t="s">
        <v>60</v>
      </c>
      <c r="L2512">
        <v>1</v>
      </c>
      <c r="M2512" s="2">
        <v>26</v>
      </c>
      <c r="N2512" t="s">
        <v>61</v>
      </c>
      <c r="O2512" s="3">
        <v>8</v>
      </c>
      <c r="P2512" s="3">
        <v>0</v>
      </c>
      <c r="Q2512" s="2">
        <v>34</v>
      </c>
      <c r="R2512" t="s">
        <v>27</v>
      </c>
      <c r="S2512" t="s">
        <v>46</v>
      </c>
      <c r="T2512" t="s">
        <v>51</v>
      </c>
      <c r="U2512" t="s">
        <v>30</v>
      </c>
    </row>
    <row r="2513" spans="1:21" x14ac:dyDescent="0.35">
      <c r="A2513" t="s">
        <v>2593</v>
      </c>
      <c r="B2513" s="1">
        <v>46279</v>
      </c>
      <c r="C2513" t="str">
        <f>TEXT(tblData[[#This Row],[Rental Date]],"mmm")</f>
        <v>Sep</v>
      </c>
      <c r="D2513" t="str">
        <f>TEXT(tblData[[#This Row],[Rental Date]],"mmmm")</f>
        <v>September</v>
      </c>
      <c r="E2513" t="s">
        <v>74</v>
      </c>
      <c r="F2513" t="str">
        <f>TEXT(WEEKNUM(tblData[[#This Row],[Rental Date]]),"00")</f>
        <v>38</v>
      </c>
      <c r="G2513" s="1">
        <f>EOMONTH(tblData[[#This Row],[Rental Date]],0)</f>
        <v>46295</v>
      </c>
      <c r="H2513" t="s">
        <v>2441</v>
      </c>
      <c r="I2513" t="s">
        <v>48</v>
      </c>
      <c r="J2513" t="s">
        <v>49</v>
      </c>
      <c r="K2513" t="s">
        <v>60</v>
      </c>
      <c r="L2513">
        <v>1</v>
      </c>
      <c r="M2513" s="2">
        <v>22</v>
      </c>
      <c r="N2513" t="s">
        <v>26</v>
      </c>
      <c r="O2513" s="3">
        <v>0</v>
      </c>
      <c r="P2513" s="3">
        <v>0</v>
      </c>
      <c r="Q2513" s="2">
        <v>22</v>
      </c>
      <c r="R2513" t="s">
        <v>42</v>
      </c>
      <c r="S2513" t="s">
        <v>54</v>
      </c>
      <c r="T2513" t="s">
        <v>29</v>
      </c>
      <c r="U2513" t="s">
        <v>30</v>
      </c>
    </row>
    <row r="2514" spans="1:21" x14ac:dyDescent="0.35">
      <c r="A2514" t="s">
        <v>2594</v>
      </c>
      <c r="B2514" s="1">
        <v>46279</v>
      </c>
      <c r="C2514" t="str">
        <f>TEXT(tblData[[#This Row],[Rental Date]],"mmm")</f>
        <v>Sep</v>
      </c>
      <c r="D2514" t="str">
        <f>TEXT(tblData[[#This Row],[Rental Date]],"mmmm")</f>
        <v>September</v>
      </c>
      <c r="E2514" t="s">
        <v>74</v>
      </c>
      <c r="F2514" t="str">
        <f>TEXT(WEEKNUM(tblData[[#This Row],[Rental Date]]),"00")</f>
        <v>38</v>
      </c>
      <c r="G2514" s="1">
        <f>EOMONTH(tblData[[#This Row],[Rental Date]],0)</f>
        <v>46295</v>
      </c>
      <c r="H2514" t="s">
        <v>2441</v>
      </c>
      <c r="I2514" t="s">
        <v>48</v>
      </c>
      <c r="J2514" t="s">
        <v>78</v>
      </c>
      <c r="K2514" t="s">
        <v>60</v>
      </c>
      <c r="L2514">
        <v>1</v>
      </c>
      <c r="M2514" s="2">
        <v>26</v>
      </c>
      <c r="N2514" t="s">
        <v>26</v>
      </c>
      <c r="O2514" s="3">
        <v>0</v>
      </c>
      <c r="P2514" s="3">
        <v>0</v>
      </c>
      <c r="Q2514" s="2">
        <v>26</v>
      </c>
      <c r="R2514" t="s">
        <v>57</v>
      </c>
      <c r="S2514" t="s">
        <v>46</v>
      </c>
      <c r="T2514" t="s">
        <v>29</v>
      </c>
      <c r="U2514" t="s">
        <v>58</v>
      </c>
    </row>
    <row r="2515" spans="1:21" x14ac:dyDescent="0.35">
      <c r="A2515" t="s">
        <v>2595</v>
      </c>
      <c r="B2515" s="1">
        <v>46279</v>
      </c>
      <c r="C2515" t="str">
        <f>TEXT(tblData[[#This Row],[Rental Date]],"mmm")</f>
        <v>Sep</v>
      </c>
      <c r="D2515" t="str">
        <f>TEXT(tblData[[#This Row],[Rental Date]],"mmmm")</f>
        <v>September</v>
      </c>
      <c r="E2515" t="s">
        <v>74</v>
      </c>
      <c r="F2515" t="str">
        <f>TEXT(WEEKNUM(tblData[[#This Row],[Rental Date]]),"00")</f>
        <v>38</v>
      </c>
      <c r="G2515" s="1">
        <f>EOMONTH(tblData[[#This Row],[Rental Date]],0)</f>
        <v>46295</v>
      </c>
      <c r="H2515" t="s">
        <v>2441</v>
      </c>
      <c r="I2515" t="s">
        <v>48</v>
      </c>
      <c r="J2515" t="s">
        <v>138</v>
      </c>
      <c r="K2515" t="s">
        <v>25</v>
      </c>
      <c r="L2515">
        <v>1</v>
      </c>
      <c r="M2515" s="2">
        <v>48</v>
      </c>
      <c r="N2515" t="s">
        <v>87</v>
      </c>
      <c r="O2515" s="3">
        <v>10</v>
      </c>
      <c r="P2515" s="3">
        <v>0</v>
      </c>
      <c r="Q2515" s="2">
        <v>58</v>
      </c>
      <c r="R2515" t="s">
        <v>71</v>
      </c>
      <c r="S2515" t="s">
        <v>28</v>
      </c>
      <c r="T2515" t="s">
        <v>29</v>
      </c>
      <c r="U2515" t="s">
        <v>58</v>
      </c>
    </row>
    <row r="2516" spans="1:21" x14ac:dyDescent="0.35">
      <c r="A2516" t="s">
        <v>2596</v>
      </c>
      <c r="B2516" s="1">
        <v>46279</v>
      </c>
      <c r="C2516" t="str">
        <f>TEXT(tblData[[#This Row],[Rental Date]],"mmm")</f>
        <v>Sep</v>
      </c>
      <c r="D2516" t="str">
        <f>TEXT(tblData[[#This Row],[Rental Date]],"mmmm")</f>
        <v>September</v>
      </c>
      <c r="E2516" t="s">
        <v>74</v>
      </c>
      <c r="F2516" t="str">
        <f>TEXT(WEEKNUM(tblData[[#This Row],[Rental Date]]),"00")</f>
        <v>38</v>
      </c>
      <c r="G2516" s="1">
        <f>EOMONTH(tblData[[#This Row],[Rental Date]],0)</f>
        <v>46295</v>
      </c>
      <c r="H2516" t="s">
        <v>2441</v>
      </c>
      <c r="I2516" t="s">
        <v>23</v>
      </c>
      <c r="J2516" t="s">
        <v>33</v>
      </c>
      <c r="K2516" t="s">
        <v>40</v>
      </c>
      <c r="L2516">
        <v>1</v>
      </c>
      <c r="M2516" s="2">
        <v>58</v>
      </c>
      <c r="N2516" t="s">
        <v>26</v>
      </c>
      <c r="O2516" s="3">
        <v>0</v>
      </c>
      <c r="P2516" s="3">
        <v>0</v>
      </c>
      <c r="Q2516" s="2">
        <v>58</v>
      </c>
      <c r="R2516" t="s">
        <v>66</v>
      </c>
      <c r="S2516" t="s">
        <v>28</v>
      </c>
      <c r="T2516" t="s">
        <v>51</v>
      </c>
      <c r="U2516" t="s">
        <v>30</v>
      </c>
    </row>
    <row r="2517" spans="1:21" x14ac:dyDescent="0.35">
      <c r="A2517" t="s">
        <v>2597</v>
      </c>
      <c r="B2517" s="1">
        <v>46279</v>
      </c>
      <c r="C2517" t="str">
        <f>TEXT(tblData[[#This Row],[Rental Date]],"mmm")</f>
        <v>Sep</v>
      </c>
      <c r="D2517" t="str">
        <f>TEXT(tblData[[#This Row],[Rental Date]],"mmmm")</f>
        <v>September</v>
      </c>
      <c r="E2517" t="s">
        <v>74</v>
      </c>
      <c r="F2517" t="str">
        <f>TEXT(WEEKNUM(tblData[[#This Row],[Rental Date]]),"00")</f>
        <v>38</v>
      </c>
      <c r="G2517" s="1">
        <f>EOMONTH(tblData[[#This Row],[Rental Date]],0)</f>
        <v>46295</v>
      </c>
      <c r="H2517" t="s">
        <v>2441</v>
      </c>
      <c r="I2517" t="s">
        <v>32</v>
      </c>
      <c r="J2517" t="s">
        <v>44</v>
      </c>
      <c r="K2517" t="s">
        <v>92</v>
      </c>
      <c r="L2517">
        <v>1</v>
      </c>
      <c r="M2517" s="2">
        <v>112</v>
      </c>
      <c r="N2517" t="s">
        <v>87</v>
      </c>
      <c r="O2517" s="3">
        <v>10</v>
      </c>
      <c r="P2517" s="3">
        <v>0</v>
      </c>
      <c r="Q2517" s="2">
        <v>122</v>
      </c>
      <c r="R2517" t="s">
        <v>66</v>
      </c>
      <c r="S2517" t="s">
        <v>54</v>
      </c>
      <c r="T2517" t="s">
        <v>83</v>
      </c>
      <c r="U2517" t="s">
        <v>58</v>
      </c>
    </row>
    <row r="2518" spans="1:21" x14ac:dyDescent="0.35">
      <c r="A2518" t="s">
        <v>2598</v>
      </c>
      <c r="B2518" s="1">
        <v>46280</v>
      </c>
      <c r="C2518" t="str">
        <f>TEXT(tblData[[#This Row],[Rental Date]],"mmm")</f>
        <v>Sep</v>
      </c>
      <c r="D2518" t="str">
        <f>TEXT(tblData[[#This Row],[Rental Date]],"mmmm")</f>
        <v>September</v>
      </c>
      <c r="E2518" t="s">
        <v>102</v>
      </c>
      <c r="F2518" t="str">
        <f>TEXT(WEEKNUM(tblData[[#This Row],[Rental Date]]),"00")</f>
        <v>38</v>
      </c>
      <c r="G2518" s="1">
        <f>EOMONTH(tblData[[#This Row],[Rental Date]],0)</f>
        <v>46295</v>
      </c>
      <c r="H2518" t="s">
        <v>2441</v>
      </c>
      <c r="I2518" t="s">
        <v>48</v>
      </c>
      <c r="J2518" t="s">
        <v>24</v>
      </c>
      <c r="K2518" t="s">
        <v>40</v>
      </c>
      <c r="L2518">
        <v>1</v>
      </c>
      <c r="M2518" s="2">
        <v>76</v>
      </c>
      <c r="N2518" t="s">
        <v>70</v>
      </c>
      <c r="O2518" s="3">
        <v>7</v>
      </c>
      <c r="P2518" s="3">
        <v>0</v>
      </c>
      <c r="Q2518" s="2">
        <v>83</v>
      </c>
      <c r="R2518" t="s">
        <v>62</v>
      </c>
      <c r="S2518" t="s">
        <v>50</v>
      </c>
      <c r="T2518" t="s">
        <v>63</v>
      </c>
      <c r="U2518" t="s">
        <v>30</v>
      </c>
    </row>
    <row r="2519" spans="1:21" x14ac:dyDescent="0.35">
      <c r="A2519" t="s">
        <v>2599</v>
      </c>
      <c r="B2519" s="1">
        <v>46280</v>
      </c>
      <c r="C2519" t="str">
        <f>TEXT(tblData[[#This Row],[Rental Date]],"mmm")</f>
        <v>Sep</v>
      </c>
      <c r="D2519" t="str">
        <f>TEXT(tblData[[#This Row],[Rental Date]],"mmmm")</f>
        <v>September</v>
      </c>
      <c r="E2519" t="s">
        <v>102</v>
      </c>
      <c r="F2519" t="str">
        <f>TEXT(WEEKNUM(tblData[[#This Row],[Rental Date]]),"00")</f>
        <v>38</v>
      </c>
      <c r="G2519" s="1">
        <f>EOMONTH(tblData[[#This Row],[Rental Date]],0)</f>
        <v>46295</v>
      </c>
      <c r="H2519" t="s">
        <v>2441</v>
      </c>
      <c r="I2519" t="s">
        <v>39</v>
      </c>
      <c r="J2519" t="s">
        <v>65</v>
      </c>
      <c r="K2519" t="s">
        <v>40</v>
      </c>
      <c r="L2519">
        <v>1</v>
      </c>
      <c r="M2519" s="2">
        <v>28</v>
      </c>
      <c r="N2519" t="s">
        <v>61</v>
      </c>
      <c r="O2519" s="3">
        <v>8</v>
      </c>
      <c r="P2519" s="3">
        <v>0</v>
      </c>
      <c r="Q2519" s="2">
        <v>36</v>
      </c>
      <c r="R2519" t="s">
        <v>94</v>
      </c>
      <c r="S2519" t="s">
        <v>35</v>
      </c>
      <c r="T2519" t="s">
        <v>51</v>
      </c>
      <c r="U2519" t="s">
        <v>58</v>
      </c>
    </row>
    <row r="2520" spans="1:21" x14ac:dyDescent="0.35">
      <c r="A2520" t="s">
        <v>2600</v>
      </c>
      <c r="B2520" s="1">
        <v>46280</v>
      </c>
      <c r="C2520" t="str">
        <f>TEXT(tblData[[#This Row],[Rental Date]],"mmm")</f>
        <v>Sep</v>
      </c>
      <c r="D2520" t="str">
        <f>TEXT(tblData[[#This Row],[Rental Date]],"mmmm")</f>
        <v>September</v>
      </c>
      <c r="E2520" t="s">
        <v>102</v>
      </c>
      <c r="F2520" t="str">
        <f>TEXT(WEEKNUM(tblData[[#This Row],[Rental Date]]),"00")</f>
        <v>38</v>
      </c>
      <c r="G2520" s="1">
        <f>EOMONTH(tblData[[#This Row],[Rental Date]],0)</f>
        <v>46295</v>
      </c>
      <c r="H2520" t="s">
        <v>2441</v>
      </c>
      <c r="I2520" t="s">
        <v>39</v>
      </c>
      <c r="J2520" t="s">
        <v>49</v>
      </c>
      <c r="K2520" t="s">
        <v>25</v>
      </c>
      <c r="L2520">
        <v>1</v>
      </c>
      <c r="M2520" s="2">
        <v>36</v>
      </c>
      <c r="N2520" t="s">
        <v>26</v>
      </c>
      <c r="O2520" s="3">
        <v>0</v>
      </c>
      <c r="P2520" s="3">
        <v>0</v>
      </c>
      <c r="Q2520" s="2">
        <v>36</v>
      </c>
      <c r="R2520" t="s">
        <v>34</v>
      </c>
      <c r="S2520" t="s">
        <v>28</v>
      </c>
      <c r="T2520" t="s">
        <v>51</v>
      </c>
      <c r="U2520" t="s">
        <v>58</v>
      </c>
    </row>
    <row r="2521" spans="1:21" x14ac:dyDescent="0.35">
      <c r="A2521" t="s">
        <v>2601</v>
      </c>
      <c r="B2521" s="1">
        <v>46280</v>
      </c>
      <c r="C2521" t="str">
        <f>TEXT(tblData[[#This Row],[Rental Date]],"mmm")</f>
        <v>Sep</v>
      </c>
      <c r="D2521" t="str">
        <f>TEXT(tblData[[#This Row],[Rental Date]],"mmmm")</f>
        <v>September</v>
      </c>
      <c r="E2521" t="s">
        <v>102</v>
      </c>
      <c r="F2521" t="str">
        <f>TEXT(WEEKNUM(tblData[[#This Row],[Rental Date]]),"00")</f>
        <v>38</v>
      </c>
      <c r="G2521" s="1">
        <f>EOMONTH(tblData[[#This Row],[Rental Date]],0)</f>
        <v>46295</v>
      </c>
      <c r="H2521" t="s">
        <v>2441</v>
      </c>
      <c r="I2521" t="s">
        <v>39</v>
      </c>
      <c r="J2521" t="s">
        <v>78</v>
      </c>
      <c r="K2521" t="s">
        <v>92</v>
      </c>
      <c r="L2521">
        <v>1</v>
      </c>
      <c r="M2521" s="2">
        <v>88</v>
      </c>
      <c r="N2521" t="s">
        <v>26</v>
      </c>
      <c r="O2521" s="3">
        <v>0</v>
      </c>
      <c r="P2521" s="3">
        <v>0</v>
      </c>
      <c r="Q2521" s="2">
        <v>88</v>
      </c>
      <c r="R2521" t="s">
        <v>42</v>
      </c>
      <c r="S2521" t="s">
        <v>54</v>
      </c>
      <c r="T2521" t="s">
        <v>90</v>
      </c>
      <c r="U2521" t="s">
        <v>30</v>
      </c>
    </row>
    <row r="2522" spans="1:21" x14ac:dyDescent="0.35">
      <c r="A2522" t="s">
        <v>2602</v>
      </c>
      <c r="B2522" s="1">
        <v>46280</v>
      </c>
      <c r="C2522" t="str">
        <f>TEXT(tblData[[#This Row],[Rental Date]],"mmm")</f>
        <v>Sep</v>
      </c>
      <c r="D2522" t="str">
        <f>TEXT(tblData[[#This Row],[Rental Date]],"mmmm")</f>
        <v>September</v>
      </c>
      <c r="E2522" t="s">
        <v>102</v>
      </c>
      <c r="F2522" t="str">
        <f>TEXT(WEEKNUM(tblData[[#This Row],[Rental Date]]),"00")</f>
        <v>38</v>
      </c>
      <c r="G2522" s="1">
        <f>EOMONTH(tblData[[#This Row],[Rental Date]],0)</f>
        <v>46295</v>
      </c>
      <c r="H2522" t="s">
        <v>2441</v>
      </c>
      <c r="I2522" t="s">
        <v>39</v>
      </c>
      <c r="J2522" t="s">
        <v>65</v>
      </c>
      <c r="K2522" t="s">
        <v>25</v>
      </c>
      <c r="L2522">
        <v>1</v>
      </c>
      <c r="M2522" s="2">
        <v>18</v>
      </c>
      <c r="N2522" t="s">
        <v>26</v>
      </c>
      <c r="O2522" s="3">
        <v>0</v>
      </c>
      <c r="P2522" s="3">
        <v>0</v>
      </c>
      <c r="Q2522" s="2">
        <v>18</v>
      </c>
      <c r="R2522" t="s">
        <v>71</v>
      </c>
      <c r="S2522" t="s">
        <v>54</v>
      </c>
      <c r="T2522" t="s">
        <v>29</v>
      </c>
      <c r="U2522" t="s">
        <v>58</v>
      </c>
    </row>
    <row r="2523" spans="1:21" x14ac:dyDescent="0.35">
      <c r="A2523" t="s">
        <v>2603</v>
      </c>
      <c r="B2523" s="1">
        <v>46281</v>
      </c>
      <c r="C2523" t="str">
        <f>TEXT(tblData[[#This Row],[Rental Date]],"mmm")</f>
        <v>Sep</v>
      </c>
      <c r="D2523" t="str">
        <f>TEXT(tblData[[#This Row],[Rental Date]],"mmmm")</f>
        <v>September</v>
      </c>
      <c r="E2523" t="s">
        <v>109</v>
      </c>
      <c r="F2523" t="str">
        <f>TEXT(WEEKNUM(tblData[[#This Row],[Rental Date]]),"00")</f>
        <v>38</v>
      </c>
      <c r="G2523" s="1">
        <f>EOMONTH(tblData[[#This Row],[Rental Date]],0)</f>
        <v>46295</v>
      </c>
      <c r="H2523" t="s">
        <v>2441</v>
      </c>
      <c r="I2523" t="s">
        <v>32</v>
      </c>
      <c r="J2523" t="s">
        <v>138</v>
      </c>
      <c r="K2523" t="s">
        <v>25</v>
      </c>
      <c r="L2523">
        <v>1</v>
      </c>
      <c r="M2523" s="2">
        <v>48</v>
      </c>
      <c r="N2523" t="s">
        <v>41</v>
      </c>
      <c r="O2523" s="3">
        <v>5</v>
      </c>
      <c r="P2523" s="3">
        <v>0</v>
      </c>
      <c r="Q2523" s="2">
        <v>53</v>
      </c>
      <c r="R2523" t="s">
        <v>71</v>
      </c>
      <c r="S2523" t="s">
        <v>46</v>
      </c>
      <c r="T2523" t="s">
        <v>29</v>
      </c>
      <c r="U2523" t="s">
        <v>30</v>
      </c>
    </row>
    <row r="2524" spans="1:21" x14ac:dyDescent="0.35">
      <c r="A2524" t="s">
        <v>2604</v>
      </c>
      <c r="B2524" s="1">
        <v>46281</v>
      </c>
      <c r="C2524" t="str">
        <f>TEXT(tblData[[#This Row],[Rental Date]],"mmm")</f>
        <v>Sep</v>
      </c>
      <c r="D2524" t="str">
        <f>TEXT(tblData[[#This Row],[Rental Date]],"mmmm")</f>
        <v>September</v>
      </c>
      <c r="E2524" t="s">
        <v>109</v>
      </c>
      <c r="F2524" t="str">
        <f>TEXT(WEEKNUM(tblData[[#This Row],[Rental Date]]),"00")</f>
        <v>38</v>
      </c>
      <c r="G2524" s="1">
        <f>EOMONTH(tblData[[#This Row],[Rental Date]],0)</f>
        <v>46295</v>
      </c>
      <c r="H2524" t="s">
        <v>2441</v>
      </c>
      <c r="I2524" t="s">
        <v>39</v>
      </c>
      <c r="J2524" t="s">
        <v>111</v>
      </c>
      <c r="K2524" t="s">
        <v>25</v>
      </c>
      <c r="L2524">
        <v>1</v>
      </c>
      <c r="M2524" s="2">
        <v>22</v>
      </c>
      <c r="N2524" t="s">
        <v>89</v>
      </c>
      <c r="O2524" s="3">
        <v>6</v>
      </c>
      <c r="P2524" s="3">
        <v>0</v>
      </c>
      <c r="Q2524" s="2">
        <v>28</v>
      </c>
      <c r="R2524" t="s">
        <v>57</v>
      </c>
      <c r="S2524" t="s">
        <v>46</v>
      </c>
      <c r="T2524" t="s">
        <v>51</v>
      </c>
      <c r="U2524" t="s">
        <v>30</v>
      </c>
    </row>
    <row r="2525" spans="1:21" x14ac:dyDescent="0.35">
      <c r="A2525" t="s">
        <v>2605</v>
      </c>
      <c r="B2525" s="1">
        <v>46281</v>
      </c>
      <c r="C2525" t="str">
        <f>TEXT(tblData[[#This Row],[Rental Date]],"mmm")</f>
        <v>Sep</v>
      </c>
      <c r="D2525" t="str">
        <f>TEXT(tblData[[#This Row],[Rental Date]],"mmmm")</f>
        <v>September</v>
      </c>
      <c r="E2525" t="s">
        <v>109</v>
      </c>
      <c r="F2525" t="str">
        <f>TEXT(WEEKNUM(tblData[[#This Row],[Rental Date]]),"00")</f>
        <v>38</v>
      </c>
      <c r="G2525" s="1">
        <f>EOMONTH(tblData[[#This Row],[Rental Date]],0)</f>
        <v>46295</v>
      </c>
      <c r="H2525" t="s">
        <v>2441</v>
      </c>
      <c r="I2525" t="s">
        <v>39</v>
      </c>
      <c r="J2525" t="s">
        <v>44</v>
      </c>
      <c r="K2525" t="s">
        <v>40</v>
      </c>
      <c r="L2525">
        <v>1</v>
      </c>
      <c r="M2525" s="2">
        <v>78</v>
      </c>
      <c r="N2525" t="s">
        <v>75</v>
      </c>
      <c r="O2525" s="3">
        <v>12</v>
      </c>
      <c r="P2525" s="3">
        <v>0</v>
      </c>
      <c r="Q2525" s="2">
        <v>90</v>
      </c>
      <c r="R2525" t="s">
        <v>45</v>
      </c>
      <c r="S2525" t="s">
        <v>54</v>
      </c>
      <c r="T2525" t="s">
        <v>51</v>
      </c>
      <c r="U2525" t="s">
        <v>58</v>
      </c>
    </row>
    <row r="2526" spans="1:21" x14ac:dyDescent="0.35">
      <c r="A2526" t="s">
        <v>2606</v>
      </c>
      <c r="B2526" s="1">
        <v>46282</v>
      </c>
      <c r="C2526" t="str">
        <f>TEXT(tblData[[#This Row],[Rental Date]],"mmm")</f>
        <v>Sep</v>
      </c>
      <c r="D2526" t="str">
        <f>TEXT(tblData[[#This Row],[Rental Date]],"mmmm")</f>
        <v>September</v>
      </c>
      <c r="E2526" t="s">
        <v>21</v>
      </c>
      <c r="F2526" t="str">
        <f>TEXT(WEEKNUM(tblData[[#This Row],[Rental Date]]),"00")</f>
        <v>38</v>
      </c>
      <c r="G2526" s="1">
        <f>EOMONTH(tblData[[#This Row],[Rental Date]],0)</f>
        <v>46295</v>
      </c>
      <c r="H2526" t="s">
        <v>2441</v>
      </c>
      <c r="I2526" t="s">
        <v>48</v>
      </c>
      <c r="J2526" t="s">
        <v>78</v>
      </c>
      <c r="K2526" t="s">
        <v>92</v>
      </c>
      <c r="L2526">
        <v>1</v>
      </c>
      <c r="M2526" s="2">
        <v>88</v>
      </c>
      <c r="N2526" t="s">
        <v>26</v>
      </c>
      <c r="O2526" s="3">
        <v>0</v>
      </c>
      <c r="P2526" s="3">
        <v>0</v>
      </c>
      <c r="Q2526" s="2">
        <v>88</v>
      </c>
      <c r="R2526" t="s">
        <v>27</v>
      </c>
      <c r="S2526" t="s">
        <v>50</v>
      </c>
      <c r="T2526" t="s">
        <v>29</v>
      </c>
      <c r="U2526" t="s">
        <v>30</v>
      </c>
    </row>
    <row r="2527" spans="1:21" x14ac:dyDescent="0.35">
      <c r="A2527" t="s">
        <v>2607</v>
      </c>
      <c r="B2527" s="1">
        <v>46282</v>
      </c>
      <c r="C2527" t="str">
        <f>TEXT(tblData[[#This Row],[Rental Date]],"mmm")</f>
        <v>Sep</v>
      </c>
      <c r="D2527" t="str">
        <f>TEXT(tblData[[#This Row],[Rental Date]],"mmmm")</f>
        <v>September</v>
      </c>
      <c r="E2527" t="s">
        <v>21</v>
      </c>
      <c r="F2527" t="str">
        <f>TEXT(WEEKNUM(tblData[[#This Row],[Rental Date]]),"00")</f>
        <v>38</v>
      </c>
      <c r="G2527" s="1">
        <f>EOMONTH(tblData[[#This Row],[Rental Date]],0)</f>
        <v>46295</v>
      </c>
      <c r="H2527" t="s">
        <v>2441</v>
      </c>
      <c r="I2527" t="s">
        <v>48</v>
      </c>
      <c r="J2527" t="s">
        <v>78</v>
      </c>
      <c r="K2527" t="s">
        <v>25</v>
      </c>
      <c r="L2527">
        <v>1</v>
      </c>
      <c r="M2527" s="2">
        <v>42</v>
      </c>
      <c r="N2527" t="s">
        <v>89</v>
      </c>
      <c r="O2527" s="3">
        <v>6</v>
      </c>
      <c r="P2527" s="3">
        <v>0</v>
      </c>
      <c r="Q2527" s="2">
        <v>48</v>
      </c>
      <c r="R2527" t="s">
        <v>45</v>
      </c>
      <c r="S2527" t="s">
        <v>50</v>
      </c>
      <c r="T2527" t="s">
        <v>29</v>
      </c>
      <c r="U2527" t="s">
        <v>30</v>
      </c>
    </row>
    <row r="2528" spans="1:21" x14ac:dyDescent="0.35">
      <c r="A2528" t="s">
        <v>2608</v>
      </c>
      <c r="B2528" s="1">
        <v>46282</v>
      </c>
      <c r="C2528" t="str">
        <f>TEXT(tblData[[#This Row],[Rental Date]],"mmm")</f>
        <v>Sep</v>
      </c>
      <c r="D2528" t="str">
        <f>TEXT(tblData[[#This Row],[Rental Date]],"mmmm")</f>
        <v>September</v>
      </c>
      <c r="E2528" t="s">
        <v>21</v>
      </c>
      <c r="F2528" t="str">
        <f>TEXT(WEEKNUM(tblData[[#This Row],[Rental Date]]),"00")</f>
        <v>38</v>
      </c>
      <c r="G2528" s="1">
        <f>EOMONTH(tblData[[#This Row],[Rental Date]],0)</f>
        <v>46295</v>
      </c>
      <c r="H2528" t="s">
        <v>2441</v>
      </c>
      <c r="I2528" t="s">
        <v>48</v>
      </c>
      <c r="J2528" t="s">
        <v>44</v>
      </c>
      <c r="K2528" t="s">
        <v>60</v>
      </c>
      <c r="L2528">
        <v>1</v>
      </c>
      <c r="M2528" s="2">
        <v>34</v>
      </c>
      <c r="N2528" t="s">
        <v>26</v>
      </c>
      <c r="O2528" s="3">
        <v>0</v>
      </c>
      <c r="P2528" s="3">
        <v>0</v>
      </c>
      <c r="Q2528" s="2">
        <v>34</v>
      </c>
      <c r="R2528" t="s">
        <v>45</v>
      </c>
      <c r="S2528" t="s">
        <v>35</v>
      </c>
      <c r="T2528" t="s">
        <v>90</v>
      </c>
      <c r="U2528" t="s">
        <v>58</v>
      </c>
    </row>
    <row r="2529" spans="1:21" x14ac:dyDescent="0.35">
      <c r="A2529" t="s">
        <v>2609</v>
      </c>
      <c r="B2529" s="1">
        <v>46282</v>
      </c>
      <c r="C2529" t="str">
        <f>TEXT(tblData[[#This Row],[Rental Date]],"mmm")</f>
        <v>Sep</v>
      </c>
      <c r="D2529" t="str">
        <f>TEXT(tblData[[#This Row],[Rental Date]],"mmmm")</f>
        <v>September</v>
      </c>
      <c r="E2529" t="s">
        <v>21</v>
      </c>
      <c r="F2529" t="str">
        <f>TEXT(WEEKNUM(tblData[[#This Row],[Rental Date]]),"00")</f>
        <v>38</v>
      </c>
      <c r="G2529" s="1">
        <f>EOMONTH(tblData[[#This Row],[Rental Date]],0)</f>
        <v>46295</v>
      </c>
      <c r="H2529" t="s">
        <v>2441</v>
      </c>
      <c r="I2529" t="s">
        <v>48</v>
      </c>
      <c r="J2529" t="s">
        <v>111</v>
      </c>
      <c r="K2529" t="s">
        <v>92</v>
      </c>
      <c r="L2529">
        <v>1</v>
      </c>
      <c r="M2529" s="2">
        <v>48</v>
      </c>
      <c r="N2529" t="s">
        <v>89</v>
      </c>
      <c r="O2529" s="3">
        <v>6</v>
      </c>
      <c r="P2529" s="3">
        <v>0</v>
      </c>
      <c r="Q2529" s="2">
        <v>54</v>
      </c>
      <c r="R2529" t="s">
        <v>27</v>
      </c>
      <c r="S2529" t="s">
        <v>35</v>
      </c>
      <c r="T2529" t="s">
        <v>51</v>
      </c>
      <c r="U2529" t="s">
        <v>58</v>
      </c>
    </row>
    <row r="2530" spans="1:21" x14ac:dyDescent="0.35">
      <c r="A2530" t="s">
        <v>2610</v>
      </c>
      <c r="B2530" s="1">
        <v>46282</v>
      </c>
      <c r="C2530" t="str">
        <f>TEXT(tblData[[#This Row],[Rental Date]],"mmm")</f>
        <v>Sep</v>
      </c>
      <c r="D2530" t="str">
        <f>TEXT(tblData[[#This Row],[Rental Date]],"mmmm")</f>
        <v>September</v>
      </c>
      <c r="E2530" t="s">
        <v>21</v>
      </c>
      <c r="F2530" t="str">
        <f>TEXT(WEEKNUM(tblData[[#This Row],[Rental Date]]),"00")</f>
        <v>38</v>
      </c>
      <c r="G2530" s="1">
        <f>EOMONTH(tblData[[#This Row],[Rental Date]],0)</f>
        <v>46295</v>
      </c>
      <c r="H2530" t="s">
        <v>2441</v>
      </c>
      <c r="I2530" t="s">
        <v>39</v>
      </c>
      <c r="J2530" t="s">
        <v>65</v>
      </c>
      <c r="K2530" t="s">
        <v>40</v>
      </c>
      <c r="L2530">
        <v>1</v>
      </c>
      <c r="M2530" s="2">
        <v>28</v>
      </c>
      <c r="N2530" t="s">
        <v>75</v>
      </c>
      <c r="O2530" s="3">
        <v>12</v>
      </c>
      <c r="P2530" s="3">
        <v>0</v>
      </c>
      <c r="Q2530" s="2">
        <v>40</v>
      </c>
      <c r="R2530" t="s">
        <v>42</v>
      </c>
      <c r="S2530" t="s">
        <v>35</v>
      </c>
      <c r="T2530" t="s">
        <v>29</v>
      </c>
      <c r="U2530" t="s">
        <v>36</v>
      </c>
    </row>
    <row r="2531" spans="1:21" x14ac:dyDescent="0.35">
      <c r="A2531" t="s">
        <v>2611</v>
      </c>
      <c r="B2531" s="1">
        <v>46282</v>
      </c>
      <c r="C2531" t="str">
        <f>TEXT(tblData[[#This Row],[Rental Date]],"mmm")</f>
        <v>Sep</v>
      </c>
      <c r="D2531" t="str">
        <f>TEXT(tblData[[#This Row],[Rental Date]],"mmmm")</f>
        <v>September</v>
      </c>
      <c r="E2531" t="s">
        <v>21</v>
      </c>
      <c r="F2531" t="str">
        <f>TEXT(WEEKNUM(tblData[[#This Row],[Rental Date]]),"00")</f>
        <v>38</v>
      </c>
      <c r="G2531" s="1">
        <f>EOMONTH(tblData[[#This Row],[Rental Date]],0)</f>
        <v>46295</v>
      </c>
      <c r="H2531" t="s">
        <v>2441</v>
      </c>
      <c r="I2531" t="s">
        <v>39</v>
      </c>
      <c r="J2531" t="s">
        <v>24</v>
      </c>
      <c r="K2531" t="s">
        <v>60</v>
      </c>
      <c r="L2531">
        <v>1</v>
      </c>
      <c r="M2531" s="2">
        <v>32</v>
      </c>
      <c r="N2531" t="s">
        <v>26</v>
      </c>
      <c r="O2531" s="3">
        <v>0</v>
      </c>
      <c r="P2531" s="3">
        <v>0</v>
      </c>
      <c r="Q2531" s="2">
        <v>32</v>
      </c>
      <c r="R2531" t="s">
        <v>94</v>
      </c>
      <c r="S2531" t="s">
        <v>28</v>
      </c>
      <c r="T2531" t="s">
        <v>90</v>
      </c>
      <c r="U2531" t="s">
        <v>36</v>
      </c>
    </row>
    <row r="2532" spans="1:21" x14ac:dyDescent="0.35">
      <c r="A2532" t="s">
        <v>2612</v>
      </c>
      <c r="B2532" s="1">
        <v>46282</v>
      </c>
      <c r="C2532" t="str">
        <f>TEXT(tblData[[#This Row],[Rental Date]],"mmm")</f>
        <v>Sep</v>
      </c>
      <c r="D2532" t="str">
        <f>TEXT(tblData[[#This Row],[Rental Date]],"mmmm")</f>
        <v>September</v>
      </c>
      <c r="E2532" t="s">
        <v>21</v>
      </c>
      <c r="F2532" t="str">
        <f>TEXT(WEEKNUM(tblData[[#This Row],[Rental Date]]),"00")</f>
        <v>38</v>
      </c>
      <c r="G2532" s="1">
        <f>EOMONTH(tblData[[#This Row],[Rental Date]],0)</f>
        <v>46295</v>
      </c>
      <c r="H2532" t="s">
        <v>2441</v>
      </c>
      <c r="I2532" t="s">
        <v>48</v>
      </c>
      <c r="J2532" t="s">
        <v>138</v>
      </c>
      <c r="K2532" t="s">
        <v>25</v>
      </c>
      <c r="L2532">
        <v>1</v>
      </c>
      <c r="M2532" s="2">
        <v>48</v>
      </c>
      <c r="N2532" t="s">
        <v>26</v>
      </c>
      <c r="O2532" s="3">
        <v>0</v>
      </c>
      <c r="P2532" s="3">
        <v>0</v>
      </c>
      <c r="Q2532" s="2">
        <v>48</v>
      </c>
      <c r="R2532" t="s">
        <v>42</v>
      </c>
      <c r="S2532" t="s">
        <v>50</v>
      </c>
      <c r="T2532" t="s">
        <v>29</v>
      </c>
      <c r="U2532" t="s">
        <v>30</v>
      </c>
    </row>
    <row r="2533" spans="1:21" x14ac:dyDescent="0.35">
      <c r="A2533" t="s">
        <v>2613</v>
      </c>
      <c r="B2533" s="1">
        <v>46283</v>
      </c>
      <c r="C2533" t="str">
        <f>TEXT(tblData[[#This Row],[Rental Date]],"mmm")</f>
        <v>Sep</v>
      </c>
      <c r="D2533" t="str">
        <f>TEXT(tblData[[#This Row],[Rental Date]],"mmmm")</f>
        <v>September</v>
      </c>
      <c r="E2533" t="s">
        <v>38</v>
      </c>
      <c r="F2533" t="str">
        <f>TEXT(WEEKNUM(tblData[[#This Row],[Rental Date]]),"00")</f>
        <v>38</v>
      </c>
      <c r="G2533" s="1">
        <f>EOMONTH(tblData[[#This Row],[Rental Date]],0)</f>
        <v>46295</v>
      </c>
      <c r="H2533" t="s">
        <v>2441</v>
      </c>
      <c r="I2533" t="s">
        <v>48</v>
      </c>
      <c r="J2533" t="s">
        <v>33</v>
      </c>
      <c r="K2533" t="s">
        <v>25</v>
      </c>
      <c r="L2533">
        <v>1</v>
      </c>
      <c r="M2533" s="2">
        <v>38</v>
      </c>
      <c r="N2533" t="s">
        <v>87</v>
      </c>
      <c r="O2533" s="3">
        <v>10</v>
      </c>
      <c r="P2533" s="3">
        <v>0</v>
      </c>
      <c r="Q2533" s="2">
        <v>48</v>
      </c>
      <c r="R2533" t="s">
        <v>62</v>
      </c>
      <c r="S2533" t="s">
        <v>50</v>
      </c>
      <c r="T2533" t="s">
        <v>51</v>
      </c>
      <c r="U2533" t="s">
        <v>58</v>
      </c>
    </row>
    <row r="2534" spans="1:21" x14ac:dyDescent="0.35">
      <c r="A2534" t="s">
        <v>2614</v>
      </c>
      <c r="B2534" s="1">
        <v>46283</v>
      </c>
      <c r="C2534" t="str">
        <f>TEXT(tblData[[#This Row],[Rental Date]],"mmm")</f>
        <v>Sep</v>
      </c>
      <c r="D2534" t="str">
        <f>TEXT(tblData[[#This Row],[Rental Date]],"mmmm")</f>
        <v>September</v>
      </c>
      <c r="E2534" t="s">
        <v>38</v>
      </c>
      <c r="F2534" t="str">
        <f>TEXT(WEEKNUM(tblData[[#This Row],[Rental Date]]),"00")</f>
        <v>38</v>
      </c>
      <c r="G2534" s="1">
        <f>EOMONTH(tblData[[#This Row],[Rental Date]],0)</f>
        <v>46295</v>
      </c>
      <c r="H2534" t="s">
        <v>2441</v>
      </c>
      <c r="I2534" t="s">
        <v>32</v>
      </c>
      <c r="J2534" t="s">
        <v>111</v>
      </c>
      <c r="K2534" t="s">
        <v>92</v>
      </c>
      <c r="L2534">
        <v>1</v>
      </c>
      <c r="M2534" s="2">
        <v>48</v>
      </c>
      <c r="N2534" t="s">
        <v>70</v>
      </c>
      <c r="O2534" s="3">
        <v>7</v>
      </c>
      <c r="P2534" s="3">
        <v>5.5</v>
      </c>
      <c r="Q2534" s="2">
        <v>49.5</v>
      </c>
      <c r="R2534" t="s">
        <v>66</v>
      </c>
      <c r="S2534" t="s">
        <v>28</v>
      </c>
      <c r="T2534" t="s">
        <v>29</v>
      </c>
      <c r="U2534" t="s">
        <v>30</v>
      </c>
    </row>
    <row r="2535" spans="1:21" x14ac:dyDescent="0.35">
      <c r="A2535" t="s">
        <v>2615</v>
      </c>
      <c r="B2535" s="1">
        <v>46283</v>
      </c>
      <c r="C2535" t="str">
        <f>TEXT(tblData[[#This Row],[Rental Date]],"mmm")</f>
        <v>Sep</v>
      </c>
      <c r="D2535" t="str">
        <f>TEXT(tblData[[#This Row],[Rental Date]],"mmmm")</f>
        <v>September</v>
      </c>
      <c r="E2535" t="s">
        <v>38</v>
      </c>
      <c r="F2535" t="str">
        <f>TEXT(WEEKNUM(tblData[[#This Row],[Rental Date]]),"00")</f>
        <v>38</v>
      </c>
      <c r="G2535" s="1">
        <f>EOMONTH(tblData[[#This Row],[Rental Date]],0)</f>
        <v>46295</v>
      </c>
      <c r="H2535" t="s">
        <v>2441</v>
      </c>
      <c r="I2535" t="s">
        <v>48</v>
      </c>
      <c r="J2535" t="s">
        <v>24</v>
      </c>
      <c r="K2535" t="s">
        <v>40</v>
      </c>
      <c r="L2535">
        <v>1</v>
      </c>
      <c r="M2535" s="2">
        <v>76</v>
      </c>
      <c r="N2535" t="s">
        <v>26</v>
      </c>
      <c r="O2535" s="3">
        <v>0</v>
      </c>
      <c r="P2535" s="3">
        <v>0</v>
      </c>
      <c r="Q2535" s="2">
        <v>76</v>
      </c>
      <c r="R2535" t="s">
        <v>57</v>
      </c>
      <c r="S2535" t="s">
        <v>46</v>
      </c>
      <c r="T2535" t="s">
        <v>90</v>
      </c>
      <c r="U2535" t="s">
        <v>30</v>
      </c>
    </row>
    <row r="2536" spans="1:21" x14ac:dyDescent="0.35">
      <c r="A2536" t="s">
        <v>2616</v>
      </c>
      <c r="B2536" s="1">
        <v>46283</v>
      </c>
      <c r="C2536" t="str">
        <f>TEXT(tblData[[#This Row],[Rental Date]],"mmm")</f>
        <v>Sep</v>
      </c>
      <c r="D2536" t="str">
        <f>TEXT(tblData[[#This Row],[Rental Date]],"mmmm")</f>
        <v>September</v>
      </c>
      <c r="E2536" t="s">
        <v>38</v>
      </c>
      <c r="F2536" t="str">
        <f>TEXT(WEEKNUM(tblData[[#This Row],[Rental Date]]),"00")</f>
        <v>38</v>
      </c>
      <c r="G2536" s="1">
        <f>EOMONTH(tblData[[#This Row],[Rental Date]],0)</f>
        <v>46295</v>
      </c>
      <c r="H2536" t="s">
        <v>2441</v>
      </c>
      <c r="I2536" t="s">
        <v>53</v>
      </c>
      <c r="J2536" t="s">
        <v>44</v>
      </c>
      <c r="K2536" t="s">
        <v>25</v>
      </c>
      <c r="L2536">
        <v>1</v>
      </c>
      <c r="M2536" s="2">
        <v>52</v>
      </c>
      <c r="N2536" t="s">
        <v>26</v>
      </c>
      <c r="O2536" s="3">
        <v>0</v>
      </c>
      <c r="P2536" s="3">
        <v>5.2</v>
      </c>
      <c r="Q2536" s="2">
        <v>46.8</v>
      </c>
      <c r="R2536" t="s">
        <v>76</v>
      </c>
      <c r="S2536" t="s">
        <v>46</v>
      </c>
      <c r="T2536" t="s">
        <v>90</v>
      </c>
      <c r="U2536" t="s">
        <v>30</v>
      </c>
    </row>
    <row r="2537" spans="1:21" x14ac:dyDescent="0.35">
      <c r="A2537" t="s">
        <v>2617</v>
      </c>
      <c r="B2537" s="1">
        <v>46283</v>
      </c>
      <c r="C2537" t="str">
        <f>TEXT(tblData[[#This Row],[Rental Date]],"mmm")</f>
        <v>Sep</v>
      </c>
      <c r="D2537" t="str">
        <f>TEXT(tblData[[#This Row],[Rental Date]],"mmmm")</f>
        <v>September</v>
      </c>
      <c r="E2537" t="s">
        <v>38</v>
      </c>
      <c r="F2537" t="str">
        <f>TEXT(WEEKNUM(tblData[[#This Row],[Rental Date]]),"00")</f>
        <v>38</v>
      </c>
      <c r="G2537" s="1">
        <f>EOMONTH(tblData[[#This Row],[Rental Date]],0)</f>
        <v>46295</v>
      </c>
      <c r="H2537" t="s">
        <v>2441</v>
      </c>
      <c r="I2537" t="s">
        <v>48</v>
      </c>
      <c r="J2537" t="s">
        <v>44</v>
      </c>
      <c r="K2537" t="s">
        <v>25</v>
      </c>
      <c r="L2537">
        <v>1</v>
      </c>
      <c r="M2537" s="2">
        <v>52</v>
      </c>
      <c r="N2537" t="s">
        <v>41</v>
      </c>
      <c r="O2537" s="3">
        <v>5</v>
      </c>
      <c r="P2537" s="3">
        <v>0</v>
      </c>
      <c r="Q2537" s="2">
        <v>57</v>
      </c>
      <c r="R2537" t="s">
        <v>57</v>
      </c>
      <c r="S2537" t="s">
        <v>46</v>
      </c>
      <c r="T2537" t="s">
        <v>29</v>
      </c>
      <c r="U2537" t="s">
        <v>58</v>
      </c>
    </row>
    <row r="2538" spans="1:21" x14ac:dyDescent="0.35">
      <c r="A2538" t="s">
        <v>2618</v>
      </c>
      <c r="B2538" s="1">
        <v>46283</v>
      </c>
      <c r="C2538" t="str">
        <f>TEXT(tblData[[#This Row],[Rental Date]],"mmm")</f>
        <v>Sep</v>
      </c>
      <c r="D2538" t="str">
        <f>TEXT(tblData[[#This Row],[Rental Date]],"mmmm")</f>
        <v>September</v>
      </c>
      <c r="E2538" t="s">
        <v>38</v>
      </c>
      <c r="F2538" t="str">
        <f>TEXT(WEEKNUM(tblData[[#This Row],[Rental Date]]),"00")</f>
        <v>38</v>
      </c>
      <c r="G2538" s="1">
        <f>EOMONTH(tblData[[#This Row],[Rental Date]],0)</f>
        <v>46295</v>
      </c>
      <c r="H2538" t="s">
        <v>2441</v>
      </c>
      <c r="I2538" t="s">
        <v>32</v>
      </c>
      <c r="J2538" t="s">
        <v>78</v>
      </c>
      <c r="K2538" t="s">
        <v>25</v>
      </c>
      <c r="L2538">
        <v>1</v>
      </c>
      <c r="M2538" s="2">
        <v>42</v>
      </c>
      <c r="N2538" t="s">
        <v>70</v>
      </c>
      <c r="O2538" s="3">
        <v>7</v>
      </c>
      <c r="P2538" s="3">
        <v>0</v>
      </c>
      <c r="Q2538" s="2">
        <v>49</v>
      </c>
      <c r="R2538" t="s">
        <v>27</v>
      </c>
      <c r="S2538" t="s">
        <v>35</v>
      </c>
      <c r="T2538" t="s">
        <v>29</v>
      </c>
      <c r="U2538" t="s">
        <v>30</v>
      </c>
    </row>
    <row r="2539" spans="1:21" x14ac:dyDescent="0.35">
      <c r="A2539" t="s">
        <v>2619</v>
      </c>
      <c r="B2539" s="1">
        <v>46283</v>
      </c>
      <c r="C2539" t="str">
        <f>TEXT(tblData[[#This Row],[Rental Date]],"mmm")</f>
        <v>Sep</v>
      </c>
      <c r="D2539" t="str">
        <f>TEXT(tblData[[#This Row],[Rental Date]],"mmmm")</f>
        <v>September</v>
      </c>
      <c r="E2539" t="s">
        <v>38</v>
      </c>
      <c r="F2539" t="str">
        <f>TEXT(WEEKNUM(tblData[[#This Row],[Rental Date]]),"00")</f>
        <v>38</v>
      </c>
      <c r="G2539" s="1">
        <f>EOMONTH(tblData[[#This Row],[Rental Date]],0)</f>
        <v>46295</v>
      </c>
      <c r="H2539" t="s">
        <v>2441</v>
      </c>
      <c r="I2539" t="s">
        <v>48</v>
      </c>
      <c r="J2539" t="s">
        <v>33</v>
      </c>
      <c r="K2539" t="s">
        <v>92</v>
      </c>
      <c r="L2539">
        <v>1</v>
      </c>
      <c r="M2539" s="2">
        <v>84</v>
      </c>
      <c r="N2539" t="s">
        <v>70</v>
      </c>
      <c r="O2539" s="3">
        <v>7</v>
      </c>
      <c r="P2539" s="3">
        <v>0</v>
      </c>
      <c r="Q2539" s="2">
        <v>91</v>
      </c>
      <c r="R2539" t="s">
        <v>94</v>
      </c>
      <c r="S2539" t="s">
        <v>46</v>
      </c>
      <c r="T2539" t="s">
        <v>29</v>
      </c>
      <c r="U2539" t="s">
        <v>30</v>
      </c>
    </row>
    <row r="2540" spans="1:21" x14ac:dyDescent="0.35">
      <c r="A2540" t="s">
        <v>2620</v>
      </c>
      <c r="B2540" s="1">
        <v>46283</v>
      </c>
      <c r="C2540" t="str">
        <f>TEXT(tblData[[#This Row],[Rental Date]],"mmm")</f>
        <v>Sep</v>
      </c>
      <c r="D2540" t="str">
        <f>TEXT(tblData[[#This Row],[Rental Date]],"mmmm")</f>
        <v>September</v>
      </c>
      <c r="E2540" t="s">
        <v>38</v>
      </c>
      <c r="F2540" t="str">
        <f>TEXT(WEEKNUM(tblData[[#This Row],[Rental Date]]),"00")</f>
        <v>38</v>
      </c>
      <c r="G2540" s="1">
        <f>EOMONTH(tblData[[#This Row],[Rental Date]],0)</f>
        <v>46295</v>
      </c>
      <c r="H2540" t="s">
        <v>2441</v>
      </c>
      <c r="I2540" t="s">
        <v>32</v>
      </c>
      <c r="J2540" t="s">
        <v>111</v>
      </c>
      <c r="K2540" t="s">
        <v>25</v>
      </c>
      <c r="L2540">
        <v>1</v>
      </c>
      <c r="M2540" s="2">
        <v>22</v>
      </c>
      <c r="N2540" t="s">
        <v>70</v>
      </c>
      <c r="O2540" s="3">
        <v>7</v>
      </c>
      <c r="P2540" s="3">
        <v>1.45</v>
      </c>
      <c r="Q2540" s="2">
        <v>27.55</v>
      </c>
      <c r="R2540" t="s">
        <v>45</v>
      </c>
      <c r="S2540" t="s">
        <v>46</v>
      </c>
      <c r="T2540" t="s">
        <v>29</v>
      </c>
      <c r="U2540" t="s">
        <v>30</v>
      </c>
    </row>
    <row r="2541" spans="1:21" x14ac:dyDescent="0.35">
      <c r="A2541" t="s">
        <v>2621</v>
      </c>
      <c r="B2541" s="1">
        <v>46283</v>
      </c>
      <c r="C2541" t="str">
        <f>TEXT(tblData[[#This Row],[Rental Date]],"mmm")</f>
        <v>Sep</v>
      </c>
      <c r="D2541" t="str">
        <f>TEXT(tblData[[#This Row],[Rental Date]],"mmmm")</f>
        <v>September</v>
      </c>
      <c r="E2541" t="s">
        <v>38</v>
      </c>
      <c r="F2541" t="str">
        <f>TEXT(WEEKNUM(tblData[[#This Row],[Rental Date]]),"00")</f>
        <v>38</v>
      </c>
      <c r="G2541" s="1">
        <f>EOMONTH(tblData[[#This Row],[Rental Date]],0)</f>
        <v>46295</v>
      </c>
      <c r="H2541" t="s">
        <v>2441</v>
      </c>
      <c r="I2541" t="s">
        <v>48</v>
      </c>
      <c r="J2541" t="s">
        <v>33</v>
      </c>
      <c r="K2541" t="s">
        <v>25</v>
      </c>
      <c r="L2541">
        <v>1</v>
      </c>
      <c r="M2541" s="2">
        <v>38</v>
      </c>
      <c r="N2541" t="s">
        <v>41</v>
      </c>
      <c r="O2541" s="3">
        <v>5</v>
      </c>
      <c r="P2541" s="3">
        <v>0</v>
      </c>
      <c r="Q2541" s="2">
        <v>43</v>
      </c>
      <c r="R2541" t="s">
        <v>34</v>
      </c>
      <c r="S2541" t="s">
        <v>54</v>
      </c>
      <c r="T2541" t="s">
        <v>29</v>
      </c>
      <c r="U2541" t="s">
        <v>30</v>
      </c>
    </row>
    <row r="2542" spans="1:21" x14ac:dyDescent="0.35">
      <c r="A2542" t="s">
        <v>2622</v>
      </c>
      <c r="B2542" s="1">
        <v>46283</v>
      </c>
      <c r="C2542" t="str">
        <f>TEXT(tblData[[#This Row],[Rental Date]],"mmm")</f>
        <v>Sep</v>
      </c>
      <c r="D2542" t="str">
        <f>TEXT(tblData[[#This Row],[Rental Date]],"mmmm")</f>
        <v>September</v>
      </c>
      <c r="E2542" t="s">
        <v>38</v>
      </c>
      <c r="F2542" t="str">
        <f>TEXT(WEEKNUM(tblData[[#This Row],[Rental Date]]),"00")</f>
        <v>38</v>
      </c>
      <c r="G2542" s="1">
        <f>EOMONTH(tblData[[#This Row],[Rental Date]],0)</f>
        <v>46295</v>
      </c>
      <c r="H2542" t="s">
        <v>2441</v>
      </c>
      <c r="I2542" t="s">
        <v>39</v>
      </c>
      <c r="J2542" t="s">
        <v>111</v>
      </c>
      <c r="K2542" t="s">
        <v>60</v>
      </c>
      <c r="L2542">
        <v>1</v>
      </c>
      <c r="M2542" s="2">
        <v>14</v>
      </c>
      <c r="N2542" t="s">
        <v>61</v>
      </c>
      <c r="O2542" s="3">
        <v>8</v>
      </c>
      <c r="P2542" s="3">
        <v>0</v>
      </c>
      <c r="Q2542" s="2">
        <v>22</v>
      </c>
      <c r="R2542" t="s">
        <v>45</v>
      </c>
      <c r="S2542" t="s">
        <v>28</v>
      </c>
      <c r="T2542" t="s">
        <v>29</v>
      </c>
      <c r="U2542" t="s">
        <v>79</v>
      </c>
    </row>
    <row r="2543" spans="1:21" x14ac:dyDescent="0.35">
      <c r="A2543" t="s">
        <v>2623</v>
      </c>
      <c r="B2543" s="1">
        <v>46283</v>
      </c>
      <c r="C2543" t="str">
        <f>TEXT(tblData[[#This Row],[Rental Date]],"mmm")</f>
        <v>Sep</v>
      </c>
      <c r="D2543" t="str">
        <f>TEXT(tblData[[#This Row],[Rental Date]],"mmmm")</f>
        <v>September</v>
      </c>
      <c r="E2543" t="s">
        <v>38</v>
      </c>
      <c r="F2543" t="str">
        <f>TEXT(WEEKNUM(tblData[[#This Row],[Rental Date]]),"00")</f>
        <v>38</v>
      </c>
      <c r="G2543" s="1">
        <f>EOMONTH(tblData[[#This Row],[Rental Date]],0)</f>
        <v>46295</v>
      </c>
      <c r="H2543" t="s">
        <v>2441</v>
      </c>
      <c r="I2543" t="s">
        <v>53</v>
      </c>
      <c r="J2543" t="s">
        <v>33</v>
      </c>
      <c r="K2543" t="s">
        <v>25</v>
      </c>
      <c r="L2543">
        <v>1</v>
      </c>
      <c r="M2543" s="2">
        <v>38</v>
      </c>
      <c r="N2543" t="s">
        <v>89</v>
      </c>
      <c r="O2543" s="3">
        <v>6</v>
      </c>
      <c r="P2543" s="3">
        <v>4.4000000000000004</v>
      </c>
      <c r="Q2543" s="2">
        <v>39.6</v>
      </c>
      <c r="R2543" t="s">
        <v>57</v>
      </c>
      <c r="S2543" t="s">
        <v>50</v>
      </c>
      <c r="T2543" t="s">
        <v>90</v>
      </c>
      <c r="U2543" t="s">
        <v>58</v>
      </c>
    </row>
    <row r="2544" spans="1:21" x14ac:dyDescent="0.35">
      <c r="A2544" t="s">
        <v>2624</v>
      </c>
      <c r="B2544" s="1">
        <v>46283</v>
      </c>
      <c r="C2544" t="str">
        <f>TEXT(tblData[[#This Row],[Rental Date]],"mmm")</f>
        <v>Sep</v>
      </c>
      <c r="D2544" t="str">
        <f>TEXT(tblData[[#This Row],[Rental Date]],"mmmm")</f>
        <v>September</v>
      </c>
      <c r="E2544" t="s">
        <v>38</v>
      </c>
      <c r="F2544" t="str">
        <f>TEXT(WEEKNUM(tblData[[#This Row],[Rental Date]]),"00")</f>
        <v>38</v>
      </c>
      <c r="G2544" s="1">
        <f>EOMONTH(tblData[[#This Row],[Rental Date]],0)</f>
        <v>46295</v>
      </c>
      <c r="H2544" t="s">
        <v>2441</v>
      </c>
      <c r="I2544" t="s">
        <v>48</v>
      </c>
      <c r="J2544" t="s">
        <v>78</v>
      </c>
      <c r="K2544" t="s">
        <v>60</v>
      </c>
      <c r="L2544">
        <v>1</v>
      </c>
      <c r="M2544" s="2">
        <v>26</v>
      </c>
      <c r="N2544" t="s">
        <v>26</v>
      </c>
      <c r="O2544" s="3">
        <v>0</v>
      </c>
      <c r="P2544" s="3">
        <v>0</v>
      </c>
      <c r="Q2544" s="2">
        <v>26</v>
      </c>
      <c r="R2544" t="s">
        <v>71</v>
      </c>
      <c r="S2544" t="s">
        <v>35</v>
      </c>
      <c r="T2544" t="s">
        <v>29</v>
      </c>
      <c r="U2544" t="s">
        <v>36</v>
      </c>
    </row>
    <row r="2545" spans="1:21" x14ac:dyDescent="0.35">
      <c r="A2545" t="s">
        <v>2625</v>
      </c>
      <c r="B2545" s="1">
        <v>46283</v>
      </c>
      <c r="C2545" t="str">
        <f>TEXT(tblData[[#This Row],[Rental Date]],"mmm")</f>
        <v>Sep</v>
      </c>
      <c r="D2545" t="str">
        <f>TEXT(tblData[[#This Row],[Rental Date]],"mmmm")</f>
        <v>September</v>
      </c>
      <c r="E2545" t="s">
        <v>38</v>
      </c>
      <c r="F2545" t="str">
        <f>TEXT(WEEKNUM(tblData[[#This Row],[Rental Date]]),"00")</f>
        <v>38</v>
      </c>
      <c r="G2545" s="1">
        <f>EOMONTH(tblData[[#This Row],[Rental Date]],0)</f>
        <v>46295</v>
      </c>
      <c r="H2545" t="s">
        <v>2441</v>
      </c>
      <c r="I2545" t="s">
        <v>53</v>
      </c>
      <c r="J2545" t="s">
        <v>24</v>
      </c>
      <c r="K2545" t="s">
        <v>40</v>
      </c>
      <c r="L2545">
        <v>1</v>
      </c>
      <c r="M2545" s="2">
        <v>76</v>
      </c>
      <c r="N2545" t="s">
        <v>26</v>
      </c>
      <c r="O2545" s="3">
        <v>0</v>
      </c>
      <c r="P2545" s="3">
        <v>7.6</v>
      </c>
      <c r="Q2545" s="2">
        <v>68.400000000000006</v>
      </c>
      <c r="R2545" t="s">
        <v>62</v>
      </c>
      <c r="S2545" t="s">
        <v>50</v>
      </c>
      <c r="T2545" t="s">
        <v>51</v>
      </c>
      <c r="U2545" t="s">
        <v>30</v>
      </c>
    </row>
    <row r="2546" spans="1:21" x14ac:dyDescent="0.35">
      <c r="A2546" t="s">
        <v>2626</v>
      </c>
      <c r="B2546" s="1">
        <v>46283</v>
      </c>
      <c r="C2546" t="str">
        <f>TEXT(tblData[[#This Row],[Rental Date]],"mmm")</f>
        <v>Sep</v>
      </c>
      <c r="D2546" t="str">
        <f>TEXT(tblData[[#This Row],[Rental Date]],"mmmm")</f>
        <v>September</v>
      </c>
      <c r="E2546" t="s">
        <v>38</v>
      </c>
      <c r="F2546" t="str">
        <f>TEXT(WEEKNUM(tblData[[#This Row],[Rental Date]]),"00")</f>
        <v>38</v>
      </c>
      <c r="G2546" s="1">
        <f>EOMONTH(tblData[[#This Row],[Rental Date]],0)</f>
        <v>46295</v>
      </c>
      <c r="H2546" t="s">
        <v>2441</v>
      </c>
      <c r="I2546" t="s">
        <v>48</v>
      </c>
      <c r="J2546" t="s">
        <v>44</v>
      </c>
      <c r="K2546" t="s">
        <v>40</v>
      </c>
      <c r="L2546">
        <v>1</v>
      </c>
      <c r="M2546" s="2">
        <v>78</v>
      </c>
      <c r="N2546" t="s">
        <v>89</v>
      </c>
      <c r="O2546" s="3">
        <v>6</v>
      </c>
      <c r="P2546" s="3">
        <v>0</v>
      </c>
      <c r="Q2546" s="2">
        <v>84</v>
      </c>
      <c r="R2546" t="s">
        <v>42</v>
      </c>
      <c r="S2546" t="s">
        <v>46</v>
      </c>
      <c r="T2546" t="s">
        <v>29</v>
      </c>
      <c r="U2546" t="s">
        <v>30</v>
      </c>
    </row>
    <row r="2547" spans="1:21" x14ac:dyDescent="0.35">
      <c r="A2547" t="s">
        <v>2627</v>
      </c>
      <c r="B2547" s="1">
        <v>46283</v>
      </c>
      <c r="C2547" t="str">
        <f>TEXT(tblData[[#This Row],[Rental Date]],"mmm")</f>
        <v>Sep</v>
      </c>
      <c r="D2547" t="str">
        <f>TEXT(tblData[[#This Row],[Rental Date]],"mmmm")</f>
        <v>September</v>
      </c>
      <c r="E2547" t="s">
        <v>38</v>
      </c>
      <c r="F2547" t="str">
        <f>TEXT(WEEKNUM(tblData[[#This Row],[Rental Date]]),"00")</f>
        <v>38</v>
      </c>
      <c r="G2547" s="1">
        <f>EOMONTH(tblData[[#This Row],[Rental Date]],0)</f>
        <v>46295</v>
      </c>
      <c r="H2547" t="s">
        <v>2441</v>
      </c>
      <c r="I2547" t="s">
        <v>39</v>
      </c>
      <c r="J2547" t="s">
        <v>138</v>
      </c>
      <c r="K2547" t="s">
        <v>25</v>
      </c>
      <c r="L2547">
        <v>1</v>
      </c>
      <c r="M2547" s="2">
        <v>48</v>
      </c>
      <c r="N2547" t="s">
        <v>26</v>
      </c>
      <c r="O2547" s="3">
        <v>0</v>
      </c>
      <c r="P2547" s="3">
        <v>0</v>
      </c>
      <c r="Q2547" s="2">
        <v>48</v>
      </c>
      <c r="R2547" t="s">
        <v>27</v>
      </c>
      <c r="S2547" t="s">
        <v>50</v>
      </c>
      <c r="T2547" t="s">
        <v>63</v>
      </c>
      <c r="U2547" t="s">
        <v>36</v>
      </c>
    </row>
    <row r="2548" spans="1:21" x14ac:dyDescent="0.35">
      <c r="A2548" t="s">
        <v>2628</v>
      </c>
      <c r="B2548" s="1">
        <v>46283</v>
      </c>
      <c r="C2548" t="str">
        <f>TEXT(tblData[[#This Row],[Rental Date]],"mmm")</f>
        <v>Sep</v>
      </c>
      <c r="D2548" t="str">
        <f>TEXT(tblData[[#This Row],[Rental Date]],"mmmm")</f>
        <v>September</v>
      </c>
      <c r="E2548" t="s">
        <v>38</v>
      </c>
      <c r="F2548" t="str">
        <f>TEXT(WEEKNUM(tblData[[#This Row],[Rental Date]]),"00")</f>
        <v>38</v>
      </c>
      <c r="G2548" s="1">
        <f>EOMONTH(tblData[[#This Row],[Rental Date]],0)</f>
        <v>46295</v>
      </c>
      <c r="H2548" t="s">
        <v>2441</v>
      </c>
      <c r="I2548" t="s">
        <v>48</v>
      </c>
      <c r="J2548" t="s">
        <v>33</v>
      </c>
      <c r="K2548" t="s">
        <v>60</v>
      </c>
      <c r="L2548">
        <v>1</v>
      </c>
      <c r="M2548" s="2">
        <v>24</v>
      </c>
      <c r="N2548" t="s">
        <v>89</v>
      </c>
      <c r="O2548" s="3">
        <v>6</v>
      </c>
      <c r="P2548" s="3">
        <v>0</v>
      </c>
      <c r="Q2548" s="2">
        <v>30</v>
      </c>
      <c r="R2548" t="s">
        <v>62</v>
      </c>
      <c r="S2548" t="s">
        <v>35</v>
      </c>
      <c r="T2548" t="s">
        <v>29</v>
      </c>
      <c r="U2548" t="s">
        <v>30</v>
      </c>
    </row>
    <row r="2549" spans="1:21" x14ac:dyDescent="0.35">
      <c r="A2549" t="s">
        <v>2629</v>
      </c>
      <c r="B2549" s="1">
        <v>46283</v>
      </c>
      <c r="C2549" t="str">
        <f>TEXT(tblData[[#This Row],[Rental Date]],"mmm")</f>
        <v>Sep</v>
      </c>
      <c r="D2549" t="str">
        <f>TEXT(tblData[[#This Row],[Rental Date]],"mmmm")</f>
        <v>September</v>
      </c>
      <c r="E2549" t="s">
        <v>38</v>
      </c>
      <c r="F2549" t="str">
        <f>TEXT(WEEKNUM(tblData[[#This Row],[Rental Date]]),"00")</f>
        <v>38</v>
      </c>
      <c r="G2549" s="1">
        <f>EOMONTH(tblData[[#This Row],[Rental Date]],0)</f>
        <v>46295</v>
      </c>
      <c r="H2549" t="s">
        <v>2441</v>
      </c>
      <c r="I2549" t="s">
        <v>39</v>
      </c>
      <c r="J2549" t="s">
        <v>33</v>
      </c>
      <c r="K2549" t="s">
        <v>40</v>
      </c>
      <c r="L2549">
        <v>1</v>
      </c>
      <c r="M2549" s="2">
        <v>58</v>
      </c>
      <c r="N2549" t="s">
        <v>75</v>
      </c>
      <c r="O2549" s="3">
        <v>12</v>
      </c>
      <c r="P2549" s="3">
        <v>0</v>
      </c>
      <c r="Q2549" s="2">
        <v>70</v>
      </c>
      <c r="R2549" t="s">
        <v>42</v>
      </c>
      <c r="S2549" t="s">
        <v>46</v>
      </c>
      <c r="T2549" t="s">
        <v>51</v>
      </c>
      <c r="U2549" t="s">
        <v>30</v>
      </c>
    </row>
    <row r="2550" spans="1:21" x14ac:dyDescent="0.35">
      <c r="A2550" t="s">
        <v>2630</v>
      </c>
      <c r="B2550" s="1">
        <v>46283</v>
      </c>
      <c r="C2550" t="str">
        <f>TEXT(tblData[[#This Row],[Rental Date]],"mmm")</f>
        <v>Sep</v>
      </c>
      <c r="D2550" t="str">
        <f>TEXT(tblData[[#This Row],[Rental Date]],"mmmm")</f>
        <v>September</v>
      </c>
      <c r="E2550" t="s">
        <v>38</v>
      </c>
      <c r="F2550" t="str">
        <f>TEXT(WEEKNUM(tblData[[#This Row],[Rental Date]]),"00")</f>
        <v>38</v>
      </c>
      <c r="G2550" s="1">
        <f>EOMONTH(tblData[[#This Row],[Rental Date]],0)</f>
        <v>46295</v>
      </c>
      <c r="H2550" t="s">
        <v>2441</v>
      </c>
      <c r="I2550" t="s">
        <v>48</v>
      </c>
      <c r="J2550" t="s">
        <v>65</v>
      </c>
      <c r="K2550" t="s">
        <v>60</v>
      </c>
      <c r="L2550">
        <v>1</v>
      </c>
      <c r="M2550" s="2">
        <v>12</v>
      </c>
      <c r="N2550" t="s">
        <v>70</v>
      </c>
      <c r="O2550" s="3">
        <v>7</v>
      </c>
      <c r="P2550" s="3">
        <v>0</v>
      </c>
      <c r="Q2550" s="2">
        <v>19</v>
      </c>
      <c r="R2550" t="s">
        <v>66</v>
      </c>
      <c r="S2550" t="s">
        <v>28</v>
      </c>
      <c r="T2550" t="s">
        <v>51</v>
      </c>
      <c r="U2550" t="s">
        <v>58</v>
      </c>
    </row>
    <row r="2551" spans="1:21" x14ac:dyDescent="0.35">
      <c r="A2551" t="s">
        <v>2631</v>
      </c>
      <c r="B2551" s="1">
        <v>46283</v>
      </c>
      <c r="C2551" t="str">
        <f>TEXT(tblData[[#This Row],[Rental Date]],"mmm")</f>
        <v>Sep</v>
      </c>
      <c r="D2551" t="str">
        <f>TEXT(tblData[[#This Row],[Rental Date]],"mmmm")</f>
        <v>September</v>
      </c>
      <c r="E2551" t="s">
        <v>38</v>
      </c>
      <c r="F2551" t="str">
        <f>TEXT(WEEKNUM(tblData[[#This Row],[Rental Date]]),"00")</f>
        <v>38</v>
      </c>
      <c r="G2551" s="1">
        <f>EOMONTH(tblData[[#This Row],[Rental Date]],0)</f>
        <v>46295</v>
      </c>
      <c r="H2551" t="s">
        <v>2441</v>
      </c>
      <c r="I2551" t="s">
        <v>48</v>
      </c>
      <c r="J2551" t="s">
        <v>65</v>
      </c>
      <c r="K2551" t="s">
        <v>60</v>
      </c>
      <c r="L2551">
        <v>1</v>
      </c>
      <c r="M2551" s="2">
        <v>12</v>
      </c>
      <c r="N2551" t="s">
        <v>26</v>
      </c>
      <c r="O2551" s="3">
        <v>0</v>
      </c>
      <c r="P2551" s="3">
        <v>0</v>
      </c>
      <c r="Q2551" s="2">
        <v>12</v>
      </c>
      <c r="R2551" t="s">
        <v>34</v>
      </c>
      <c r="S2551" t="s">
        <v>35</v>
      </c>
      <c r="T2551" t="s">
        <v>29</v>
      </c>
      <c r="U2551" t="s">
        <v>30</v>
      </c>
    </row>
    <row r="2552" spans="1:21" x14ac:dyDescent="0.35">
      <c r="A2552" t="s">
        <v>2632</v>
      </c>
      <c r="B2552" s="1">
        <v>46283</v>
      </c>
      <c r="C2552" t="str">
        <f>TEXT(tblData[[#This Row],[Rental Date]],"mmm")</f>
        <v>Sep</v>
      </c>
      <c r="D2552" t="str">
        <f>TEXT(tblData[[#This Row],[Rental Date]],"mmmm")</f>
        <v>September</v>
      </c>
      <c r="E2552" t="s">
        <v>38</v>
      </c>
      <c r="F2552" t="str">
        <f>TEXT(WEEKNUM(tblData[[#This Row],[Rental Date]]),"00")</f>
        <v>38</v>
      </c>
      <c r="G2552" s="1">
        <f>EOMONTH(tblData[[#This Row],[Rental Date]],0)</f>
        <v>46295</v>
      </c>
      <c r="H2552" t="s">
        <v>2441</v>
      </c>
      <c r="I2552" t="s">
        <v>39</v>
      </c>
      <c r="J2552" t="s">
        <v>65</v>
      </c>
      <c r="K2552" t="s">
        <v>60</v>
      </c>
      <c r="L2552">
        <v>1</v>
      </c>
      <c r="M2552" s="2">
        <v>12</v>
      </c>
      <c r="N2552" t="s">
        <v>89</v>
      </c>
      <c r="O2552" s="3">
        <v>6</v>
      </c>
      <c r="P2552" s="3">
        <v>0</v>
      </c>
      <c r="Q2552" s="2">
        <v>18</v>
      </c>
      <c r="R2552" t="s">
        <v>76</v>
      </c>
      <c r="S2552" t="s">
        <v>46</v>
      </c>
      <c r="T2552" t="s">
        <v>90</v>
      </c>
      <c r="U2552" t="s">
        <v>36</v>
      </c>
    </row>
    <row r="2553" spans="1:21" x14ac:dyDescent="0.35">
      <c r="A2553" t="s">
        <v>2633</v>
      </c>
      <c r="B2553" s="1">
        <v>46283</v>
      </c>
      <c r="C2553" t="str">
        <f>TEXT(tblData[[#This Row],[Rental Date]],"mmm")</f>
        <v>Sep</v>
      </c>
      <c r="D2553" t="str">
        <f>TEXT(tblData[[#This Row],[Rental Date]],"mmmm")</f>
        <v>September</v>
      </c>
      <c r="E2553" t="s">
        <v>38</v>
      </c>
      <c r="F2553" t="str">
        <f>TEXT(WEEKNUM(tblData[[#This Row],[Rental Date]]),"00")</f>
        <v>38</v>
      </c>
      <c r="G2553" s="1">
        <f>EOMONTH(tblData[[#This Row],[Rental Date]],0)</f>
        <v>46295</v>
      </c>
      <c r="H2553" t="s">
        <v>2441</v>
      </c>
      <c r="I2553" t="s">
        <v>48</v>
      </c>
      <c r="J2553" t="s">
        <v>78</v>
      </c>
      <c r="K2553" t="s">
        <v>40</v>
      </c>
      <c r="L2553">
        <v>1</v>
      </c>
      <c r="M2553" s="2">
        <v>62</v>
      </c>
      <c r="N2553" t="s">
        <v>89</v>
      </c>
      <c r="O2553" s="3">
        <v>6</v>
      </c>
      <c r="P2553" s="3">
        <v>0</v>
      </c>
      <c r="Q2553" s="2">
        <v>68</v>
      </c>
      <c r="R2553" t="s">
        <v>66</v>
      </c>
      <c r="S2553" t="s">
        <v>46</v>
      </c>
      <c r="T2553" t="s">
        <v>29</v>
      </c>
      <c r="U2553" t="s">
        <v>30</v>
      </c>
    </row>
    <row r="2554" spans="1:21" x14ac:dyDescent="0.35">
      <c r="A2554" t="s">
        <v>2634</v>
      </c>
      <c r="B2554" s="1">
        <v>46284</v>
      </c>
      <c r="C2554" t="str">
        <f>TEXT(tblData[[#This Row],[Rental Date]],"mmm")</f>
        <v>Sep</v>
      </c>
      <c r="D2554" t="str">
        <f>TEXT(tblData[[#This Row],[Rental Date]],"mmmm")</f>
        <v>September</v>
      </c>
      <c r="E2554" t="s">
        <v>56</v>
      </c>
      <c r="F2554" t="str">
        <f>TEXT(WEEKNUM(tblData[[#This Row],[Rental Date]]),"00")</f>
        <v>38</v>
      </c>
      <c r="G2554" s="1">
        <f>EOMONTH(tblData[[#This Row],[Rental Date]],0)</f>
        <v>46295</v>
      </c>
      <c r="H2554" t="s">
        <v>2441</v>
      </c>
      <c r="I2554" t="s">
        <v>39</v>
      </c>
      <c r="J2554" t="s">
        <v>78</v>
      </c>
      <c r="K2554" t="s">
        <v>60</v>
      </c>
      <c r="L2554">
        <v>1</v>
      </c>
      <c r="M2554" s="2">
        <v>28.08</v>
      </c>
      <c r="N2554" t="s">
        <v>26</v>
      </c>
      <c r="O2554" s="3">
        <v>0</v>
      </c>
      <c r="P2554" s="3">
        <v>0</v>
      </c>
      <c r="Q2554" s="2">
        <v>28.08</v>
      </c>
      <c r="R2554" t="s">
        <v>76</v>
      </c>
      <c r="S2554" t="s">
        <v>50</v>
      </c>
      <c r="T2554" t="s">
        <v>90</v>
      </c>
      <c r="U2554" t="s">
        <v>30</v>
      </c>
    </row>
    <row r="2555" spans="1:21" x14ac:dyDescent="0.35">
      <c r="A2555" t="s">
        <v>2635</v>
      </c>
      <c r="B2555" s="1">
        <v>46284</v>
      </c>
      <c r="C2555" t="str">
        <f>TEXT(tblData[[#This Row],[Rental Date]],"mmm")</f>
        <v>Sep</v>
      </c>
      <c r="D2555" t="str">
        <f>TEXT(tblData[[#This Row],[Rental Date]],"mmmm")</f>
        <v>September</v>
      </c>
      <c r="E2555" t="s">
        <v>56</v>
      </c>
      <c r="F2555" t="str">
        <f>TEXT(WEEKNUM(tblData[[#This Row],[Rental Date]]),"00")</f>
        <v>38</v>
      </c>
      <c r="G2555" s="1">
        <f>EOMONTH(tblData[[#This Row],[Rental Date]],0)</f>
        <v>46295</v>
      </c>
      <c r="H2555" t="s">
        <v>2441</v>
      </c>
      <c r="I2555" t="s">
        <v>48</v>
      </c>
      <c r="J2555" t="s">
        <v>49</v>
      </c>
      <c r="K2555" t="s">
        <v>60</v>
      </c>
      <c r="L2555">
        <v>1</v>
      </c>
      <c r="M2555" s="2">
        <v>23.76</v>
      </c>
      <c r="N2555" t="s">
        <v>89</v>
      </c>
      <c r="O2555" s="3">
        <v>6</v>
      </c>
      <c r="P2555" s="3">
        <v>0</v>
      </c>
      <c r="Q2555" s="2">
        <v>29.76</v>
      </c>
      <c r="R2555" t="s">
        <v>42</v>
      </c>
      <c r="S2555" t="s">
        <v>54</v>
      </c>
      <c r="T2555" t="s">
        <v>29</v>
      </c>
      <c r="U2555" t="s">
        <v>58</v>
      </c>
    </row>
    <row r="2556" spans="1:21" x14ac:dyDescent="0.35">
      <c r="A2556" t="s">
        <v>2636</v>
      </c>
      <c r="B2556" s="1">
        <v>46284</v>
      </c>
      <c r="C2556" t="str">
        <f>TEXT(tblData[[#This Row],[Rental Date]],"mmm")</f>
        <v>Sep</v>
      </c>
      <c r="D2556" t="str">
        <f>TEXT(tblData[[#This Row],[Rental Date]],"mmmm")</f>
        <v>September</v>
      </c>
      <c r="E2556" t="s">
        <v>56</v>
      </c>
      <c r="F2556" t="str">
        <f>TEXT(WEEKNUM(tblData[[#This Row],[Rental Date]]),"00")</f>
        <v>38</v>
      </c>
      <c r="G2556" s="1">
        <f>EOMONTH(tblData[[#This Row],[Rental Date]],0)</f>
        <v>46295</v>
      </c>
      <c r="H2556" t="s">
        <v>2441</v>
      </c>
      <c r="I2556" t="s">
        <v>39</v>
      </c>
      <c r="J2556" t="s">
        <v>44</v>
      </c>
      <c r="K2556" t="s">
        <v>60</v>
      </c>
      <c r="L2556">
        <v>1</v>
      </c>
      <c r="M2556" s="2">
        <v>36.72</v>
      </c>
      <c r="N2556" t="s">
        <v>41</v>
      </c>
      <c r="O2556" s="3">
        <v>5</v>
      </c>
      <c r="P2556" s="3">
        <v>0</v>
      </c>
      <c r="Q2556" s="2">
        <v>41.72</v>
      </c>
      <c r="R2556" t="s">
        <v>71</v>
      </c>
      <c r="S2556" t="s">
        <v>46</v>
      </c>
      <c r="T2556" t="s">
        <v>51</v>
      </c>
      <c r="U2556" t="s">
        <v>30</v>
      </c>
    </row>
    <row r="2557" spans="1:21" x14ac:dyDescent="0.35">
      <c r="A2557" t="s">
        <v>2637</v>
      </c>
      <c r="B2557" s="1">
        <v>46284</v>
      </c>
      <c r="C2557" t="str">
        <f>TEXT(tblData[[#This Row],[Rental Date]],"mmm")</f>
        <v>Sep</v>
      </c>
      <c r="D2557" t="str">
        <f>TEXT(tblData[[#This Row],[Rental Date]],"mmmm")</f>
        <v>September</v>
      </c>
      <c r="E2557" t="s">
        <v>56</v>
      </c>
      <c r="F2557" t="str">
        <f>TEXT(WEEKNUM(tblData[[#This Row],[Rental Date]]),"00")</f>
        <v>38</v>
      </c>
      <c r="G2557" s="1">
        <f>EOMONTH(tblData[[#This Row],[Rental Date]],0)</f>
        <v>46295</v>
      </c>
      <c r="H2557" t="s">
        <v>2441</v>
      </c>
      <c r="I2557" t="s">
        <v>23</v>
      </c>
      <c r="J2557" t="s">
        <v>49</v>
      </c>
      <c r="K2557" t="s">
        <v>25</v>
      </c>
      <c r="L2557">
        <v>1</v>
      </c>
      <c r="M2557" s="2">
        <v>38.880000000000003</v>
      </c>
      <c r="N2557" t="s">
        <v>26</v>
      </c>
      <c r="O2557" s="3">
        <v>0</v>
      </c>
      <c r="P2557" s="3">
        <v>0</v>
      </c>
      <c r="Q2557" s="2">
        <v>38.880000000000003</v>
      </c>
      <c r="R2557" t="s">
        <v>66</v>
      </c>
      <c r="S2557" t="s">
        <v>50</v>
      </c>
      <c r="T2557" t="s">
        <v>51</v>
      </c>
      <c r="U2557" t="s">
        <v>30</v>
      </c>
    </row>
    <row r="2558" spans="1:21" x14ac:dyDescent="0.35">
      <c r="A2558" t="s">
        <v>2638</v>
      </c>
      <c r="B2558" s="1">
        <v>46284</v>
      </c>
      <c r="C2558" t="str">
        <f>TEXT(tblData[[#This Row],[Rental Date]],"mmm")</f>
        <v>Sep</v>
      </c>
      <c r="D2558" t="str">
        <f>TEXT(tblData[[#This Row],[Rental Date]],"mmmm")</f>
        <v>September</v>
      </c>
      <c r="E2558" t="s">
        <v>56</v>
      </c>
      <c r="F2558" t="str">
        <f>TEXT(WEEKNUM(tblData[[#This Row],[Rental Date]]),"00")</f>
        <v>38</v>
      </c>
      <c r="G2558" s="1">
        <f>EOMONTH(tblData[[#This Row],[Rental Date]],0)</f>
        <v>46295</v>
      </c>
      <c r="H2558" t="s">
        <v>2441</v>
      </c>
      <c r="I2558" t="s">
        <v>48</v>
      </c>
      <c r="J2558" t="s">
        <v>44</v>
      </c>
      <c r="K2558" t="s">
        <v>25</v>
      </c>
      <c r="L2558">
        <v>1</v>
      </c>
      <c r="M2558" s="2">
        <v>56.16</v>
      </c>
      <c r="N2558" t="s">
        <v>41</v>
      </c>
      <c r="O2558" s="3">
        <v>5</v>
      </c>
      <c r="P2558" s="3">
        <v>0</v>
      </c>
      <c r="Q2558" s="2">
        <v>61.16</v>
      </c>
      <c r="R2558" t="s">
        <v>57</v>
      </c>
      <c r="S2558" t="s">
        <v>50</v>
      </c>
      <c r="T2558" t="s">
        <v>29</v>
      </c>
      <c r="U2558" t="s">
        <v>30</v>
      </c>
    </row>
    <row r="2559" spans="1:21" x14ac:dyDescent="0.35">
      <c r="A2559" t="s">
        <v>2639</v>
      </c>
      <c r="B2559" s="1">
        <v>46284</v>
      </c>
      <c r="C2559" t="str">
        <f>TEXT(tblData[[#This Row],[Rental Date]],"mmm")</f>
        <v>Sep</v>
      </c>
      <c r="D2559" t="str">
        <f>TEXT(tblData[[#This Row],[Rental Date]],"mmmm")</f>
        <v>September</v>
      </c>
      <c r="E2559" t="s">
        <v>56</v>
      </c>
      <c r="F2559" t="str">
        <f>TEXT(WEEKNUM(tblData[[#This Row],[Rental Date]]),"00")</f>
        <v>38</v>
      </c>
      <c r="G2559" s="1">
        <f>EOMONTH(tblData[[#This Row],[Rental Date]],0)</f>
        <v>46295</v>
      </c>
      <c r="H2559" t="s">
        <v>2441</v>
      </c>
      <c r="I2559" t="s">
        <v>48</v>
      </c>
      <c r="J2559" t="s">
        <v>33</v>
      </c>
      <c r="K2559" t="s">
        <v>40</v>
      </c>
      <c r="L2559">
        <v>1</v>
      </c>
      <c r="M2559" s="2">
        <v>62.64</v>
      </c>
      <c r="N2559" t="s">
        <v>26</v>
      </c>
      <c r="O2559" s="3">
        <v>0</v>
      </c>
      <c r="P2559" s="3">
        <v>0</v>
      </c>
      <c r="Q2559" s="2">
        <v>62.64</v>
      </c>
      <c r="R2559" t="s">
        <v>42</v>
      </c>
      <c r="S2559" t="s">
        <v>50</v>
      </c>
      <c r="T2559" t="s">
        <v>29</v>
      </c>
      <c r="U2559" t="s">
        <v>58</v>
      </c>
    </row>
    <row r="2560" spans="1:21" x14ac:dyDescent="0.35">
      <c r="A2560" t="s">
        <v>2640</v>
      </c>
      <c r="B2560" s="1">
        <v>46284</v>
      </c>
      <c r="C2560" t="str">
        <f>TEXT(tblData[[#This Row],[Rental Date]],"mmm")</f>
        <v>Sep</v>
      </c>
      <c r="D2560" t="str">
        <f>TEXT(tblData[[#This Row],[Rental Date]],"mmmm")</f>
        <v>September</v>
      </c>
      <c r="E2560" t="s">
        <v>56</v>
      </c>
      <c r="F2560" t="str">
        <f>TEXT(WEEKNUM(tblData[[#This Row],[Rental Date]]),"00")</f>
        <v>38</v>
      </c>
      <c r="G2560" s="1">
        <f>EOMONTH(tblData[[#This Row],[Rental Date]],0)</f>
        <v>46295</v>
      </c>
      <c r="H2560" t="s">
        <v>2441</v>
      </c>
      <c r="I2560" t="s">
        <v>39</v>
      </c>
      <c r="J2560" t="s">
        <v>24</v>
      </c>
      <c r="K2560" t="s">
        <v>60</v>
      </c>
      <c r="L2560">
        <v>1</v>
      </c>
      <c r="M2560" s="2">
        <v>34.56</v>
      </c>
      <c r="N2560" t="s">
        <v>26</v>
      </c>
      <c r="O2560" s="3">
        <v>0</v>
      </c>
      <c r="P2560" s="3">
        <v>0</v>
      </c>
      <c r="Q2560" s="2">
        <v>34.56</v>
      </c>
      <c r="R2560" t="s">
        <v>57</v>
      </c>
      <c r="S2560" t="s">
        <v>35</v>
      </c>
      <c r="T2560" t="s">
        <v>63</v>
      </c>
      <c r="U2560" t="s">
        <v>58</v>
      </c>
    </row>
    <row r="2561" spans="1:21" x14ac:dyDescent="0.35">
      <c r="A2561" t="s">
        <v>2641</v>
      </c>
      <c r="B2561" s="1">
        <v>46284</v>
      </c>
      <c r="C2561" t="str">
        <f>TEXT(tblData[[#This Row],[Rental Date]],"mmm")</f>
        <v>Sep</v>
      </c>
      <c r="D2561" t="str">
        <f>TEXT(tblData[[#This Row],[Rental Date]],"mmmm")</f>
        <v>September</v>
      </c>
      <c r="E2561" t="s">
        <v>56</v>
      </c>
      <c r="F2561" t="str">
        <f>TEXT(WEEKNUM(tblData[[#This Row],[Rental Date]]),"00")</f>
        <v>38</v>
      </c>
      <c r="G2561" s="1">
        <f>EOMONTH(tblData[[#This Row],[Rental Date]],0)</f>
        <v>46295</v>
      </c>
      <c r="H2561" t="s">
        <v>2441</v>
      </c>
      <c r="I2561" t="s">
        <v>23</v>
      </c>
      <c r="J2561" t="s">
        <v>86</v>
      </c>
      <c r="K2561" t="s">
        <v>25</v>
      </c>
      <c r="L2561">
        <v>1</v>
      </c>
      <c r="M2561" s="2">
        <v>62.64</v>
      </c>
      <c r="N2561" t="s">
        <v>61</v>
      </c>
      <c r="O2561" s="3">
        <v>8</v>
      </c>
      <c r="P2561" s="3">
        <v>0</v>
      </c>
      <c r="Q2561" s="2">
        <v>70.64</v>
      </c>
      <c r="R2561" t="s">
        <v>34</v>
      </c>
      <c r="S2561" t="s">
        <v>50</v>
      </c>
      <c r="T2561" t="s">
        <v>29</v>
      </c>
      <c r="U2561" t="s">
        <v>30</v>
      </c>
    </row>
    <row r="2562" spans="1:21" x14ac:dyDescent="0.35">
      <c r="A2562" t="s">
        <v>2642</v>
      </c>
      <c r="B2562" s="1">
        <v>46284</v>
      </c>
      <c r="C2562" t="str">
        <f>TEXT(tblData[[#This Row],[Rental Date]],"mmm")</f>
        <v>Sep</v>
      </c>
      <c r="D2562" t="str">
        <f>TEXT(tblData[[#This Row],[Rental Date]],"mmmm")</f>
        <v>September</v>
      </c>
      <c r="E2562" t="s">
        <v>56</v>
      </c>
      <c r="F2562" t="str">
        <f>TEXT(WEEKNUM(tblData[[#This Row],[Rental Date]]),"00")</f>
        <v>38</v>
      </c>
      <c r="G2562" s="1">
        <f>EOMONTH(tblData[[#This Row],[Rental Date]],0)</f>
        <v>46295</v>
      </c>
      <c r="H2562" t="s">
        <v>2441</v>
      </c>
      <c r="I2562" t="s">
        <v>39</v>
      </c>
      <c r="J2562" t="s">
        <v>65</v>
      </c>
      <c r="K2562" t="s">
        <v>60</v>
      </c>
      <c r="L2562">
        <v>1</v>
      </c>
      <c r="M2562" s="2">
        <v>12.96</v>
      </c>
      <c r="N2562" t="s">
        <v>89</v>
      </c>
      <c r="O2562" s="3">
        <v>6</v>
      </c>
      <c r="P2562" s="3">
        <v>0.95</v>
      </c>
      <c r="Q2562" s="2">
        <v>18.010000000000002</v>
      </c>
      <c r="R2562" t="s">
        <v>94</v>
      </c>
      <c r="S2562" t="s">
        <v>28</v>
      </c>
      <c r="T2562" t="s">
        <v>29</v>
      </c>
      <c r="U2562" t="s">
        <v>30</v>
      </c>
    </row>
    <row r="2563" spans="1:21" x14ac:dyDescent="0.35">
      <c r="A2563" t="s">
        <v>2643</v>
      </c>
      <c r="B2563" s="1">
        <v>46284</v>
      </c>
      <c r="C2563" t="str">
        <f>TEXT(tblData[[#This Row],[Rental Date]],"mmm")</f>
        <v>Sep</v>
      </c>
      <c r="D2563" t="str">
        <f>TEXT(tblData[[#This Row],[Rental Date]],"mmmm")</f>
        <v>September</v>
      </c>
      <c r="E2563" t="s">
        <v>56</v>
      </c>
      <c r="F2563" t="str">
        <f>TEXT(WEEKNUM(tblData[[#This Row],[Rental Date]]),"00")</f>
        <v>38</v>
      </c>
      <c r="G2563" s="1">
        <f>EOMONTH(tblData[[#This Row],[Rental Date]],0)</f>
        <v>46295</v>
      </c>
      <c r="H2563" t="s">
        <v>2441</v>
      </c>
      <c r="I2563" t="s">
        <v>53</v>
      </c>
      <c r="J2563" t="s">
        <v>49</v>
      </c>
      <c r="K2563" t="s">
        <v>40</v>
      </c>
      <c r="L2563">
        <v>1</v>
      </c>
      <c r="M2563" s="2">
        <v>58.32</v>
      </c>
      <c r="N2563" t="s">
        <v>26</v>
      </c>
      <c r="O2563" s="3">
        <v>0</v>
      </c>
      <c r="P2563" s="3">
        <v>5.83</v>
      </c>
      <c r="Q2563" s="2">
        <v>52.49</v>
      </c>
      <c r="R2563" t="s">
        <v>76</v>
      </c>
      <c r="S2563" t="s">
        <v>50</v>
      </c>
      <c r="T2563" t="s">
        <v>29</v>
      </c>
      <c r="U2563" t="s">
        <v>30</v>
      </c>
    </row>
    <row r="2564" spans="1:21" x14ac:dyDescent="0.35">
      <c r="A2564" t="s">
        <v>2644</v>
      </c>
      <c r="B2564" s="1">
        <v>46284</v>
      </c>
      <c r="C2564" t="str">
        <f>TEXT(tblData[[#This Row],[Rental Date]],"mmm")</f>
        <v>Sep</v>
      </c>
      <c r="D2564" t="str">
        <f>TEXT(tblData[[#This Row],[Rental Date]],"mmmm")</f>
        <v>September</v>
      </c>
      <c r="E2564" t="s">
        <v>56</v>
      </c>
      <c r="F2564" t="str">
        <f>TEXT(WEEKNUM(tblData[[#This Row],[Rental Date]]),"00")</f>
        <v>38</v>
      </c>
      <c r="G2564" s="1">
        <f>EOMONTH(tblData[[#This Row],[Rental Date]],0)</f>
        <v>46295</v>
      </c>
      <c r="H2564" t="s">
        <v>2441</v>
      </c>
      <c r="I2564" t="s">
        <v>48</v>
      </c>
      <c r="J2564" t="s">
        <v>111</v>
      </c>
      <c r="K2564" t="s">
        <v>25</v>
      </c>
      <c r="L2564">
        <v>1</v>
      </c>
      <c r="M2564" s="2">
        <v>23.76</v>
      </c>
      <c r="N2564" t="s">
        <v>89</v>
      </c>
      <c r="O2564" s="3">
        <v>6</v>
      </c>
      <c r="P2564" s="3">
        <v>0</v>
      </c>
      <c r="Q2564" s="2">
        <v>29.76</v>
      </c>
      <c r="R2564" t="s">
        <v>71</v>
      </c>
      <c r="S2564" t="s">
        <v>54</v>
      </c>
      <c r="T2564" t="s">
        <v>63</v>
      </c>
      <c r="U2564" t="s">
        <v>30</v>
      </c>
    </row>
    <row r="2565" spans="1:21" x14ac:dyDescent="0.35">
      <c r="A2565" t="s">
        <v>2645</v>
      </c>
      <c r="B2565" s="1">
        <v>46284</v>
      </c>
      <c r="C2565" t="str">
        <f>TEXT(tblData[[#This Row],[Rental Date]],"mmm")</f>
        <v>Sep</v>
      </c>
      <c r="D2565" t="str">
        <f>TEXT(tblData[[#This Row],[Rental Date]],"mmmm")</f>
        <v>September</v>
      </c>
      <c r="E2565" t="s">
        <v>56</v>
      </c>
      <c r="F2565" t="str">
        <f>TEXT(WEEKNUM(tblData[[#This Row],[Rental Date]]),"00")</f>
        <v>38</v>
      </c>
      <c r="G2565" s="1">
        <f>EOMONTH(tblData[[#This Row],[Rental Date]],0)</f>
        <v>46295</v>
      </c>
      <c r="H2565" t="s">
        <v>2441</v>
      </c>
      <c r="I2565" t="s">
        <v>48</v>
      </c>
      <c r="J2565" t="s">
        <v>65</v>
      </c>
      <c r="K2565" t="s">
        <v>40</v>
      </c>
      <c r="L2565">
        <v>1</v>
      </c>
      <c r="M2565" s="2">
        <v>30.24</v>
      </c>
      <c r="N2565" t="s">
        <v>41</v>
      </c>
      <c r="O2565" s="3">
        <v>5</v>
      </c>
      <c r="P2565" s="3">
        <v>0</v>
      </c>
      <c r="Q2565" s="2">
        <v>35.24</v>
      </c>
      <c r="R2565" t="s">
        <v>27</v>
      </c>
      <c r="S2565" t="s">
        <v>28</v>
      </c>
      <c r="T2565" t="s">
        <v>63</v>
      </c>
      <c r="U2565" t="s">
        <v>79</v>
      </c>
    </row>
    <row r="2566" spans="1:21" x14ac:dyDescent="0.35">
      <c r="A2566" t="s">
        <v>2646</v>
      </c>
      <c r="B2566" s="1">
        <v>46284</v>
      </c>
      <c r="C2566" t="str">
        <f>TEXT(tblData[[#This Row],[Rental Date]],"mmm")</f>
        <v>Sep</v>
      </c>
      <c r="D2566" t="str">
        <f>TEXT(tblData[[#This Row],[Rental Date]],"mmmm")</f>
        <v>September</v>
      </c>
      <c r="E2566" t="s">
        <v>56</v>
      </c>
      <c r="F2566" t="str">
        <f>TEXT(WEEKNUM(tblData[[#This Row],[Rental Date]]),"00")</f>
        <v>38</v>
      </c>
      <c r="G2566" s="1">
        <f>EOMONTH(tblData[[#This Row],[Rental Date]],0)</f>
        <v>46295</v>
      </c>
      <c r="H2566" t="s">
        <v>2441</v>
      </c>
      <c r="I2566" t="s">
        <v>32</v>
      </c>
      <c r="J2566" t="s">
        <v>49</v>
      </c>
      <c r="K2566" t="s">
        <v>60</v>
      </c>
      <c r="L2566">
        <v>1</v>
      </c>
      <c r="M2566" s="2">
        <v>23.76</v>
      </c>
      <c r="N2566" t="s">
        <v>89</v>
      </c>
      <c r="O2566" s="3">
        <v>6</v>
      </c>
      <c r="P2566" s="3">
        <v>0</v>
      </c>
      <c r="Q2566" s="2">
        <v>29.76</v>
      </c>
      <c r="R2566" t="s">
        <v>76</v>
      </c>
      <c r="S2566" t="s">
        <v>35</v>
      </c>
      <c r="T2566" t="s">
        <v>63</v>
      </c>
      <c r="U2566" t="s">
        <v>30</v>
      </c>
    </row>
    <row r="2567" spans="1:21" x14ac:dyDescent="0.35">
      <c r="A2567" t="s">
        <v>2647</v>
      </c>
      <c r="B2567" s="1">
        <v>46284</v>
      </c>
      <c r="C2567" t="str">
        <f>TEXT(tblData[[#This Row],[Rental Date]],"mmm")</f>
        <v>Sep</v>
      </c>
      <c r="D2567" t="str">
        <f>TEXT(tblData[[#This Row],[Rental Date]],"mmmm")</f>
        <v>September</v>
      </c>
      <c r="E2567" t="s">
        <v>56</v>
      </c>
      <c r="F2567" t="str">
        <f>TEXT(WEEKNUM(tblData[[#This Row],[Rental Date]]),"00")</f>
        <v>38</v>
      </c>
      <c r="G2567" s="1">
        <f>EOMONTH(tblData[[#This Row],[Rental Date]],0)</f>
        <v>46295</v>
      </c>
      <c r="H2567" t="s">
        <v>2441</v>
      </c>
      <c r="I2567" t="s">
        <v>48</v>
      </c>
      <c r="J2567" t="s">
        <v>44</v>
      </c>
      <c r="K2567" t="s">
        <v>60</v>
      </c>
      <c r="L2567">
        <v>1</v>
      </c>
      <c r="M2567" s="2">
        <v>36.72</v>
      </c>
      <c r="N2567" t="s">
        <v>26</v>
      </c>
      <c r="O2567" s="3">
        <v>0</v>
      </c>
      <c r="P2567" s="3">
        <v>0</v>
      </c>
      <c r="Q2567" s="2">
        <v>36.72</v>
      </c>
      <c r="R2567" t="s">
        <v>94</v>
      </c>
      <c r="S2567" t="s">
        <v>50</v>
      </c>
      <c r="T2567" t="s">
        <v>63</v>
      </c>
      <c r="U2567" t="s">
        <v>58</v>
      </c>
    </row>
    <row r="2568" spans="1:21" x14ac:dyDescent="0.35">
      <c r="A2568" t="s">
        <v>2648</v>
      </c>
      <c r="B2568" s="1">
        <v>46284</v>
      </c>
      <c r="C2568" t="str">
        <f>TEXT(tblData[[#This Row],[Rental Date]],"mmm")</f>
        <v>Sep</v>
      </c>
      <c r="D2568" t="str">
        <f>TEXT(tblData[[#This Row],[Rental Date]],"mmmm")</f>
        <v>September</v>
      </c>
      <c r="E2568" t="s">
        <v>56</v>
      </c>
      <c r="F2568" t="str">
        <f>TEXT(WEEKNUM(tblData[[#This Row],[Rental Date]]),"00")</f>
        <v>38</v>
      </c>
      <c r="G2568" s="1">
        <f>EOMONTH(tblData[[#This Row],[Rental Date]],0)</f>
        <v>46295</v>
      </c>
      <c r="H2568" t="s">
        <v>2441</v>
      </c>
      <c r="I2568" t="s">
        <v>39</v>
      </c>
      <c r="J2568" t="s">
        <v>86</v>
      </c>
      <c r="K2568" t="s">
        <v>25</v>
      </c>
      <c r="L2568">
        <v>1</v>
      </c>
      <c r="M2568" s="2">
        <v>62.64</v>
      </c>
      <c r="N2568" t="s">
        <v>89</v>
      </c>
      <c r="O2568" s="3">
        <v>6</v>
      </c>
      <c r="P2568" s="3">
        <v>3.43</v>
      </c>
      <c r="Q2568" s="2">
        <v>65.209999999999994</v>
      </c>
      <c r="R2568" t="s">
        <v>66</v>
      </c>
      <c r="S2568" t="s">
        <v>28</v>
      </c>
      <c r="T2568" t="s">
        <v>29</v>
      </c>
      <c r="U2568" t="s">
        <v>30</v>
      </c>
    </row>
    <row r="2569" spans="1:21" x14ac:dyDescent="0.35">
      <c r="A2569" t="s">
        <v>2649</v>
      </c>
      <c r="B2569" s="1">
        <v>46284</v>
      </c>
      <c r="C2569" t="str">
        <f>TEXT(tblData[[#This Row],[Rental Date]],"mmm")</f>
        <v>Sep</v>
      </c>
      <c r="D2569" t="str">
        <f>TEXT(tblData[[#This Row],[Rental Date]],"mmmm")</f>
        <v>September</v>
      </c>
      <c r="E2569" t="s">
        <v>56</v>
      </c>
      <c r="F2569" t="str">
        <f>TEXT(WEEKNUM(tblData[[#This Row],[Rental Date]]),"00")</f>
        <v>38</v>
      </c>
      <c r="G2569" s="1">
        <f>EOMONTH(tblData[[#This Row],[Rental Date]],0)</f>
        <v>46295</v>
      </c>
      <c r="H2569" t="s">
        <v>2441</v>
      </c>
      <c r="I2569" t="s">
        <v>48</v>
      </c>
      <c r="J2569" t="s">
        <v>78</v>
      </c>
      <c r="K2569" t="s">
        <v>60</v>
      </c>
      <c r="L2569">
        <v>1</v>
      </c>
      <c r="M2569" s="2">
        <v>28.08</v>
      </c>
      <c r="N2569" t="s">
        <v>26</v>
      </c>
      <c r="O2569" s="3">
        <v>0</v>
      </c>
      <c r="P2569" s="3">
        <v>0</v>
      </c>
      <c r="Q2569" s="2">
        <v>28.08</v>
      </c>
      <c r="R2569" t="s">
        <v>45</v>
      </c>
      <c r="S2569" t="s">
        <v>35</v>
      </c>
      <c r="T2569" t="s">
        <v>29</v>
      </c>
      <c r="U2569" t="s">
        <v>58</v>
      </c>
    </row>
    <row r="2570" spans="1:21" x14ac:dyDescent="0.35">
      <c r="A2570" t="s">
        <v>2650</v>
      </c>
      <c r="B2570" s="1">
        <v>46284</v>
      </c>
      <c r="C2570" t="str">
        <f>TEXT(tblData[[#This Row],[Rental Date]],"mmm")</f>
        <v>Sep</v>
      </c>
      <c r="D2570" t="str">
        <f>TEXT(tblData[[#This Row],[Rental Date]],"mmmm")</f>
        <v>September</v>
      </c>
      <c r="E2570" t="s">
        <v>56</v>
      </c>
      <c r="F2570" t="str">
        <f>TEXT(WEEKNUM(tblData[[#This Row],[Rental Date]]),"00")</f>
        <v>38</v>
      </c>
      <c r="G2570" s="1">
        <f>EOMONTH(tblData[[#This Row],[Rental Date]],0)</f>
        <v>46295</v>
      </c>
      <c r="H2570" t="s">
        <v>2441</v>
      </c>
      <c r="I2570" t="s">
        <v>32</v>
      </c>
      <c r="J2570" t="s">
        <v>33</v>
      </c>
      <c r="K2570" t="s">
        <v>25</v>
      </c>
      <c r="L2570">
        <v>1</v>
      </c>
      <c r="M2570" s="2">
        <v>41.04</v>
      </c>
      <c r="N2570" t="s">
        <v>41</v>
      </c>
      <c r="O2570" s="3">
        <v>5</v>
      </c>
      <c r="P2570" s="3">
        <v>4.5999999999999996</v>
      </c>
      <c r="Q2570" s="2">
        <v>41.44</v>
      </c>
      <c r="R2570" t="s">
        <v>45</v>
      </c>
      <c r="S2570" t="s">
        <v>46</v>
      </c>
      <c r="T2570" t="s">
        <v>90</v>
      </c>
      <c r="U2570" t="s">
        <v>58</v>
      </c>
    </row>
    <row r="2571" spans="1:21" x14ac:dyDescent="0.35">
      <c r="A2571" t="s">
        <v>2651</v>
      </c>
      <c r="B2571" s="1">
        <v>46284</v>
      </c>
      <c r="C2571" t="str">
        <f>TEXT(tblData[[#This Row],[Rental Date]],"mmm")</f>
        <v>Sep</v>
      </c>
      <c r="D2571" t="str">
        <f>TEXT(tblData[[#This Row],[Rental Date]],"mmmm")</f>
        <v>September</v>
      </c>
      <c r="E2571" t="s">
        <v>56</v>
      </c>
      <c r="F2571" t="str">
        <f>TEXT(WEEKNUM(tblData[[#This Row],[Rental Date]]),"00")</f>
        <v>38</v>
      </c>
      <c r="G2571" s="1">
        <f>EOMONTH(tblData[[#This Row],[Rental Date]],0)</f>
        <v>46295</v>
      </c>
      <c r="H2571" t="s">
        <v>2441</v>
      </c>
      <c r="I2571" t="s">
        <v>39</v>
      </c>
      <c r="J2571" t="s">
        <v>78</v>
      </c>
      <c r="K2571" t="s">
        <v>25</v>
      </c>
      <c r="L2571">
        <v>1</v>
      </c>
      <c r="M2571" s="2">
        <v>45.36</v>
      </c>
      <c r="N2571" t="s">
        <v>26</v>
      </c>
      <c r="O2571" s="3">
        <v>0</v>
      </c>
      <c r="P2571" s="3">
        <v>0</v>
      </c>
      <c r="Q2571" s="2">
        <v>45.36</v>
      </c>
      <c r="R2571" t="s">
        <v>62</v>
      </c>
      <c r="S2571" t="s">
        <v>28</v>
      </c>
      <c r="T2571" t="s">
        <v>83</v>
      </c>
      <c r="U2571" t="s">
        <v>30</v>
      </c>
    </row>
    <row r="2572" spans="1:21" x14ac:dyDescent="0.35">
      <c r="A2572" t="s">
        <v>2652</v>
      </c>
      <c r="B2572" s="1">
        <v>46285</v>
      </c>
      <c r="C2572" t="str">
        <f>TEXT(tblData[[#This Row],[Rental Date]],"mmm")</f>
        <v>Sep</v>
      </c>
      <c r="D2572" t="str">
        <f>TEXT(tblData[[#This Row],[Rental Date]],"mmmm")</f>
        <v>September</v>
      </c>
      <c r="E2572" t="s">
        <v>68</v>
      </c>
      <c r="F2572" t="str">
        <f>TEXT(WEEKNUM(tblData[[#This Row],[Rental Date]]),"00")</f>
        <v>39</v>
      </c>
      <c r="G2572" s="1">
        <f>EOMONTH(tblData[[#This Row],[Rental Date]],0)</f>
        <v>46295</v>
      </c>
      <c r="H2572" t="s">
        <v>2441</v>
      </c>
      <c r="I2572" t="s">
        <v>39</v>
      </c>
      <c r="J2572" t="s">
        <v>24</v>
      </c>
      <c r="K2572" t="s">
        <v>92</v>
      </c>
      <c r="L2572">
        <v>1</v>
      </c>
      <c r="M2572" s="2">
        <v>118.8</v>
      </c>
      <c r="N2572" t="s">
        <v>26</v>
      </c>
      <c r="O2572" s="3">
        <v>0</v>
      </c>
      <c r="P2572" s="3">
        <v>0</v>
      </c>
      <c r="Q2572" s="2">
        <v>118.8</v>
      </c>
      <c r="R2572" t="s">
        <v>71</v>
      </c>
      <c r="S2572" t="s">
        <v>35</v>
      </c>
      <c r="T2572" t="s">
        <v>63</v>
      </c>
      <c r="U2572" t="s">
        <v>58</v>
      </c>
    </row>
    <row r="2573" spans="1:21" x14ac:dyDescent="0.35">
      <c r="A2573" t="s">
        <v>2653</v>
      </c>
      <c r="B2573" s="1">
        <v>46285</v>
      </c>
      <c r="C2573" t="str">
        <f>TEXT(tblData[[#This Row],[Rental Date]],"mmm")</f>
        <v>Sep</v>
      </c>
      <c r="D2573" t="str">
        <f>TEXT(tblData[[#This Row],[Rental Date]],"mmmm")</f>
        <v>September</v>
      </c>
      <c r="E2573" t="s">
        <v>68</v>
      </c>
      <c r="F2573" t="str">
        <f>TEXT(WEEKNUM(tblData[[#This Row],[Rental Date]]),"00")</f>
        <v>39</v>
      </c>
      <c r="G2573" s="1">
        <f>EOMONTH(tblData[[#This Row],[Rental Date]],0)</f>
        <v>46295</v>
      </c>
      <c r="H2573" t="s">
        <v>2441</v>
      </c>
      <c r="I2573" t="s">
        <v>48</v>
      </c>
      <c r="J2573" t="s">
        <v>78</v>
      </c>
      <c r="K2573" t="s">
        <v>25</v>
      </c>
      <c r="L2573">
        <v>1</v>
      </c>
      <c r="M2573" s="2">
        <v>45.36</v>
      </c>
      <c r="N2573" t="s">
        <v>26</v>
      </c>
      <c r="O2573" s="3">
        <v>0</v>
      </c>
      <c r="P2573" s="3">
        <v>0</v>
      </c>
      <c r="Q2573" s="2">
        <v>45.36</v>
      </c>
      <c r="R2573" t="s">
        <v>62</v>
      </c>
      <c r="S2573" t="s">
        <v>28</v>
      </c>
      <c r="T2573" t="s">
        <v>63</v>
      </c>
      <c r="U2573" t="s">
        <v>30</v>
      </c>
    </row>
    <row r="2574" spans="1:21" x14ac:dyDescent="0.35">
      <c r="A2574" t="s">
        <v>2654</v>
      </c>
      <c r="B2574" s="1">
        <v>46285</v>
      </c>
      <c r="C2574" t="str">
        <f>TEXT(tblData[[#This Row],[Rental Date]],"mmm")</f>
        <v>Sep</v>
      </c>
      <c r="D2574" t="str">
        <f>TEXT(tblData[[#This Row],[Rental Date]],"mmmm")</f>
        <v>September</v>
      </c>
      <c r="E2574" t="s">
        <v>68</v>
      </c>
      <c r="F2574" t="str">
        <f>TEXT(WEEKNUM(tblData[[#This Row],[Rental Date]]),"00")</f>
        <v>39</v>
      </c>
      <c r="G2574" s="1">
        <f>EOMONTH(tblData[[#This Row],[Rental Date]],0)</f>
        <v>46295</v>
      </c>
      <c r="H2574" t="s">
        <v>2441</v>
      </c>
      <c r="I2574" t="s">
        <v>39</v>
      </c>
      <c r="J2574" t="s">
        <v>24</v>
      </c>
      <c r="K2574" t="s">
        <v>25</v>
      </c>
      <c r="L2574">
        <v>1</v>
      </c>
      <c r="M2574" s="2">
        <v>54</v>
      </c>
      <c r="N2574" t="s">
        <v>89</v>
      </c>
      <c r="O2574" s="3">
        <v>6</v>
      </c>
      <c r="P2574" s="3">
        <v>0</v>
      </c>
      <c r="Q2574" s="2">
        <v>60</v>
      </c>
      <c r="R2574" t="s">
        <v>76</v>
      </c>
      <c r="S2574" t="s">
        <v>35</v>
      </c>
      <c r="T2574" t="s">
        <v>51</v>
      </c>
      <c r="U2574" t="s">
        <v>30</v>
      </c>
    </row>
    <row r="2575" spans="1:21" x14ac:dyDescent="0.35">
      <c r="A2575" t="s">
        <v>2655</v>
      </c>
      <c r="B2575" s="1">
        <v>46285</v>
      </c>
      <c r="C2575" t="str">
        <f>TEXT(tblData[[#This Row],[Rental Date]],"mmm")</f>
        <v>Sep</v>
      </c>
      <c r="D2575" t="str">
        <f>TEXT(tblData[[#This Row],[Rental Date]],"mmmm")</f>
        <v>September</v>
      </c>
      <c r="E2575" t="s">
        <v>68</v>
      </c>
      <c r="F2575" t="str">
        <f>TEXT(WEEKNUM(tblData[[#This Row],[Rental Date]]),"00")</f>
        <v>39</v>
      </c>
      <c r="G2575" s="1">
        <f>EOMONTH(tblData[[#This Row],[Rental Date]],0)</f>
        <v>46295</v>
      </c>
      <c r="H2575" t="s">
        <v>2441</v>
      </c>
      <c r="I2575" t="s">
        <v>48</v>
      </c>
      <c r="J2575" t="s">
        <v>65</v>
      </c>
      <c r="K2575" t="s">
        <v>40</v>
      </c>
      <c r="L2575">
        <v>1</v>
      </c>
      <c r="M2575" s="2">
        <v>30.24</v>
      </c>
      <c r="N2575" t="s">
        <v>26</v>
      </c>
      <c r="O2575" s="3">
        <v>0</v>
      </c>
      <c r="P2575" s="3">
        <v>0</v>
      </c>
      <c r="Q2575" s="2">
        <v>30.24</v>
      </c>
      <c r="R2575" t="s">
        <v>27</v>
      </c>
      <c r="S2575" t="s">
        <v>35</v>
      </c>
      <c r="T2575" t="s">
        <v>63</v>
      </c>
      <c r="U2575" t="s">
        <v>30</v>
      </c>
    </row>
    <row r="2576" spans="1:21" x14ac:dyDescent="0.35">
      <c r="A2576" t="s">
        <v>2656</v>
      </c>
      <c r="B2576" s="1">
        <v>46285</v>
      </c>
      <c r="C2576" t="str">
        <f>TEXT(tblData[[#This Row],[Rental Date]],"mmm")</f>
        <v>Sep</v>
      </c>
      <c r="D2576" t="str">
        <f>TEXT(tblData[[#This Row],[Rental Date]],"mmmm")</f>
        <v>September</v>
      </c>
      <c r="E2576" t="s">
        <v>68</v>
      </c>
      <c r="F2576" t="str">
        <f>TEXT(WEEKNUM(tblData[[#This Row],[Rental Date]]),"00")</f>
        <v>39</v>
      </c>
      <c r="G2576" s="1">
        <f>EOMONTH(tblData[[#This Row],[Rental Date]],0)</f>
        <v>46295</v>
      </c>
      <c r="H2576" t="s">
        <v>2441</v>
      </c>
      <c r="I2576" t="s">
        <v>48</v>
      </c>
      <c r="J2576" t="s">
        <v>78</v>
      </c>
      <c r="K2576" t="s">
        <v>25</v>
      </c>
      <c r="L2576">
        <v>1</v>
      </c>
      <c r="M2576" s="2">
        <v>45.36</v>
      </c>
      <c r="N2576" t="s">
        <v>26</v>
      </c>
      <c r="O2576" s="3">
        <v>0</v>
      </c>
      <c r="P2576" s="3">
        <v>0</v>
      </c>
      <c r="Q2576" s="2">
        <v>45.36</v>
      </c>
      <c r="R2576" t="s">
        <v>45</v>
      </c>
      <c r="S2576" t="s">
        <v>50</v>
      </c>
      <c r="T2576" t="s">
        <v>63</v>
      </c>
      <c r="U2576" t="s">
        <v>30</v>
      </c>
    </row>
    <row r="2577" spans="1:21" x14ac:dyDescent="0.35">
      <c r="A2577" t="s">
        <v>2657</v>
      </c>
      <c r="B2577" s="1">
        <v>46285</v>
      </c>
      <c r="C2577" t="str">
        <f>TEXT(tblData[[#This Row],[Rental Date]],"mmm")</f>
        <v>Sep</v>
      </c>
      <c r="D2577" t="str">
        <f>TEXT(tblData[[#This Row],[Rental Date]],"mmmm")</f>
        <v>September</v>
      </c>
      <c r="E2577" t="s">
        <v>68</v>
      </c>
      <c r="F2577" t="str">
        <f>TEXT(WEEKNUM(tblData[[#This Row],[Rental Date]]),"00")</f>
        <v>39</v>
      </c>
      <c r="G2577" s="1">
        <f>EOMONTH(tblData[[#This Row],[Rental Date]],0)</f>
        <v>46295</v>
      </c>
      <c r="H2577" t="s">
        <v>2441</v>
      </c>
      <c r="I2577" t="s">
        <v>39</v>
      </c>
      <c r="J2577" t="s">
        <v>138</v>
      </c>
      <c r="K2577" t="s">
        <v>25</v>
      </c>
      <c r="L2577">
        <v>1</v>
      </c>
      <c r="M2577" s="2">
        <v>51.84</v>
      </c>
      <c r="N2577" t="s">
        <v>26</v>
      </c>
      <c r="O2577" s="3">
        <v>0</v>
      </c>
      <c r="P2577" s="3">
        <v>2.59</v>
      </c>
      <c r="Q2577" s="2">
        <v>49.25</v>
      </c>
      <c r="R2577" t="s">
        <v>76</v>
      </c>
      <c r="S2577" t="s">
        <v>28</v>
      </c>
      <c r="T2577" t="s">
        <v>29</v>
      </c>
      <c r="U2577" t="s">
        <v>58</v>
      </c>
    </row>
    <row r="2578" spans="1:21" x14ac:dyDescent="0.35">
      <c r="A2578" t="s">
        <v>2658</v>
      </c>
      <c r="B2578" s="1">
        <v>46285</v>
      </c>
      <c r="C2578" t="str">
        <f>TEXT(tblData[[#This Row],[Rental Date]],"mmm")</f>
        <v>Sep</v>
      </c>
      <c r="D2578" t="str">
        <f>TEXT(tblData[[#This Row],[Rental Date]],"mmmm")</f>
        <v>September</v>
      </c>
      <c r="E2578" t="s">
        <v>68</v>
      </c>
      <c r="F2578" t="str">
        <f>TEXT(WEEKNUM(tblData[[#This Row],[Rental Date]]),"00")</f>
        <v>39</v>
      </c>
      <c r="G2578" s="1">
        <f>EOMONTH(tblData[[#This Row],[Rental Date]],0)</f>
        <v>46295</v>
      </c>
      <c r="H2578" t="s">
        <v>2441</v>
      </c>
      <c r="I2578" t="s">
        <v>32</v>
      </c>
      <c r="J2578" t="s">
        <v>127</v>
      </c>
      <c r="K2578" t="s">
        <v>40</v>
      </c>
      <c r="L2578">
        <v>1</v>
      </c>
      <c r="M2578" s="2">
        <v>25.92</v>
      </c>
      <c r="N2578" t="s">
        <v>70</v>
      </c>
      <c r="O2578" s="3">
        <v>7</v>
      </c>
      <c r="P2578" s="3">
        <v>1.65</v>
      </c>
      <c r="Q2578" s="2">
        <v>31.27</v>
      </c>
      <c r="R2578" t="s">
        <v>62</v>
      </c>
      <c r="S2578" t="s">
        <v>46</v>
      </c>
      <c r="T2578" t="s">
        <v>29</v>
      </c>
      <c r="U2578" t="s">
        <v>30</v>
      </c>
    </row>
    <row r="2579" spans="1:21" x14ac:dyDescent="0.35">
      <c r="A2579" t="s">
        <v>2659</v>
      </c>
      <c r="B2579" s="1">
        <v>46285</v>
      </c>
      <c r="C2579" t="str">
        <f>TEXT(tblData[[#This Row],[Rental Date]],"mmm")</f>
        <v>Sep</v>
      </c>
      <c r="D2579" t="str">
        <f>TEXT(tblData[[#This Row],[Rental Date]],"mmmm")</f>
        <v>September</v>
      </c>
      <c r="E2579" t="s">
        <v>68</v>
      </c>
      <c r="F2579" t="str">
        <f>TEXT(WEEKNUM(tblData[[#This Row],[Rental Date]]),"00")</f>
        <v>39</v>
      </c>
      <c r="G2579" s="1">
        <f>EOMONTH(tblData[[#This Row],[Rental Date]],0)</f>
        <v>46295</v>
      </c>
      <c r="H2579" t="s">
        <v>2441</v>
      </c>
      <c r="I2579" t="s">
        <v>48</v>
      </c>
      <c r="J2579" t="s">
        <v>33</v>
      </c>
      <c r="K2579" t="s">
        <v>40</v>
      </c>
      <c r="L2579">
        <v>1</v>
      </c>
      <c r="M2579" s="2">
        <v>62.64</v>
      </c>
      <c r="N2579" t="s">
        <v>26</v>
      </c>
      <c r="O2579" s="3">
        <v>0</v>
      </c>
      <c r="P2579" s="3">
        <v>0</v>
      </c>
      <c r="Q2579" s="2">
        <v>62.64</v>
      </c>
      <c r="R2579" t="s">
        <v>94</v>
      </c>
      <c r="S2579" t="s">
        <v>50</v>
      </c>
      <c r="T2579" t="s">
        <v>29</v>
      </c>
      <c r="U2579" t="s">
        <v>36</v>
      </c>
    </row>
    <row r="2580" spans="1:21" x14ac:dyDescent="0.35">
      <c r="A2580" t="s">
        <v>2660</v>
      </c>
      <c r="B2580" s="1">
        <v>46285</v>
      </c>
      <c r="C2580" t="str">
        <f>TEXT(tblData[[#This Row],[Rental Date]],"mmm")</f>
        <v>Sep</v>
      </c>
      <c r="D2580" t="str">
        <f>TEXT(tblData[[#This Row],[Rental Date]],"mmmm")</f>
        <v>September</v>
      </c>
      <c r="E2580" t="s">
        <v>68</v>
      </c>
      <c r="F2580" t="str">
        <f>TEXT(WEEKNUM(tblData[[#This Row],[Rental Date]]),"00")</f>
        <v>39</v>
      </c>
      <c r="G2580" s="1">
        <f>EOMONTH(tblData[[#This Row],[Rental Date]],0)</f>
        <v>46295</v>
      </c>
      <c r="H2580" t="s">
        <v>2441</v>
      </c>
      <c r="I2580" t="s">
        <v>48</v>
      </c>
      <c r="J2580" t="s">
        <v>78</v>
      </c>
      <c r="K2580" t="s">
        <v>92</v>
      </c>
      <c r="L2580">
        <v>1</v>
      </c>
      <c r="M2580" s="2">
        <v>95.04</v>
      </c>
      <c r="N2580" t="s">
        <v>26</v>
      </c>
      <c r="O2580" s="3">
        <v>0</v>
      </c>
      <c r="P2580" s="3">
        <v>0</v>
      </c>
      <c r="Q2580" s="2">
        <v>95.04</v>
      </c>
      <c r="R2580" t="s">
        <v>94</v>
      </c>
      <c r="S2580" t="s">
        <v>50</v>
      </c>
      <c r="T2580" t="s">
        <v>29</v>
      </c>
      <c r="U2580" t="s">
        <v>30</v>
      </c>
    </row>
    <row r="2581" spans="1:21" x14ac:dyDescent="0.35">
      <c r="A2581" t="s">
        <v>2661</v>
      </c>
      <c r="B2581" s="1">
        <v>46285</v>
      </c>
      <c r="C2581" t="str">
        <f>TEXT(tblData[[#This Row],[Rental Date]],"mmm")</f>
        <v>Sep</v>
      </c>
      <c r="D2581" t="str">
        <f>TEXT(tblData[[#This Row],[Rental Date]],"mmmm")</f>
        <v>September</v>
      </c>
      <c r="E2581" t="s">
        <v>68</v>
      </c>
      <c r="F2581" t="str">
        <f>TEXT(WEEKNUM(tblData[[#This Row],[Rental Date]]),"00")</f>
        <v>39</v>
      </c>
      <c r="G2581" s="1">
        <f>EOMONTH(tblData[[#This Row],[Rental Date]],0)</f>
        <v>46295</v>
      </c>
      <c r="H2581" t="s">
        <v>2441</v>
      </c>
      <c r="I2581" t="s">
        <v>32</v>
      </c>
      <c r="J2581" t="s">
        <v>111</v>
      </c>
      <c r="K2581" t="s">
        <v>25</v>
      </c>
      <c r="L2581">
        <v>1</v>
      </c>
      <c r="M2581" s="2">
        <v>23.76</v>
      </c>
      <c r="N2581" t="s">
        <v>75</v>
      </c>
      <c r="O2581" s="3">
        <v>12</v>
      </c>
      <c r="P2581" s="3">
        <v>1.79</v>
      </c>
      <c r="Q2581" s="2">
        <v>33.97</v>
      </c>
      <c r="R2581" t="s">
        <v>76</v>
      </c>
      <c r="S2581" t="s">
        <v>46</v>
      </c>
      <c r="T2581" t="s">
        <v>51</v>
      </c>
      <c r="U2581" t="s">
        <v>30</v>
      </c>
    </row>
    <row r="2582" spans="1:21" x14ac:dyDescent="0.35">
      <c r="A2582" t="s">
        <v>2662</v>
      </c>
      <c r="B2582" s="1">
        <v>46286</v>
      </c>
      <c r="C2582" t="str">
        <f>TEXT(tblData[[#This Row],[Rental Date]],"mmm")</f>
        <v>Sep</v>
      </c>
      <c r="D2582" t="str">
        <f>TEXT(tblData[[#This Row],[Rental Date]],"mmmm")</f>
        <v>September</v>
      </c>
      <c r="E2582" t="s">
        <v>74</v>
      </c>
      <c r="F2582" t="str">
        <f>TEXT(WEEKNUM(tblData[[#This Row],[Rental Date]]),"00")</f>
        <v>39</v>
      </c>
      <c r="G2582" s="1">
        <f>EOMONTH(tblData[[#This Row],[Rental Date]],0)</f>
        <v>46295</v>
      </c>
      <c r="H2582" t="s">
        <v>2441</v>
      </c>
      <c r="I2582" t="s">
        <v>32</v>
      </c>
      <c r="J2582" t="s">
        <v>78</v>
      </c>
      <c r="K2582" t="s">
        <v>60</v>
      </c>
      <c r="L2582">
        <v>1</v>
      </c>
      <c r="M2582" s="2">
        <v>26</v>
      </c>
      <c r="N2582" t="s">
        <v>87</v>
      </c>
      <c r="O2582" s="3">
        <v>10</v>
      </c>
      <c r="P2582" s="3">
        <v>1.8</v>
      </c>
      <c r="Q2582" s="2">
        <v>34.200000000000003</v>
      </c>
      <c r="R2582" t="s">
        <v>34</v>
      </c>
      <c r="S2582" t="s">
        <v>35</v>
      </c>
      <c r="T2582" t="s">
        <v>29</v>
      </c>
      <c r="U2582" t="s">
        <v>58</v>
      </c>
    </row>
    <row r="2583" spans="1:21" x14ac:dyDescent="0.35">
      <c r="A2583" t="s">
        <v>2663</v>
      </c>
      <c r="B2583" s="1">
        <v>46286</v>
      </c>
      <c r="C2583" t="str">
        <f>TEXT(tblData[[#This Row],[Rental Date]],"mmm")</f>
        <v>Sep</v>
      </c>
      <c r="D2583" t="str">
        <f>TEXT(tblData[[#This Row],[Rental Date]],"mmmm")</f>
        <v>September</v>
      </c>
      <c r="E2583" t="s">
        <v>74</v>
      </c>
      <c r="F2583" t="str">
        <f>TEXT(WEEKNUM(tblData[[#This Row],[Rental Date]]),"00")</f>
        <v>39</v>
      </c>
      <c r="G2583" s="1">
        <f>EOMONTH(tblData[[#This Row],[Rental Date]],0)</f>
        <v>46295</v>
      </c>
      <c r="H2583" t="s">
        <v>2441</v>
      </c>
      <c r="I2583" t="s">
        <v>48</v>
      </c>
      <c r="J2583" t="s">
        <v>65</v>
      </c>
      <c r="K2583" t="s">
        <v>40</v>
      </c>
      <c r="L2583">
        <v>1</v>
      </c>
      <c r="M2583" s="2">
        <v>28</v>
      </c>
      <c r="N2583" t="s">
        <v>26</v>
      </c>
      <c r="O2583" s="3">
        <v>0</v>
      </c>
      <c r="P2583" s="3">
        <v>0</v>
      </c>
      <c r="Q2583" s="2">
        <v>28</v>
      </c>
      <c r="R2583" t="s">
        <v>76</v>
      </c>
      <c r="S2583" t="s">
        <v>50</v>
      </c>
      <c r="T2583" t="s">
        <v>29</v>
      </c>
      <c r="U2583" t="s">
        <v>30</v>
      </c>
    </row>
    <row r="2584" spans="1:21" x14ac:dyDescent="0.35">
      <c r="A2584" t="s">
        <v>2664</v>
      </c>
      <c r="B2584" s="1">
        <v>46286</v>
      </c>
      <c r="C2584" t="str">
        <f>TEXT(tblData[[#This Row],[Rental Date]],"mmm")</f>
        <v>Sep</v>
      </c>
      <c r="D2584" t="str">
        <f>TEXT(tblData[[#This Row],[Rental Date]],"mmmm")</f>
        <v>September</v>
      </c>
      <c r="E2584" t="s">
        <v>74</v>
      </c>
      <c r="F2584" t="str">
        <f>TEXT(WEEKNUM(tblData[[#This Row],[Rental Date]]),"00")</f>
        <v>39</v>
      </c>
      <c r="G2584" s="1">
        <f>EOMONTH(tblData[[#This Row],[Rental Date]],0)</f>
        <v>46295</v>
      </c>
      <c r="H2584" t="s">
        <v>2441</v>
      </c>
      <c r="I2584" t="s">
        <v>53</v>
      </c>
      <c r="J2584" t="s">
        <v>127</v>
      </c>
      <c r="K2584" t="s">
        <v>40</v>
      </c>
      <c r="L2584">
        <v>1</v>
      </c>
      <c r="M2584" s="2">
        <v>24</v>
      </c>
      <c r="N2584" t="s">
        <v>70</v>
      </c>
      <c r="O2584" s="3">
        <v>7</v>
      </c>
      <c r="P2584" s="3">
        <v>3.1</v>
      </c>
      <c r="Q2584" s="2">
        <v>27.9</v>
      </c>
      <c r="R2584" t="s">
        <v>34</v>
      </c>
      <c r="S2584" t="s">
        <v>35</v>
      </c>
      <c r="T2584" t="s">
        <v>51</v>
      </c>
      <c r="U2584" t="s">
        <v>30</v>
      </c>
    </row>
    <row r="2585" spans="1:21" x14ac:dyDescent="0.35">
      <c r="A2585" t="s">
        <v>2665</v>
      </c>
      <c r="B2585" s="1">
        <v>46286</v>
      </c>
      <c r="C2585" t="str">
        <f>TEXT(tblData[[#This Row],[Rental Date]],"mmm")</f>
        <v>Sep</v>
      </c>
      <c r="D2585" t="str">
        <f>TEXT(tblData[[#This Row],[Rental Date]],"mmmm")</f>
        <v>September</v>
      </c>
      <c r="E2585" t="s">
        <v>74</v>
      </c>
      <c r="F2585" t="str">
        <f>TEXT(WEEKNUM(tblData[[#This Row],[Rental Date]]),"00")</f>
        <v>39</v>
      </c>
      <c r="G2585" s="1">
        <f>EOMONTH(tblData[[#This Row],[Rental Date]],0)</f>
        <v>46295</v>
      </c>
      <c r="H2585" t="s">
        <v>2441</v>
      </c>
      <c r="I2585" t="s">
        <v>48</v>
      </c>
      <c r="J2585" t="s">
        <v>24</v>
      </c>
      <c r="K2585" t="s">
        <v>25</v>
      </c>
      <c r="L2585">
        <v>1</v>
      </c>
      <c r="M2585" s="2">
        <v>50</v>
      </c>
      <c r="N2585" t="s">
        <v>26</v>
      </c>
      <c r="O2585" s="3">
        <v>0</v>
      </c>
      <c r="P2585" s="3">
        <v>0</v>
      </c>
      <c r="Q2585" s="2">
        <v>50</v>
      </c>
      <c r="R2585" t="s">
        <v>45</v>
      </c>
      <c r="S2585" t="s">
        <v>50</v>
      </c>
      <c r="T2585" t="s">
        <v>29</v>
      </c>
      <c r="U2585" t="s">
        <v>30</v>
      </c>
    </row>
    <row r="2586" spans="1:21" x14ac:dyDescent="0.35">
      <c r="A2586" t="s">
        <v>2666</v>
      </c>
      <c r="B2586" s="1">
        <v>46286</v>
      </c>
      <c r="C2586" t="str">
        <f>TEXT(tblData[[#This Row],[Rental Date]],"mmm")</f>
        <v>Sep</v>
      </c>
      <c r="D2586" t="str">
        <f>TEXT(tblData[[#This Row],[Rental Date]],"mmmm")</f>
        <v>September</v>
      </c>
      <c r="E2586" t="s">
        <v>74</v>
      </c>
      <c r="F2586" t="str">
        <f>TEXT(WEEKNUM(tblData[[#This Row],[Rental Date]]),"00")</f>
        <v>39</v>
      </c>
      <c r="G2586" s="1">
        <f>EOMONTH(tblData[[#This Row],[Rental Date]],0)</f>
        <v>46295</v>
      </c>
      <c r="H2586" t="s">
        <v>2441</v>
      </c>
      <c r="I2586" t="s">
        <v>39</v>
      </c>
      <c r="J2586" t="s">
        <v>49</v>
      </c>
      <c r="K2586" t="s">
        <v>60</v>
      </c>
      <c r="L2586">
        <v>1</v>
      </c>
      <c r="M2586" s="2">
        <v>22</v>
      </c>
      <c r="N2586" t="s">
        <v>26</v>
      </c>
      <c r="O2586" s="3">
        <v>0</v>
      </c>
      <c r="P2586" s="3">
        <v>0</v>
      </c>
      <c r="Q2586" s="2">
        <v>22</v>
      </c>
      <c r="R2586" t="s">
        <v>27</v>
      </c>
      <c r="S2586" t="s">
        <v>54</v>
      </c>
      <c r="T2586" t="s">
        <v>90</v>
      </c>
      <c r="U2586" t="s">
        <v>30</v>
      </c>
    </row>
    <row r="2587" spans="1:21" x14ac:dyDescent="0.35">
      <c r="A2587" t="s">
        <v>2667</v>
      </c>
      <c r="B2587" s="1">
        <v>46286</v>
      </c>
      <c r="C2587" t="str">
        <f>TEXT(tblData[[#This Row],[Rental Date]],"mmm")</f>
        <v>Sep</v>
      </c>
      <c r="D2587" t="str">
        <f>TEXT(tblData[[#This Row],[Rental Date]],"mmmm")</f>
        <v>September</v>
      </c>
      <c r="E2587" t="s">
        <v>74</v>
      </c>
      <c r="F2587" t="str">
        <f>TEXT(WEEKNUM(tblData[[#This Row],[Rental Date]]),"00")</f>
        <v>39</v>
      </c>
      <c r="G2587" s="1">
        <f>EOMONTH(tblData[[#This Row],[Rental Date]],0)</f>
        <v>46295</v>
      </c>
      <c r="H2587" t="s">
        <v>2441</v>
      </c>
      <c r="I2587" t="s">
        <v>39</v>
      </c>
      <c r="J2587" t="s">
        <v>138</v>
      </c>
      <c r="K2587" t="s">
        <v>25</v>
      </c>
      <c r="L2587">
        <v>1</v>
      </c>
      <c r="M2587" s="2">
        <v>48</v>
      </c>
      <c r="N2587" t="s">
        <v>26</v>
      </c>
      <c r="O2587" s="3">
        <v>0</v>
      </c>
      <c r="P2587" s="3">
        <v>0</v>
      </c>
      <c r="Q2587" s="2">
        <v>48</v>
      </c>
      <c r="R2587" t="s">
        <v>42</v>
      </c>
      <c r="S2587" t="s">
        <v>28</v>
      </c>
      <c r="T2587" t="s">
        <v>29</v>
      </c>
      <c r="U2587" t="s">
        <v>30</v>
      </c>
    </row>
    <row r="2588" spans="1:21" x14ac:dyDescent="0.35">
      <c r="A2588" t="s">
        <v>2668</v>
      </c>
      <c r="B2588" s="1">
        <v>46286</v>
      </c>
      <c r="C2588" t="str">
        <f>TEXT(tblData[[#This Row],[Rental Date]],"mmm")</f>
        <v>Sep</v>
      </c>
      <c r="D2588" t="str">
        <f>TEXT(tblData[[#This Row],[Rental Date]],"mmmm")</f>
        <v>September</v>
      </c>
      <c r="E2588" t="s">
        <v>74</v>
      </c>
      <c r="F2588" t="str">
        <f>TEXT(WEEKNUM(tblData[[#This Row],[Rental Date]]),"00")</f>
        <v>39</v>
      </c>
      <c r="G2588" s="1">
        <f>EOMONTH(tblData[[#This Row],[Rental Date]],0)</f>
        <v>46295</v>
      </c>
      <c r="H2588" t="s">
        <v>2441</v>
      </c>
      <c r="I2588" t="s">
        <v>48</v>
      </c>
      <c r="J2588" t="s">
        <v>111</v>
      </c>
      <c r="K2588" t="s">
        <v>60</v>
      </c>
      <c r="L2588">
        <v>1</v>
      </c>
      <c r="M2588" s="2">
        <v>14</v>
      </c>
      <c r="N2588" t="s">
        <v>26</v>
      </c>
      <c r="O2588" s="3">
        <v>0</v>
      </c>
      <c r="P2588" s="3">
        <v>0</v>
      </c>
      <c r="Q2588" s="2">
        <v>14</v>
      </c>
      <c r="R2588" t="s">
        <v>94</v>
      </c>
      <c r="S2588" t="s">
        <v>35</v>
      </c>
      <c r="T2588" t="s">
        <v>29</v>
      </c>
      <c r="U2588" t="s">
        <v>30</v>
      </c>
    </row>
    <row r="2589" spans="1:21" x14ac:dyDescent="0.35">
      <c r="A2589" t="s">
        <v>2669</v>
      </c>
      <c r="B2589" s="1">
        <v>46286</v>
      </c>
      <c r="C2589" t="str">
        <f>TEXT(tblData[[#This Row],[Rental Date]],"mmm")</f>
        <v>Sep</v>
      </c>
      <c r="D2589" t="str">
        <f>TEXT(tblData[[#This Row],[Rental Date]],"mmmm")</f>
        <v>September</v>
      </c>
      <c r="E2589" t="s">
        <v>74</v>
      </c>
      <c r="F2589" t="str">
        <f>TEXT(WEEKNUM(tblData[[#This Row],[Rental Date]]),"00")</f>
        <v>39</v>
      </c>
      <c r="G2589" s="1">
        <f>EOMONTH(tblData[[#This Row],[Rental Date]],0)</f>
        <v>46295</v>
      </c>
      <c r="H2589" t="s">
        <v>2441</v>
      </c>
      <c r="I2589" t="s">
        <v>39</v>
      </c>
      <c r="J2589" t="s">
        <v>49</v>
      </c>
      <c r="K2589" t="s">
        <v>25</v>
      </c>
      <c r="L2589">
        <v>1</v>
      </c>
      <c r="M2589" s="2">
        <v>36</v>
      </c>
      <c r="N2589" t="s">
        <v>26</v>
      </c>
      <c r="O2589" s="3">
        <v>0</v>
      </c>
      <c r="P2589" s="3">
        <v>0</v>
      </c>
      <c r="Q2589" s="2">
        <v>36</v>
      </c>
      <c r="R2589" t="s">
        <v>94</v>
      </c>
      <c r="S2589" t="s">
        <v>50</v>
      </c>
      <c r="T2589" t="s">
        <v>51</v>
      </c>
      <c r="U2589" t="s">
        <v>30</v>
      </c>
    </row>
    <row r="2590" spans="1:21" x14ac:dyDescent="0.35">
      <c r="A2590" t="s">
        <v>2670</v>
      </c>
      <c r="B2590" s="1">
        <v>46286</v>
      </c>
      <c r="C2590" t="str">
        <f>TEXT(tblData[[#This Row],[Rental Date]],"mmm")</f>
        <v>Sep</v>
      </c>
      <c r="D2590" t="str">
        <f>TEXT(tblData[[#This Row],[Rental Date]],"mmmm")</f>
        <v>September</v>
      </c>
      <c r="E2590" t="s">
        <v>74</v>
      </c>
      <c r="F2590" t="str">
        <f>TEXT(WEEKNUM(tblData[[#This Row],[Rental Date]]),"00")</f>
        <v>39</v>
      </c>
      <c r="G2590" s="1">
        <f>EOMONTH(tblData[[#This Row],[Rental Date]],0)</f>
        <v>46295</v>
      </c>
      <c r="H2590" t="s">
        <v>2441</v>
      </c>
      <c r="I2590" t="s">
        <v>48</v>
      </c>
      <c r="J2590" t="s">
        <v>78</v>
      </c>
      <c r="K2590" t="s">
        <v>25</v>
      </c>
      <c r="L2590">
        <v>1</v>
      </c>
      <c r="M2590" s="2">
        <v>42</v>
      </c>
      <c r="N2590" t="s">
        <v>87</v>
      </c>
      <c r="O2590" s="3">
        <v>10</v>
      </c>
      <c r="P2590" s="3">
        <v>0</v>
      </c>
      <c r="Q2590" s="2">
        <v>52</v>
      </c>
      <c r="R2590" t="s">
        <v>94</v>
      </c>
      <c r="S2590" t="s">
        <v>28</v>
      </c>
      <c r="T2590" t="s">
        <v>63</v>
      </c>
      <c r="U2590" t="s">
        <v>30</v>
      </c>
    </row>
    <row r="2591" spans="1:21" x14ac:dyDescent="0.35">
      <c r="A2591" t="s">
        <v>2671</v>
      </c>
      <c r="B2591" s="1">
        <v>46286</v>
      </c>
      <c r="C2591" t="str">
        <f>TEXT(tblData[[#This Row],[Rental Date]],"mmm")</f>
        <v>Sep</v>
      </c>
      <c r="D2591" t="str">
        <f>TEXT(tblData[[#This Row],[Rental Date]],"mmmm")</f>
        <v>September</v>
      </c>
      <c r="E2591" t="s">
        <v>74</v>
      </c>
      <c r="F2591" t="str">
        <f>TEXT(WEEKNUM(tblData[[#This Row],[Rental Date]]),"00")</f>
        <v>39</v>
      </c>
      <c r="G2591" s="1">
        <f>EOMONTH(tblData[[#This Row],[Rental Date]],0)</f>
        <v>46295</v>
      </c>
      <c r="H2591" t="s">
        <v>2441</v>
      </c>
      <c r="I2591" t="s">
        <v>23</v>
      </c>
      <c r="J2591" t="s">
        <v>138</v>
      </c>
      <c r="K2591" t="s">
        <v>60</v>
      </c>
      <c r="L2591">
        <v>1</v>
      </c>
      <c r="M2591" s="2">
        <v>30</v>
      </c>
      <c r="N2591" t="s">
        <v>26</v>
      </c>
      <c r="O2591" s="3">
        <v>0</v>
      </c>
      <c r="P2591" s="3">
        <v>0</v>
      </c>
      <c r="Q2591" s="2">
        <v>30</v>
      </c>
      <c r="R2591" t="s">
        <v>42</v>
      </c>
      <c r="S2591" t="s">
        <v>54</v>
      </c>
      <c r="T2591" t="s">
        <v>29</v>
      </c>
      <c r="U2591" t="s">
        <v>79</v>
      </c>
    </row>
    <row r="2592" spans="1:21" x14ac:dyDescent="0.35">
      <c r="A2592" t="s">
        <v>2672</v>
      </c>
      <c r="B2592" s="1">
        <v>46286</v>
      </c>
      <c r="C2592" t="str">
        <f>TEXT(tblData[[#This Row],[Rental Date]],"mmm")</f>
        <v>Sep</v>
      </c>
      <c r="D2592" t="str">
        <f>TEXT(tblData[[#This Row],[Rental Date]],"mmmm")</f>
        <v>September</v>
      </c>
      <c r="E2592" t="s">
        <v>74</v>
      </c>
      <c r="F2592" t="str">
        <f>TEXT(WEEKNUM(tblData[[#This Row],[Rental Date]]),"00")</f>
        <v>39</v>
      </c>
      <c r="G2592" s="1">
        <f>EOMONTH(tblData[[#This Row],[Rental Date]],0)</f>
        <v>46295</v>
      </c>
      <c r="H2592" t="s">
        <v>2441</v>
      </c>
      <c r="I2592" t="s">
        <v>48</v>
      </c>
      <c r="J2592" t="s">
        <v>138</v>
      </c>
      <c r="K2592" t="s">
        <v>60</v>
      </c>
      <c r="L2592">
        <v>1</v>
      </c>
      <c r="M2592" s="2">
        <v>30</v>
      </c>
      <c r="N2592" t="s">
        <v>26</v>
      </c>
      <c r="O2592" s="3">
        <v>0</v>
      </c>
      <c r="P2592" s="3">
        <v>0</v>
      </c>
      <c r="Q2592" s="2">
        <v>30</v>
      </c>
      <c r="R2592" t="s">
        <v>71</v>
      </c>
      <c r="S2592" t="s">
        <v>35</v>
      </c>
      <c r="T2592" t="s">
        <v>51</v>
      </c>
      <c r="U2592" t="s">
        <v>36</v>
      </c>
    </row>
    <row r="2593" spans="1:21" x14ac:dyDescent="0.35">
      <c r="A2593" t="s">
        <v>2673</v>
      </c>
      <c r="B2593" s="1">
        <v>46286</v>
      </c>
      <c r="C2593" t="str">
        <f>TEXT(tblData[[#This Row],[Rental Date]],"mmm")</f>
        <v>Sep</v>
      </c>
      <c r="D2593" t="str">
        <f>TEXT(tblData[[#This Row],[Rental Date]],"mmmm")</f>
        <v>September</v>
      </c>
      <c r="E2593" t="s">
        <v>74</v>
      </c>
      <c r="F2593" t="str">
        <f>TEXT(WEEKNUM(tblData[[#This Row],[Rental Date]]),"00")</f>
        <v>39</v>
      </c>
      <c r="G2593" s="1">
        <f>EOMONTH(tblData[[#This Row],[Rental Date]],0)</f>
        <v>46295</v>
      </c>
      <c r="H2593" t="s">
        <v>2441</v>
      </c>
      <c r="I2593" t="s">
        <v>48</v>
      </c>
      <c r="J2593" t="s">
        <v>65</v>
      </c>
      <c r="K2593" t="s">
        <v>60</v>
      </c>
      <c r="L2593">
        <v>1</v>
      </c>
      <c r="M2593" s="2">
        <v>12</v>
      </c>
      <c r="N2593" t="s">
        <v>26</v>
      </c>
      <c r="O2593" s="3">
        <v>0</v>
      </c>
      <c r="P2593" s="3">
        <v>0</v>
      </c>
      <c r="Q2593" s="2">
        <v>12</v>
      </c>
      <c r="R2593" t="s">
        <v>42</v>
      </c>
      <c r="S2593" t="s">
        <v>35</v>
      </c>
      <c r="T2593" t="s">
        <v>51</v>
      </c>
      <c r="U2593" t="s">
        <v>30</v>
      </c>
    </row>
    <row r="2594" spans="1:21" x14ac:dyDescent="0.35">
      <c r="A2594" t="s">
        <v>2674</v>
      </c>
      <c r="B2594" s="1">
        <v>46286</v>
      </c>
      <c r="C2594" t="str">
        <f>TEXT(tblData[[#This Row],[Rental Date]],"mmm")</f>
        <v>Sep</v>
      </c>
      <c r="D2594" t="str">
        <f>TEXT(tblData[[#This Row],[Rental Date]],"mmmm")</f>
        <v>September</v>
      </c>
      <c r="E2594" t="s">
        <v>74</v>
      </c>
      <c r="F2594" t="str">
        <f>TEXT(WEEKNUM(tblData[[#This Row],[Rental Date]]),"00")</f>
        <v>39</v>
      </c>
      <c r="G2594" s="1">
        <f>EOMONTH(tblData[[#This Row],[Rental Date]],0)</f>
        <v>46295</v>
      </c>
      <c r="H2594" t="s">
        <v>2441</v>
      </c>
      <c r="I2594" t="s">
        <v>39</v>
      </c>
      <c r="J2594" t="s">
        <v>127</v>
      </c>
      <c r="K2594" t="s">
        <v>25</v>
      </c>
      <c r="L2594">
        <v>1</v>
      </c>
      <c r="M2594" s="2">
        <v>16</v>
      </c>
      <c r="N2594" t="s">
        <v>87</v>
      </c>
      <c r="O2594" s="3">
        <v>10</v>
      </c>
      <c r="P2594" s="3">
        <v>0</v>
      </c>
      <c r="Q2594" s="2">
        <v>26</v>
      </c>
      <c r="R2594" t="s">
        <v>34</v>
      </c>
      <c r="S2594" t="s">
        <v>28</v>
      </c>
      <c r="T2594" t="s">
        <v>29</v>
      </c>
      <c r="U2594" t="s">
        <v>30</v>
      </c>
    </row>
    <row r="2595" spans="1:21" x14ac:dyDescent="0.35">
      <c r="A2595" t="s">
        <v>2675</v>
      </c>
      <c r="B2595" s="1">
        <v>46287</v>
      </c>
      <c r="C2595" t="str">
        <f>TEXT(tblData[[#This Row],[Rental Date]],"mmm")</f>
        <v>Sep</v>
      </c>
      <c r="D2595" t="str">
        <f>TEXT(tblData[[#This Row],[Rental Date]],"mmmm")</f>
        <v>September</v>
      </c>
      <c r="E2595" t="s">
        <v>102</v>
      </c>
      <c r="F2595" t="str">
        <f>TEXT(WEEKNUM(tblData[[#This Row],[Rental Date]]),"00")</f>
        <v>39</v>
      </c>
      <c r="G2595" s="1">
        <f>EOMONTH(tblData[[#This Row],[Rental Date]],0)</f>
        <v>46295</v>
      </c>
      <c r="H2595" t="s">
        <v>2441</v>
      </c>
      <c r="I2595" t="s">
        <v>39</v>
      </c>
      <c r="J2595" t="s">
        <v>24</v>
      </c>
      <c r="K2595" t="s">
        <v>60</v>
      </c>
      <c r="L2595">
        <v>1</v>
      </c>
      <c r="M2595" s="2">
        <v>32</v>
      </c>
      <c r="N2595" t="s">
        <v>26</v>
      </c>
      <c r="O2595" s="3">
        <v>0</v>
      </c>
      <c r="P2595" s="3">
        <v>0</v>
      </c>
      <c r="Q2595" s="2">
        <v>32</v>
      </c>
      <c r="R2595" t="s">
        <v>94</v>
      </c>
      <c r="S2595" t="s">
        <v>50</v>
      </c>
      <c r="T2595" t="s">
        <v>29</v>
      </c>
      <c r="U2595" t="s">
        <v>30</v>
      </c>
    </row>
    <row r="2596" spans="1:21" x14ac:dyDescent="0.35">
      <c r="A2596" t="s">
        <v>2676</v>
      </c>
      <c r="B2596" s="1">
        <v>46287</v>
      </c>
      <c r="C2596" t="str">
        <f>TEXT(tblData[[#This Row],[Rental Date]],"mmm")</f>
        <v>Sep</v>
      </c>
      <c r="D2596" t="str">
        <f>TEXT(tblData[[#This Row],[Rental Date]],"mmmm")</f>
        <v>September</v>
      </c>
      <c r="E2596" t="s">
        <v>102</v>
      </c>
      <c r="F2596" t="str">
        <f>TEXT(WEEKNUM(tblData[[#This Row],[Rental Date]]),"00")</f>
        <v>39</v>
      </c>
      <c r="G2596" s="1">
        <f>EOMONTH(tblData[[#This Row],[Rental Date]],0)</f>
        <v>46295</v>
      </c>
      <c r="H2596" t="s">
        <v>2441</v>
      </c>
      <c r="I2596" t="s">
        <v>53</v>
      </c>
      <c r="J2596" t="s">
        <v>44</v>
      </c>
      <c r="K2596" t="s">
        <v>60</v>
      </c>
      <c r="L2596">
        <v>1</v>
      </c>
      <c r="M2596" s="2">
        <v>34</v>
      </c>
      <c r="N2596" t="s">
        <v>41</v>
      </c>
      <c r="O2596" s="3">
        <v>5</v>
      </c>
      <c r="P2596" s="3">
        <v>5.85</v>
      </c>
      <c r="Q2596" s="2">
        <v>33.15</v>
      </c>
      <c r="R2596" t="s">
        <v>62</v>
      </c>
      <c r="S2596" t="s">
        <v>50</v>
      </c>
      <c r="T2596" t="s">
        <v>29</v>
      </c>
      <c r="U2596" t="s">
        <v>58</v>
      </c>
    </row>
    <row r="2597" spans="1:21" x14ac:dyDescent="0.35">
      <c r="A2597" t="s">
        <v>2677</v>
      </c>
      <c r="B2597" s="1">
        <v>46287</v>
      </c>
      <c r="C2597" t="str">
        <f>TEXT(tblData[[#This Row],[Rental Date]],"mmm")</f>
        <v>Sep</v>
      </c>
      <c r="D2597" t="str">
        <f>TEXT(tblData[[#This Row],[Rental Date]],"mmmm")</f>
        <v>September</v>
      </c>
      <c r="E2597" t="s">
        <v>102</v>
      </c>
      <c r="F2597" t="str">
        <f>TEXT(WEEKNUM(tblData[[#This Row],[Rental Date]]),"00")</f>
        <v>39</v>
      </c>
      <c r="G2597" s="1">
        <f>EOMONTH(tblData[[#This Row],[Rental Date]],0)</f>
        <v>46295</v>
      </c>
      <c r="H2597" t="s">
        <v>2441</v>
      </c>
      <c r="I2597" t="s">
        <v>48</v>
      </c>
      <c r="J2597" t="s">
        <v>78</v>
      </c>
      <c r="K2597" t="s">
        <v>25</v>
      </c>
      <c r="L2597">
        <v>1</v>
      </c>
      <c r="M2597" s="2">
        <v>42</v>
      </c>
      <c r="N2597" t="s">
        <v>26</v>
      </c>
      <c r="O2597" s="3">
        <v>0</v>
      </c>
      <c r="P2597" s="3">
        <v>0</v>
      </c>
      <c r="Q2597" s="2">
        <v>42</v>
      </c>
      <c r="R2597" t="s">
        <v>94</v>
      </c>
      <c r="S2597" t="s">
        <v>28</v>
      </c>
      <c r="T2597" t="s">
        <v>29</v>
      </c>
      <c r="U2597" t="s">
        <v>30</v>
      </c>
    </row>
    <row r="2598" spans="1:21" x14ac:dyDescent="0.35">
      <c r="A2598" t="s">
        <v>2678</v>
      </c>
      <c r="B2598" s="1">
        <v>46287</v>
      </c>
      <c r="C2598" t="str">
        <f>TEXT(tblData[[#This Row],[Rental Date]],"mmm")</f>
        <v>Sep</v>
      </c>
      <c r="D2598" t="str">
        <f>TEXT(tblData[[#This Row],[Rental Date]],"mmmm")</f>
        <v>September</v>
      </c>
      <c r="E2598" t="s">
        <v>102</v>
      </c>
      <c r="F2598" t="str">
        <f>TEXT(WEEKNUM(tblData[[#This Row],[Rental Date]]),"00")</f>
        <v>39</v>
      </c>
      <c r="G2598" s="1">
        <f>EOMONTH(tblData[[#This Row],[Rental Date]],0)</f>
        <v>46295</v>
      </c>
      <c r="H2598" t="s">
        <v>2441</v>
      </c>
      <c r="I2598" t="s">
        <v>23</v>
      </c>
      <c r="J2598" t="s">
        <v>138</v>
      </c>
      <c r="K2598" t="s">
        <v>40</v>
      </c>
      <c r="L2598">
        <v>1</v>
      </c>
      <c r="M2598" s="2">
        <v>72</v>
      </c>
      <c r="N2598" t="s">
        <v>87</v>
      </c>
      <c r="O2598" s="3">
        <v>10</v>
      </c>
      <c r="P2598" s="3">
        <v>0</v>
      </c>
      <c r="Q2598" s="2">
        <v>82</v>
      </c>
      <c r="R2598" t="s">
        <v>34</v>
      </c>
      <c r="S2598" t="s">
        <v>54</v>
      </c>
      <c r="T2598" t="s">
        <v>29</v>
      </c>
      <c r="U2598" t="s">
        <v>30</v>
      </c>
    </row>
    <row r="2599" spans="1:21" x14ac:dyDescent="0.35">
      <c r="A2599" t="s">
        <v>2679</v>
      </c>
      <c r="B2599" s="1">
        <v>46287</v>
      </c>
      <c r="C2599" t="str">
        <f>TEXT(tblData[[#This Row],[Rental Date]],"mmm")</f>
        <v>Sep</v>
      </c>
      <c r="D2599" t="str">
        <f>TEXT(tblData[[#This Row],[Rental Date]],"mmmm")</f>
        <v>September</v>
      </c>
      <c r="E2599" t="s">
        <v>102</v>
      </c>
      <c r="F2599" t="str">
        <f>TEXT(WEEKNUM(tblData[[#This Row],[Rental Date]]),"00")</f>
        <v>39</v>
      </c>
      <c r="G2599" s="1">
        <f>EOMONTH(tblData[[#This Row],[Rental Date]],0)</f>
        <v>46295</v>
      </c>
      <c r="H2599" t="s">
        <v>2441</v>
      </c>
      <c r="I2599" t="s">
        <v>48</v>
      </c>
      <c r="J2599" t="s">
        <v>111</v>
      </c>
      <c r="K2599" t="s">
        <v>25</v>
      </c>
      <c r="L2599">
        <v>1</v>
      </c>
      <c r="M2599" s="2">
        <v>22</v>
      </c>
      <c r="N2599" t="s">
        <v>87</v>
      </c>
      <c r="O2599" s="3">
        <v>10</v>
      </c>
      <c r="P2599" s="3">
        <v>0</v>
      </c>
      <c r="Q2599" s="2">
        <v>32</v>
      </c>
      <c r="R2599" t="s">
        <v>66</v>
      </c>
      <c r="S2599" t="s">
        <v>35</v>
      </c>
      <c r="T2599" t="s">
        <v>63</v>
      </c>
      <c r="U2599" t="s">
        <v>30</v>
      </c>
    </row>
    <row r="2600" spans="1:21" x14ac:dyDescent="0.35">
      <c r="A2600" t="s">
        <v>2680</v>
      </c>
      <c r="B2600" s="1">
        <v>46287</v>
      </c>
      <c r="C2600" t="str">
        <f>TEXT(tblData[[#This Row],[Rental Date]],"mmm")</f>
        <v>Sep</v>
      </c>
      <c r="D2600" t="str">
        <f>TEXT(tblData[[#This Row],[Rental Date]],"mmmm")</f>
        <v>September</v>
      </c>
      <c r="E2600" t="s">
        <v>102</v>
      </c>
      <c r="F2600" t="str">
        <f>TEXT(WEEKNUM(tblData[[#This Row],[Rental Date]]),"00")</f>
        <v>39</v>
      </c>
      <c r="G2600" s="1">
        <f>EOMONTH(tblData[[#This Row],[Rental Date]],0)</f>
        <v>46295</v>
      </c>
      <c r="H2600" t="s">
        <v>2441</v>
      </c>
      <c r="I2600" t="s">
        <v>39</v>
      </c>
      <c r="J2600" t="s">
        <v>44</v>
      </c>
      <c r="K2600" t="s">
        <v>40</v>
      </c>
      <c r="L2600">
        <v>1</v>
      </c>
      <c r="M2600" s="2">
        <v>78</v>
      </c>
      <c r="N2600" t="s">
        <v>70</v>
      </c>
      <c r="O2600" s="3">
        <v>7</v>
      </c>
      <c r="P2600" s="3">
        <v>0</v>
      </c>
      <c r="Q2600" s="2">
        <v>85</v>
      </c>
      <c r="R2600" t="s">
        <v>62</v>
      </c>
      <c r="S2600" t="s">
        <v>35</v>
      </c>
      <c r="T2600" t="s">
        <v>51</v>
      </c>
      <c r="U2600" t="s">
        <v>30</v>
      </c>
    </row>
    <row r="2601" spans="1:21" x14ac:dyDescent="0.35">
      <c r="A2601" t="s">
        <v>2681</v>
      </c>
      <c r="B2601" s="1">
        <v>46287</v>
      </c>
      <c r="C2601" t="str">
        <f>TEXT(tblData[[#This Row],[Rental Date]],"mmm")</f>
        <v>Sep</v>
      </c>
      <c r="D2601" t="str">
        <f>TEXT(tblData[[#This Row],[Rental Date]],"mmmm")</f>
        <v>September</v>
      </c>
      <c r="E2601" t="s">
        <v>102</v>
      </c>
      <c r="F2601" t="str">
        <f>TEXT(WEEKNUM(tblData[[#This Row],[Rental Date]]),"00")</f>
        <v>39</v>
      </c>
      <c r="G2601" s="1">
        <f>EOMONTH(tblData[[#This Row],[Rental Date]],0)</f>
        <v>46295</v>
      </c>
      <c r="H2601" t="s">
        <v>2441</v>
      </c>
      <c r="I2601" t="s">
        <v>39</v>
      </c>
      <c r="J2601" t="s">
        <v>138</v>
      </c>
      <c r="K2601" t="s">
        <v>92</v>
      </c>
      <c r="L2601">
        <v>1</v>
      </c>
      <c r="M2601" s="2">
        <v>104</v>
      </c>
      <c r="N2601" t="s">
        <v>41</v>
      </c>
      <c r="O2601" s="3">
        <v>5</v>
      </c>
      <c r="P2601" s="3">
        <v>0</v>
      </c>
      <c r="Q2601" s="2">
        <v>109</v>
      </c>
      <c r="R2601" t="s">
        <v>66</v>
      </c>
      <c r="S2601" t="s">
        <v>50</v>
      </c>
      <c r="T2601" t="s">
        <v>51</v>
      </c>
      <c r="U2601" t="s">
        <v>58</v>
      </c>
    </row>
    <row r="2602" spans="1:21" x14ac:dyDescent="0.35">
      <c r="A2602" t="s">
        <v>2682</v>
      </c>
      <c r="B2602" s="1">
        <v>46288</v>
      </c>
      <c r="C2602" t="str">
        <f>TEXT(tblData[[#This Row],[Rental Date]],"mmm")</f>
        <v>Sep</v>
      </c>
      <c r="D2602" t="str">
        <f>TEXT(tblData[[#This Row],[Rental Date]],"mmmm")</f>
        <v>September</v>
      </c>
      <c r="E2602" t="s">
        <v>109</v>
      </c>
      <c r="F2602" t="str">
        <f>TEXT(WEEKNUM(tblData[[#This Row],[Rental Date]]),"00")</f>
        <v>39</v>
      </c>
      <c r="G2602" s="1">
        <f>EOMONTH(tblData[[#This Row],[Rental Date]],0)</f>
        <v>46295</v>
      </c>
      <c r="H2602" t="s">
        <v>2441</v>
      </c>
      <c r="I2602" t="s">
        <v>48</v>
      </c>
      <c r="J2602" t="s">
        <v>138</v>
      </c>
      <c r="K2602" t="s">
        <v>60</v>
      </c>
      <c r="L2602">
        <v>1</v>
      </c>
      <c r="M2602" s="2">
        <v>30</v>
      </c>
      <c r="N2602" t="s">
        <v>89</v>
      </c>
      <c r="O2602" s="3">
        <v>6</v>
      </c>
      <c r="P2602" s="3">
        <v>0</v>
      </c>
      <c r="Q2602" s="2">
        <v>36</v>
      </c>
      <c r="R2602" t="s">
        <v>34</v>
      </c>
      <c r="S2602" t="s">
        <v>35</v>
      </c>
      <c r="T2602" t="s">
        <v>51</v>
      </c>
      <c r="U2602" t="s">
        <v>30</v>
      </c>
    </row>
    <row r="2603" spans="1:21" x14ac:dyDescent="0.35">
      <c r="A2603" t="s">
        <v>2683</v>
      </c>
      <c r="B2603" s="1">
        <v>46288</v>
      </c>
      <c r="C2603" t="str">
        <f>TEXT(tblData[[#This Row],[Rental Date]],"mmm")</f>
        <v>Sep</v>
      </c>
      <c r="D2603" t="str">
        <f>TEXT(tblData[[#This Row],[Rental Date]],"mmmm")</f>
        <v>September</v>
      </c>
      <c r="E2603" t="s">
        <v>109</v>
      </c>
      <c r="F2603" t="str">
        <f>TEXT(WEEKNUM(tblData[[#This Row],[Rental Date]]),"00")</f>
        <v>39</v>
      </c>
      <c r="G2603" s="1">
        <f>EOMONTH(tblData[[#This Row],[Rental Date]],0)</f>
        <v>46295</v>
      </c>
      <c r="H2603" t="s">
        <v>2441</v>
      </c>
      <c r="I2603" t="s">
        <v>23</v>
      </c>
      <c r="J2603" t="s">
        <v>127</v>
      </c>
      <c r="K2603" t="s">
        <v>25</v>
      </c>
      <c r="L2603">
        <v>1</v>
      </c>
      <c r="M2603" s="2">
        <v>16</v>
      </c>
      <c r="N2603" t="s">
        <v>26</v>
      </c>
      <c r="O2603" s="3">
        <v>0</v>
      </c>
      <c r="P2603" s="3">
        <v>0</v>
      </c>
      <c r="Q2603" s="2">
        <v>16</v>
      </c>
      <c r="R2603" t="s">
        <v>57</v>
      </c>
      <c r="S2603" t="s">
        <v>54</v>
      </c>
      <c r="T2603" t="s">
        <v>29</v>
      </c>
      <c r="U2603" t="s">
        <v>30</v>
      </c>
    </row>
    <row r="2604" spans="1:21" x14ac:dyDescent="0.35">
      <c r="A2604" t="s">
        <v>2684</v>
      </c>
      <c r="B2604" s="1">
        <v>46288</v>
      </c>
      <c r="C2604" t="str">
        <f>TEXT(tblData[[#This Row],[Rental Date]],"mmm")</f>
        <v>Sep</v>
      </c>
      <c r="D2604" t="str">
        <f>TEXT(tblData[[#This Row],[Rental Date]],"mmmm")</f>
        <v>September</v>
      </c>
      <c r="E2604" t="s">
        <v>109</v>
      </c>
      <c r="F2604" t="str">
        <f>TEXT(WEEKNUM(tblData[[#This Row],[Rental Date]]),"00")</f>
        <v>39</v>
      </c>
      <c r="G2604" s="1">
        <f>EOMONTH(tblData[[#This Row],[Rental Date]],0)</f>
        <v>46295</v>
      </c>
      <c r="H2604" t="s">
        <v>2441</v>
      </c>
      <c r="I2604" t="s">
        <v>39</v>
      </c>
      <c r="J2604" t="s">
        <v>78</v>
      </c>
      <c r="K2604" t="s">
        <v>40</v>
      </c>
      <c r="L2604">
        <v>1</v>
      </c>
      <c r="M2604" s="2">
        <v>62</v>
      </c>
      <c r="N2604" t="s">
        <v>26</v>
      </c>
      <c r="O2604" s="3">
        <v>0</v>
      </c>
      <c r="P2604" s="3">
        <v>0</v>
      </c>
      <c r="Q2604" s="2">
        <v>62</v>
      </c>
      <c r="R2604" t="s">
        <v>71</v>
      </c>
      <c r="S2604" t="s">
        <v>54</v>
      </c>
      <c r="T2604" t="s">
        <v>51</v>
      </c>
      <c r="U2604" t="s">
        <v>58</v>
      </c>
    </row>
    <row r="2605" spans="1:21" x14ac:dyDescent="0.35">
      <c r="A2605" t="s">
        <v>2685</v>
      </c>
      <c r="B2605" s="1">
        <v>46288</v>
      </c>
      <c r="C2605" t="str">
        <f>TEXT(tblData[[#This Row],[Rental Date]],"mmm")</f>
        <v>Sep</v>
      </c>
      <c r="D2605" t="str">
        <f>TEXT(tblData[[#This Row],[Rental Date]],"mmmm")</f>
        <v>September</v>
      </c>
      <c r="E2605" t="s">
        <v>109</v>
      </c>
      <c r="F2605" t="str">
        <f>TEXT(WEEKNUM(tblData[[#This Row],[Rental Date]]),"00")</f>
        <v>39</v>
      </c>
      <c r="G2605" s="1">
        <f>EOMONTH(tblData[[#This Row],[Rental Date]],0)</f>
        <v>46295</v>
      </c>
      <c r="H2605" t="s">
        <v>2441</v>
      </c>
      <c r="I2605" t="s">
        <v>39</v>
      </c>
      <c r="J2605" t="s">
        <v>44</v>
      </c>
      <c r="K2605" t="s">
        <v>60</v>
      </c>
      <c r="L2605">
        <v>1</v>
      </c>
      <c r="M2605" s="2">
        <v>34</v>
      </c>
      <c r="N2605" t="s">
        <v>41</v>
      </c>
      <c r="O2605" s="3">
        <v>5</v>
      </c>
      <c r="P2605" s="3">
        <v>0</v>
      </c>
      <c r="Q2605" s="2">
        <v>39</v>
      </c>
      <c r="R2605" t="s">
        <v>42</v>
      </c>
      <c r="S2605" t="s">
        <v>28</v>
      </c>
      <c r="T2605" t="s">
        <v>51</v>
      </c>
      <c r="U2605" t="s">
        <v>30</v>
      </c>
    </row>
    <row r="2606" spans="1:21" x14ac:dyDescent="0.35">
      <c r="A2606" t="s">
        <v>2686</v>
      </c>
      <c r="B2606" s="1">
        <v>46288</v>
      </c>
      <c r="C2606" t="str">
        <f>TEXT(tblData[[#This Row],[Rental Date]],"mmm")</f>
        <v>Sep</v>
      </c>
      <c r="D2606" t="str">
        <f>TEXT(tblData[[#This Row],[Rental Date]],"mmmm")</f>
        <v>September</v>
      </c>
      <c r="E2606" t="s">
        <v>109</v>
      </c>
      <c r="F2606" t="str">
        <f>TEXT(WEEKNUM(tblData[[#This Row],[Rental Date]]),"00")</f>
        <v>39</v>
      </c>
      <c r="G2606" s="1">
        <f>EOMONTH(tblData[[#This Row],[Rental Date]],0)</f>
        <v>46295</v>
      </c>
      <c r="H2606" t="s">
        <v>2441</v>
      </c>
      <c r="I2606" t="s">
        <v>23</v>
      </c>
      <c r="J2606" t="s">
        <v>65</v>
      </c>
      <c r="K2606" t="s">
        <v>60</v>
      </c>
      <c r="L2606">
        <v>1</v>
      </c>
      <c r="M2606" s="2">
        <v>12</v>
      </c>
      <c r="N2606" t="s">
        <v>89</v>
      </c>
      <c r="O2606" s="3">
        <v>6</v>
      </c>
      <c r="P2606" s="3">
        <v>0</v>
      </c>
      <c r="Q2606" s="2">
        <v>18</v>
      </c>
      <c r="R2606" t="s">
        <v>76</v>
      </c>
      <c r="S2606" t="s">
        <v>50</v>
      </c>
      <c r="T2606" t="s">
        <v>29</v>
      </c>
      <c r="U2606" t="s">
        <v>30</v>
      </c>
    </row>
    <row r="2607" spans="1:21" x14ac:dyDescent="0.35">
      <c r="A2607" t="s">
        <v>2687</v>
      </c>
      <c r="B2607" s="1">
        <v>46288</v>
      </c>
      <c r="C2607" t="str">
        <f>TEXT(tblData[[#This Row],[Rental Date]],"mmm")</f>
        <v>Sep</v>
      </c>
      <c r="D2607" t="str">
        <f>TEXT(tblData[[#This Row],[Rental Date]],"mmmm")</f>
        <v>September</v>
      </c>
      <c r="E2607" t="s">
        <v>109</v>
      </c>
      <c r="F2607" t="str">
        <f>TEXT(WEEKNUM(tblData[[#This Row],[Rental Date]]),"00")</f>
        <v>39</v>
      </c>
      <c r="G2607" s="1">
        <f>EOMONTH(tblData[[#This Row],[Rental Date]],0)</f>
        <v>46295</v>
      </c>
      <c r="H2607" t="s">
        <v>2441</v>
      </c>
      <c r="I2607" t="s">
        <v>23</v>
      </c>
      <c r="J2607" t="s">
        <v>44</v>
      </c>
      <c r="K2607" t="s">
        <v>92</v>
      </c>
      <c r="L2607">
        <v>1</v>
      </c>
      <c r="M2607" s="2">
        <v>112</v>
      </c>
      <c r="N2607" t="s">
        <v>89</v>
      </c>
      <c r="O2607" s="3">
        <v>6</v>
      </c>
      <c r="P2607" s="3">
        <v>0</v>
      </c>
      <c r="Q2607" s="2">
        <v>118</v>
      </c>
      <c r="R2607" t="s">
        <v>27</v>
      </c>
      <c r="S2607" t="s">
        <v>28</v>
      </c>
      <c r="T2607" t="s">
        <v>51</v>
      </c>
      <c r="U2607" t="s">
        <v>58</v>
      </c>
    </row>
    <row r="2608" spans="1:21" x14ac:dyDescent="0.35">
      <c r="A2608" t="s">
        <v>2688</v>
      </c>
      <c r="B2608" s="1">
        <v>46288</v>
      </c>
      <c r="C2608" t="str">
        <f>TEXT(tblData[[#This Row],[Rental Date]],"mmm")</f>
        <v>Sep</v>
      </c>
      <c r="D2608" t="str">
        <f>TEXT(tblData[[#This Row],[Rental Date]],"mmmm")</f>
        <v>September</v>
      </c>
      <c r="E2608" t="s">
        <v>109</v>
      </c>
      <c r="F2608" t="str">
        <f>TEXT(WEEKNUM(tblData[[#This Row],[Rental Date]]),"00")</f>
        <v>39</v>
      </c>
      <c r="G2608" s="1">
        <f>EOMONTH(tblData[[#This Row],[Rental Date]],0)</f>
        <v>46295</v>
      </c>
      <c r="H2608" t="s">
        <v>2441</v>
      </c>
      <c r="I2608" t="s">
        <v>48</v>
      </c>
      <c r="J2608" t="s">
        <v>33</v>
      </c>
      <c r="K2608" t="s">
        <v>60</v>
      </c>
      <c r="L2608">
        <v>1</v>
      </c>
      <c r="M2608" s="2">
        <v>24</v>
      </c>
      <c r="N2608" t="s">
        <v>89</v>
      </c>
      <c r="O2608" s="3">
        <v>6</v>
      </c>
      <c r="P2608" s="3">
        <v>0</v>
      </c>
      <c r="Q2608" s="2">
        <v>30</v>
      </c>
      <c r="R2608" t="s">
        <v>71</v>
      </c>
      <c r="S2608" t="s">
        <v>46</v>
      </c>
      <c r="T2608" t="s">
        <v>29</v>
      </c>
      <c r="U2608" t="s">
        <v>30</v>
      </c>
    </row>
    <row r="2609" spans="1:21" x14ac:dyDescent="0.35">
      <c r="A2609" t="s">
        <v>2689</v>
      </c>
      <c r="B2609" s="1">
        <v>46288</v>
      </c>
      <c r="C2609" t="str">
        <f>TEXT(tblData[[#This Row],[Rental Date]],"mmm")</f>
        <v>Sep</v>
      </c>
      <c r="D2609" t="str">
        <f>TEXT(tblData[[#This Row],[Rental Date]],"mmmm")</f>
        <v>September</v>
      </c>
      <c r="E2609" t="s">
        <v>109</v>
      </c>
      <c r="F2609" t="str">
        <f>TEXT(WEEKNUM(tblData[[#This Row],[Rental Date]]),"00")</f>
        <v>39</v>
      </c>
      <c r="G2609" s="1">
        <f>EOMONTH(tblData[[#This Row],[Rental Date]],0)</f>
        <v>46295</v>
      </c>
      <c r="H2609" t="s">
        <v>2441</v>
      </c>
      <c r="I2609" t="s">
        <v>48</v>
      </c>
      <c r="J2609" t="s">
        <v>33</v>
      </c>
      <c r="K2609" t="s">
        <v>60</v>
      </c>
      <c r="L2609">
        <v>1</v>
      </c>
      <c r="M2609" s="2">
        <v>24</v>
      </c>
      <c r="N2609" t="s">
        <v>26</v>
      </c>
      <c r="O2609" s="3">
        <v>0</v>
      </c>
      <c r="P2609" s="3">
        <v>1.2</v>
      </c>
      <c r="Q2609" s="2">
        <v>22.8</v>
      </c>
      <c r="R2609" t="s">
        <v>42</v>
      </c>
      <c r="S2609" t="s">
        <v>28</v>
      </c>
      <c r="T2609" t="s">
        <v>29</v>
      </c>
      <c r="U2609" t="s">
        <v>58</v>
      </c>
    </row>
    <row r="2610" spans="1:21" x14ac:dyDescent="0.35">
      <c r="A2610" t="s">
        <v>2690</v>
      </c>
      <c r="B2610" s="1">
        <v>46288</v>
      </c>
      <c r="C2610" t="str">
        <f>TEXT(tblData[[#This Row],[Rental Date]],"mmm")</f>
        <v>Sep</v>
      </c>
      <c r="D2610" t="str">
        <f>TEXT(tblData[[#This Row],[Rental Date]],"mmmm")</f>
        <v>September</v>
      </c>
      <c r="E2610" t="s">
        <v>109</v>
      </c>
      <c r="F2610" t="str">
        <f>TEXT(WEEKNUM(tblData[[#This Row],[Rental Date]]),"00")</f>
        <v>39</v>
      </c>
      <c r="G2610" s="1">
        <f>EOMONTH(tblData[[#This Row],[Rental Date]],0)</f>
        <v>46295</v>
      </c>
      <c r="H2610" t="s">
        <v>2441</v>
      </c>
      <c r="I2610" t="s">
        <v>39</v>
      </c>
      <c r="J2610" t="s">
        <v>127</v>
      </c>
      <c r="K2610" t="s">
        <v>60</v>
      </c>
      <c r="L2610">
        <v>1</v>
      </c>
      <c r="M2610" s="2">
        <v>10</v>
      </c>
      <c r="N2610" t="s">
        <v>41</v>
      </c>
      <c r="O2610" s="3">
        <v>5</v>
      </c>
      <c r="P2610" s="3">
        <v>0</v>
      </c>
      <c r="Q2610" s="2">
        <v>15</v>
      </c>
      <c r="R2610" t="s">
        <v>42</v>
      </c>
      <c r="S2610" t="s">
        <v>50</v>
      </c>
      <c r="T2610" t="s">
        <v>29</v>
      </c>
      <c r="U2610" t="s">
        <v>58</v>
      </c>
    </row>
    <row r="2611" spans="1:21" x14ac:dyDescent="0.35">
      <c r="A2611" t="s">
        <v>2691</v>
      </c>
      <c r="B2611" s="1">
        <v>46289</v>
      </c>
      <c r="C2611" t="str">
        <f>TEXT(tblData[[#This Row],[Rental Date]],"mmm")</f>
        <v>Sep</v>
      </c>
      <c r="D2611" t="str">
        <f>TEXT(tblData[[#This Row],[Rental Date]],"mmmm")</f>
        <v>September</v>
      </c>
      <c r="E2611" t="s">
        <v>21</v>
      </c>
      <c r="F2611" t="str">
        <f>TEXT(WEEKNUM(tblData[[#This Row],[Rental Date]]),"00")</f>
        <v>39</v>
      </c>
      <c r="G2611" s="1">
        <f>EOMONTH(tblData[[#This Row],[Rental Date]],0)</f>
        <v>46295</v>
      </c>
      <c r="H2611" t="s">
        <v>2441</v>
      </c>
      <c r="I2611" t="s">
        <v>48</v>
      </c>
      <c r="J2611" t="s">
        <v>24</v>
      </c>
      <c r="K2611" t="s">
        <v>92</v>
      </c>
      <c r="L2611">
        <v>1</v>
      </c>
      <c r="M2611" s="2">
        <v>110</v>
      </c>
      <c r="N2611" t="s">
        <v>70</v>
      </c>
      <c r="O2611" s="3">
        <v>7</v>
      </c>
      <c r="P2611" s="3">
        <v>0</v>
      </c>
      <c r="Q2611" s="2">
        <v>117</v>
      </c>
      <c r="R2611" t="s">
        <v>71</v>
      </c>
      <c r="S2611" t="s">
        <v>35</v>
      </c>
      <c r="T2611" t="s">
        <v>51</v>
      </c>
      <c r="U2611" t="s">
        <v>79</v>
      </c>
    </row>
    <row r="2612" spans="1:21" x14ac:dyDescent="0.35">
      <c r="A2612" t="s">
        <v>2692</v>
      </c>
      <c r="B2612" s="1">
        <v>46289</v>
      </c>
      <c r="C2612" t="str">
        <f>TEXT(tblData[[#This Row],[Rental Date]],"mmm")</f>
        <v>Sep</v>
      </c>
      <c r="D2612" t="str">
        <f>TEXT(tblData[[#This Row],[Rental Date]],"mmmm")</f>
        <v>September</v>
      </c>
      <c r="E2612" t="s">
        <v>21</v>
      </c>
      <c r="F2612" t="str">
        <f>TEXT(WEEKNUM(tblData[[#This Row],[Rental Date]]),"00")</f>
        <v>39</v>
      </c>
      <c r="G2612" s="1">
        <f>EOMONTH(tblData[[#This Row],[Rental Date]],0)</f>
        <v>46295</v>
      </c>
      <c r="H2612" t="s">
        <v>2441</v>
      </c>
      <c r="I2612" t="s">
        <v>48</v>
      </c>
      <c r="J2612" t="s">
        <v>111</v>
      </c>
      <c r="K2612" t="s">
        <v>60</v>
      </c>
      <c r="L2612">
        <v>1</v>
      </c>
      <c r="M2612" s="2">
        <v>14</v>
      </c>
      <c r="N2612" t="s">
        <v>41</v>
      </c>
      <c r="O2612" s="3">
        <v>5</v>
      </c>
      <c r="P2612" s="3">
        <v>0</v>
      </c>
      <c r="Q2612" s="2">
        <v>19</v>
      </c>
      <c r="R2612" t="s">
        <v>34</v>
      </c>
      <c r="S2612" t="s">
        <v>46</v>
      </c>
      <c r="T2612" t="s">
        <v>29</v>
      </c>
      <c r="U2612" t="s">
        <v>30</v>
      </c>
    </row>
    <row r="2613" spans="1:21" x14ac:dyDescent="0.35">
      <c r="A2613" t="s">
        <v>2693</v>
      </c>
      <c r="B2613" s="1">
        <v>46289</v>
      </c>
      <c r="C2613" t="str">
        <f>TEXT(tblData[[#This Row],[Rental Date]],"mmm")</f>
        <v>Sep</v>
      </c>
      <c r="D2613" t="str">
        <f>TEXT(tblData[[#This Row],[Rental Date]],"mmmm")</f>
        <v>September</v>
      </c>
      <c r="E2613" t="s">
        <v>21</v>
      </c>
      <c r="F2613" t="str">
        <f>TEXT(WEEKNUM(tblData[[#This Row],[Rental Date]]),"00")</f>
        <v>39</v>
      </c>
      <c r="G2613" s="1">
        <f>EOMONTH(tblData[[#This Row],[Rental Date]],0)</f>
        <v>46295</v>
      </c>
      <c r="H2613" t="s">
        <v>2441</v>
      </c>
      <c r="I2613" t="s">
        <v>48</v>
      </c>
      <c r="J2613" t="s">
        <v>33</v>
      </c>
      <c r="K2613" t="s">
        <v>40</v>
      </c>
      <c r="L2613">
        <v>1</v>
      </c>
      <c r="M2613" s="2">
        <v>58</v>
      </c>
      <c r="N2613" t="s">
        <v>70</v>
      </c>
      <c r="O2613" s="3">
        <v>7</v>
      </c>
      <c r="P2613" s="3">
        <v>0</v>
      </c>
      <c r="Q2613" s="2">
        <v>65</v>
      </c>
      <c r="R2613" t="s">
        <v>66</v>
      </c>
      <c r="S2613" t="s">
        <v>54</v>
      </c>
      <c r="T2613" t="s">
        <v>63</v>
      </c>
      <c r="U2613" t="s">
        <v>36</v>
      </c>
    </row>
    <row r="2614" spans="1:21" x14ac:dyDescent="0.35">
      <c r="A2614" t="s">
        <v>2694</v>
      </c>
      <c r="B2614" s="1">
        <v>46289</v>
      </c>
      <c r="C2614" t="str">
        <f>TEXT(tblData[[#This Row],[Rental Date]],"mmm")</f>
        <v>Sep</v>
      </c>
      <c r="D2614" t="str">
        <f>TEXT(tblData[[#This Row],[Rental Date]],"mmmm")</f>
        <v>September</v>
      </c>
      <c r="E2614" t="s">
        <v>21</v>
      </c>
      <c r="F2614" t="str">
        <f>TEXT(WEEKNUM(tblData[[#This Row],[Rental Date]]),"00")</f>
        <v>39</v>
      </c>
      <c r="G2614" s="1">
        <f>EOMONTH(tblData[[#This Row],[Rental Date]],0)</f>
        <v>46295</v>
      </c>
      <c r="H2614" t="s">
        <v>2441</v>
      </c>
      <c r="I2614" t="s">
        <v>48</v>
      </c>
      <c r="J2614" t="s">
        <v>65</v>
      </c>
      <c r="K2614" t="s">
        <v>40</v>
      </c>
      <c r="L2614">
        <v>1</v>
      </c>
      <c r="M2614" s="2">
        <v>28</v>
      </c>
      <c r="N2614" t="s">
        <v>89</v>
      </c>
      <c r="O2614" s="3">
        <v>6</v>
      </c>
      <c r="P2614" s="3">
        <v>0</v>
      </c>
      <c r="Q2614" s="2">
        <v>34</v>
      </c>
      <c r="R2614" t="s">
        <v>94</v>
      </c>
      <c r="S2614" t="s">
        <v>50</v>
      </c>
      <c r="T2614" t="s">
        <v>29</v>
      </c>
      <c r="U2614" t="s">
        <v>58</v>
      </c>
    </row>
    <row r="2615" spans="1:21" x14ac:dyDescent="0.35">
      <c r="A2615" t="s">
        <v>2695</v>
      </c>
      <c r="B2615" s="1">
        <v>46289</v>
      </c>
      <c r="C2615" t="str">
        <f>TEXT(tblData[[#This Row],[Rental Date]],"mmm")</f>
        <v>Sep</v>
      </c>
      <c r="D2615" t="str">
        <f>TEXT(tblData[[#This Row],[Rental Date]],"mmmm")</f>
        <v>September</v>
      </c>
      <c r="E2615" t="s">
        <v>21</v>
      </c>
      <c r="F2615" t="str">
        <f>TEXT(WEEKNUM(tblData[[#This Row],[Rental Date]]),"00")</f>
        <v>39</v>
      </c>
      <c r="G2615" s="1">
        <f>EOMONTH(tblData[[#This Row],[Rental Date]],0)</f>
        <v>46295</v>
      </c>
      <c r="H2615" t="s">
        <v>2441</v>
      </c>
      <c r="I2615" t="s">
        <v>23</v>
      </c>
      <c r="J2615" t="s">
        <v>111</v>
      </c>
      <c r="K2615" t="s">
        <v>92</v>
      </c>
      <c r="L2615">
        <v>1</v>
      </c>
      <c r="M2615" s="2">
        <v>48</v>
      </c>
      <c r="N2615" t="s">
        <v>26</v>
      </c>
      <c r="O2615" s="3">
        <v>0</v>
      </c>
      <c r="P2615" s="3">
        <v>0</v>
      </c>
      <c r="Q2615" s="2">
        <v>48</v>
      </c>
      <c r="R2615" t="s">
        <v>76</v>
      </c>
      <c r="S2615" t="s">
        <v>28</v>
      </c>
      <c r="T2615" t="s">
        <v>90</v>
      </c>
      <c r="U2615" t="s">
        <v>58</v>
      </c>
    </row>
    <row r="2616" spans="1:21" x14ac:dyDescent="0.35">
      <c r="A2616" t="s">
        <v>2696</v>
      </c>
      <c r="B2616" s="1">
        <v>46289</v>
      </c>
      <c r="C2616" t="str">
        <f>TEXT(tblData[[#This Row],[Rental Date]],"mmm")</f>
        <v>Sep</v>
      </c>
      <c r="D2616" t="str">
        <f>TEXT(tblData[[#This Row],[Rental Date]],"mmmm")</f>
        <v>September</v>
      </c>
      <c r="E2616" t="s">
        <v>21</v>
      </c>
      <c r="F2616" t="str">
        <f>TEXT(WEEKNUM(tblData[[#This Row],[Rental Date]]),"00")</f>
        <v>39</v>
      </c>
      <c r="G2616" s="1">
        <f>EOMONTH(tblData[[#This Row],[Rental Date]],0)</f>
        <v>46295</v>
      </c>
      <c r="H2616" t="s">
        <v>2441</v>
      </c>
      <c r="I2616" t="s">
        <v>39</v>
      </c>
      <c r="J2616" t="s">
        <v>33</v>
      </c>
      <c r="K2616" t="s">
        <v>60</v>
      </c>
      <c r="L2616">
        <v>1</v>
      </c>
      <c r="M2616" s="2">
        <v>24</v>
      </c>
      <c r="N2616" t="s">
        <v>41</v>
      </c>
      <c r="O2616" s="3">
        <v>5</v>
      </c>
      <c r="P2616" s="3">
        <v>0</v>
      </c>
      <c r="Q2616" s="2">
        <v>29</v>
      </c>
      <c r="R2616" t="s">
        <v>66</v>
      </c>
      <c r="S2616" t="s">
        <v>28</v>
      </c>
      <c r="T2616" t="s">
        <v>63</v>
      </c>
      <c r="U2616" t="s">
        <v>79</v>
      </c>
    </row>
    <row r="2617" spans="1:21" x14ac:dyDescent="0.35">
      <c r="A2617" t="s">
        <v>2697</v>
      </c>
      <c r="B2617" s="1">
        <v>46290</v>
      </c>
      <c r="C2617" t="str">
        <f>TEXT(tblData[[#This Row],[Rental Date]],"mmm")</f>
        <v>Sep</v>
      </c>
      <c r="D2617" t="str">
        <f>TEXT(tblData[[#This Row],[Rental Date]],"mmmm")</f>
        <v>September</v>
      </c>
      <c r="E2617" t="s">
        <v>38</v>
      </c>
      <c r="F2617" t="str">
        <f>TEXT(WEEKNUM(tblData[[#This Row],[Rental Date]]),"00")</f>
        <v>39</v>
      </c>
      <c r="G2617" s="1">
        <f>EOMONTH(tblData[[#This Row],[Rental Date]],0)</f>
        <v>46295</v>
      </c>
      <c r="H2617" t="s">
        <v>2441</v>
      </c>
      <c r="I2617" t="s">
        <v>48</v>
      </c>
      <c r="J2617" t="s">
        <v>78</v>
      </c>
      <c r="K2617" t="s">
        <v>40</v>
      </c>
      <c r="L2617">
        <v>1</v>
      </c>
      <c r="M2617" s="2">
        <v>62</v>
      </c>
      <c r="N2617" t="s">
        <v>70</v>
      </c>
      <c r="O2617" s="3">
        <v>7</v>
      </c>
      <c r="P2617" s="3">
        <v>0</v>
      </c>
      <c r="Q2617" s="2">
        <v>69</v>
      </c>
      <c r="R2617" t="s">
        <v>45</v>
      </c>
      <c r="S2617" t="s">
        <v>28</v>
      </c>
      <c r="T2617" t="s">
        <v>51</v>
      </c>
      <c r="U2617" t="s">
        <v>30</v>
      </c>
    </row>
    <row r="2618" spans="1:21" x14ac:dyDescent="0.35">
      <c r="A2618" t="s">
        <v>2698</v>
      </c>
      <c r="B2618" s="1">
        <v>46290</v>
      </c>
      <c r="C2618" t="str">
        <f>TEXT(tblData[[#This Row],[Rental Date]],"mmm")</f>
        <v>Sep</v>
      </c>
      <c r="D2618" t="str">
        <f>TEXT(tblData[[#This Row],[Rental Date]],"mmmm")</f>
        <v>September</v>
      </c>
      <c r="E2618" t="s">
        <v>38</v>
      </c>
      <c r="F2618" t="str">
        <f>TEXT(WEEKNUM(tblData[[#This Row],[Rental Date]]),"00")</f>
        <v>39</v>
      </c>
      <c r="G2618" s="1">
        <f>EOMONTH(tblData[[#This Row],[Rental Date]],0)</f>
        <v>46295</v>
      </c>
      <c r="H2618" t="s">
        <v>2441</v>
      </c>
      <c r="I2618" t="s">
        <v>48</v>
      </c>
      <c r="J2618" t="s">
        <v>65</v>
      </c>
      <c r="K2618" t="s">
        <v>60</v>
      </c>
      <c r="L2618">
        <v>1</v>
      </c>
      <c r="M2618" s="2">
        <v>12</v>
      </c>
      <c r="N2618" t="s">
        <v>26</v>
      </c>
      <c r="O2618" s="3">
        <v>0</v>
      </c>
      <c r="P2618" s="3">
        <v>0</v>
      </c>
      <c r="Q2618" s="2">
        <v>12</v>
      </c>
      <c r="R2618" t="s">
        <v>71</v>
      </c>
      <c r="S2618" t="s">
        <v>50</v>
      </c>
      <c r="T2618" t="s">
        <v>51</v>
      </c>
      <c r="U2618" t="s">
        <v>58</v>
      </c>
    </row>
    <row r="2619" spans="1:21" x14ac:dyDescent="0.35">
      <c r="A2619" t="s">
        <v>2699</v>
      </c>
      <c r="B2619" s="1">
        <v>46290</v>
      </c>
      <c r="C2619" t="str">
        <f>TEXT(tblData[[#This Row],[Rental Date]],"mmm")</f>
        <v>Sep</v>
      </c>
      <c r="D2619" t="str">
        <f>TEXT(tblData[[#This Row],[Rental Date]],"mmmm")</f>
        <v>September</v>
      </c>
      <c r="E2619" t="s">
        <v>38</v>
      </c>
      <c r="F2619" t="str">
        <f>TEXT(WEEKNUM(tblData[[#This Row],[Rental Date]]),"00")</f>
        <v>39</v>
      </c>
      <c r="G2619" s="1">
        <f>EOMONTH(tblData[[#This Row],[Rental Date]],0)</f>
        <v>46295</v>
      </c>
      <c r="H2619" t="s">
        <v>2441</v>
      </c>
      <c r="I2619" t="s">
        <v>39</v>
      </c>
      <c r="J2619" t="s">
        <v>65</v>
      </c>
      <c r="K2619" t="s">
        <v>60</v>
      </c>
      <c r="L2619">
        <v>1</v>
      </c>
      <c r="M2619" s="2">
        <v>12</v>
      </c>
      <c r="N2619" t="s">
        <v>26</v>
      </c>
      <c r="O2619" s="3">
        <v>0</v>
      </c>
      <c r="P2619" s="3">
        <v>0</v>
      </c>
      <c r="Q2619" s="2">
        <v>12</v>
      </c>
      <c r="R2619" t="s">
        <v>62</v>
      </c>
      <c r="S2619" t="s">
        <v>28</v>
      </c>
      <c r="T2619" t="s">
        <v>29</v>
      </c>
      <c r="U2619" t="s">
        <v>30</v>
      </c>
    </row>
    <row r="2620" spans="1:21" x14ac:dyDescent="0.35">
      <c r="A2620" t="s">
        <v>2700</v>
      </c>
      <c r="B2620" s="1">
        <v>46290</v>
      </c>
      <c r="C2620" t="str">
        <f>TEXT(tblData[[#This Row],[Rental Date]],"mmm")</f>
        <v>Sep</v>
      </c>
      <c r="D2620" t="str">
        <f>TEXT(tblData[[#This Row],[Rental Date]],"mmmm")</f>
        <v>September</v>
      </c>
      <c r="E2620" t="s">
        <v>38</v>
      </c>
      <c r="F2620" t="str">
        <f>TEXT(WEEKNUM(tblData[[#This Row],[Rental Date]]),"00")</f>
        <v>39</v>
      </c>
      <c r="G2620" s="1">
        <f>EOMONTH(tblData[[#This Row],[Rental Date]],0)</f>
        <v>46295</v>
      </c>
      <c r="H2620" t="s">
        <v>2441</v>
      </c>
      <c r="I2620" t="s">
        <v>48</v>
      </c>
      <c r="J2620" t="s">
        <v>86</v>
      </c>
      <c r="K2620" t="s">
        <v>25</v>
      </c>
      <c r="L2620">
        <v>1</v>
      </c>
      <c r="M2620" s="2">
        <v>58</v>
      </c>
      <c r="N2620" t="s">
        <v>89</v>
      </c>
      <c r="O2620" s="3">
        <v>6</v>
      </c>
      <c r="P2620" s="3">
        <v>0</v>
      </c>
      <c r="Q2620" s="2">
        <v>64</v>
      </c>
      <c r="R2620" t="s">
        <v>66</v>
      </c>
      <c r="S2620" t="s">
        <v>54</v>
      </c>
      <c r="T2620" t="s">
        <v>51</v>
      </c>
      <c r="U2620" t="s">
        <v>58</v>
      </c>
    </row>
    <row r="2621" spans="1:21" x14ac:dyDescent="0.35">
      <c r="A2621" t="s">
        <v>2701</v>
      </c>
      <c r="B2621" s="1">
        <v>46290</v>
      </c>
      <c r="C2621" t="str">
        <f>TEXT(tblData[[#This Row],[Rental Date]],"mmm")</f>
        <v>Sep</v>
      </c>
      <c r="D2621" t="str">
        <f>TEXT(tblData[[#This Row],[Rental Date]],"mmmm")</f>
        <v>September</v>
      </c>
      <c r="E2621" t="s">
        <v>38</v>
      </c>
      <c r="F2621" t="str">
        <f>TEXT(WEEKNUM(tblData[[#This Row],[Rental Date]]),"00")</f>
        <v>39</v>
      </c>
      <c r="G2621" s="1">
        <f>EOMONTH(tblData[[#This Row],[Rental Date]],0)</f>
        <v>46295</v>
      </c>
      <c r="H2621" t="s">
        <v>2441</v>
      </c>
      <c r="I2621" t="s">
        <v>32</v>
      </c>
      <c r="J2621" t="s">
        <v>49</v>
      </c>
      <c r="K2621" t="s">
        <v>92</v>
      </c>
      <c r="L2621">
        <v>1</v>
      </c>
      <c r="M2621" s="2">
        <v>76</v>
      </c>
      <c r="N2621" t="s">
        <v>75</v>
      </c>
      <c r="O2621" s="3">
        <v>12</v>
      </c>
      <c r="P2621" s="3">
        <v>4.4000000000000004</v>
      </c>
      <c r="Q2621" s="2">
        <v>83.6</v>
      </c>
      <c r="R2621" t="s">
        <v>94</v>
      </c>
      <c r="S2621" t="s">
        <v>46</v>
      </c>
      <c r="T2621" t="s">
        <v>29</v>
      </c>
      <c r="U2621" t="s">
        <v>36</v>
      </c>
    </row>
    <row r="2622" spans="1:21" x14ac:dyDescent="0.35">
      <c r="A2622" t="s">
        <v>2702</v>
      </c>
      <c r="B2622" s="1">
        <v>46290</v>
      </c>
      <c r="C2622" t="str">
        <f>TEXT(tblData[[#This Row],[Rental Date]],"mmm")</f>
        <v>Sep</v>
      </c>
      <c r="D2622" t="str">
        <f>TEXT(tblData[[#This Row],[Rental Date]],"mmmm")</f>
        <v>September</v>
      </c>
      <c r="E2622" t="s">
        <v>38</v>
      </c>
      <c r="F2622" t="str">
        <f>TEXT(WEEKNUM(tblData[[#This Row],[Rental Date]]),"00")</f>
        <v>39</v>
      </c>
      <c r="G2622" s="1">
        <f>EOMONTH(tblData[[#This Row],[Rental Date]],0)</f>
        <v>46295</v>
      </c>
      <c r="H2622" t="s">
        <v>2441</v>
      </c>
      <c r="I2622" t="s">
        <v>48</v>
      </c>
      <c r="J2622" t="s">
        <v>44</v>
      </c>
      <c r="K2622" t="s">
        <v>25</v>
      </c>
      <c r="L2622">
        <v>1</v>
      </c>
      <c r="M2622" s="2">
        <v>52</v>
      </c>
      <c r="N2622" t="s">
        <v>26</v>
      </c>
      <c r="O2622" s="3">
        <v>0</v>
      </c>
      <c r="P2622" s="3">
        <v>0</v>
      </c>
      <c r="Q2622" s="2">
        <v>52</v>
      </c>
      <c r="R2622" t="s">
        <v>66</v>
      </c>
      <c r="S2622" t="s">
        <v>35</v>
      </c>
      <c r="T2622" t="s">
        <v>29</v>
      </c>
      <c r="U2622" t="s">
        <v>30</v>
      </c>
    </row>
    <row r="2623" spans="1:21" x14ac:dyDescent="0.35">
      <c r="A2623" t="s">
        <v>2703</v>
      </c>
      <c r="B2623" s="1">
        <v>46290</v>
      </c>
      <c r="C2623" t="str">
        <f>TEXT(tblData[[#This Row],[Rental Date]],"mmm")</f>
        <v>Sep</v>
      </c>
      <c r="D2623" t="str">
        <f>TEXT(tblData[[#This Row],[Rental Date]],"mmmm")</f>
        <v>September</v>
      </c>
      <c r="E2623" t="s">
        <v>38</v>
      </c>
      <c r="F2623" t="str">
        <f>TEXT(WEEKNUM(tblData[[#This Row],[Rental Date]]),"00")</f>
        <v>39</v>
      </c>
      <c r="G2623" s="1">
        <f>EOMONTH(tblData[[#This Row],[Rental Date]],0)</f>
        <v>46295</v>
      </c>
      <c r="H2623" t="s">
        <v>2441</v>
      </c>
      <c r="I2623" t="s">
        <v>48</v>
      </c>
      <c r="J2623" t="s">
        <v>44</v>
      </c>
      <c r="K2623" t="s">
        <v>25</v>
      </c>
      <c r="L2623">
        <v>1</v>
      </c>
      <c r="M2623" s="2">
        <v>52</v>
      </c>
      <c r="N2623" t="s">
        <v>89</v>
      </c>
      <c r="O2623" s="3">
        <v>6</v>
      </c>
      <c r="P2623" s="3">
        <v>0</v>
      </c>
      <c r="Q2623" s="2">
        <v>58</v>
      </c>
      <c r="R2623" t="s">
        <v>94</v>
      </c>
      <c r="S2623" t="s">
        <v>28</v>
      </c>
      <c r="T2623" t="s">
        <v>51</v>
      </c>
      <c r="U2623" t="s">
        <v>30</v>
      </c>
    </row>
    <row r="2624" spans="1:21" x14ac:dyDescent="0.35">
      <c r="A2624" t="s">
        <v>2704</v>
      </c>
      <c r="B2624" s="1">
        <v>46290</v>
      </c>
      <c r="C2624" t="str">
        <f>TEXT(tblData[[#This Row],[Rental Date]],"mmm")</f>
        <v>Sep</v>
      </c>
      <c r="D2624" t="str">
        <f>TEXT(tblData[[#This Row],[Rental Date]],"mmmm")</f>
        <v>September</v>
      </c>
      <c r="E2624" t="s">
        <v>38</v>
      </c>
      <c r="F2624" t="str">
        <f>TEXT(WEEKNUM(tblData[[#This Row],[Rental Date]]),"00")</f>
        <v>39</v>
      </c>
      <c r="G2624" s="1">
        <f>EOMONTH(tblData[[#This Row],[Rental Date]],0)</f>
        <v>46295</v>
      </c>
      <c r="H2624" t="s">
        <v>2441</v>
      </c>
      <c r="I2624" t="s">
        <v>39</v>
      </c>
      <c r="J2624" t="s">
        <v>65</v>
      </c>
      <c r="K2624" t="s">
        <v>60</v>
      </c>
      <c r="L2624">
        <v>1</v>
      </c>
      <c r="M2624" s="2">
        <v>12</v>
      </c>
      <c r="N2624" t="s">
        <v>41</v>
      </c>
      <c r="O2624" s="3">
        <v>5</v>
      </c>
      <c r="P2624" s="3">
        <v>0</v>
      </c>
      <c r="Q2624" s="2">
        <v>17</v>
      </c>
      <c r="R2624" t="s">
        <v>66</v>
      </c>
      <c r="S2624" t="s">
        <v>46</v>
      </c>
      <c r="T2624" t="s">
        <v>63</v>
      </c>
      <c r="U2624" t="s">
        <v>30</v>
      </c>
    </row>
    <row r="2625" spans="1:21" x14ac:dyDescent="0.35">
      <c r="A2625" t="s">
        <v>2705</v>
      </c>
      <c r="B2625" s="1">
        <v>46290</v>
      </c>
      <c r="C2625" t="str">
        <f>TEXT(tblData[[#This Row],[Rental Date]],"mmm")</f>
        <v>Sep</v>
      </c>
      <c r="D2625" t="str">
        <f>TEXT(tblData[[#This Row],[Rental Date]],"mmmm")</f>
        <v>September</v>
      </c>
      <c r="E2625" t="s">
        <v>38</v>
      </c>
      <c r="F2625" t="str">
        <f>TEXT(WEEKNUM(tblData[[#This Row],[Rental Date]]),"00")</f>
        <v>39</v>
      </c>
      <c r="G2625" s="1">
        <f>EOMONTH(tblData[[#This Row],[Rental Date]],0)</f>
        <v>46295</v>
      </c>
      <c r="H2625" t="s">
        <v>2441</v>
      </c>
      <c r="I2625" t="s">
        <v>39</v>
      </c>
      <c r="J2625" t="s">
        <v>65</v>
      </c>
      <c r="K2625" t="s">
        <v>25</v>
      </c>
      <c r="L2625">
        <v>1</v>
      </c>
      <c r="M2625" s="2">
        <v>18</v>
      </c>
      <c r="N2625" t="s">
        <v>41</v>
      </c>
      <c r="O2625" s="3">
        <v>5</v>
      </c>
      <c r="P2625" s="3">
        <v>0</v>
      </c>
      <c r="Q2625" s="2">
        <v>23</v>
      </c>
      <c r="R2625" t="s">
        <v>62</v>
      </c>
      <c r="S2625" t="s">
        <v>54</v>
      </c>
      <c r="T2625" t="s">
        <v>29</v>
      </c>
      <c r="U2625" t="s">
        <v>30</v>
      </c>
    </row>
    <row r="2626" spans="1:21" x14ac:dyDescent="0.35">
      <c r="A2626" t="s">
        <v>2706</v>
      </c>
      <c r="B2626" s="1">
        <v>46291</v>
      </c>
      <c r="C2626" t="str">
        <f>TEXT(tblData[[#This Row],[Rental Date]],"mmm")</f>
        <v>Sep</v>
      </c>
      <c r="D2626" t="str">
        <f>TEXT(tblData[[#This Row],[Rental Date]],"mmmm")</f>
        <v>September</v>
      </c>
      <c r="E2626" t="s">
        <v>56</v>
      </c>
      <c r="F2626" t="str">
        <f>TEXT(WEEKNUM(tblData[[#This Row],[Rental Date]]),"00")</f>
        <v>39</v>
      </c>
      <c r="G2626" s="1">
        <f>EOMONTH(tblData[[#This Row],[Rental Date]],0)</f>
        <v>46295</v>
      </c>
      <c r="H2626" t="s">
        <v>2441</v>
      </c>
      <c r="I2626" t="s">
        <v>39</v>
      </c>
      <c r="J2626" t="s">
        <v>33</v>
      </c>
      <c r="K2626" t="s">
        <v>60</v>
      </c>
      <c r="L2626">
        <v>1</v>
      </c>
      <c r="M2626" s="2">
        <v>25.92</v>
      </c>
      <c r="N2626" t="s">
        <v>89</v>
      </c>
      <c r="O2626" s="3">
        <v>6</v>
      </c>
      <c r="P2626" s="3">
        <v>0</v>
      </c>
      <c r="Q2626" s="2">
        <v>31.92</v>
      </c>
      <c r="R2626" t="s">
        <v>76</v>
      </c>
      <c r="S2626" t="s">
        <v>35</v>
      </c>
      <c r="T2626" t="s">
        <v>51</v>
      </c>
      <c r="U2626" t="s">
        <v>58</v>
      </c>
    </row>
    <row r="2627" spans="1:21" x14ac:dyDescent="0.35">
      <c r="A2627" t="s">
        <v>2707</v>
      </c>
      <c r="B2627" s="1">
        <v>46291</v>
      </c>
      <c r="C2627" t="str">
        <f>TEXT(tblData[[#This Row],[Rental Date]],"mmm")</f>
        <v>Sep</v>
      </c>
      <c r="D2627" t="str">
        <f>TEXT(tblData[[#This Row],[Rental Date]],"mmmm")</f>
        <v>September</v>
      </c>
      <c r="E2627" t="s">
        <v>56</v>
      </c>
      <c r="F2627" t="str">
        <f>TEXT(WEEKNUM(tblData[[#This Row],[Rental Date]]),"00")</f>
        <v>39</v>
      </c>
      <c r="G2627" s="1">
        <f>EOMONTH(tblData[[#This Row],[Rental Date]],0)</f>
        <v>46295</v>
      </c>
      <c r="H2627" t="s">
        <v>2441</v>
      </c>
      <c r="I2627" t="s">
        <v>32</v>
      </c>
      <c r="J2627" t="s">
        <v>44</v>
      </c>
      <c r="K2627" t="s">
        <v>60</v>
      </c>
      <c r="L2627">
        <v>1</v>
      </c>
      <c r="M2627" s="2">
        <v>36.72</v>
      </c>
      <c r="N2627" t="s">
        <v>26</v>
      </c>
      <c r="O2627" s="3">
        <v>0</v>
      </c>
      <c r="P2627" s="3">
        <v>1.84</v>
      </c>
      <c r="Q2627" s="2">
        <v>34.880000000000003</v>
      </c>
      <c r="R2627" t="s">
        <v>76</v>
      </c>
      <c r="S2627" t="s">
        <v>54</v>
      </c>
      <c r="T2627" t="s">
        <v>29</v>
      </c>
      <c r="U2627" t="s">
        <v>30</v>
      </c>
    </row>
    <row r="2628" spans="1:21" x14ac:dyDescent="0.35">
      <c r="A2628" t="s">
        <v>2708</v>
      </c>
      <c r="B2628" s="1">
        <v>46291</v>
      </c>
      <c r="C2628" t="str">
        <f>TEXT(tblData[[#This Row],[Rental Date]],"mmm")</f>
        <v>Sep</v>
      </c>
      <c r="D2628" t="str">
        <f>TEXT(tblData[[#This Row],[Rental Date]],"mmmm")</f>
        <v>September</v>
      </c>
      <c r="E2628" t="s">
        <v>56</v>
      </c>
      <c r="F2628" t="str">
        <f>TEXT(WEEKNUM(tblData[[#This Row],[Rental Date]]),"00")</f>
        <v>39</v>
      </c>
      <c r="G2628" s="1">
        <f>EOMONTH(tblData[[#This Row],[Rental Date]],0)</f>
        <v>46295</v>
      </c>
      <c r="H2628" t="s">
        <v>2441</v>
      </c>
      <c r="I2628" t="s">
        <v>48</v>
      </c>
      <c r="J2628" t="s">
        <v>44</v>
      </c>
      <c r="K2628" t="s">
        <v>25</v>
      </c>
      <c r="L2628">
        <v>1</v>
      </c>
      <c r="M2628" s="2">
        <v>56.16</v>
      </c>
      <c r="N2628" t="s">
        <v>26</v>
      </c>
      <c r="O2628" s="3">
        <v>0</v>
      </c>
      <c r="P2628" s="3">
        <v>0</v>
      </c>
      <c r="Q2628" s="2">
        <v>56.16</v>
      </c>
      <c r="R2628" t="s">
        <v>76</v>
      </c>
      <c r="S2628" t="s">
        <v>46</v>
      </c>
      <c r="T2628" t="s">
        <v>51</v>
      </c>
      <c r="U2628" t="s">
        <v>30</v>
      </c>
    </row>
    <row r="2629" spans="1:21" x14ac:dyDescent="0.35">
      <c r="A2629" t="s">
        <v>2709</v>
      </c>
      <c r="B2629" s="1">
        <v>46291</v>
      </c>
      <c r="C2629" t="str">
        <f>TEXT(tblData[[#This Row],[Rental Date]],"mmm")</f>
        <v>Sep</v>
      </c>
      <c r="D2629" t="str">
        <f>TEXT(tblData[[#This Row],[Rental Date]],"mmmm")</f>
        <v>September</v>
      </c>
      <c r="E2629" t="s">
        <v>56</v>
      </c>
      <c r="F2629" t="str">
        <f>TEXT(WEEKNUM(tblData[[#This Row],[Rental Date]]),"00")</f>
        <v>39</v>
      </c>
      <c r="G2629" s="1">
        <f>EOMONTH(tblData[[#This Row],[Rental Date]],0)</f>
        <v>46295</v>
      </c>
      <c r="H2629" t="s">
        <v>2441</v>
      </c>
      <c r="I2629" t="s">
        <v>23</v>
      </c>
      <c r="J2629" t="s">
        <v>138</v>
      </c>
      <c r="K2629" t="s">
        <v>60</v>
      </c>
      <c r="L2629">
        <v>1</v>
      </c>
      <c r="M2629" s="2">
        <v>32.4</v>
      </c>
      <c r="N2629" t="s">
        <v>26</v>
      </c>
      <c r="O2629" s="3">
        <v>0</v>
      </c>
      <c r="P2629" s="3">
        <v>0</v>
      </c>
      <c r="Q2629" s="2">
        <v>32.4</v>
      </c>
      <c r="R2629" t="s">
        <v>76</v>
      </c>
      <c r="S2629" t="s">
        <v>54</v>
      </c>
      <c r="T2629" t="s">
        <v>51</v>
      </c>
      <c r="U2629" t="s">
        <v>30</v>
      </c>
    </row>
    <row r="2630" spans="1:21" x14ac:dyDescent="0.35">
      <c r="A2630" t="s">
        <v>2710</v>
      </c>
      <c r="B2630" s="1">
        <v>46291</v>
      </c>
      <c r="C2630" t="str">
        <f>TEXT(tblData[[#This Row],[Rental Date]],"mmm")</f>
        <v>Sep</v>
      </c>
      <c r="D2630" t="str">
        <f>TEXT(tblData[[#This Row],[Rental Date]],"mmmm")</f>
        <v>September</v>
      </c>
      <c r="E2630" t="s">
        <v>56</v>
      </c>
      <c r="F2630" t="str">
        <f>TEXT(WEEKNUM(tblData[[#This Row],[Rental Date]]),"00")</f>
        <v>39</v>
      </c>
      <c r="G2630" s="1">
        <f>EOMONTH(tblData[[#This Row],[Rental Date]],0)</f>
        <v>46295</v>
      </c>
      <c r="H2630" t="s">
        <v>2441</v>
      </c>
      <c r="I2630" t="s">
        <v>53</v>
      </c>
      <c r="J2630" t="s">
        <v>33</v>
      </c>
      <c r="K2630" t="s">
        <v>40</v>
      </c>
      <c r="L2630">
        <v>1</v>
      </c>
      <c r="M2630" s="2">
        <v>62.64</v>
      </c>
      <c r="N2630" t="s">
        <v>41</v>
      </c>
      <c r="O2630" s="3">
        <v>5</v>
      </c>
      <c r="P2630" s="3">
        <v>10.15</v>
      </c>
      <c r="Q2630" s="2">
        <v>57.49</v>
      </c>
      <c r="R2630" t="s">
        <v>76</v>
      </c>
      <c r="S2630" t="s">
        <v>35</v>
      </c>
      <c r="T2630" t="s">
        <v>51</v>
      </c>
      <c r="U2630" t="s">
        <v>58</v>
      </c>
    </row>
    <row r="2631" spans="1:21" x14ac:dyDescent="0.35">
      <c r="A2631" t="s">
        <v>2711</v>
      </c>
      <c r="B2631" s="1">
        <v>46291</v>
      </c>
      <c r="C2631" t="str">
        <f>TEXT(tblData[[#This Row],[Rental Date]],"mmm")</f>
        <v>Sep</v>
      </c>
      <c r="D2631" t="str">
        <f>TEXT(tblData[[#This Row],[Rental Date]],"mmmm")</f>
        <v>September</v>
      </c>
      <c r="E2631" t="s">
        <v>56</v>
      </c>
      <c r="F2631" t="str">
        <f>TEXT(WEEKNUM(tblData[[#This Row],[Rental Date]]),"00")</f>
        <v>39</v>
      </c>
      <c r="G2631" s="1">
        <f>EOMONTH(tblData[[#This Row],[Rental Date]],0)</f>
        <v>46295</v>
      </c>
      <c r="H2631" t="s">
        <v>2441</v>
      </c>
      <c r="I2631" t="s">
        <v>48</v>
      </c>
      <c r="J2631" t="s">
        <v>78</v>
      </c>
      <c r="K2631" t="s">
        <v>25</v>
      </c>
      <c r="L2631">
        <v>1</v>
      </c>
      <c r="M2631" s="2">
        <v>45.36</v>
      </c>
      <c r="N2631" t="s">
        <v>70</v>
      </c>
      <c r="O2631" s="3">
        <v>7</v>
      </c>
      <c r="P2631" s="3">
        <v>0</v>
      </c>
      <c r="Q2631" s="2">
        <v>52.36</v>
      </c>
      <c r="R2631" t="s">
        <v>94</v>
      </c>
      <c r="S2631" t="s">
        <v>35</v>
      </c>
      <c r="T2631" t="s">
        <v>51</v>
      </c>
      <c r="U2631" t="s">
        <v>30</v>
      </c>
    </row>
    <row r="2632" spans="1:21" x14ac:dyDescent="0.35">
      <c r="A2632" t="s">
        <v>2712</v>
      </c>
      <c r="B2632" s="1">
        <v>46291</v>
      </c>
      <c r="C2632" t="str">
        <f>TEXT(tblData[[#This Row],[Rental Date]],"mmm")</f>
        <v>Sep</v>
      </c>
      <c r="D2632" t="str">
        <f>TEXT(tblData[[#This Row],[Rental Date]],"mmmm")</f>
        <v>September</v>
      </c>
      <c r="E2632" t="s">
        <v>56</v>
      </c>
      <c r="F2632" t="str">
        <f>TEXT(WEEKNUM(tblData[[#This Row],[Rental Date]]),"00")</f>
        <v>39</v>
      </c>
      <c r="G2632" s="1">
        <f>EOMONTH(tblData[[#This Row],[Rental Date]],0)</f>
        <v>46295</v>
      </c>
      <c r="H2632" t="s">
        <v>2441</v>
      </c>
      <c r="I2632" t="s">
        <v>48</v>
      </c>
      <c r="J2632" t="s">
        <v>127</v>
      </c>
      <c r="K2632" t="s">
        <v>92</v>
      </c>
      <c r="L2632">
        <v>1</v>
      </c>
      <c r="M2632" s="2">
        <v>36.72</v>
      </c>
      <c r="N2632" t="s">
        <v>26</v>
      </c>
      <c r="O2632" s="3">
        <v>0</v>
      </c>
      <c r="P2632" s="3">
        <v>0</v>
      </c>
      <c r="Q2632" s="2">
        <v>36.72</v>
      </c>
      <c r="R2632" t="s">
        <v>76</v>
      </c>
      <c r="S2632" t="s">
        <v>28</v>
      </c>
      <c r="T2632" t="s">
        <v>90</v>
      </c>
      <c r="U2632" t="s">
        <v>30</v>
      </c>
    </row>
    <row r="2633" spans="1:21" x14ac:dyDescent="0.35">
      <c r="A2633" t="s">
        <v>2713</v>
      </c>
      <c r="B2633" s="1">
        <v>46291</v>
      </c>
      <c r="C2633" t="str">
        <f>TEXT(tblData[[#This Row],[Rental Date]],"mmm")</f>
        <v>Sep</v>
      </c>
      <c r="D2633" t="str">
        <f>TEXT(tblData[[#This Row],[Rental Date]],"mmmm")</f>
        <v>September</v>
      </c>
      <c r="E2633" t="s">
        <v>56</v>
      </c>
      <c r="F2633" t="str">
        <f>TEXT(WEEKNUM(tblData[[#This Row],[Rental Date]]),"00")</f>
        <v>39</v>
      </c>
      <c r="G2633" s="1">
        <f>EOMONTH(tblData[[#This Row],[Rental Date]],0)</f>
        <v>46295</v>
      </c>
      <c r="H2633" t="s">
        <v>2441</v>
      </c>
      <c r="I2633" t="s">
        <v>39</v>
      </c>
      <c r="J2633" t="s">
        <v>33</v>
      </c>
      <c r="K2633" t="s">
        <v>60</v>
      </c>
      <c r="L2633">
        <v>1</v>
      </c>
      <c r="M2633" s="2">
        <v>25.92</v>
      </c>
      <c r="N2633" t="s">
        <v>41</v>
      </c>
      <c r="O2633" s="3">
        <v>5</v>
      </c>
      <c r="P2633" s="3">
        <v>0</v>
      </c>
      <c r="Q2633" s="2">
        <v>30.92</v>
      </c>
      <c r="R2633" t="s">
        <v>34</v>
      </c>
      <c r="S2633" t="s">
        <v>50</v>
      </c>
      <c r="T2633" t="s">
        <v>29</v>
      </c>
      <c r="U2633" t="s">
        <v>58</v>
      </c>
    </row>
    <row r="2634" spans="1:21" x14ac:dyDescent="0.35">
      <c r="A2634" t="s">
        <v>2714</v>
      </c>
      <c r="B2634" s="1">
        <v>46291</v>
      </c>
      <c r="C2634" t="str">
        <f>TEXT(tblData[[#This Row],[Rental Date]],"mmm")</f>
        <v>Sep</v>
      </c>
      <c r="D2634" t="str">
        <f>TEXT(tblData[[#This Row],[Rental Date]],"mmmm")</f>
        <v>September</v>
      </c>
      <c r="E2634" t="s">
        <v>56</v>
      </c>
      <c r="F2634" t="str">
        <f>TEXT(WEEKNUM(tblData[[#This Row],[Rental Date]]),"00")</f>
        <v>39</v>
      </c>
      <c r="G2634" s="1">
        <f>EOMONTH(tblData[[#This Row],[Rental Date]],0)</f>
        <v>46295</v>
      </c>
      <c r="H2634" t="s">
        <v>2441</v>
      </c>
      <c r="I2634" t="s">
        <v>32</v>
      </c>
      <c r="J2634" t="s">
        <v>49</v>
      </c>
      <c r="K2634" t="s">
        <v>60</v>
      </c>
      <c r="L2634">
        <v>1</v>
      </c>
      <c r="M2634" s="2">
        <v>23.76</v>
      </c>
      <c r="N2634" t="s">
        <v>89</v>
      </c>
      <c r="O2634" s="3">
        <v>6</v>
      </c>
      <c r="P2634" s="3">
        <v>0</v>
      </c>
      <c r="Q2634" s="2">
        <v>29.76</v>
      </c>
      <c r="R2634" t="s">
        <v>71</v>
      </c>
      <c r="S2634" t="s">
        <v>28</v>
      </c>
      <c r="T2634" t="s">
        <v>51</v>
      </c>
      <c r="U2634" t="s">
        <v>58</v>
      </c>
    </row>
    <row r="2635" spans="1:21" x14ac:dyDescent="0.35">
      <c r="A2635" t="s">
        <v>2715</v>
      </c>
      <c r="B2635" s="1">
        <v>46291</v>
      </c>
      <c r="C2635" t="str">
        <f>TEXT(tblData[[#This Row],[Rental Date]],"mmm")</f>
        <v>Sep</v>
      </c>
      <c r="D2635" t="str">
        <f>TEXT(tblData[[#This Row],[Rental Date]],"mmmm")</f>
        <v>September</v>
      </c>
      <c r="E2635" t="s">
        <v>56</v>
      </c>
      <c r="F2635" t="str">
        <f>TEXT(WEEKNUM(tblData[[#This Row],[Rental Date]]),"00")</f>
        <v>39</v>
      </c>
      <c r="G2635" s="1">
        <f>EOMONTH(tblData[[#This Row],[Rental Date]],0)</f>
        <v>46295</v>
      </c>
      <c r="H2635" t="s">
        <v>2441</v>
      </c>
      <c r="I2635" t="s">
        <v>32</v>
      </c>
      <c r="J2635" t="s">
        <v>86</v>
      </c>
      <c r="K2635" t="s">
        <v>60</v>
      </c>
      <c r="L2635">
        <v>1</v>
      </c>
      <c r="M2635" s="2">
        <v>38.880000000000003</v>
      </c>
      <c r="N2635" t="s">
        <v>41</v>
      </c>
      <c r="O2635" s="3">
        <v>5</v>
      </c>
      <c r="P2635" s="3">
        <v>0</v>
      </c>
      <c r="Q2635" s="2">
        <v>43.88</v>
      </c>
      <c r="R2635" t="s">
        <v>94</v>
      </c>
      <c r="S2635" t="s">
        <v>54</v>
      </c>
      <c r="T2635" t="s">
        <v>29</v>
      </c>
      <c r="U2635" t="s">
        <v>58</v>
      </c>
    </row>
    <row r="2636" spans="1:21" x14ac:dyDescent="0.35">
      <c r="A2636" t="s">
        <v>2716</v>
      </c>
      <c r="B2636" s="1">
        <v>46291</v>
      </c>
      <c r="C2636" t="str">
        <f>TEXT(tblData[[#This Row],[Rental Date]],"mmm")</f>
        <v>Sep</v>
      </c>
      <c r="D2636" t="str">
        <f>TEXT(tblData[[#This Row],[Rental Date]],"mmmm")</f>
        <v>September</v>
      </c>
      <c r="E2636" t="s">
        <v>56</v>
      </c>
      <c r="F2636" t="str">
        <f>TEXT(WEEKNUM(tblData[[#This Row],[Rental Date]]),"00")</f>
        <v>39</v>
      </c>
      <c r="G2636" s="1">
        <f>EOMONTH(tblData[[#This Row],[Rental Date]],0)</f>
        <v>46295</v>
      </c>
      <c r="H2636" t="s">
        <v>2441</v>
      </c>
      <c r="I2636" t="s">
        <v>48</v>
      </c>
      <c r="J2636" t="s">
        <v>86</v>
      </c>
      <c r="K2636" t="s">
        <v>25</v>
      </c>
      <c r="L2636">
        <v>1</v>
      </c>
      <c r="M2636" s="2">
        <v>62.64</v>
      </c>
      <c r="N2636" t="s">
        <v>26</v>
      </c>
      <c r="O2636" s="3">
        <v>0</v>
      </c>
      <c r="P2636" s="3">
        <v>0</v>
      </c>
      <c r="Q2636" s="2">
        <v>62.64</v>
      </c>
      <c r="R2636" t="s">
        <v>71</v>
      </c>
      <c r="S2636" t="s">
        <v>28</v>
      </c>
      <c r="T2636" t="s">
        <v>29</v>
      </c>
      <c r="U2636" t="s">
        <v>79</v>
      </c>
    </row>
    <row r="2637" spans="1:21" x14ac:dyDescent="0.35">
      <c r="A2637" t="s">
        <v>2717</v>
      </c>
      <c r="B2637" s="1">
        <v>46291</v>
      </c>
      <c r="C2637" t="str">
        <f>TEXT(tblData[[#This Row],[Rental Date]],"mmm")</f>
        <v>Sep</v>
      </c>
      <c r="D2637" t="str">
        <f>TEXT(tblData[[#This Row],[Rental Date]],"mmmm")</f>
        <v>September</v>
      </c>
      <c r="E2637" t="s">
        <v>56</v>
      </c>
      <c r="F2637" t="str">
        <f>TEXT(WEEKNUM(tblData[[#This Row],[Rental Date]]),"00")</f>
        <v>39</v>
      </c>
      <c r="G2637" s="1">
        <f>EOMONTH(tblData[[#This Row],[Rental Date]],0)</f>
        <v>46295</v>
      </c>
      <c r="H2637" t="s">
        <v>2441</v>
      </c>
      <c r="I2637" t="s">
        <v>32</v>
      </c>
      <c r="J2637" t="s">
        <v>65</v>
      </c>
      <c r="K2637" t="s">
        <v>60</v>
      </c>
      <c r="L2637">
        <v>1</v>
      </c>
      <c r="M2637" s="2">
        <v>12.96</v>
      </c>
      <c r="N2637" t="s">
        <v>61</v>
      </c>
      <c r="O2637" s="3">
        <v>8</v>
      </c>
      <c r="P2637" s="3">
        <v>0</v>
      </c>
      <c r="Q2637" s="2">
        <v>20.96</v>
      </c>
      <c r="R2637" t="s">
        <v>66</v>
      </c>
      <c r="S2637" t="s">
        <v>46</v>
      </c>
      <c r="T2637" t="s">
        <v>29</v>
      </c>
      <c r="U2637" t="s">
        <v>30</v>
      </c>
    </row>
    <row r="2638" spans="1:21" x14ac:dyDescent="0.35">
      <c r="A2638" t="s">
        <v>2718</v>
      </c>
      <c r="B2638" s="1">
        <v>46291</v>
      </c>
      <c r="C2638" t="str">
        <f>TEXT(tblData[[#This Row],[Rental Date]],"mmm")</f>
        <v>Sep</v>
      </c>
      <c r="D2638" t="str">
        <f>TEXT(tblData[[#This Row],[Rental Date]],"mmmm")</f>
        <v>September</v>
      </c>
      <c r="E2638" t="s">
        <v>56</v>
      </c>
      <c r="F2638" t="str">
        <f>TEXT(WEEKNUM(tblData[[#This Row],[Rental Date]]),"00")</f>
        <v>39</v>
      </c>
      <c r="G2638" s="1">
        <f>EOMONTH(tblData[[#This Row],[Rental Date]],0)</f>
        <v>46295</v>
      </c>
      <c r="H2638" t="s">
        <v>2441</v>
      </c>
      <c r="I2638" t="s">
        <v>39</v>
      </c>
      <c r="J2638" t="s">
        <v>78</v>
      </c>
      <c r="K2638" t="s">
        <v>92</v>
      </c>
      <c r="L2638">
        <v>1</v>
      </c>
      <c r="M2638" s="2">
        <v>95.04</v>
      </c>
      <c r="N2638" t="s">
        <v>89</v>
      </c>
      <c r="O2638" s="3">
        <v>6</v>
      </c>
      <c r="P2638" s="3">
        <v>0</v>
      </c>
      <c r="Q2638" s="2">
        <v>101.04</v>
      </c>
      <c r="R2638" t="s">
        <v>66</v>
      </c>
      <c r="S2638" t="s">
        <v>28</v>
      </c>
      <c r="T2638" t="s">
        <v>63</v>
      </c>
      <c r="U2638" t="s">
        <v>79</v>
      </c>
    </row>
    <row r="2639" spans="1:21" x14ac:dyDescent="0.35">
      <c r="A2639" t="s">
        <v>2719</v>
      </c>
      <c r="B2639" s="1">
        <v>46291</v>
      </c>
      <c r="C2639" t="str">
        <f>TEXT(tblData[[#This Row],[Rental Date]],"mmm")</f>
        <v>Sep</v>
      </c>
      <c r="D2639" t="str">
        <f>TEXT(tblData[[#This Row],[Rental Date]],"mmmm")</f>
        <v>September</v>
      </c>
      <c r="E2639" t="s">
        <v>56</v>
      </c>
      <c r="F2639" t="str">
        <f>TEXT(WEEKNUM(tblData[[#This Row],[Rental Date]]),"00")</f>
        <v>39</v>
      </c>
      <c r="G2639" s="1">
        <f>EOMONTH(tblData[[#This Row],[Rental Date]],0)</f>
        <v>46295</v>
      </c>
      <c r="H2639" t="s">
        <v>2441</v>
      </c>
      <c r="I2639" t="s">
        <v>39</v>
      </c>
      <c r="J2639" t="s">
        <v>78</v>
      </c>
      <c r="K2639" t="s">
        <v>25</v>
      </c>
      <c r="L2639">
        <v>1</v>
      </c>
      <c r="M2639" s="2">
        <v>45.36</v>
      </c>
      <c r="N2639" t="s">
        <v>87</v>
      </c>
      <c r="O2639" s="3">
        <v>10</v>
      </c>
      <c r="P2639" s="3">
        <v>0</v>
      </c>
      <c r="Q2639" s="2">
        <v>55.36</v>
      </c>
      <c r="R2639" t="s">
        <v>57</v>
      </c>
      <c r="S2639" t="s">
        <v>28</v>
      </c>
      <c r="T2639" t="s">
        <v>29</v>
      </c>
      <c r="U2639" t="s">
        <v>30</v>
      </c>
    </row>
    <row r="2640" spans="1:21" x14ac:dyDescent="0.35">
      <c r="A2640" t="s">
        <v>2720</v>
      </c>
      <c r="B2640" s="1">
        <v>46291</v>
      </c>
      <c r="C2640" t="str">
        <f>TEXT(tblData[[#This Row],[Rental Date]],"mmm")</f>
        <v>Sep</v>
      </c>
      <c r="D2640" t="str">
        <f>TEXT(tblData[[#This Row],[Rental Date]],"mmmm")</f>
        <v>September</v>
      </c>
      <c r="E2640" t="s">
        <v>56</v>
      </c>
      <c r="F2640" t="str">
        <f>TEXT(WEEKNUM(tblData[[#This Row],[Rental Date]]),"00")</f>
        <v>39</v>
      </c>
      <c r="G2640" s="1">
        <f>EOMONTH(tblData[[#This Row],[Rental Date]],0)</f>
        <v>46295</v>
      </c>
      <c r="H2640" t="s">
        <v>2441</v>
      </c>
      <c r="I2640" t="s">
        <v>48</v>
      </c>
      <c r="J2640" t="s">
        <v>33</v>
      </c>
      <c r="K2640" t="s">
        <v>25</v>
      </c>
      <c r="L2640">
        <v>1</v>
      </c>
      <c r="M2640" s="2">
        <v>41.04</v>
      </c>
      <c r="N2640" t="s">
        <v>26</v>
      </c>
      <c r="O2640" s="3">
        <v>0</v>
      </c>
      <c r="P2640" s="3">
        <v>0</v>
      </c>
      <c r="Q2640" s="2">
        <v>41.04</v>
      </c>
      <c r="R2640" t="s">
        <v>94</v>
      </c>
      <c r="S2640" t="s">
        <v>28</v>
      </c>
      <c r="T2640" t="s">
        <v>29</v>
      </c>
      <c r="U2640" t="s">
        <v>30</v>
      </c>
    </row>
    <row r="2641" spans="1:21" x14ac:dyDescent="0.35">
      <c r="A2641" t="s">
        <v>2721</v>
      </c>
      <c r="B2641" s="1">
        <v>46292</v>
      </c>
      <c r="C2641" t="str">
        <f>TEXT(tblData[[#This Row],[Rental Date]],"mmm")</f>
        <v>Sep</v>
      </c>
      <c r="D2641" t="str">
        <f>TEXT(tblData[[#This Row],[Rental Date]],"mmmm")</f>
        <v>September</v>
      </c>
      <c r="E2641" t="s">
        <v>68</v>
      </c>
      <c r="F2641" t="str">
        <f>TEXT(WEEKNUM(tblData[[#This Row],[Rental Date]]),"00")</f>
        <v>40</v>
      </c>
      <c r="G2641" s="1">
        <f>EOMONTH(tblData[[#This Row],[Rental Date]],0)</f>
        <v>46295</v>
      </c>
      <c r="H2641" t="s">
        <v>2441</v>
      </c>
      <c r="I2641" t="s">
        <v>39</v>
      </c>
      <c r="J2641" t="s">
        <v>49</v>
      </c>
      <c r="K2641" t="s">
        <v>60</v>
      </c>
      <c r="L2641">
        <v>1</v>
      </c>
      <c r="M2641" s="2">
        <v>23.76</v>
      </c>
      <c r="N2641" t="s">
        <v>89</v>
      </c>
      <c r="O2641" s="3">
        <v>6</v>
      </c>
      <c r="P2641" s="3">
        <v>0</v>
      </c>
      <c r="Q2641" s="2">
        <v>29.76</v>
      </c>
      <c r="R2641" t="s">
        <v>45</v>
      </c>
      <c r="S2641" t="s">
        <v>54</v>
      </c>
      <c r="T2641" t="s">
        <v>51</v>
      </c>
      <c r="U2641" t="s">
        <v>30</v>
      </c>
    </row>
    <row r="2642" spans="1:21" x14ac:dyDescent="0.35">
      <c r="A2642" t="s">
        <v>2722</v>
      </c>
      <c r="B2642" s="1">
        <v>46292</v>
      </c>
      <c r="C2642" t="str">
        <f>TEXT(tblData[[#This Row],[Rental Date]],"mmm")</f>
        <v>Sep</v>
      </c>
      <c r="D2642" t="str">
        <f>TEXT(tblData[[#This Row],[Rental Date]],"mmmm")</f>
        <v>September</v>
      </c>
      <c r="E2642" t="s">
        <v>68</v>
      </c>
      <c r="F2642" t="str">
        <f>TEXT(WEEKNUM(tblData[[#This Row],[Rental Date]]),"00")</f>
        <v>40</v>
      </c>
      <c r="G2642" s="1">
        <f>EOMONTH(tblData[[#This Row],[Rental Date]],0)</f>
        <v>46295</v>
      </c>
      <c r="H2642" t="s">
        <v>2441</v>
      </c>
      <c r="I2642" t="s">
        <v>39</v>
      </c>
      <c r="J2642" t="s">
        <v>49</v>
      </c>
      <c r="K2642" t="s">
        <v>40</v>
      </c>
      <c r="L2642">
        <v>1</v>
      </c>
      <c r="M2642" s="2">
        <v>58.32</v>
      </c>
      <c r="N2642" t="s">
        <v>26</v>
      </c>
      <c r="O2642" s="3">
        <v>0</v>
      </c>
      <c r="P2642" s="3">
        <v>0</v>
      </c>
      <c r="Q2642" s="2">
        <v>58.32</v>
      </c>
      <c r="R2642" t="s">
        <v>27</v>
      </c>
      <c r="S2642" t="s">
        <v>35</v>
      </c>
      <c r="T2642" t="s">
        <v>29</v>
      </c>
      <c r="U2642" t="s">
        <v>30</v>
      </c>
    </row>
    <row r="2643" spans="1:21" x14ac:dyDescent="0.35">
      <c r="A2643" t="s">
        <v>2723</v>
      </c>
      <c r="B2643" s="1">
        <v>46292</v>
      </c>
      <c r="C2643" t="str">
        <f>TEXT(tblData[[#This Row],[Rental Date]],"mmm")</f>
        <v>Sep</v>
      </c>
      <c r="D2643" t="str">
        <f>TEXT(tblData[[#This Row],[Rental Date]],"mmmm")</f>
        <v>September</v>
      </c>
      <c r="E2643" t="s">
        <v>68</v>
      </c>
      <c r="F2643" t="str">
        <f>TEXT(WEEKNUM(tblData[[#This Row],[Rental Date]]),"00")</f>
        <v>40</v>
      </c>
      <c r="G2643" s="1">
        <f>EOMONTH(tblData[[#This Row],[Rental Date]],0)</f>
        <v>46295</v>
      </c>
      <c r="H2643" t="s">
        <v>2441</v>
      </c>
      <c r="I2643" t="s">
        <v>32</v>
      </c>
      <c r="J2643" t="s">
        <v>78</v>
      </c>
      <c r="K2643" t="s">
        <v>92</v>
      </c>
      <c r="L2643">
        <v>1</v>
      </c>
      <c r="M2643" s="2">
        <v>95.04</v>
      </c>
      <c r="N2643" t="s">
        <v>75</v>
      </c>
      <c r="O2643" s="3">
        <v>12</v>
      </c>
      <c r="P2643" s="3">
        <v>10.7</v>
      </c>
      <c r="Q2643" s="2">
        <v>96.34</v>
      </c>
      <c r="R2643" t="s">
        <v>42</v>
      </c>
      <c r="S2643" t="s">
        <v>46</v>
      </c>
      <c r="T2643" t="s">
        <v>90</v>
      </c>
      <c r="U2643" t="s">
        <v>58</v>
      </c>
    </row>
    <row r="2644" spans="1:21" x14ac:dyDescent="0.35">
      <c r="A2644" t="s">
        <v>2724</v>
      </c>
      <c r="B2644" s="1">
        <v>46292</v>
      </c>
      <c r="C2644" t="str">
        <f>TEXT(tblData[[#This Row],[Rental Date]],"mmm")</f>
        <v>Sep</v>
      </c>
      <c r="D2644" t="str">
        <f>TEXT(tblData[[#This Row],[Rental Date]],"mmmm")</f>
        <v>September</v>
      </c>
      <c r="E2644" t="s">
        <v>68</v>
      </c>
      <c r="F2644" t="str">
        <f>TEXT(WEEKNUM(tblData[[#This Row],[Rental Date]]),"00")</f>
        <v>40</v>
      </c>
      <c r="G2644" s="1">
        <f>EOMONTH(tblData[[#This Row],[Rental Date]],0)</f>
        <v>46295</v>
      </c>
      <c r="H2644" t="s">
        <v>2441</v>
      </c>
      <c r="I2644" t="s">
        <v>48</v>
      </c>
      <c r="J2644" t="s">
        <v>78</v>
      </c>
      <c r="K2644" t="s">
        <v>60</v>
      </c>
      <c r="L2644">
        <v>1</v>
      </c>
      <c r="M2644" s="2">
        <v>28.08</v>
      </c>
      <c r="N2644" t="s">
        <v>26</v>
      </c>
      <c r="O2644" s="3">
        <v>0</v>
      </c>
      <c r="P2644" s="3">
        <v>0</v>
      </c>
      <c r="Q2644" s="2">
        <v>28.08</v>
      </c>
      <c r="R2644" t="s">
        <v>94</v>
      </c>
      <c r="S2644" t="s">
        <v>54</v>
      </c>
      <c r="T2644" t="s">
        <v>29</v>
      </c>
      <c r="U2644" t="s">
        <v>58</v>
      </c>
    </row>
    <row r="2645" spans="1:21" x14ac:dyDescent="0.35">
      <c r="A2645" t="s">
        <v>2725</v>
      </c>
      <c r="B2645" s="1">
        <v>46292</v>
      </c>
      <c r="C2645" t="str">
        <f>TEXT(tblData[[#This Row],[Rental Date]],"mmm")</f>
        <v>Sep</v>
      </c>
      <c r="D2645" t="str">
        <f>TEXT(tblData[[#This Row],[Rental Date]],"mmmm")</f>
        <v>September</v>
      </c>
      <c r="E2645" t="s">
        <v>68</v>
      </c>
      <c r="F2645" t="str">
        <f>TEXT(WEEKNUM(tblData[[#This Row],[Rental Date]]),"00")</f>
        <v>40</v>
      </c>
      <c r="G2645" s="1">
        <f>EOMONTH(tblData[[#This Row],[Rental Date]],0)</f>
        <v>46295</v>
      </c>
      <c r="H2645" t="s">
        <v>2441</v>
      </c>
      <c r="I2645" t="s">
        <v>53</v>
      </c>
      <c r="J2645" t="s">
        <v>78</v>
      </c>
      <c r="K2645" t="s">
        <v>92</v>
      </c>
      <c r="L2645">
        <v>1</v>
      </c>
      <c r="M2645" s="2">
        <v>95.04</v>
      </c>
      <c r="N2645" t="s">
        <v>26</v>
      </c>
      <c r="O2645" s="3">
        <v>0</v>
      </c>
      <c r="P2645" s="3">
        <v>9.5</v>
      </c>
      <c r="Q2645" s="2">
        <v>85.54</v>
      </c>
      <c r="R2645" t="s">
        <v>45</v>
      </c>
      <c r="S2645" t="s">
        <v>28</v>
      </c>
      <c r="T2645" t="s">
        <v>90</v>
      </c>
      <c r="U2645" t="s">
        <v>79</v>
      </c>
    </row>
    <row r="2646" spans="1:21" x14ac:dyDescent="0.35">
      <c r="A2646" t="s">
        <v>2726</v>
      </c>
      <c r="B2646" s="1">
        <v>46292</v>
      </c>
      <c r="C2646" t="str">
        <f>TEXT(tblData[[#This Row],[Rental Date]],"mmm")</f>
        <v>Sep</v>
      </c>
      <c r="D2646" t="str">
        <f>TEXT(tblData[[#This Row],[Rental Date]],"mmmm")</f>
        <v>September</v>
      </c>
      <c r="E2646" t="s">
        <v>68</v>
      </c>
      <c r="F2646" t="str">
        <f>TEXT(WEEKNUM(tblData[[#This Row],[Rental Date]]),"00")</f>
        <v>40</v>
      </c>
      <c r="G2646" s="1">
        <f>EOMONTH(tblData[[#This Row],[Rental Date]],0)</f>
        <v>46295</v>
      </c>
      <c r="H2646" t="s">
        <v>2441</v>
      </c>
      <c r="I2646" t="s">
        <v>53</v>
      </c>
      <c r="J2646" t="s">
        <v>49</v>
      </c>
      <c r="K2646" t="s">
        <v>40</v>
      </c>
      <c r="L2646">
        <v>1</v>
      </c>
      <c r="M2646" s="2">
        <v>58.32</v>
      </c>
      <c r="N2646" t="s">
        <v>41</v>
      </c>
      <c r="O2646" s="3">
        <v>5</v>
      </c>
      <c r="P2646" s="3">
        <v>6.33</v>
      </c>
      <c r="Q2646" s="2">
        <v>56.99</v>
      </c>
      <c r="R2646" t="s">
        <v>27</v>
      </c>
      <c r="S2646" t="s">
        <v>50</v>
      </c>
      <c r="T2646" t="s">
        <v>29</v>
      </c>
      <c r="U2646" t="s">
        <v>30</v>
      </c>
    </row>
    <row r="2647" spans="1:21" x14ac:dyDescent="0.35">
      <c r="A2647" t="s">
        <v>2727</v>
      </c>
      <c r="B2647" s="1">
        <v>46292</v>
      </c>
      <c r="C2647" t="str">
        <f>TEXT(tblData[[#This Row],[Rental Date]],"mmm")</f>
        <v>Sep</v>
      </c>
      <c r="D2647" t="str">
        <f>TEXT(tblData[[#This Row],[Rental Date]],"mmmm")</f>
        <v>September</v>
      </c>
      <c r="E2647" t="s">
        <v>68</v>
      </c>
      <c r="F2647" t="str">
        <f>TEXT(WEEKNUM(tblData[[#This Row],[Rental Date]]),"00")</f>
        <v>40</v>
      </c>
      <c r="G2647" s="1">
        <f>EOMONTH(tblData[[#This Row],[Rental Date]],0)</f>
        <v>46295</v>
      </c>
      <c r="H2647" t="s">
        <v>2441</v>
      </c>
      <c r="I2647" t="s">
        <v>48</v>
      </c>
      <c r="J2647" t="s">
        <v>33</v>
      </c>
      <c r="K2647" t="s">
        <v>25</v>
      </c>
      <c r="L2647">
        <v>1</v>
      </c>
      <c r="M2647" s="2">
        <v>41.04</v>
      </c>
      <c r="N2647" t="s">
        <v>89</v>
      </c>
      <c r="O2647" s="3">
        <v>6</v>
      </c>
      <c r="P2647" s="3">
        <v>0</v>
      </c>
      <c r="Q2647" s="2">
        <v>47.04</v>
      </c>
      <c r="R2647" t="s">
        <v>71</v>
      </c>
      <c r="S2647" t="s">
        <v>50</v>
      </c>
      <c r="T2647" t="s">
        <v>90</v>
      </c>
      <c r="U2647" t="s">
        <v>30</v>
      </c>
    </row>
    <row r="2648" spans="1:21" x14ac:dyDescent="0.35">
      <c r="A2648" t="s">
        <v>2728</v>
      </c>
      <c r="B2648" s="1">
        <v>46292</v>
      </c>
      <c r="C2648" t="str">
        <f>TEXT(tblData[[#This Row],[Rental Date]],"mmm")</f>
        <v>Sep</v>
      </c>
      <c r="D2648" t="str">
        <f>TEXT(tblData[[#This Row],[Rental Date]],"mmmm")</f>
        <v>September</v>
      </c>
      <c r="E2648" t="s">
        <v>68</v>
      </c>
      <c r="F2648" t="str">
        <f>TEXT(WEEKNUM(tblData[[#This Row],[Rental Date]]),"00")</f>
        <v>40</v>
      </c>
      <c r="G2648" s="1">
        <f>EOMONTH(tblData[[#This Row],[Rental Date]],0)</f>
        <v>46295</v>
      </c>
      <c r="H2648" t="s">
        <v>2441</v>
      </c>
      <c r="I2648" t="s">
        <v>32</v>
      </c>
      <c r="J2648" t="s">
        <v>49</v>
      </c>
      <c r="K2648" t="s">
        <v>40</v>
      </c>
      <c r="L2648">
        <v>1</v>
      </c>
      <c r="M2648" s="2">
        <v>58.32</v>
      </c>
      <c r="N2648" t="s">
        <v>26</v>
      </c>
      <c r="O2648" s="3">
        <v>0</v>
      </c>
      <c r="P2648" s="3">
        <v>0</v>
      </c>
      <c r="Q2648" s="2">
        <v>58.32</v>
      </c>
      <c r="R2648" t="s">
        <v>62</v>
      </c>
      <c r="S2648" t="s">
        <v>35</v>
      </c>
      <c r="T2648" t="s">
        <v>51</v>
      </c>
      <c r="U2648" t="s">
        <v>36</v>
      </c>
    </row>
    <row r="2649" spans="1:21" x14ac:dyDescent="0.35">
      <c r="A2649" t="s">
        <v>2729</v>
      </c>
      <c r="B2649" s="1">
        <v>46292</v>
      </c>
      <c r="C2649" t="str">
        <f>TEXT(tblData[[#This Row],[Rental Date]],"mmm")</f>
        <v>Sep</v>
      </c>
      <c r="D2649" t="str">
        <f>TEXT(tblData[[#This Row],[Rental Date]],"mmmm")</f>
        <v>September</v>
      </c>
      <c r="E2649" t="s">
        <v>68</v>
      </c>
      <c r="F2649" t="str">
        <f>TEXT(WEEKNUM(tblData[[#This Row],[Rental Date]]),"00")</f>
        <v>40</v>
      </c>
      <c r="G2649" s="1">
        <f>EOMONTH(tblData[[#This Row],[Rental Date]],0)</f>
        <v>46295</v>
      </c>
      <c r="H2649" t="s">
        <v>2441</v>
      </c>
      <c r="I2649" t="s">
        <v>39</v>
      </c>
      <c r="J2649" t="s">
        <v>78</v>
      </c>
      <c r="K2649" t="s">
        <v>60</v>
      </c>
      <c r="L2649">
        <v>1</v>
      </c>
      <c r="M2649" s="2">
        <v>28.08</v>
      </c>
      <c r="N2649" t="s">
        <v>26</v>
      </c>
      <c r="O2649" s="3">
        <v>0</v>
      </c>
      <c r="P2649" s="3">
        <v>0</v>
      </c>
      <c r="Q2649" s="2">
        <v>28.08</v>
      </c>
      <c r="R2649" t="s">
        <v>94</v>
      </c>
      <c r="S2649" t="s">
        <v>54</v>
      </c>
      <c r="T2649" t="s">
        <v>29</v>
      </c>
      <c r="U2649" t="s">
        <v>30</v>
      </c>
    </row>
    <row r="2650" spans="1:21" x14ac:dyDescent="0.35">
      <c r="A2650" t="s">
        <v>2730</v>
      </c>
      <c r="B2650" s="1">
        <v>46292</v>
      </c>
      <c r="C2650" t="str">
        <f>TEXT(tblData[[#This Row],[Rental Date]],"mmm")</f>
        <v>Sep</v>
      </c>
      <c r="D2650" t="str">
        <f>TEXT(tblData[[#This Row],[Rental Date]],"mmmm")</f>
        <v>September</v>
      </c>
      <c r="E2650" t="s">
        <v>68</v>
      </c>
      <c r="F2650" t="str">
        <f>TEXT(WEEKNUM(tblData[[#This Row],[Rental Date]]),"00")</f>
        <v>40</v>
      </c>
      <c r="G2650" s="1">
        <f>EOMONTH(tblData[[#This Row],[Rental Date]],0)</f>
        <v>46295</v>
      </c>
      <c r="H2650" t="s">
        <v>2441</v>
      </c>
      <c r="I2650" t="s">
        <v>23</v>
      </c>
      <c r="J2650" t="s">
        <v>78</v>
      </c>
      <c r="K2650" t="s">
        <v>60</v>
      </c>
      <c r="L2650">
        <v>1</v>
      </c>
      <c r="M2650" s="2">
        <v>28.08</v>
      </c>
      <c r="N2650" t="s">
        <v>26</v>
      </c>
      <c r="O2650" s="3">
        <v>0</v>
      </c>
      <c r="P2650" s="3">
        <v>0</v>
      </c>
      <c r="Q2650" s="2">
        <v>28.08</v>
      </c>
      <c r="R2650" t="s">
        <v>45</v>
      </c>
      <c r="S2650" t="s">
        <v>35</v>
      </c>
      <c r="T2650" t="s">
        <v>63</v>
      </c>
      <c r="U2650" t="s">
        <v>30</v>
      </c>
    </row>
    <row r="2651" spans="1:21" x14ac:dyDescent="0.35">
      <c r="A2651" t="s">
        <v>2731</v>
      </c>
      <c r="B2651" s="1">
        <v>46292</v>
      </c>
      <c r="C2651" t="str">
        <f>TEXT(tblData[[#This Row],[Rental Date]],"mmm")</f>
        <v>Sep</v>
      </c>
      <c r="D2651" t="str">
        <f>TEXT(tblData[[#This Row],[Rental Date]],"mmmm")</f>
        <v>September</v>
      </c>
      <c r="E2651" t="s">
        <v>68</v>
      </c>
      <c r="F2651" t="str">
        <f>TEXT(WEEKNUM(tblData[[#This Row],[Rental Date]]),"00")</f>
        <v>40</v>
      </c>
      <c r="G2651" s="1">
        <f>EOMONTH(tblData[[#This Row],[Rental Date]],0)</f>
        <v>46295</v>
      </c>
      <c r="H2651" t="s">
        <v>2441</v>
      </c>
      <c r="I2651" t="s">
        <v>23</v>
      </c>
      <c r="J2651" t="s">
        <v>111</v>
      </c>
      <c r="K2651" t="s">
        <v>60</v>
      </c>
      <c r="L2651">
        <v>1</v>
      </c>
      <c r="M2651" s="2">
        <v>15.12</v>
      </c>
      <c r="N2651" t="s">
        <v>89</v>
      </c>
      <c r="O2651" s="3">
        <v>6</v>
      </c>
      <c r="P2651" s="3">
        <v>0</v>
      </c>
      <c r="Q2651" s="2">
        <v>21.12</v>
      </c>
      <c r="R2651" t="s">
        <v>94</v>
      </c>
      <c r="S2651" t="s">
        <v>54</v>
      </c>
      <c r="T2651" t="s">
        <v>29</v>
      </c>
      <c r="U2651" t="s">
        <v>58</v>
      </c>
    </row>
    <row r="2652" spans="1:21" x14ac:dyDescent="0.35">
      <c r="A2652" t="s">
        <v>2732</v>
      </c>
      <c r="B2652" s="1">
        <v>46292</v>
      </c>
      <c r="C2652" t="str">
        <f>TEXT(tblData[[#This Row],[Rental Date]],"mmm")</f>
        <v>Sep</v>
      </c>
      <c r="D2652" t="str">
        <f>TEXT(tblData[[#This Row],[Rental Date]],"mmmm")</f>
        <v>September</v>
      </c>
      <c r="E2652" t="s">
        <v>68</v>
      </c>
      <c r="F2652" t="str">
        <f>TEXT(WEEKNUM(tblData[[#This Row],[Rental Date]]),"00")</f>
        <v>40</v>
      </c>
      <c r="G2652" s="1">
        <f>EOMONTH(tblData[[#This Row],[Rental Date]],0)</f>
        <v>46295</v>
      </c>
      <c r="H2652" t="s">
        <v>2441</v>
      </c>
      <c r="I2652" t="s">
        <v>53</v>
      </c>
      <c r="J2652" t="s">
        <v>49</v>
      </c>
      <c r="K2652" t="s">
        <v>92</v>
      </c>
      <c r="L2652">
        <v>1</v>
      </c>
      <c r="M2652" s="2">
        <v>82.08</v>
      </c>
      <c r="N2652" t="s">
        <v>41</v>
      </c>
      <c r="O2652" s="3">
        <v>5</v>
      </c>
      <c r="P2652" s="3">
        <v>13.06</v>
      </c>
      <c r="Q2652" s="2">
        <v>74.02</v>
      </c>
      <c r="R2652" t="s">
        <v>62</v>
      </c>
      <c r="S2652" t="s">
        <v>50</v>
      </c>
      <c r="T2652" t="s">
        <v>29</v>
      </c>
      <c r="U2652" t="s">
        <v>30</v>
      </c>
    </row>
    <row r="2653" spans="1:21" x14ac:dyDescent="0.35">
      <c r="A2653" t="s">
        <v>2733</v>
      </c>
      <c r="B2653" s="1">
        <v>46292</v>
      </c>
      <c r="C2653" t="str">
        <f>TEXT(tblData[[#This Row],[Rental Date]],"mmm")</f>
        <v>Sep</v>
      </c>
      <c r="D2653" t="str">
        <f>TEXT(tblData[[#This Row],[Rental Date]],"mmmm")</f>
        <v>September</v>
      </c>
      <c r="E2653" t="s">
        <v>68</v>
      </c>
      <c r="F2653" t="str">
        <f>TEXT(WEEKNUM(tblData[[#This Row],[Rental Date]]),"00")</f>
        <v>40</v>
      </c>
      <c r="G2653" s="1">
        <f>EOMONTH(tblData[[#This Row],[Rental Date]],0)</f>
        <v>46295</v>
      </c>
      <c r="H2653" t="s">
        <v>2441</v>
      </c>
      <c r="I2653" t="s">
        <v>23</v>
      </c>
      <c r="J2653" t="s">
        <v>49</v>
      </c>
      <c r="K2653" t="s">
        <v>60</v>
      </c>
      <c r="L2653">
        <v>1</v>
      </c>
      <c r="M2653" s="2">
        <v>23.76</v>
      </c>
      <c r="N2653" t="s">
        <v>26</v>
      </c>
      <c r="O2653" s="3">
        <v>0</v>
      </c>
      <c r="P2653" s="3">
        <v>0</v>
      </c>
      <c r="Q2653" s="2">
        <v>23.76</v>
      </c>
      <c r="R2653" t="s">
        <v>42</v>
      </c>
      <c r="S2653" t="s">
        <v>50</v>
      </c>
      <c r="T2653" t="s">
        <v>29</v>
      </c>
      <c r="U2653" t="s">
        <v>30</v>
      </c>
    </row>
    <row r="2654" spans="1:21" x14ac:dyDescent="0.35">
      <c r="A2654" t="s">
        <v>2734</v>
      </c>
      <c r="B2654" s="1">
        <v>46292</v>
      </c>
      <c r="C2654" t="str">
        <f>TEXT(tblData[[#This Row],[Rental Date]],"mmm")</f>
        <v>Sep</v>
      </c>
      <c r="D2654" t="str">
        <f>TEXT(tblData[[#This Row],[Rental Date]],"mmmm")</f>
        <v>September</v>
      </c>
      <c r="E2654" t="s">
        <v>68</v>
      </c>
      <c r="F2654" t="str">
        <f>TEXT(WEEKNUM(tblData[[#This Row],[Rental Date]]),"00")</f>
        <v>40</v>
      </c>
      <c r="G2654" s="1">
        <f>EOMONTH(tblData[[#This Row],[Rental Date]],0)</f>
        <v>46295</v>
      </c>
      <c r="H2654" t="s">
        <v>2441</v>
      </c>
      <c r="I2654" t="s">
        <v>32</v>
      </c>
      <c r="J2654" t="s">
        <v>111</v>
      </c>
      <c r="K2654" t="s">
        <v>25</v>
      </c>
      <c r="L2654">
        <v>1</v>
      </c>
      <c r="M2654" s="2">
        <v>23.76</v>
      </c>
      <c r="N2654" t="s">
        <v>26</v>
      </c>
      <c r="O2654" s="3">
        <v>0</v>
      </c>
      <c r="P2654" s="3">
        <v>1.19</v>
      </c>
      <c r="Q2654" s="2">
        <v>22.57</v>
      </c>
      <c r="R2654" t="s">
        <v>45</v>
      </c>
      <c r="S2654" t="s">
        <v>54</v>
      </c>
      <c r="T2654" t="s">
        <v>51</v>
      </c>
      <c r="U2654" t="s">
        <v>79</v>
      </c>
    </row>
    <row r="2655" spans="1:21" x14ac:dyDescent="0.35">
      <c r="A2655" t="s">
        <v>2735</v>
      </c>
      <c r="B2655" s="1">
        <v>46293</v>
      </c>
      <c r="C2655" t="str">
        <f>TEXT(tblData[[#This Row],[Rental Date]],"mmm")</f>
        <v>Sep</v>
      </c>
      <c r="D2655" t="str">
        <f>TEXT(tblData[[#This Row],[Rental Date]],"mmmm")</f>
        <v>September</v>
      </c>
      <c r="E2655" t="s">
        <v>74</v>
      </c>
      <c r="F2655" t="str">
        <f>TEXT(WEEKNUM(tblData[[#This Row],[Rental Date]]),"00")</f>
        <v>40</v>
      </c>
      <c r="G2655" s="1">
        <f>EOMONTH(tblData[[#This Row],[Rental Date]],0)</f>
        <v>46295</v>
      </c>
      <c r="H2655" t="s">
        <v>2441</v>
      </c>
      <c r="I2655" t="s">
        <v>48</v>
      </c>
      <c r="J2655" t="s">
        <v>138</v>
      </c>
      <c r="K2655" t="s">
        <v>92</v>
      </c>
      <c r="L2655">
        <v>1</v>
      </c>
      <c r="M2655" s="2">
        <v>104</v>
      </c>
      <c r="N2655" t="s">
        <v>61</v>
      </c>
      <c r="O2655" s="3">
        <v>8</v>
      </c>
      <c r="P2655" s="3">
        <v>5.6</v>
      </c>
      <c r="Q2655" s="2">
        <v>106.4</v>
      </c>
      <c r="R2655" t="s">
        <v>42</v>
      </c>
      <c r="S2655" t="s">
        <v>46</v>
      </c>
      <c r="T2655" t="s">
        <v>83</v>
      </c>
      <c r="U2655" t="s">
        <v>30</v>
      </c>
    </row>
    <row r="2656" spans="1:21" x14ac:dyDescent="0.35">
      <c r="A2656" t="s">
        <v>2736</v>
      </c>
      <c r="B2656" s="1">
        <v>46293</v>
      </c>
      <c r="C2656" t="str">
        <f>TEXT(tblData[[#This Row],[Rental Date]],"mmm")</f>
        <v>Sep</v>
      </c>
      <c r="D2656" t="str">
        <f>TEXT(tblData[[#This Row],[Rental Date]],"mmmm")</f>
        <v>September</v>
      </c>
      <c r="E2656" t="s">
        <v>74</v>
      </c>
      <c r="F2656" t="str">
        <f>TEXT(WEEKNUM(tblData[[#This Row],[Rental Date]]),"00")</f>
        <v>40</v>
      </c>
      <c r="G2656" s="1">
        <f>EOMONTH(tblData[[#This Row],[Rental Date]],0)</f>
        <v>46295</v>
      </c>
      <c r="H2656" t="s">
        <v>2441</v>
      </c>
      <c r="I2656" t="s">
        <v>48</v>
      </c>
      <c r="J2656" t="s">
        <v>49</v>
      </c>
      <c r="K2656" t="s">
        <v>25</v>
      </c>
      <c r="L2656">
        <v>1</v>
      </c>
      <c r="M2656" s="2">
        <v>36</v>
      </c>
      <c r="N2656" t="s">
        <v>61</v>
      </c>
      <c r="O2656" s="3">
        <v>8</v>
      </c>
      <c r="P2656" s="3">
        <v>0</v>
      </c>
      <c r="Q2656" s="2">
        <v>44</v>
      </c>
      <c r="R2656" t="s">
        <v>66</v>
      </c>
      <c r="S2656" t="s">
        <v>46</v>
      </c>
      <c r="T2656" t="s">
        <v>29</v>
      </c>
      <c r="U2656" t="s">
        <v>30</v>
      </c>
    </row>
    <row r="2657" spans="1:21" x14ac:dyDescent="0.35">
      <c r="A2657" t="s">
        <v>2737</v>
      </c>
      <c r="B2657" s="1">
        <v>46293</v>
      </c>
      <c r="C2657" t="str">
        <f>TEXT(tblData[[#This Row],[Rental Date]],"mmm")</f>
        <v>Sep</v>
      </c>
      <c r="D2657" t="str">
        <f>TEXT(tblData[[#This Row],[Rental Date]],"mmmm")</f>
        <v>September</v>
      </c>
      <c r="E2657" t="s">
        <v>74</v>
      </c>
      <c r="F2657" t="str">
        <f>TEXT(WEEKNUM(tblData[[#This Row],[Rental Date]]),"00")</f>
        <v>40</v>
      </c>
      <c r="G2657" s="1">
        <f>EOMONTH(tblData[[#This Row],[Rental Date]],0)</f>
        <v>46295</v>
      </c>
      <c r="H2657" t="s">
        <v>2441</v>
      </c>
      <c r="I2657" t="s">
        <v>48</v>
      </c>
      <c r="J2657" t="s">
        <v>44</v>
      </c>
      <c r="K2657" t="s">
        <v>92</v>
      </c>
      <c r="L2657">
        <v>1</v>
      </c>
      <c r="M2657" s="2">
        <v>112</v>
      </c>
      <c r="N2657" t="s">
        <v>61</v>
      </c>
      <c r="O2657" s="3">
        <v>8</v>
      </c>
      <c r="P2657" s="3">
        <v>0</v>
      </c>
      <c r="Q2657" s="2">
        <v>120</v>
      </c>
      <c r="R2657" t="s">
        <v>34</v>
      </c>
      <c r="S2657" t="s">
        <v>46</v>
      </c>
      <c r="T2657" t="s">
        <v>29</v>
      </c>
      <c r="U2657" t="s">
        <v>30</v>
      </c>
    </row>
    <row r="2658" spans="1:21" x14ac:dyDescent="0.35">
      <c r="A2658" t="s">
        <v>2738</v>
      </c>
      <c r="B2658" s="1">
        <v>46293</v>
      </c>
      <c r="C2658" t="str">
        <f>TEXT(tblData[[#This Row],[Rental Date]],"mmm")</f>
        <v>Sep</v>
      </c>
      <c r="D2658" t="str">
        <f>TEXT(tblData[[#This Row],[Rental Date]],"mmmm")</f>
        <v>September</v>
      </c>
      <c r="E2658" t="s">
        <v>74</v>
      </c>
      <c r="F2658" t="str">
        <f>TEXT(WEEKNUM(tblData[[#This Row],[Rental Date]]),"00")</f>
        <v>40</v>
      </c>
      <c r="G2658" s="1">
        <f>EOMONTH(tblData[[#This Row],[Rental Date]],0)</f>
        <v>46295</v>
      </c>
      <c r="H2658" t="s">
        <v>2441</v>
      </c>
      <c r="I2658" t="s">
        <v>32</v>
      </c>
      <c r="J2658" t="s">
        <v>138</v>
      </c>
      <c r="K2658" t="s">
        <v>40</v>
      </c>
      <c r="L2658">
        <v>1</v>
      </c>
      <c r="M2658" s="2">
        <v>72</v>
      </c>
      <c r="N2658" t="s">
        <v>87</v>
      </c>
      <c r="O2658" s="3">
        <v>10</v>
      </c>
      <c r="P2658" s="3">
        <v>4.0999999999999996</v>
      </c>
      <c r="Q2658" s="2">
        <v>77.900000000000006</v>
      </c>
      <c r="R2658" t="s">
        <v>34</v>
      </c>
      <c r="S2658" t="s">
        <v>28</v>
      </c>
      <c r="T2658" t="s">
        <v>51</v>
      </c>
      <c r="U2658" t="s">
        <v>58</v>
      </c>
    </row>
    <row r="2659" spans="1:21" x14ac:dyDescent="0.35">
      <c r="A2659" t="s">
        <v>2739</v>
      </c>
      <c r="B2659" s="1">
        <v>46293</v>
      </c>
      <c r="C2659" t="str">
        <f>TEXT(tblData[[#This Row],[Rental Date]],"mmm")</f>
        <v>Sep</v>
      </c>
      <c r="D2659" t="str">
        <f>TEXT(tblData[[#This Row],[Rental Date]],"mmmm")</f>
        <v>September</v>
      </c>
      <c r="E2659" t="s">
        <v>74</v>
      </c>
      <c r="F2659" t="str">
        <f>TEXT(WEEKNUM(tblData[[#This Row],[Rental Date]]),"00")</f>
        <v>40</v>
      </c>
      <c r="G2659" s="1">
        <f>EOMONTH(tblData[[#This Row],[Rental Date]],0)</f>
        <v>46295</v>
      </c>
      <c r="H2659" t="s">
        <v>2441</v>
      </c>
      <c r="I2659" t="s">
        <v>39</v>
      </c>
      <c r="J2659" t="s">
        <v>33</v>
      </c>
      <c r="K2659" t="s">
        <v>25</v>
      </c>
      <c r="L2659">
        <v>1</v>
      </c>
      <c r="M2659" s="2">
        <v>38</v>
      </c>
      <c r="N2659" t="s">
        <v>26</v>
      </c>
      <c r="O2659" s="3">
        <v>0</v>
      </c>
      <c r="P2659" s="3">
        <v>0</v>
      </c>
      <c r="Q2659" s="2">
        <v>38</v>
      </c>
      <c r="R2659" t="s">
        <v>27</v>
      </c>
      <c r="S2659" t="s">
        <v>28</v>
      </c>
      <c r="T2659" t="s">
        <v>63</v>
      </c>
      <c r="U2659" t="s">
        <v>58</v>
      </c>
    </row>
    <row r="2660" spans="1:21" x14ac:dyDescent="0.35">
      <c r="A2660" t="s">
        <v>2740</v>
      </c>
      <c r="B2660" s="1">
        <v>46293</v>
      </c>
      <c r="C2660" t="str">
        <f>TEXT(tblData[[#This Row],[Rental Date]],"mmm")</f>
        <v>Sep</v>
      </c>
      <c r="D2660" t="str">
        <f>TEXT(tblData[[#This Row],[Rental Date]],"mmmm")</f>
        <v>September</v>
      </c>
      <c r="E2660" t="s">
        <v>74</v>
      </c>
      <c r="F2660" t="str">
        <f>TEXT(WEEKNUM(tblData[[#This Row],[Rental Date]]),"00")</f>
        <v>40</v>
      </c>
      <c r="G2660" s="1">
        <f>EOMONTH(tblData[[#This Row],[Rental Date]],0)</f>
        <v>46295</v>
      </c>
      <c r="H2660" t="s">
        <v>2441</v>
      </c>
      <c r="I2660" t="s">
        <v>48</v>
      </c>
      <c r="J2660" t="s">
        <v>33</v>
      </c>
      <c r="K2660" t="s">
        <v>25</v>
      </c>
      <c r="L2660">
        <v>1</v>
      </c>
      <c r="M2660" s="2">
        <v>38</v>
      </c>
      <c r="N2660" t="s">
        <v>41</v>
      </c>
      <c r="O2660" s="3">
        <v>5</v>
      </c>
      <c r="P2660" s="3">
        <v>2.15</v>
      </c>
      <c r="Q2660" s="2">
        <v>40.85</v>
      </c>
      <c r="R2660" t="s">
        <v>71</v>
      </c>
      <c r="S2660" t="s">
        <v>28</v>
      </c>
      <c r="T2660" t="s">
        <v>29</v>
      </c>
      <c r="U2660" t="s">
        <v>79</v>
      </c>
    </row>
    <row r="2661" spans="1:21" x14ac:dyDescent="0.35">
      <c r="A2661" t="s">
        <v>2741</v>
      </c>
      <c r="B2661" s="1">
        <v>46293</v>
      </c>
      <c r="C2661" t="str">
        <f>TEXT(tblData[[#This Row],[Rental Date]],"mmm")</f>
        <v>Sep</v>
      </c>
      <c r="D2661" t="str">
        <f>TEXT(tblData[[#This Row],[Rental Date]],"mmmm")</f>
        <v>September</v>
      </c>
      <c r="E2661" t="s">
        <v>74</v>
      </c>
      <c r="F2661" t="str">
        <f>TEXT(WEEKNUM(tblData[[#This Row],[Rental Date]]),"00")</f>
        <v>40</v>
      </c>
      <c r="G2661" s="1">
        <f>EOMONTH(tblData[[#This Row],[Rental Date]],0)</f>
        <v>46295</v>
      </c>
      <c r="H2661" t="s">
        <v>2441</v>
      </c>
      <c r="I2661" t="s">
        <v>39</v>
      </c>
      <c r="J2661" t="s">
        <v>49</v>
      </c>
      <c r="K2661" t="s">
        <v>60</v>
      </c>
      <c r="L2661">
        <v>1</v>
      </c>
      <c r="M2661" s="2">
        <v>22</v>
      </c>
      <c r="N2661" t="s">
        <v>70</v>
      </c>
      <c r="O2661" s="3">
        <v>7</v>
      </c>
      <c r="P2661" s="3">
        <v>0</v>
      </c>
      <c r="Q2661" s="2">
        <v>29</v>
      </c>
      <c r="R2661" t="s">
        <v>62</v>
      </c>
      <c r="S2661" t="s">
        <v>50</v>
      </c>
      <c r="T2661" t="s">
        <v>51</v>
      </c>
      <c r="U2661" t="s">
        <v>58</v>
      </c>
    </row>
    <row r="2662" spans="1:21" x14ac:dyDescent="0.35">
      <c r="A2662" t="s">
        <v>2742</v>
      </c>
      <c r="B2662" s="1">
        <v>46293</v>
      </c>
      <c r="C2662" t="str">
        <f>TEXT(tblData[[#This Row],[Rental Date]],"mmm")</f>
        <v>Sep</v>
      </c>
      <c r="D2662" t="str">
        <f>TEXT(tblData[[#This Row],[Rental Date]],"mmmm")</f>
        <v>September</v>
      </c>
      <c r="E2662" t="s">
        <v>74</v>
      </c>
      <c r="F2662" t="str">
        <f>TEXT(WEEKNUM(tblData[[#This Row],[Rental Date]]),"00")</f>
        <v>40</v>
      </c>
      <c r="G2662" s="1">
        <f>EOMONTH(tblData[[#This Row],[Rental Date]],0)</f>
        <v>46295</v>
      </c>
      <c r="H2662" t="s">
        <v>2441</v>
      </c>
      <c r="I2662" t="s">
        <v>48</v>
      </c>
      <c r="J2662" t="s">
        <v>49</v>
      </c>
      <c r="K2662" t="s">
        <v>60</v>
      </c>
      <c r="L2662">
        <v>1</v>
      </c>
      <c r="M2662" s="2">
        <v>22</v>
      </c>
      <c r="N2662" t="s">
        <v>26</v>
      </c>
      <c r="O2662" s="3">
        <v>0</v>
      </c>
      <c r="P2662" s="3">
        <v>0</v>
      </c>
      <c r="Q2662" s="2">
        <v>22</v>
      </c>
      <c r="R2662" t="s">
        <v>57</v>
      </c>
      <c r="S2662" t="s">
        <v>35</v>
      </c>
      <c r="T2662" t="s">
        <v>29</v>
      </c>
      <c r="U2662" t="s">
        <v>36</v>
      </c>
    </row>
    <row r="2663" spans="1:21" x14ac:dyDescent="0.35">
      <c r="A2663" t="s">
        <v>2743</v>
      </c>
      <c r="B2663" s="1">
        <v>46293</v>
      </c>
      <c r="C2663" t="str">
        <f>TEXT(tblData[[#This Row],[Rental Date]],"mmm")</f>
        <v>Sep</v>
      </c>
      <c r="D2663" t="str">
        <f>TEXT(tblData[[#This Row],[Rental Date]],"mmmm")</f>
        <v>September</v>
      </c>
      <c r="E2663" t="s">
        <v>74</v>
      </c>
      <c r="F2663" t="str">
        <f>TEXT(WEEKNUM(tblData[[#This Row],[Rental Date]]),"00")</f>
        <v>40</v>
      </c>
      <c r="G2663" s="1">
        <f>EOMONTH(tblData[[#This Row],[Rental Date]],0)</f>
        <v>46295</v>
      </c>
      <c r="H2663" t="s">
        <v>2441</v>
      </c>
      <c r="I2663" t="s">
        <v>53</v>
      </c>
      <c r="J2663" t="s">
        <v>78</v>
      </c>
      <c r="K2663" t="s">
        <v>92</v>
      </c>
      <c r="L2663">
        <v>1</v>
      </c>
      <c r="M2663" s="2">
        <v>88</v>
      </c>
      <c r="N2663" t="s">
        <v>26</v>
      </c>
      <c r="O2663" s="3">
        <v>0</v>
      </c>
      <c r="P2663" s="3">
        <v>8.8000000000000007</v>
      </c>
      <c r="Q2663" s="2">
        <v>79.2</v>
      </c>
      <c r="R2663" t="s">
        <v>42</v>
      </c>
      <c r="S2663" t="s">
        <v>54</v>
      </c>
      <c r="T2663" t="s">
        <v>51</v>
      </c>
      <c r="U2663" t="s">
        <v>58</v>
      </c>
    </row>
    <row r="2664" spans="1:21" x14ac:dyDescent="0.35">
      <c r="A2664" t="s">
        <v>2744</v>
      </c>
      <c r="B2664" s="1">
        <v>46294</v>
      </c>
      <c r="C2664" t="str">
        <f>TEXT(tblData[[#This Row],[Rental Date]],"mmm")</f>
        <v>Sep</v>
      </c>
      <c r="D2664" t="str">
        <f>TEXT(tblData[[#This Row],[Rental Date]],"mmmm")</f>
        <v>September</v>
      </c>
      <c r="E2664" t="s">
        <v>102</v>
      </c>
      <c r="F2664" t="str">
        <f>TEXT(WEEKNUM(tblData[[#This Row],[Rental Date]]),"00")</f>
        <v>40</v>
      </c>
      <c r="G2664" s="1">
        <f>EOMONTH(tblData[[#This Row],[Rental Date]],0)</f>
        <v>46295</v>
      </c>
      <c r="H2664" t="s">
        <v>2441</v>
      </c>
      <c r="I2664" t="s">
        <v>39</v>
      </c>
      <c r="J2664" t="s">
        <v>78</v>
      </c>
      <c r="K2664" t="s">
        <v>25</v>
      </c>
      <c r="L2664">
        <v>1</v>
      </c>
      <c r="M2664" s="2">
        <v>42</v>
      </c>
      <c r="N2664" t="s">
        <v>26</v>
      </c>
      <c r="O2664" s="3">
        <v>0</v>
      </c>
      <c r="P2664" s="3">
        <v>0</v>
      </c>
      <c r="Q2664" s="2">
        <v>42</v>
      </c>
      <c r="R2664" t="s">
        <v>66</v>
      </c>
      <c r="S2664" t="s">
        <v>46</v>
      </c>
      <c r="T2664" t="s">
        <v>29</v>
      </c>
      <c r="U2664" t="s">
        <v>79</v>
      </c>
    </row>
    <row r="2665" spans="1:21" x14ac:dyDescent="0.35">
      <c r="A2665" t="s">
        <v>2745</v>
      </c>
      <c r="B2665" s="1">
        <v>46294</v>
      </c>
      <c r="C2665" t="str">
        <f>TEXT(tblData[[#This Row],[Rental Date]],"mmm")</f>
        <v>Sep</v>
      </c>
      <c r="D2665" t="str">
        <f>TEXT(tblData[[#This Row],[Rental Date]],"mmmm")</f>
        <v>September</v>
      </c>
      <c r="E2665" t="s">
        <v>102</v>
      </c>
      <c r="F2665" t="str">
        <f>TEXT(WEEKNUM(tblData[[#This Row],[Rental Date]]),"00")</f>
        <v>40</v>
      </c>
      <c r="G2665" s="1">
        <f>EOMONTH(tblData[[#This Row],[Rental Date]],0)</f>
        <v>46295</v>
      </c>
      <c r="H2665" t="s">
        <v>2441</v>
      </c>
      <c r="I2665" t="s">
        <v>32</v>
      </c>
      <c r="J2665" t="s">
        <v>24</v>
      </c>
      <c r="K2665" t="s">
        <v>60</v>
      </c>
      <c r="L2665">
        <v>1</v>
      </c>
      <c r="M2665" s="2">
        <v>32</v>
      </c>
      <c r="N2665" t="s">
        <v>41</v>
      </c>
      <c r="O2665" s="3">
        <v>5</v>
      </c>
      <c r="P2665" s="3">
        <v>3.7</v>
      </c>
      <c r="Q2665" s="2">
        <v>33.299999999999997</v>
      </c>
      <c r="R2665" t="s">
        <v>66</v>
      </c>
      <c r="S2665" t="s">
        <v>50</v>
      </c>
      <c r="T2665" t="s">
        <v>29</v>
      </c>
      <c r="U2665" t="s">
        <v>30</v>
      </c>
    </row>
    <row r="2666" spans="1:21" x14ac:dyDescent="0.35">
      <c r="A2666" t="s">
        <v>2746</v>
      </c>
      <c r="B2666" s="1">
        <v>46294</v>
      </c>
      <c r="C2666" t="str">
        <f>TEXT(tblData[[#This Row],[Rental Date]],"mmm")</f>
        <v>Sep</v>
      </c>
      <c r="D2666" t="str">
        <f>TEXT(tblData[[#This Row],[Rental Date]],"mmmm")</f>
        <v>September</v>
      </c>
      <c r="E2666" t="s">
        <v>102</v>
      </c>
      <c r="F2666" t="str">
        <f>TEXT(WEEKNUM(tblData[[#This Row],[Rental Date]]),"00")</f>
        <v>40</v>
      </c>
      <c r="G2666" s="1">
        <f>EOMONTH(tblData[[#This Row],[Rental Date]],0)</f>
        <v>46295</v>
      </c>
      <c r="H2666" t="s">
        <v>2441</v>
      </c>
      <c r="I2666" t="s">
        <v>39</v>
      </c>
      <c r="J2666" t="s">
        <v>44</v>
      </c>
      <c r="K2666" t="s">
        <v>25</v>
      </c>
      <c r="L2666">
        <v>1</v>
      </c>
      <c r="M2666" s="2">
        <v>52</v>
      </c>
      <c r="N2666" t="s">
        <v>26</v>
      </c>
      <c r="O2666" s="3">
        <v>0</v>
      </c>
      <c r="P2666" s="3">
        <v>0</v>
      </c>
      <c r="Q2666" s="2">
        <v>52</v>
      </c>
      <c r="R2666" t="s">
        <v>34</v>
      </c>
      <c r="S2666" t="s">
        <v>54</v>
      </c>
      <c r="T2666" t="s">
        <v>29</v>
      </c>
      <c r="U2666" t="s">
        <v>79</v>
      </c>
    </row>
    <row r="2667" spans="1:21" x14ac:dyDescent="0.35">
      <c r="A2667" t="s">
        <v>2747</v>
      </c>
      <c r="B2667" s="1">
        <v>46294</v>
      </c>
      <c r="C2667" t="str">
        <f>TEXT(tblData[[#This Row],[Rental Date]],"mmm")</f>
        <v>Sep</v>
      </c>
      <c r="D2667" t="str">
        <f>TEXT(tblData[[#This Row],[Rental Date]],"mmmm")</f>
        <v>September</v>
      </c>
      <c r="E2667" t="s">
        <v>102</v>
      </c>
      <c r="F2667" t="str">
        <f>TEXT(WEEKNUM(tblData[[#This Row],[Rental Date]]),"00")</f>
        <v>40</v>
      </c>
      <c r="G2667" s="1">
        <f>EOMONTH(tblData[[#This Row],[Rental Date]],0)</f>
        <v>46295</v>
      </c>
      <c r="H2667" t="s">
        <v>2441</v>
      </c>
      <c r="I2667" t="s">
        <v>23</v>
      </c>
      <c r="J2667" t="s">
        <v>49</v>
      </c>
      <c r="K2667" t="s">
        <v>40</v>
      </c>
      <c r="L2667">
        <v>1</v>
      </c>
      <c r="M2667" s="2">
        <v>54</v>
      </c>
      <c r="N2667" t="s">
        <v>26</v>
      </c>
      <c r="O2667" s="3">
        <v>0</v>
      </c>
      <c r="P2667" s="3">
        <v>0</v>
      </c>
      <c r="Q2667" s="2">
        <v>54</v>
      </c>
      <c r="R2667" t="s">
        <v>45</v>
      </c>
      <c r="S2667" t="s">
        <v>28</v>
      </c>
      <c r="T2667" t="s">
        <v>63</v>
      </c>
      <c r="U2667" t="s">
        <v>30</v>
      </c>
    </row>
    <row r="2668" spans="1:21" x14ac:dyDescent="0.35">
      <c r="A2668" t="s">
        <v>2748</v>
      </c>
      <c r="B2668" s="1">
        <v>46294</v>
      </c>
      <c r="C2668" t="str">
        <f>TEXT(tblData[[#This Row],[Rental Date]],"mmm")</f>
        <v>Sep</v>
      </c>
      <c r="D2668" t="str">
        <f>TEXT(tblData[[#This Row],[Rental Date]],"mmmm")</f>
        <v>September</v>
      </c>
      <c r="E2668" t="s">
        <v>102</v>
      </c>
      <c r="F2668" t="str">
        <f>TEXT(WEEKNUM(tblData[[#This Row],[Rental Date]]),"00")</f>
        <v>40</v>
      </c>
      <c r="G2668" s="1">
        <f>EOMONTH(tblData[[#This Row],[Rental Date]],0)</f>
        <v>46295</v>
      </c>
      <c r="H2668" t="s">
        <v>2441</v>
      </c>
      <c r="I2668" t="s">
        <v>39</v>
      </c>
      <c r="J2668" t="s">
        <v>138</v>
      </c>
      <c r="K2668" t="s">
        <v>25</v>
      </c>
      <c r="L2668">
        <v>1</v>
      </c>
      <c r="M2668" s="2">
        <v>48</v>
      </c>
      <c r="N2668" t="s">
        <v>26</v>
      </c>
      <c r="O2668" s="3">
        <v>0</v>
      </c>
      <c r="P2668" s="3">
        <v>0</v>
      </c>
      <c r="Q2668" s="2">
        <v>48</v>
      </c>
      <c r="R2668" t="s">
        <v>94</v>
      </c>
      <c r="S2668" t="s">
        <v>46</v>
      </c>
      <c r="T2668" t="s">
        <v>29</v>
      </c>
      <c r="U2668" t="s">
        <v>30</v>
      </c>
    </row>
    <row r="2669" spans="1:21" x14ac:dyDescent="0.35">
      <c r="A2669" t="s">
        <v>2749</v>
      </c>
      <c r="B2669" s="1">
        <v>46295</v>
      </c>
      <c r="C2669" t="str">
        <f>TEXT(tblData[[#This Row],[Rental Date]],"mmm")</f>
        <v>Sep</v>
      </c>
      <c r="D2669" t="str">
        <f>TEXT(tblData[[#This Row],[Rental Date]],"mmmm")</f>
        <v>September</v>
      </c>
      <c r="E2669" t="s">
        <v>109</v>
      </c>
      <c r="F2669" t="str">
        <f>TEXT(WEEKNUM(tblData[[#This Row],[Rental Date]]),"00")</f>
        <v>40</v>
      </c>
      <c r="G2669" s="1">
        <f>EOMONTH(tblData[[#This Row],[Rental Date]],0)</f>
        <v>46295</v>
      </c>
      <c r="H2669" t="s">
        <v>2441</v>
      </c>
      <c r="I2669" t="s">
        <v>48</v>
      </c>
      <c r="J2669" t="s">
        <v>49</v>
      </c>
      <c r="K2669" t="s">
        <v>60</v>
      </c>
      <c r="L2669">
        <v>1</v>
      </c>
      <c r="M2669" s="2">
        <v>22</v>
      </c>
      <c r="N2669" t="s">
        <v>26</v>
      </c>
      <c r="O2669" s="3">
        <v>0</v>
      </c>
      <c r="P2669" s="3">
        <v>0</v>
      </c>
      <c r="Q2669" s="2">
        <v>22</v>
      </c>
      <c r="R2669" t="s">
        <v>57</v>
      </c>
      <c r="S2669" t="s">
        <v>54</v>
      </c>
      <c r="T2669" t="s">
        <v>29</v>
      </c>
      <c r="U2669" t="s">
        <v>58</v>
      </c>
    </row>
    <row r="2670" spans="1:21" x14ac:dyDescent="0.35">
      <c r="A2670" t="s">
        <v>2750</v>
      </c>
      <c r="B2670" s="1">
        <v>46295</v>
      </c>
      <c r="C2670" t="str">
        <f>TEXT(tblData[[#This Row],[Rental Date]],"mmm")</f>
        <v>Sep</v>
      </c>
      <c r="D2670" t="str">
        <f>TEXT(tblData[[#This Row],[Rental Date]],"mmmm")</f>
        <v>September</v>
      </c>
      <c r="E2670" t="s">
        <v>109</v>
      </c>
      <c r="F2670" t="str">
        <f>TEXT(WEEKNUM(tblData[[#This Row],[Rental Date]]),"00")</f>
        <v>40</v>
      </c>
      <c r="G2670" s="1">
        <f>EOMONTH(tblData[[#This Row],[Rental Date]],0)</f>
        <v>46295</v>
      </c>
      <c r="H2670" t="s">
        <v>2441</v>
      </c>
      <c r="I2670" t="s">
        <v>23</v>
      </c>
      <c r="J2670" t="s">
        <v>33</v>
      </c>
      <c r="K2670" t="s">
        <v>60</v>
      </c>
      <c r="L2670">
        <v>1</v>
      </c>
      <c r="M2670" s="2">
        <v>24</v>
      </c>
      <c r="N2670" t="s">
        <v>41</v>
      </c>
      <c r="O2670" s="3">
        <v>5</v>
      </c>
      <c r="P2670" s="3">
        <v>0</v>
      </c>
      <c r="Q2670" s="2">
        <v>29</v>
      </c>
      <c r="R2670" t="s">
        <v>62</v>
      </c>
      <c r="S2670" t="s">
        <v>54</v>
      </c>
      <c r="T2670" t="s">
        <v>29</v>
      </c>
      <c r="U2670" t="s">
        <v>30</v>
      </c>
    </row>
    <row r="2671" spans="1:21" x14ac:dyDescent="0.35">
      <c r="A2671" t="s">
        <v>2751</v>
      </c>
      <c r="B2671" s="1">
        <v>46296</v>
      </c>
      <c r="C2671" t="str">
        <f>TEXT(tblData[[#This Row],[Rental Date]],"mmm")</f>
        <v>Oct</v>
      </c>
      <c r="D2671" t="str">
        <f>TEXT(tblData[[#This Row],[Rental Date]],"mmmm")</f>
        <v>October</v>
      </c>
      <c r="E2671" t="s">
        <v>21</v>
      </c>
      <c r="F2671" t="str">
        <f>TEXT(WEEKNUM(tblData[[#This Row],[Rental Date]]),"00")</f>
        <v>40</v>
      </c>
      <c r="G2671" s="1">
        <f>EOMONTH(tblData[[#This Row],[Rental Date]],0)</f>
        <v>46326</v>
      </c>
      <c r="H2671" t="s">
        <v>2441</v>
      </c>
      <c r="I2671" t="s">
        <v>39</v>
      </c>
      <c r="J2671" t="s">
        <v>44</v>
      </c>
      <c r="K2671" t="s">
        <v>25</v>
      </c>
      <c r="L2671">
        <v>1</v>
      </c>
      <c r="M2671" s="2">
        <v>52</v>
      </c>
      <c r="N2671" t="s">
        <v>89</v>
      </c>
      <c r="O2671" s="3">
        <v>6</v>
      </c>
      <c r="P2671" s="3">
        <v>0</v>
      </c>
      <c r="Q2671" s="2">
        <v>58</v>
      </c>
      <c r="R2671" t="s">
        <v>76</v>
      </c>
      <c r="S2671" t="s">
        <v>35</v>
      </c>
      <c r="T2671" t="s">
        <v>90</v>
      </c>
      <c r="U2671" t="s">
        <v>30</v>
      </c>
    </row>
    <row r="2672" spans="1:21" x14ac:dyDescent="0.35">
      <c r="A2672" t="s">
        <v>2752</v>
      </c>
      <c r="B2672" s="1">
        <v>46296</v>
      </c>
      <c r="C2672" t="str">
        <f>TEXT(tblData[[#This Row],[Rental Date]],"mmm")</f>
        <v>Oct</v>
      </c>
      <c r="D2672" t="str">
        <f>TEXT(tblData[[#This Row],[Rental Date]],"mmmm")</f>
        <v>October</v>
      </c>
      <c r="E2672" t="s">
        <v>21</v>
      </c>
      <c r="F2672" t="str">
        <f>TEXT(WEEKNUM(tblData[[#This Row],[Rental Date]]),"00")</f>
        <v>40</v>
      </c>
      <c r="G2672" s="1">
        <f>EOMONTH(tblData[[#This Row],[Rental Date]],0)</f>
        <v>46326</v>
      </c>
      <c r="H2672" t="s">
        <v>2441</v>
      </c>
      <c r="I2672" t="s">
        <v>48</v>
      </c>
      <c r="J2672" t="s">
        <v>78</v>
      </c>
      <c r="K2672" t="s">
        <v>40</v>
      </c>
      <c r="L2672">
        <v>1</v>
      </c>
      <c r="M2672" s="2">
        <v>62</v>
      </c>
      <c r="N2672" t="s">
        <v>41</v>
      </c>
      <c r="O2672" s="3">
        <v>5</v>
      </c>
      <c r="P2672" s="3">
        <v>0</v>
      </c>
      <c r="Q2672" s="2">
        <v>67</v>
      </c>
      <c r="R2672" t="s">
        <v>94</v>
      </c>
      <c r="S2672" t="s">
        <v>54</v>
      </c>
      <c r="T2672" t="s">
        <v>51</v>
      </c>
      <c r="U2672" t="s">
        <v>30</v>
      </c>
    </row>
    <row r="2673" spans="1:21" x14ac:dyDescent="0.35">
      <c r="A2673" t="s">
        <v>2753</v>
      </c>
      <c r="B2673" s="1">
        <v>46297</v>
      </c>
      <c r="C2673" t="str">
        <f>TEXT(tblData[[#This Row],[Rental Date]],"mmm")</f>
        <v>Oct</v>
      </c>
      <c r="D2673" t="str">
        <f>TEXT(tblData[[#This Row],[Rental Date]],"mmmm")</f>
        <v>October</v>
      </c>
      <c r="E2673" t="s">
        <v>38</v>
      </c>
      <c r="F2673" t="str">
        <f>TEXT(WEEKNUM(tblData[[#This Row],[Rental Date]]),"00")</f>
        <v>40</v>
      </c>
      <c r="G2673" s="1">
        <f>EOMONTH(tblData[[#This Row],[Rental Date]],0)</f>
        <v>46326</v>
      </c>
      <c r="H2673" t="s">
        <v>2441</v>
      </c>
      <c r="I2673" t="s">
        <v>48</v>
      </c>
      <c r="J2673" t="s">
        <v>44</v>
      </c>
      <c r="K2673" t="s">
        <v>60</v>
      </c>
      <c r="L2673">
        <v>1</v>
      </c>
      <c r="M2673" s="2">
        <v>34</v>
      </c>
      <c r="N2673" t="s">
        <v>87</v>
      </c>
      <c r="O2673" s="3">
        <v>10</v>
      </c>
      <c r="P2673" s="3">
        <v>0</v>
      </c>
      <c r="Q2673" s="2">
        <v>44</v>
      </c>
      <c r="R2673" t="s">
        <v>42</v>
      </c>
      <c r="S2673" t="s">
        <v>28</v>
      </c>
      <c r="T2673" t="s">
        <v>29</v>
      </c>
      <c r="U2673" t="s">
        <v>30</v>
      </c>
    </row>
    <row r="2674" spans="1:21" x14ac:dyDescent="0.35">
      <c r="A2674" t="s">
        <v>2754</v>
      </c>
      <c r="B2674" s="1">
        <v>46297</v>
      </c>
      <c r="C2674" t="str">
        <f>TEXT(tblData[[#This Row],[Rental Date]],"mmm")</f>
        <v>Oct</v>
      </c>
      <c r="D2674" t="str">
        <f>TEXT(tblData[[#This Row],[Rental Date]],"mmmm")</f>
        <v>October</v>
      </c>
      <c r="E2674" t="s">
        <v>38</v>
      </c>
      <c r="F2674" t="str">
        <f>TEXT(WEEKNUM(tblData[[#This Row],[Rental Date]]),"00")</f>
        <v>40</v>
      </c>
      <c r="G2674" s="1">
        <f>EOMONTH(tblData[[#This Row],[Rental Date]],0)</f>
        <v>46326</v>
      </c>
      <c r="H2674" t="s">
        <v>2441</v>
      </c>
      <c r="I2674" t="s">
        <v>48</v>
      </c>
      <c r="J2674" t="s">
        <v>127</v>
      </c>
      <c r="K2674" t="s">
        <v>60</v>
      </c>
      <c r="L2674">
        <v>1</v>
      </c>
      <c r="M2674" s="2">
        <v>10</v>
      </c>
      <c r="N2674" t="s">
        <v>70</v>
      </c>
      <c r="O2674" s="3">
        <v>7</v>
      </c>
      <c r="P2674" s="3">
        <v>0</v>
      </c>
      <c r="Q2674" s="2">
        <v>17</v>
      </c>
      <c r="R2674" t="s">
        <v>42</v>
      </c>
      <c r="S2674" t="s">
        <v>46</v>
      </c>
      <c r="T2674" t="s">
        <v>51</v>
      </c>
      <c r="U2674" t="s">
        <v>30</v>
      </c>
    </row>
    <row r="2675" spans="1:21" x14ac:dyDescent="0.35">
      <c r="A2675" t="s">
        <v>2755</v>
      </c>
      <c r="B2675" s="1">
        <v>46297</v>
      </c>
      <c r="C2675" t="str">
        <f>TEXT(tblData[[#This Row],[Rental Date]],"mmm")</f>
        <v>Oct</v>
      </c>
      <c r="D2675" t="str">
        <f>TEXT(tblData[[#This Row],[Rental Date]],"mmmm")</f>
        <v>October</v>
      </c>
      <c r="E2675" t="s">
        <v>38</v>
      </c>
      <c r="F2675" t="str">
        <f>TEXT(WEEKNUM(tblData[[#This Row],[Rental Date]]),"00")</f>
        <v>40</v>
      </c>
      <c r="G2675" s="1">
        <f>EOMONTH(tblData[[#This Row],[Rental Date]],0)</f>
        <v>46326</v>
      </c>
      <c r="H2675" t="s">
        <v>2441</v>
      </c>
      <c r="I2675" t="s">
        <v>39</v>
      </c>
      <c r="J2675" t="s">
        <v>49</v>
      </c>
      <c r="K2675" t="s">
        <v>25</v>
      </c>
      <c r="L2675">
        <v>1</v>
      </c>
      <c r="M2675" s="2">
        <v>36</v>
      </c>
      <c r="N2675" t="s">
        <v>61</v>
      </c>
      <c r="O2675" s="3">
        <v>8</v>
      </c>
      <c r="P2675" s="3">
        <v>0</v>
      </c>
      <c r="Q2675" s="2">
        <v>44</v>
      </c>
      <c r="R2675" t="s">
        <v>94</v>
      </c>
      <c r="S2675" t="s">
        <v>50</v>
      </c>
      <c r="T2675" t="s">
        <v>29</v>
      </c>
      <c r="U2675" t="s">
        <v>30</v>
      </c>
    </row>
    <row r="2676" spans="1:21" x14ac:dyDescent="0.35">
      <c r="A2676" t="s">
        <v>2756</v>
      </c>
      <c r="B2676" s="1">
        <v>46298</v>
      </c>
      <c r="C2676" t="str">
        <f>TEXT(tblData[[#This Row],[Rental Date]],"mmm")</f>
        <v>Oct</v>
      </c>
      <c r="D2676" t="str">
        <f>TEXT(tblData[[#This Row],[Rental Date]],"mmmm")</f>
        <v>October</v>
      </c>
      <c r="E2676" t="s">
        <v>56</v>
      </c>
      <c r="F2676" t="str">
        <f>TEXT(WEEKNUM(tblData[[#This Row],[Rental Date]]),"00")</f>
        <v>40</v>
      </c>
      <c r="G2676" s="1">
        <f>EOMONTH(tblData[[#This Row],[Rental Date]],0)</f>
        <v>46326</v>
      </c>
      <c r="H2676" t="s">
        <v>2441</v>
      </c>
      <c r="I2676" t="s">
        <v>23</v>
      </c>
      <c r="J2676" t="s">
        <v>78</v>
      </c>
      <c r="K2676" t="s">
        <v>60</v>
      </c>
      <c r="L2676">
        <v>1</v>
      </c>
      <c r="M2676" s="2">
        <v>28.08</v>
      </c>
      <c r="N2676" t="s">
        <v>26</v>
      </c>
      <c r="O2676" s="3">
        <v>0</v>
      </c>
      <c r="P2676" s="3">
        <v>0</v>
      </c>
      <c r="Q2676" s="2">
        <v>28.08</v>
      </c>
      <c r="R2676" t="s">
        <v>34</v>
      </c>
      <c r="S2676" t="s">
        <v>54</v>
      </c>
      <c r="T2676" t="s">
        <v>29</v>
      </c>
      <c r="U2676" t="s">
        <v>30</v>
      </c>
    </row>
    <row r="2677" spans="1:21" x14ac:dyDescent="0.35">
      <c r="A2677" t="s">
        <v>2757</v>
      </c>
      <c r="B2677" s="1">
        <v>46298</v>
      </c>
      <c r="C2677" t="str">
        <f>TEXT(tblData[[#This Row],[Rental Date]],"mmm")</f>
        <v>Oct</v>
      </c>
      <c r="D2677" t="str">
        <f>TEXT(tblData[[#This Row],[Rental Date]],"mmmm")</f>
        <v>October</v>
      </c>
      <c r="E2677" t="s">
        <v>56</v>
      </c>
      <c r="F2677" t="str">
        <f>TEXT(WEEKNUM(tblData[[#This Row],[Rental Date]]),"00")</f>
        <v>40</v>
      </c>
      <c r="G2677" s="1">
        <f>EOMONTH(tblData[[#This Row],[Rental Date]],0)</f>
        <v>46326</v>
      </c>
      <c r="H2677" t="s">
        <v>2441</v>
      </c>
      <c r="I2677" t="s">
        <v>39</v>
      </c>
      <c r="J2677" t="s">
        <v>65</v>
      </c>
      <c r="K2677" t="s">
        <v>25</v>
      </c>
      <c r="L2677">
        <v>1</v>
      </c>
      <c r="M2677" s="2">
        <v>19.440000000000001</v>
      </c>
      <c r="N2677" t="s">
        <v>70</v>
      </c>
      <c r="O2677" s="3">
        <v>7</v>
      </c>
      <c r="P2677" s="3">
        <v>0</v>
      </c>
      <c r="Q2677" s="2">
        <v>26.44</v>
      </c>
      <c r="R2677" t="s">
        <v>76</v>
      </c>
      <c r="S2677" t="s">
        <v>35</v>
      </c>
      <c r="T2677" t="s">
        <v>51</v>
      </c>
      <c r="U2677" t="s">
        <v>30</v>
      </c>
    </row>
    <row r="2678" spans="1:21" x14ac:dyDescent="0.35">
      <c r="A2678" t="s">
        <v>2758</v>
      </c>
      <c r="B2678" s="1">
        <v>46298</v>
      </c>
      <c r="C2678" t="str">
        <f>TEXT(tblData[[#This Row],[Rental Date]],"mmm")</f>
        <v>Oct</v>
      </c>
      <c r="D2678" t="str">
        <f>TEXT(tblData[[#This Row],[Rental Date]],"mmmm")</f>
        <v>October</v>
      </c>
      <c r="E2678" t="s">
        <v>56</v>
      </c>
      <c r="F2678" t="str">
        <f>TEXT(WEEKNUM(tblData[[#This Row],[Rental Date]]),"00")</f>
        <v>40</v>
      </c>
      <c r="G2678" s="1">
        <f>EOMONTH(tblData[[#This Row],[Rental Date]],0)</f>
        <v>46326</v>
      </c>
      <c r="H2678" t="s">
        <v>2441</v>
      </c>
      <c r="I2678" t="s">
        <v>32</v>
      </c>
      <c r="J2678" t="s">
        <v>49</v>
      </c>
      <c r="K2678" t="s">
        <v>60</v>
      </c>
      <c r="L2678">
        <v>1</v>
      </c>
      <c r="M2678" s="2">
        <v>23.76</v>
      </c>
      <c r="N2678" t="s">
        <v>26</v>
      </c>
      <c r="O2678" s="3">
        <v>0</v>
      </c>
      <c r="P2678" s="3">
        <v>2.38</v>
      </c>
      <c r="Q2678" s="2">
        <v>21.38</v>
      </c>
      <c r="R2678" t="s">
        <v>76</v>
      </c>
      <c r="S2678" t="s">
        <v>46</v>
      </c>
      <c r="T2678" t="s">
        <v>29</v>
      </c>
      <c r="U2678" t="s">
        <v>58</v>
      </c>
    </row>
    <row r="2679" spans="1:21" x14ac:dyDescent="0.35">
      <c r="A2679" t="s">
        <v>2759</v>
      </c>
      <c r="B2679" s="1">
        <v>46298</v>
      </c>
      <c r="C2679" t="str">
        <f>TEXT(tblData[[#This Row],[Rental Date]],"mmm")</f>
        <v>Oct</v>
      </c>
      <c r="D2679" t="str">
        <f>TEXT(tblData[[#This Row],[Rental Date]],"mmmm")</f>
        <v>October</v>
      </c>
      <c r="E2679" t="s">
        <v>56</v>
      </c>
      <c r="F2679" t="str">
        <f>TEXT(WEEKNUM(tblData[[#This Row],[Rental Date]]),"00")</f>
        <v>40</v>
      </c>
      <c r="G2679" s="1">
        <f>EOMONTH(tblData[[#This Row],[Rental Date]],0)</f>
        <v>46326</v>
      </c>
      <c r="H2679" t="s">
        <v>2441</v>
      </c>
      <c r="I2679" t="s">
        <v>48</v>
      </c>
      <c r="J2679" t="s">
        <v>127</v>
      </c>
      <c r="K2679" t="s">
        <v>25</v>
      </c>
      <c r="L2679">
        <v>1</v>
      </c>
      <c r="M2679" s="2">
        <v>17.28</v>
      </c>
      <c r="N2679" t="s">
        <v>26</v>
      </c>
      <c r="O2679" s="3">
        <v>0</v>
      </c>
      <c r="P2679" s="3">
        <v>0</v>
      </c>
      <c r="Q2679" s="2">
        <v>17.28</v>
      </c>
      <c r="R2679" t="s">
        <v>57</v>
      </c>
      <c r="S2679" t="s">
        <v>54</v>
      </c>
      <c r="T2679" t="s">
        <v>51</v>
      </c>
      <c r="U2679" t="s">
        <v>30</v>
      </c>
    </row>
    <row r="2680" spans="1:21" x14ac:dyDescent="0.35">
      <c r="A2680" t="s">
        <v>2760</v>
      </c>
      <c r="B2680" s="1">
        <v>46298</v>
      </c>
      <c r="C2680" t="str">
        <f>TEXT(tblData[[#This Row],[Rental Date]],"mmm")</f>
        <v>Oct</v>
      </c>
      <c r="D2680" t="str">
        <f>TEXT(tblData[[#This Row],[Rental Date]],"mmmm")</f>
        <v>October</v>
      </c>
      <c r="E2680" t="s">
        <v>56</v>
      </c>
      <c r="F2680" t="str">
        <f>TEXT(WEEKNUM(tblData[[#This Row],[Rental Date]]),"00")</f>
        <v>40</v>
      </c>
      <c r="G2680" s="1">
        <f>EOMONTH(tblData[[#This Row],[Rental Date]],0)</f>
        <v>46326</v>
      </c>
      <c r="H2680" t="s">
        <v>2441</v>
      </c>
      <c r="I2680" t="s">
        <v>39</v>
      </c>
      <c r="J2680" t="s">
        <v>49</v>
      </c>
      <c r="K2680" t="s">
        <v>60</v>
      </c>
      <c r="L2680">
        <v>1</v>
      </c>
      <c r="M2680" s="2">
        <v>23.76</v>
      </c>
      <c r="N2680" t="s">
        <v>75</v>
      </c>
      <c r="O2680" s="3">
        <v>12</v>
      </c>
      <c r="P2680" s="3">
        <v>0</v>
      </c>
      <c r="Q2680" s="2">
        <v>35.76</v>
      </c>
      <c r="R2680" t="s">
        <v>66</v>
      </c>
      <c r="S2680" t="s">
        <v>35</v>
      </c>
      <c r="T2680" t="s">
        <v>29</v>
      </c>
      <c r="U2680" t="s">
        <v>79</v>
      </c>
    </row>
    <row r="2681" spans="1:21" x14ac:dyDescent="0.35">
      <c r="A2681" t="s">
        <v>2761</v>
      </c>
      <c r="B2681" s="1">
        <v>46298</v>
      </c>
      <c r="C2681" t="str">
        <f>TEXT(tblData[[#This Row],[Rental Date]],"mmm")</f>
        <v>Oct</v>
      </c>
      <c r="D2681" t="str">
        <f>TEXT(tblData[[#This Row],[Rental Date]],"mmmm")</f>
        <v>October</v>
      </c>
      <c r="E2681" t="s">
        <v>56</v>
      </c>
      <c r="F2681" t="str">
        <f>TEXT(WEEKNUM(tblData[[#This Row],[Rental Date]]),"00")</f>
        <v>40</v>
      </c>
      <c r="G2681" s="1">
        <f>EOMONTH(tblData[[#This Row],[Rental Date]],0)</f>
        <v>46326</v>
      </c>
      <c r="H2681" t="s">
        <v>2441</v>
      </c>
      <c r="I2681" t="s">
        <v>48</v>
      </c>
      <c r="J2681" t="s">
        <v>138</v>
      </c>
      <c r="K2681" t="s">
        <v>25</v>
      </c>
      <c r="L2681">
        <v>1</v>
      </c>
      <c r="M2681" s="2">
        <v>51.84</v>
      </c>
      <c r="N2681" t="s">
        <v>89</v>
      </c>
      <c r="O2681" s="3">
        <v>6</v>
      </c>
      <c r="P2681" s="3">
        <v>0</v>
      </c>
      <c r="Q2681" s="2">
        <v>57.84</v>
      </c>
      <c r="R2681" t="s">
        <v>66</v>
      </c>
      <c r="S2681" t="s">
        <v>54</v>
      </c>
      <c r="T2681" t="s">
        <v>29</v>
      </c>
      <c r="U2681" t="s">
        <v>79</v>
      </c>
    </row>
    <row r="2682" spans="1:21" x14ac:dyDescent="0.35">
      <c r="A2682" t="s">
        <v>2762</v>
      </c>
      <c r="B2682" s="1">
        <v>46299</v>
      </c>
      <c r="C2682" t="str">
        <f>TEXT(tblData[[#This Row],[Rental Date]],"mmm")</f>
        <v>Oct</v>
      </c>
      <c r="D2682" t="str">
        <f>TEXT(tblData[[#This Row],[Rental Date]],"mmmm")</f>
        <v>October</v>
      </c>
      <c r="E2682" t="s">
        <v>68</v>
      </c>
      <c r="F2682" t="str">
        <f>TEXT(WEEKNUM(tblData[[#This Row],[Rental Date]]),"00")</f>
        <v>41</v>
      </c>
      <c r="G2682" s="1">
        <f>EOMONTH(tblData[[#This Row],[Rental Date]],0)</f>
        <v>46326</v>
      </c>
      <c r="H2682" t="s">
        <v>2441</v>
      </c>
      <c r="I2682" t="s">
        <v>53</v>
      </c>
      <c r="J2682" t="s">
        <v>44</v>
      </c>
      <c r="K2682" t="s">
        <v>40</v>
      </c>
      <c r="L2682">
        <v>1</v>
      </c>
      <c r="M2682" s="2">
        <v>84.24</v>
      </c>
      <c r="N2682" t="s">
        <v>70</v>
      </c>
      <c r="O2682" s="3">
        <v>7</v>
      </c>
      <c r="P2682" s="3">
        <v>9.1199999999999992</v>
      </c>
      <c r="Q2682" s="2">
        <v>82.12</v>
      </c>
      <c r="R2682" t="s">
        <v>45</v>
      </c>
      <c r="S2682" t="s">
        <v>54</v>
      </c>
      <c r="T2682" t="s">
        <v>63</v>
      </c>
      <c r="U2682" t="s">
        <v>58</v>
      </c>
    </row>
    <row r="2683" spans="1:21" x14ac:dyDescent="0.35">
      <c r="A2683" t="s">
        <v>2763</v>
      </c>
      <c r="B2683" s="1">
        <v>46299</v>
      </c>
      <c r="C2683" t="str">
        <f>TEXT(tblData[[#This Row],[Rental Date]],"mmm")</f>
        <v>Oct</v>
      </c>
      <c r="D2683" t="str">
        <f>TEXT(tblData[[#This Row],[Rental Date]],"mmmm")</f>
        <v>October</v>
      </c>
      <c r="E2683" t="s">
        <v>68</v>
      </c>
      <c r="F2683" t="str">
        <f>TEXT(WEEKNUM(tblData[[#This Row],[Rental Date]]),"00")</f>
        <v>41</v>
      </c>
      <c r="G2683" s="1">
        <f>EOMONTH(tblData[[#This Row],[Rental Date]],0)</f>
        <v>46326</v>
      </c>
      <c r="H2683" t="s">
        <v>2441</v>
      </c>
      <c r="I2683" t="s">
        <v>39</v>
      </c>
      <c r="J2683" t="s">
        <v>33</v>
      </c>
      <c r="K2683" t="s">
        <v>60</v>
      </c>
      <c r="L2683">
        <v>1</v>
      </c>
      <c r="M2683" s="2">
        <v>25.92</v>
      </c>
      <c r="N2683" t="s">
        <v>89</v>
      </c>
      <c r="O2683" s="3">
        <v>6</v>
      </c>
      <c r="P2683" s="3">
        <v>0</v>
      </c>
      <c r="Q2683" s="2">
        <v>31.92</v>
      </c>
      <c r="R2683" t="s">
        <v>76</v>
      </c>
      <c r="S2683" t="s">
        <v>46</v>
      </c>
      <c r="T2683" t="s">
        <v>29</v>
      </c>
      <c r="U2683" t="s">
        <v>30</v>
      </c>
    </row>
    <row r="2684" spans="1:21" x14ac:dyDescent="0.35">
      <c r="A2684" t="s">
        <v>2764</v>
      </c>
      <c r="B2684" s="1">
        <v>46299</v>
      </c>
      <c r="C2684" t="str">
        <f>TEXT(tblData[[#This Row],[Rental Date]],"mmm")</f>
        <v>Oct</v>
      </c>
      <c r="D2684" t="str">
        <f>TEXT(tblData[[#This Row],[Rental Date]],"mmmm")</f>
        <v>October</v>
      </c>
      <c r="E2684" t="s">
        <v>68</v>
      </c>
      <c r="F2684" t="str">
        <f>TEXT(WEEKNUM(tblData[[#This Row],[Rental Date]]),"00")</f>
        <v>41</v>
      </c>
      <c r="G2684" s="1">
        <f>EOMONTH(tblData[[#This Row],[Rental Date]],0)</f>
        <v>46326</v>
      </c>
      <c r="H2684" t="s">
        <v>2441</v>
      </c>
      <c r="I2684" t="s">
        <v>39</v>
      </c>
      <c r="J2684" t="s">
        <v>127</v>
      </c>
      <c r="K2684" t="s">
        <v>40</v>
      </c>
      <c r="L2684">
        <v>1</v>
      </c>
      <c r="M2684" s="2">
        <v>25.92</v>
      </c>
      <c r="N2684" t="s">
        <v>26</v>
      </c>
      <c r="O2684" s="3">
        <v>0</v>
      </c>
      <c r="P2684" s="3">
        <v>0</v>
      </c>
      <c r="Q2684" s="2">
        <v>25.92</v>
      </c>
      <c r="R2684" t="s">
        <v>76</v>
      </c>
      <c r="S2684" t="s">
        <v>54</v>
      </c>
      <c r="T2684" t="s">
        <v>51</v>
      </c>
      <c r="U2684" t="s">
        <v>79</v>
      </c>
    </row>
    <row r="2685" spans="1:21" x14ac:dyDescent="0.35">
      <c r="A2685" t="s">
        <v>2765</v>
      </c>
      <c r="B2685" s="1">
        <v>46299</v>
      </c>
      <c r="C2685" t="str">
        <f>TEXT(tblData[[#This Row],[Rental Date]],"mmm")</f>
        <v>Oct</v>
      </c>
      <c r="D2685" t="str">
        <f>TEXT(tblData[[#This Row],[Rental Date]],"mmmm")</f>
        <v>October</v>
      </c>
      <c r="E2685" t="s">
        <v>68</v>
      </c>
      <c r="F2685" t="str">
        <f>TEXT(WEEKNUM(tblData[[#This Row],[Rental Date]]),"00")</f>
        <v>41</v>
      </c>
      <c r="G2685" s="1">
        <f>EOMONTH(tblData[[#This Row],[Rental Date]],0)</f>
        <v>46326</v>
      </c>
      <c r="H2685" t="s">
        <v>2441</v>
      </c>
      <c r="I2685" t="s">
        <v>48</v>
      </c>
      <c r="J2685" t="s">
        <v>44</v>
      </c>
      <c r="K2685" t="s">
        <v>60</v>
      </c>
      <c r="L2685">
        <v>1</v>
      </c>
      <c r="M2685" s="2">
        <v>36.72</v>
      </c>
      <c r="N2685" t="s">
        <v>41</v>
      </c>
      <c r="O2685" s="3">
        <v>5</v>
      </c>
      <c r="P2685" s="3">
        <v>0</v>
      </c>
      <c r="Q2685" s="2">
        <v>41.72</v>
      </c>
      <c r="R2685" t="s">
        <v>45</v>
      </c>
      <c r="S2685" t="s">
        <v>54</v>
      </c>
      <c r="T2685" t="s">
        <v>51</v>
      </c>
      <c r="U2685" t="s">
        <v>30</v>
      </c>
    </row>
    <row r="2686" spans="1:21" x14ac:dyDescent="0.35">
      <c r="A2686" t="s">
        <v>2766</v>
      </c>
      <c r="B2686" s="1">
        <v>46299</v>
      </c>
      <c r="C2686" t="str">
        <f>TEXT(tblData[[#This Row],[Rental Date]],"mmm")</f>
        <v>Oct</v>
      </c>
      <c r="D2686" t="str">
        <f>TEXT(tblData[[#This Row],[Rental Date]],"mmmm")</f>
        <v>October</v>
      </c>
      <c r="E2686" t="s">
        <v>68</v>
      </c>
      <c r="F2686" t="str">
        <f>TEXT(WEEKNUM(tblData[[#This Row],[Rental Date]]),"00")</f>
        <v>41</v>
      </c>
      <c r="G2686" s="1">
        <f>EOMONTH(tblData[[#This Row],[Rental Date]],0)</f>
        <v>46326</v>
      </c>
      <c r="H2686" t="s">
        <v>2441</v>
      </c>
      <c r="I2686" t="s">
        <v>39</v>
      </c>
      <c r="J2686" t="s">
        <v>127</v>
      </c>
      <c r="K2686" t="s">
        <v>25</v>
      </c>
      <c r="L2686">
        <v>1</v>
      </c>
      <c r="M2686" s="2">
        <v>17.28</v>
      </c>
      <c r="N2686" t="s">
        <v>26</v>
      </c>
      <c r="O2686" s="3">
        <v>0</v>
      </c>
      <c r="P2686" s="3">
        <v>0</v>
      </c>
      <c r="Q2686" s="2">
        <v>17.28</v>
      </c>
      <c r="R2686" t="s">
        <v>76</v>
      </c>
      <c r="S2686" t="s">
        <v>28</v>
      </c>
      <c r="T2686" t="s">
        <v>29</v>
      </c>
      <c r="U2686" t="s">
        <v>30</v>
      </c>
    </row>
    <row r="2687" spans="1:21" x14ac:dyDescent="0.35">
      <c r="A2687" t="s">
        <v>2767</v>
      </c>
      <c r="B2687" s="1">
        <v>46299</v>
      </c>
      <c r="C2687" t="str">
        <f>TEXT(tblData[[#This Row],[Rental Date]],"mmm")</f>
        <v>Oct</v>
      </c>
      <c r="D2687" t="str">
        <f>TEXT(tblData[[#This Row],[Rental Date]],"mmmm")</f>
        <v>October</v>
      </c>
      <c r="E2687" t="s">
        <v>68</v>
      </c>
      <c r="F2687" t="str">
        <f>TEXT(WEEKNUM(tblData[[#This Row],[Rental Date]]),"00")</f>
        <v>41</v>
      </c>
      <c r="G2687" s="1">
        <f>EOMONTH(tblData[[#This Row],[Rental Date]],0)</f>
        <v>46326</v>
      </c>
      <c r="H2687" t="s">
        <v>2441</v>
      </c>
      <c r="I2687" t="s">
        <v>48</v>
      </c>
      <c r="J2687" t="s">
        <v>111</v>
      </c>
      <c r="K2687" t="s">
        <v>60</v>
      </c>
      <c r="L2687">
        <v>1</v>
      </c>
      <c r="M2687" s="2">
        <v>15.12</v>
      </c>
      <c r="N2687" t="s">
        <v>75</v>
      </c>
      <c r="O2687" s="3">
        <v>12</v>
      </c>
      <c r="P2687" s="3">
        <v>1.36</v>
      </c>
      <c r="Q2687" s="2">
        <v>25.76</v>
      </c>
      <c r="R2687" t="s">
        <v>71</v>
      </c>
      <c r="S2687" t="s">
        <v>28</v>
      </c>
      <c r="T2687" t="s">
        <v>90</v>
      </c>
      <c r="U2687" t="s">
        <v>58</v>
      </c>
    </row>
    <row r="2688" spans="1:21" x14ac:dyDescent="0.35">
      <c r="A2688" t="s">
        <v>2768</v>
      </c>
      <c r="B2688" s="1">
        <v>46300</v>
      </c>
      <c r="C2688" t="str">
        <f>TEXT(tblData[[#This Row],[Rental Date]],"mmm")</f>
        <v>Oct</v>
      </c>
      <c r="D2688" t="str">
        <f>TEXT(tblData[[#This Row],[Rental Date]],"mmmm")</f>
        <v>October</v>
      </c>
      <c r="E2688" t="s">
        <v>74</v>
      </c>
      <c r="F2688" t="str">
        <f>TEXT(WEEKNUM(tblData[[#This Row],[Rental Date]]),"00")</f>
        <v>41</v>
      </c>
      <c r="G2688" s="1">
        <f>EOMONTH(tblData[[#This Row],[Rental Date]],0)</f>
        <v>46326</v>
      </c>
      <c r="H2688" t="s">
        <v>2441</v>
      </c>
      <c r="I2688" t="s">
        <v>39</v>
      </c>
      <c r="J2688" t="s">
        <v>111</v>
      </c>
      <c r="K2688" t="s">
        <v>60</v>
      </c>
      <c r="L2688">
        <v>1</v>
      </c>
      <c r="M2688" s="2">
        <v>14</v>
      </c>
      <c r="N2688" t="s">
        <v>87</v>
      </c>
      <c r="O2688" s="3">
        <v>10</v>
      </c>
      <c r="P2688" s="3">
        <v>0</v>
      </c>
      <c r="Q2688" s="2">
        <v>24</v>
      </c>
      <c r="R2688" t="s">
        <v>34</v>
      </c>
      <c r="S2688" t="s">
        <v>35</v>
      </c>
      <c r="T2688" t="s">
        <v>51</v>
      </c>
      <c r="U2688" t="s">
        <v>30</v>
      </c>
    </row>
    <row r="2689" spans="1:21" x14ac:dyDescent="0.35">
      <c r="A2689" t="s">
        <v>2769</v>
      </c>
      <c r="B2689" s="1">
        <v>46300</v>
      </c>
      <c r="C2689" t="str">
        <f>TEXT(tblData[[#This Row],[Rental Date]],"mmm")</f>
        <v>Oct</v>
      </c>
      <c r="D2689" t="str">
        <f>TEXT(tblData[[#This Row],[Rental Date]],"mmmm")</f>
        <v>October</v>
      </c>
      <c r="E2689" t="s">
        <v>74</v>
      </c>
      <c r="F2689" t="str">
        <f>TEXT(WEEKNUM(tblData[[#This Row],[Rental Date]]),"00")</f>
        <v>41</v>
      </c>
      <c r="G2689" s="1">
        <f>EOMONTH(tblData[[#This Row],[Rental Date]],0)</f>
        <v>46326</v>
      </c>
      <c r="H2689" t="s">
        <v>2441</v>
      </c>
      <c r="I2689" t="s">
        <v>39</v>
      </c>
      <c r="J2689" t="s">
        <v>33</v>
      </c>
      <c r="K2689" t="s">
        <v>40</v>
      </c>
      <c r="L2689">
        <v>1</v>
      </c>
      <c r="M2689" s="2">
        <v>58</v>
      </c>
      <c r="N2689" t="s">
        <v>26</v>
      </c>
      <c r="O2689" s="3">
        <v>0</v>
      </c>
      <c r="P2689" s="3">
        <v>0</v>
      </c>
      <c r="Q2689" s="2">
        <v>58</v>
      </c>
      <c r="R2689" t="s">
        <v>27</v>
      </c>
      <c r="S2689" t="s">
        <v>54</v>
      </c>
      <c r="T2689" t="s">
        <v>29</v>
      </c>
      <c r="U2689" t="s">
        <v>58</v>
      </c>
    </row>
    <row r="2690" spans="1:21" x14ac:dyDescent="0.35">
      <c r="A2690" t="s">
        <v>2770</v>
      </c>
      <c r="B2690" s="1">
        <v>46300</v>
      </c>
      <c r="C2690" t="str">
        <f>TEXT(tblData[[#This Row],[Rental Date]],"mmm")</f>
        <v>Oct</v>
      </c>
      <c r="D2690" t="str">
        <f>TEXT(tblData[[#This Row],[Rental Date]],"mmmm")</f>
        <v>October</v>
      </c>
      <c r="E2690" t="s">
        <v>74</v>
      </c>
      <c r="F2690" t="str">
        <f>TEXT(WEEKNUM(tblData[[#This Row],[Rental Date]]),"00")</f>
        <v>41</v>
      </c>
      <c r="G2690" s="1">
        <f>EOMONTH(tblData[[#This Row],[Rental Date]],0)</f>
        <v>46326</v>
      </c>
      <c r="H2690" t="s">
        <v>2441</v>
      </c>
      <c r="I2690" t="s">
        <v>48</v>
      </c>
      <c r="J2690" t="s">
        <v>65</v>
      </c>
      <c r="K2690" t="s">
        <v>60</v>
      </c>
      <c r="L2690">
        <v>1</v>
      </c>
      <c r="M2690" s="2">
        <v>12</v>
      </c>
      <c r="N2690" t="s">
        <v>89</v>
      </c>
      <c r="O2690" s="3">
        <v>6</v>
      </c>
      <c r="P2690" s="3">
        <v>0</v>
      </c>
      <c r="Q2690" s="2">
        <v>18</v>
      </c>
      <c r="R2690" t="s">
        <v>45</v>
      </c>
      <c r="S2690" t="s">
        <v>50</v>
      </c>
      <c r="T2690" t="s">
        <v>29</v>
      </c>
      <c r="U2690" t="s">
        <v>58</v>
      </c>
    </row>
    <row r="2691" spans="1:21" x14ac:dyDescent="0.35">
      <c r="A2691" t="s">
        <v>2771</v>
      </c>
      <c r="B2691" s="1">
        <v>46300</v>
      </c>
      <c r="C2691" t="str">
        <f>TEXT(tblData[[#This Row],[Rental Date]],"mmm")</f>
        <v>Oct</v>
      </c>
      <c r="D2691" t="str">
        <f>TEXT(tblData[[#This Row],[Rental Date]],"mmmm")</f>
        <v>October</v>
      </c>
      <c r="E2691" t="s">
        <v>74</v>
      </c>
      <c r="F2691" t="str">
        <f>TEXT(WEEKNUM(tblData[[#This Row],[Rental Date]]),"00")</f>
        <v>41</v>
      </c>
      <c r="G2691" s="1">
        <f>EOMONTH(tblData[[#This Row],[Rental Date]],0)</f>
        <v>46326</v>
      </c>
      <c r="H2691" t="s">
        <v>2441</v>
      </c>
      <c r="I2691" t="s">
        <v>32</v>
      </c>
      <c r="J2691" t="s">
        <v>33</v>
      </c>
      <c r="K2691" t="s">
        <v>92</v>
      </c>
      <c r="L2691">
        <v>1</v>
      </c>
      <c r="M2691" s="2">
        <v>84</v>
      </c>
      <c r="N2691" t="s">
        <v>41</v>
      </c>
      <c r="O2691" s="3">
        <v>5</v>
      </c>
      <c r="P2691" s="3">
        <v>0</v>
      </c>
      <c r="Q2691" s="2">
        <v>89</v>
      </c>
      <c r="R2691" t="s">
        <v>66</v>
      </c>
      <c r="S2691" t="s">
        <v>28</v>
      </c>
      <c r="T2691" t="s">
        <v>29</v>
      </c>
      <c r="U2691" t="s">
        <v>30</v>
      </c>
    </row>
    <row r="2692" spans="1:21" x14ac:dyDescent="0.35">
      <c r="A2692" t="s">
        <v>2772</v>
      </c>
      <c r="B2692" s="1">
        <v>46300</v>
      </c>
      <c r="C2692" t="str">
        <f>TEXT(tblData[[#This Row],[Rental Date]],"mmm")</f>
        <v>Oct</v>
      </c>
      <c r="D2692" t="str">
        <f>TEXT(tblData[[#This Row],[Rental Date]],"mmmm")</f>
        <v>October</v>
      </c>
      <c r="E2692" t="s">
        <v>74</v>
      </c>
      <c r="F2692" t="str">
        <f>TEXT(WEEKNUM(tblData[[#This Row],[Rental Date]]),"00")</f>
        <v>41</v>
      </c>
      <c r="G2692" s="1">
        <f>EOMONTH(tblData[[#This Row],[Rental Date]],0)</f>
        <v>46326</v>
      </c>
      <c r="H2692" t="s">
        <v>2441</v>
      </c>
      <c r="I2692" t="s">
        <v>39</v>
      </c>
      <c r="J2692" t="s">
        <v>127</v>
      </c>
      <c r="K2692" t="s">
        <v>60</v>
      </c>
      <c r="L2692">
        <v>1</v>
      </c>
      <c r="M2692" s="2">
        <v>10</v>
      </c>
      <c r="N2692" t="s">
        <v>61</v>
      </c>
      <c r="O2692" s="3">
        <v>8</v>
      </c>
      <c r="P2692" s="3">
        <v>0</v>
      </c>
      <c r="Q2692" s="2">
        <v>18</v>
      </c>
      <c r="R2692" t="s">
        <v>66</v>
      </c>
      <c r="S2692" t="s">
        <v>28</v>
      </c>
      <c r="T2692" t="s">
        <v>51</v>
      </c>
      <c r="U2692" t="s">
        <v>79</v>
      </c>
    </row>
    <row r="2693" spans="1:21" x14ac:dyDescent="0.35">
      <c r="A2693" t="s">
        <v>2773</v>
      </c>
      <c r="B2693" s="1">
        <v>46301</v>
      </c>
      <c r="C2693" t="str">
        <f>TEXT(tblData[[#This Row],[Rental Date]],"mmm")</f>
        <v>Oct</v>
      </c>
      <c r="D2693" t="str">
        <f>TEXT(tblData[[#This Row],[Rental Date]],"mmmm")</f>
        <v>October</v>
      </c>
      <c r="E2693" t="s">
        <v>102</v>
      </c>
      <c r="F2693" t="str">
        <f>TEXT(WEEKNUM(tblData[[#This Row],[Rental Date]]),"00")</f>
        <v>41</v>
      </c>
      <c r="G2693" s="1">
        <f>EOMONTH(tblData[[#This Row],[Rental Date]],0)</f>
        <v>46326</v>
      </c>
      <c r="H2693" t="s">
        <v>2441</v>
      </c>
      <c r="I2693" t="s">
        <v>48</v>
      </c>
      <c r="J2693" t="s">
        <v>78</v>
      </c>
      <c r="K2693" t="s">
        <v>92</v>
      </c>
      <c r="L2693">
        <v>1</v>
      </c>
      <c r="M2693" s="2">
        <v>88</v>
      </c>
      <c r="N2693" t="s">
        <v>26</v>
      </c>
      <c r="O2693" s="3">
        <v>0</v>
      </c>
      <c r="P2693" s="3">
        <v>0</v>
      </c>
      <c r="Q2693" s="2">
        <v>88</v>
      </c>
      <c r="R2693" t="s">
        <v>45</v>
      </c>
      <c r="S2693" t="s">
        <v>50</v>
      </c>
      <c r="T2693" t="s">
        <v>63</v>
      </c>
      <c r="U2693" t="s">
        <v>30</v>
      </c>
    </row>
    <row r="2694" spans="1:21" x14ac:dyDescent="0.35">
      <c r="A2694" t="s">
        <v>2774</v>
      </c>
      <c r="B2694" s="1">
        <v>46301</v>
      </c>
      <c r="C2694" t="str">
        <f>TEXT(tblData[[#This Row],[Rental Date]],"mmm")</f>
        <v>Oct</v>
      </c>
      <c r="D2694" t="str">
        <f>TEXT(tblData[[#This Row],[Rental Date]],"mmmm")</f>
        <v>October</v>
      </c>
      <c r="E2694" t="s">
        <v>102</v>
      </c>
      <c r="F2694" t="str">
        <f>TEXT(WEEKNUM(tblData[[#This Row],[Rental Date]]),"00")</f>
        <v>41</v>
      </c>
      <c r="G2694" s="1">
        <f>EOMONTH(tblData[[#This Row],[Rental Date]],0)</f>
        <v>46326</v>
      </c>
      <c r="H2694" t="s">
        <v>2441</v>
      </c>
      <c r="I2694" t="s">
        <v>23</v>
      </c>
      <c r="J2694" t="s">
        <v>78</v>
      </c>
      <c r="K2694" t="s">
        <v>25</v>
      </c>
      <c r="L2694">
        <v>1</v>
      </c>
      <c r="M2694" s="2">
        <v>42</v>
      </c>
      <c r="N2694" t="s">
        <v>26</v>
      </c>
      <c r="O2694" s="3">
        <v>0</v>
      </c>
      <c r="P2694" s="3">
        <v>0</v>
      </c>
      <c r="Q2694" s="2">
        <v>42</v>
      </c>
      <c r="R2694" t="s">
        <v>57</v>
      </c>
      <c r="S2694" t="s">
        <v>50</v>
      </c>
      <c r="T2694" t="s">
        <v>51</v>
      </c>
      <c r="U2694" t="s">
        <v>79</v>
      </c>
    </row>
    <row r="2695" spans="1:21" x14ac:dyDescent="0.35">
      <c r="A2695" t="s">
        <v>2775</v>
      </c>
      <c r="B2695" s="1">
        <v>46301</v>
      </c>
      <c r="C2695" t="str">
        <f>TEXT(tblData[[#This Row],[Rental Date]],"mmm")</f>
        <v>Oct</v>
      </c>
      <c r="D2695" t="str">
        <f>TEXT(tblData[[#This Row],[Rental Date]],"mmmm")</f>
        <v>October</v>
      </c>
      <c r="E2695" t="s">
        <v>102</v>
      </c>
      <c r="F2695" t="str">
        <f>TEXT(WEEKNUM(tblData[[#This Row],[Rental Date]]),"00")</f>
        <v>41</v>
      </c>
      <c r="G2695" s="1">
        <f>EOMONTH(tblData[[#This Row],[Rental Date]],0)</f>
        <v>46326</v>
      </c>
      <c r="H2695" t="s">
        <v>2441</v>
      </c>
      <c r="I2695" t="s">
        <v>48</v>
      </c>
      <c r="J2695" t="s">
        <v>127</v>
      </c>
      <c r="K2695" t="s">
        <v>25</v>
      </c>
      <c r="L2695">
        <v>1</v>
      </c>
      <c r="M2695" s="2">
        <v>16</v>
      </c>
      <c r="N2695" t="s">
        <v>26</v>
      </c>
      <c r="O2695" s="3">
        <v>0</v>
      </c>
      <c r="P2695" s="3">
        <v>0</v>
      </c>
      <c r="Q2695" s="2">
        <v>16</v>
      </c>
      <c r="R2695" t="s">
        <v>76</v>
      </c>
      <c r="S2695" t="s">
        <v>54</v>
      </c>
      <c r="T2695" t="s">
        <v>63</v>
      </c>
      <c r="U2695" t="s">
        <v>30</v>
      </c>
    </row>
    <row r="2696" spans="1:21" x14ac:dyDescent="0.35">
      <c r="A2696" t="s">
        <v>2776</v>
      </c>
      <c r="B2696" s="1">
        <v>46301</v>
      </c>
      <c r="C2696" t="str">
        <f>TEXT(tblData[[#This Row],[Rental Date]],"mmm")</f>
        <v>Oct</v>
      </c>
      <c r="D2696" t="str">
        <f>TEXT(tblData[[#This Row],[Rental Date]],"mmmm")</f>
        <v>October</v>
      </c>
      <c r="E2696" t="s">
        <v>102</v>
      </c>
      <c r="F2696" t="str">
        <f>TEXT(WEEKNUM(tblData[[#This Row],[Rental Date]]),"00")</f>
        <v>41</v>
      </c>
      <c r="G2696" s="1">
        <f>EOMONTH(tblData[[#This Row],[Rental Date]],0)</f>
        <v>46326</v>
      </c>
      <c r="H2696" t="s">
        <v>2441</v>
      </c>
      <c r="I2696" t="s">
        <v>48</v>
      </c>
      <c r="J2696" t="s">
        <v>78</v>
      </c>
      <c r="K2696" t="s">
        <v>40</v>
      </c>
      <c r="L2696">
        <v>1</v>
      </c>
      <c r="M2696" s="2">
        <v>62</v>
      </c>
      <c r="N2696" t="s">
        <v>26</v>
      </c>
      <c r="O2696" s="3">
        <v>0</v>
      </c>
      <c r="P2696" s="3">
        <v>0</v>
      </c>
      <c r="Q2696" s="2">
        <v>62</v>
      </c>
      <c r="R2696" t="s">
        <v>66</v>
      </c>
      <c r="S2696" t="s">
        <v>28</v>
      </c>
      <c r="T2696" t="s">
        <v>51</v>
      </c>
      <c r="U2696" t="s">
        <v>58</v>
      </c>
    </row>
    <row r="2697" spans="1:21" x14ac:dyDescent="0.35">
      <c r="A2697" t="s">
        <v>2777</v>
      </c>
      <c r="B2697" s="1">
        <v>46301</v>
      </c>
      <c r="C2697" t="str">
        <f>TEXT(tblData[[#This Row],[Rental Date]],"mmm")</f>
        <v>Oct</v>
      </c>
      <c r="D2697" t="str">
        <f>TEXT(tblData[[#This Row],[Rental Date]],"mmmm")</f>
        <v>October</v>
      </c>
      <c r="E2697" t="s">
        <v>102</v>
      </c>
      <c r="F2697" t="str">
        <f>TEXT(WEEKNUM(tblData[[#This Row],[Rental Date]]),"00")</f>
        <v>41</v>
      </c>
      <c r="G2697" s="1">
        <f>EOMONTH(tblData[[#This Row],[Rental Date]],0)</f>
        <v>46326</v>
      </c>
      <c r="H2697" t="s">
        <v>2441</v>
      </c>
      <c r="I2697" t="s">
        <v>23</v>
      </c>
      <c r="J2697" t="s">
        <v>78</v>
      </c>
      <c r="K2697" t="s">
        <v>60</v>
      </c>
      <c r="L2697">
        <v>1</v>
      </c>
      <c r="M2697" s="2">
        <v>26</v>
      </c>
      <c r="N2697" t="s">
        <v>26</v>
      </c>
      <c r="O2697" s="3">
        <v>0</v>
      </c>
      <c r="P2697" s="3">
        <v>0</v>
      </c>
      <c r="Q2697" s="2">
        <v>26</v>
      </c>
      <c r="R2697" t="s">
        <v>34</v>
      </c>
      <c r="S2697" t="s">
        <v>35</v>
      </c>
      <c r="T2697" t="s">
        <v>29</v>
      </c>
      <c r="U2697" t="s">
        <v>79</v>
      </c>
    </row>
    <row r="2698" spans="1:21" x14ac:dyDescent="0.35">
      <c r="A2698" t="s">
        <v>2778</v>
      </c>
      <c r="B2698" s="1">
        <v>46302</v>
      </c>
      <c r="C2698" t="str">
        <f>TEXT(tblData[[#This Row],[Rental Date]],"mmm")</f>
        <v>Oct</v>
      </c>
      <c r="D2698" t="str">
        <f>TEXT(tblData[[#This Row],[Rental Date]],"mmmm")</f>
        <v>October</v>
      </c>
      <c r="E2698" t="s">
        <v>109</v>
      </c>
      <c r="F2698" t="str">
        <f>TEXT(WEEKNUM(tblData[[#This Row],[Rental Date]]),"00")</f>
        <v>41</v>
      </c>
      <c r="G2698" s="1">
        <f>EOMONTH(tblData[[#This Row],[Rental Date]],0)</f>
        <v>46326</v>
      </c>
      <c r="H2698" t="s">
        <v>2441</v>
      </c>
      <c r="I2698" t="s">
        <v>39</v>
      </c>
      <c r="J2698" t="s">
        <v>78</v>
      </c>
      <c r="K2698" t="s">
        <v>40</v>
      </c>
      <c r="L2698">
        <v>1</v>
      </c>
      <c r="M2698" s="2">
        <v>62</v>
      </c>
      <c r="N2698" t="s">
        <v>26</v>
      </c>
      <c r="O2698" s="3">
        <v>0</v>
      </c>
      <c r="P2698" s="3">
        <v>0</v>
      </c>
      <c r="Q2698" s="2">
        <v>62</v>
      </c>
      <c r="R2698" t="s">
        <v>42</v>
      </c>
      <c r="S2698" t="s">
        <v>28</v>
      </c>
      <c r="T2698" t="s">
        <v>29</v>
      </c>
      <c r="U2698" t="s">
        <v>58</v>
      </c>
    </row>
    <row r="2699" spans="1:21" x14ac:dyDescent="0.35">
      <c r="A2699" t="s">
        <v>2779</v>
      </c>
      <c r="B2699" s="1">
        <v>46302</v>
      </c>
      <c r="C2699" t="str">
        <f>TEXT(tblData[[#This Row],[Rental Date]],"mmm")</f>
        <v>Oct</v>
      </c>
      <c r="D2699" t="str">
        <f>TEXT(tblData[[#This Row],[Rental Date]],"mmmm")</f>
        <v>October</v>
      </c>
      <c r="E2699" t="s">
        <v>109</v>
      </c>
      <c r="F2699" t="str">
        <f>TEXT(WEEKNUM(tblData[[#This Row],[Rental Date]]),"00")</f>
        <v>41</v>
      </c>
      <c r="G2699" s="1">
        <f>EOMONTH(tblData[[#This Row],[Rental Date]],0)</f>
        <v>46326</v>
      </c>
      <c r="H2699" t="s">
        <v>2441</v>
      </c>
      <c r="I2699" t="s">
        <v>48</v>
      </c>
      <c r="J2699" t="s">
        <v>33</v>
      </c>
      <c r="K2699" t="s">
        <v>92</v>
      </c>
      <c r="L2699">
        <v>1</v>
      </c>
      <c r="M2699" s="2">
        <v>84</v>
      </c>
      <c r="N2699" t="s">
        <v>26</v>
      </c>
      <c r="O2699" s="3">
        <v>0</v>
      </c>
      <c r="P2699" s="3">
        <v>0</v>
      </c>
      <c r="Q2699" s="2">
        <v>84</v>
      </c>
      <c r="R2699" t="s">
        <v>42</v>
      </c>
      <c r="S2699" t="s">
        <v>46</v>
      </c>
      <c r="T2699" t="s">
        <v>63</v>
      </c>
      <c r="U2699" t="s">
        <v>58</v>
      </c>
    </row>
    <row r="2700" spans="1:21" x14ac:dyDescent="0.35">
      <c r="A2700" t="s">
        <v>2780</v>
      </c>
      <c r="B2700" s="1">
        <v>46303</v>
      </c>
      <c r="C2700" t="str">
        <f>TEXT(tblData[[#This Row],[Rental Date]],"mmm")</f>
        <v>Oct</v>
      </c>
      <c r="D2700" t="str">
        <f>TEXT(tblData[[#This Row],[Rental Date]],"mmmm")</f>
        <v>October</v>
      </c>
      <c r="E2700" t="s">
        <v>21</v>
      </c>
      <c r="F2700" t="str">
        <f>TEXT(WEEKNUM(tblData[[#This Row],[Rental Date]]),"00")</f>
        <v>41</v>
      </c>
      <c r="G2700" s="1">
        <f>EOMONTH(tblData[[#This Row],[Rental Date]],0)</f>
        <v>46326</v>
      </c>
      <c r="H2700" t="s">
        <v>2441</v>
      </c>
      <c r="I2700" t="s">
        <v>48</v>
      </c>
      <c r="J2700" t="s">
        <v>65</v>
      </c>
      <c r="K2700" t="s">
        <v>25</v>
      </c>
      <c r="L2700">
        <v>1</v>
      </c>
      <c r="M2700" s="2">
        <v>18</v>
      </c>
      <c r="N2700" t="s">
        <v>87</v>
      </c>
      <c r="O2700" s="3">
        <v>10</v>
      </c>
      <c r="P2700" s="3">
        <v>0</v>
      </c>
      <c r="Q2700" s="2">
        <v>28</v>
      </c>
      <c r="R2700" t="s">
        <v>45</v>
      </c>
      <c r="S2700" t="s">
        <v>46</v>
      </c>
      <c r="T2700" t="s">
        <v>29</v>
      </c>
      <c r="U2700" t="s">
        <v>30</v>
      </c>
    </row>
    <row r="2701" spans="1:21" x14ac:dyDescent="0.35">
      <c r="A2701" t="s">
        <v>2781</v>
      </c>
      <c r="B2701" s="1">
        <v>46303</v>
      </c>
      <c r="C2701" t="str">
        <f>TEXT(tblData[[#This Row],[Rental Date]],"mmm")</f>
        <v>Oct</v>
      </c>
      <c r="D2701" t="str">
        <f>TEXT(tblData[[#This Row],[Rental Date]],"mmmm")</f>
        <v>October</v>
      </c>
      <c r="E2701" t="s">
        <v>21</v>
      </c>
      <c r="F2701" t="str">
        <f>TEXT(WEEKNUM(tblData[[#This Row],[Rental Date]]),"00")</f>
        <v>41</v>
      </c>
      <c r="G2701" s="1">
        <f>EOMONTH(tblData[[#This Row],[Rental Date]],0)</f>
        <v>46326</v>
      </c>
      <c r="H2701" t="s">
        <v>2441</v>
      </c>
      <c r="I2701" t="s">
        <v>48</v>
      </c>
      <c r="J2701" t="s">
        <v>49</v>
      </c>
      <c r="K2701" t="s">
        <v>25</v>
      </c>
      <c r="L2701">
        <v>1</v>
      </c>
      <c r="M2701" s="2">
        <v>36</v>
      </c>
      <c r="N2701" t="s">
        <v>87</v>
      </c>
      <c r="O2701" s="3">
        <v>10</v>
      </c>
      <c r="P2701" s="3">
        <v>0</v>
      </c>
      <c r="Q2701" s="2">
        <v>46</v>
      </c>
      <c r="R2701" t="s">
        <v>76</v>
      </c>
      <c r="S2701" t="s">
        <v>46</v>
      </c>
      <c r="T2701" t="s">
        <v>63</v>
      </c>
      <c r="U2701" t="s">
        <v>58</v>
      </c>
    </row>
    <row r="2702" spans="1:21" x14ac:dyDescent="0.35">
      <c r="A2702" t="s">
        <v>2782</v>
      </c>
      <c r="B2702" s="1">
        <v>46303</v>
      </c>
      <c r="C2702" t="str">
        <f>TEXT(tblData[[#This Row],[Rental Date]],"mmm")</f>
        <v>Oct</v>
      </c>
      <c r="D2702" t="str">
        <f>TEXT(tblData[[#This Row],[Rental Date]],"mmmm")</f>
        <v>October</v>
      </c>
      <c r="E2702" t="s">
        <v>21</v>
      </c>
      <c r="F2702" t="str">
        <f>TEXT(WEEKNUM(tblData[[#This Row],[Rental Date]]),"00")</f>
        <v>41</v>
      </c>
      <c r="G2702" s="1">
        <f>EOMONTH(tblData[[#This Row],[Rental Date]],0)</f>
        <v>46326</v>
      </c>
      <c r="H2702" t="s">
        <v>2441</v>
      </c>
      <c r="I2702" t="s">
        <v>23</v>
      </c>
      <c r="J2702" t="s">
        <v>33</v>
      </c>
      <c r="K2702" t="s">
        <v>25</v>
      </c>
      <c r="L2702">
        <v>1</v>
      </c>
      <c r="M2702" s="2">
        <v>38</v>
      </c>
      <c r="N2702" t="s">
        <v>26</v>
      </c>
      <c r="O2702" s="3">
        <v>0</v>
      </c>
      <c r="P2702" s="3">
        <v>0</v>
      </c>
      <c r="Q2702" s="2">
        <v>38</v>
      </c>
      <c r="R2702" t="s">
        <v>27</v>
      </c>
      <c r="S2702" t="s">
        <v>50</v>
      </c>
      <c r="T2702" t="s">
        <v>29</v>
      </c>
      <c r="U2702" t="s">
        <v>30</v>
      </c>
    </row>
    <row r="2703" spans="1:21" x14ac:dyDescent="0.35">
      <c r="A2703" t="s">
        <v>2783</v>
      </c>
      <c r="B2703" s="1">
        <v>46303</v>
      </c>
      <c r="C2703" t="str">
        <f>TEXT(tblData[[#This Row],[Rental Date]],"mmm")</f>
        <v>Oct</v>
      </c>
      <c r="D2703" t="str">
        <f>TEXT(tblData[[#This Row],[Rental Date]],"mmmm")</f>
        <v>October</v>
      </c>
      <c r="E2703" t="s">
        <v>21</v>
      </c>
      <c r="F2703" t="str">
        <f>TEXT(WEEKNUM(tblData[[#This Row],[Rental Date]]),"00")</f>
        <v>41</v>
      </c>
      <c r="G2703" s="1">
        <f>EOMONTH(tblData[[#This Row],[Rental Date]],0)</f>
        <v>46326</v>
      </c>
      <c r="H2703" t="s">
        <v>2441</v>
      </c>
      <c r="I2703" t="s">
        <v>48</v>
      </c>
      <c r="J2703" t="s">
        <v>33</v>
      </c>
      <c r="K2703" t="s">
        <v>25</v>
      </c>
      <c r="L2703">
        <v>1</v>
      </c>
      <c r="M2703" s="2">
        <v>38</v>
      </c>
      <c r="N2703" t="s">
        <v>26</v>
      </c>
      <c r="O2703" s="3">
        <v>0</v>
      </c>
      <c r="P2703" s="3">
        <v>0</v>
      </c>
      <c r="Q2703" s="2">
        <v>38</v>
      </c>
      <c r="R2703" t="s">
        <v>76</v>
      </c>
      <c r="S2703" t="s">
        <v>35</v>
      </c>
      <c r="T2703" t="s">
        <v>29</v>
      </c>
      <c r="U2703" t="s">
        <v>30</v>
      </c>
    </row>
    <row r="2704" spans="1:21" x14ac:dyDescent="0.35">
      <c r="A2704" t="s">
        <v>2784</v>
      </c>
      <c r="B2704" s="1">
        <v>46303</v>
      </c>
      <c r="C2704" t="str">
        <f>TEXT(tblData[[#This Row],[Rental Date]],"mmm")</f>
        <v>Oct</v>
      </c>
      <c r="D2704" t="str">
        <f>TEXT(tblData[[#This Row],[Rental Date]],"mmmm")</f>
        <v>October</v>
      </c>
      <c r="E2704" t="s">
        <v>21</v>
      </c>
      <c r="F2704" t="str">
        <f>TEXT(WEEKNUM(tblData[[#This Row],[Rental Date]]),"00")</f>
        <v>41</v>
      </c>
      <c r="G2704" s="1">
        <f>EOMONTH(tblData[[#This Row],[Rental Date]],0)</f>
        <v>46326</v>
      </c>
      <c r="H2704" t="s">
        <v>2441</v>
      </c>
      <c r="I2704" t="s">
        <v>48</v>
      </c>
      <c r="J2704" t="s">
        <v>78</v>
      </c>
      <c r="K2704" t="s">
        <v>40</v>
      </c>
      <c r="L2704">
        <v>1</v>
      </c>
      <c r="M2704" s="2">
        <v>62</v>
      </c>
      <c r="N2704" t="s">
        <v>61</v>
      </c>
      <c r="O2704" s="3">
        <v>8</v>
      </c>
      <c r="P2704" s="3">
        <v>0</v>
      </c>
      <c r="Q2704" s="2">
        <v>70</v>
      </c>
      <c r="R2704" t="s">
        <v>62</v>
      </c>
      <c r="S2704" t="s">
        <v>50</v>
      </c>
      <c r="T2704" t="s">
        <v>51</v>
      </c>
      <c r="U2704" t="s">
        <v>30</v>
      </c>
    </row>
    <row r="2705" spans="1:21" x14ac:dyDescent="0.35">
      <c r="A2705" t="s">
        <v>2785</v>
      </c>
      <c r="B2705" s="1">
        <v>46303</v>
      </c>
      <c r="C2705" t="str">
        <f>TEXT(tblData[[#This Row],[Rental Date]],"mmm")</f>
        <v>Oct</v>
      </c>
      <c r="D2705" t="str">
        <f>TEXT(tblData[[#This Row],[Rental Date]],"mmmm")</f>
        <v>October</v>
      </c>
      <c r="E2705" t="s">
        <v>21</v>
      </c>
      <c r="F2705" t="str">
        <f>TEXT(WEEKNUM(tblData[[#This Row],[Rental Date]]),"00")</f>
        <v>41</v>
      </c>
      <c r="G2705" s="1">
        <f>EOMONTH(tblData[[#This Row],[Rental Date]],0)</f>
        <v>46326</v>
      </c>
      <c r="H2705" t="s">
        <v>2441</v>
      </c>
      <c r="I2705" t="s">
        <v>48</v>
      </c>
      <c r="J2705" t="s">
        <v>138</v>
      </c>
      <c r="K2705" t="s">
        <v>60</v>
      </c>
      <c r="L2705">
        <v>1</v>
      </c>
      <c r="M2705" s="2">
        <v>30</v>
      </c>
      <c r="N2705" t="s">
        <v>26</v>
      </c>
      <c r="O2705" s="3">
        <v>0</v>
      </c>
      <c r="P2705" s="3">
        <v>0</v>
      </c>
      <c r="Q2705" s="2">
        <v>30</v>
      </c>
      <c r="R2705" t="s">
        <v>62</v>
      </c>
      <c r="S2705" t="s">
        <v>35</v>
      </c>
      <c r="T2705" t="s">
        <v>29</v>
      </c>
      <c r="U2705" t="s">
        <v>79</v>
      </c>
    </row>
    <row r="2706" spans="1:21" x14ac:dyDescent="0.35">
      <c r="A2706" t="s">
        <v>2786</v>
      </c>
      <c r="B2706" s="1">
        <v>46304</v>
      </c>
      <c r="C2706" t="str">
        <f>TEXT(tblData[[#This Row],[Rental Date]],"mmm")</f>
        <v>Oct</v>
      </c>
      <c r="D2706" t="str">
        <f>TEXT(tblData[[#This Row],[Rental Date]],"mmmm")</f>
        <v>October</v>
      </c>
      <c r="E2706" t="s">
        <v>38</v>
      </c>
      <c r="F2706" t="str">
        <f>TEXT(WEEKNUM(tblData[[#This Row],[Rental Date]]),"00")</f>
        <v>41</v>
      </c>
      <c r="G2706" s="1">
        <f>EOMONTH(tblData[[#This Row],[Rental Date]],0)</f>
        <v>46326</v>
      </c>
      <c r="H2706" t="s">
        <v>2441</v>
      </c>
      <c r="I2706" t="s">
        <v>39</v>
      </c>
      <c r="J2706" t="s">
        <v>78</v>
      </c>
      <c r="K2706" t="s">
        <v>40</v>
      </c>
      <c r="L2706">
        <v>1</v>
      </c>
      <c r="M2706" s="2">
        <v>62</v>
      </c>
      <c r="N2706" t="s">
        <v>26</v>
      </c>
      <c r="O2706" s="3">
        <v>0</v>
      </c>
      <c r="P2706" s="3">
        <v>0</v>
      </c>
      <c r="Q2706" s="2">
        <v>62</v>
      </c>
      <c r="R2706" t="s">
        <v>45</v>
      </c>
      <c r="S2706" t="s">
        <v>54</v>
      </c>
      <c r="T2706" t="s">
        <v>29</v>
      </c>
      <c r="U2706" t="s">
        <v>58</v>
      </c>
    </row>
    <row r="2707" spans="1:21" x14ac:dyDescent="0.35">
      <c r="A2707" t="s">
        <v>2787</v>
      </c>
      <c r="B2707" s="1">
        <v>46304</v>
      </c>
      <c r="C2707" t="str">
        <f>TEXT(tblData[[#This Row],[Rental Date]],"mmm")</f>
        <v>Oct</v>
      </c>
      <c r="D2707" t="str">
        <f>TEXT(tblData[[#This Row],[Rental Date]],"mmmm")</f>
        <v>October</v>
      </c>
      <c r="E2707" t="s">
        <v>38</v>
      </c>
      <c r="F2707" t="str">
        <f>TEXT(WEEKNUM(tblData[[#This Row],[Rental Date]]),"00")</f>
        <v>41</v>
      </c>
      <c r="G2707" s="1">
        <f>EOMONTH(tblData[[#This Row],[Rental Date]],0)</f>
        <v>46326</v>
      </c>
      <c r="H2707" t="s">
        <v>2441</v>
      </c>
      <c r="I2707" t="s">
        <v>23</v>
      </c>
      <c r="J2707" t="s">
        <v>127</v>
      </c>
      <c r="K2707" t="s">
        <v>25</v>
      </c>
      <c r="L2707">
        <v>1</v>
      </c>
      <c r="M2707" s="2">
        <v>16</v>
      </c>
      <c r="N2707" t="s">
        <v>26</v>
      </c>
      <c r="O2707" s="3">
        <v>0</v>
      </c>
      <c r="P2707" s="3">
        <v>0</v>
      </c>
      <c r="Q2707" s="2">
        <v>16</v>
      </c>
      <c r="R2707" t="s">
        <v>76</v>
      </c>
      <c r="S2707" t="s">
        <v>28</v>
      </c>
      <c r="T2707" t="s">
        <v>90</v>
      </c>
      <c r="U2707" t="s">
        <v>30</v>
      </c>
    </row>
    <row r="2708" spans="1:21" x14ac:dyDescent="0.35">
      <c r="A2708" t="s">
        <v>2788</v>
      </c>
      <c r="B2708" s="1">
        <v>46304</v>
      </c>
      <c r="C2708" t="str">
        <f>TEXT(tblData[[#This Row],[Rental Date]],"mmm")</f>
        <v>Oct</v>
      </c>
      <c r="D2708" t="str">
        <f>TEXT(tblData[[#This Row],[Rental Date]],"mmmm")</f>
        <v>October</v>
      </c>
      <c r="E2708" t="s">
        <v>38</v>
      </c>
      <c r="F2708" t="str">
        <f>TEXT(WEEKNUM(tblData[[#This Row],[Rental Date]]),"00")</f>
        <v>41</v>
      </c>
      <c r="G2708" s="1">
        <f>EOMONTH(tblData[[#This Row],[Rental Date]],0)</f>
        <v>46326</v>
      </c>
      <c r="H2708" t="s">
        <v>2441</v>
      </c>
      <c r="I2708" t="s">
        <v>48</v>
      </c>
      <c r="J2708" t="s">
        <v>33</v>
      </c>
      <c r="K2708" t="s">
        <v>25</v>
      </c>
      <c r="L2708">
        <v>1</v>
      </c>
      <c r="M2708" s="2">
        <v>38</v>
      </c>
      <c r="N2708" t="s">
        <v>61</v>
      </c>
      <c r="O2708" s="3">
        <v>8</v>
      </c>
      <c r="P2708" s="3">
        <v>0</v>
      </c>
      <c r="Q2708" s="2">
        <v>46</v>
      </c>
      <c r="R2708" t="s">
        <v>57</v>
      </c>
      <c r="S2708" t="s">
        <v>46</v>
      </c>
      <c r="T2708" t="s">
        <v>51</v>
      </c>
      <c r="U2708" t="s">
        <v>58</v>
      </c>
    </row>
    <row r="2709" spans="1:21" x14ac:dyDescent="0.35">
      <c r="A2709" t="s">
        <v>2789</v>
      </c>
      <c r="B2709" s="1">
        <v>46304</v>
      </c>
      <c r="C2709" t="str">
        <f>TEXT(tblData[[#This Row],[Rental Date]],"mmm")</f>
        <v>Oct</v>
      </c>
      <c r="D2709" t="str">
        <f>TEXT(tblData[[#This Row],[Rental Date]],"mmmm")</f>
        <v>October</v>
      </c>
      <c r="E2709" t="s">
        <v>38</v>
      </c>
      <c r="F2709" t="str">
        <f>TEXT(WEEKNUM(tblData[[#This Row],[Rental Date]]),"00")</f>
        <v>41</v>
      </c>
      <c r="G2709" s="1">
        <f>EOMONTH(tblData[[#This Row],[Rental Date]],0)</f>
        <v>46326</v>
      </c>
      <c r="H2709" t="s">
        <v>2441</v>
      </c>
      <c r="I2709" t="s">
        <v>48</v>
      </c>
      <c r="J2709" t="s">
        <v>127</v>
      </c>
      <c r="K2709" t="s">
        <v>40</v>
      </c>
      <c r="L2709">
        <v>1</v>
      </c>
      <c r="M2709" s="2">
        <v>24</v>
      </c>
      <c r="N2709" t="s">
        <v>26</v>
      </c>
      <c r="O2709" s="3">
        <v>0</v>
      </c>
      <c r="P2709" s="3">
        <v>0</v>
      </c>
      <c r="Q2709" s="2">
        <v>24</v>
      </c>
      <c r="R2709" t="s">
        <v>66</v>
      </c>
      <c r="S2709" t="s">
        <v>28</v>
      </c>
      <c r="T2709" t="s">
        <v>90</v>
      </c>
      <c r="U2709" t="s">
        <v>30</v>
      </c>
    </row>
    <row r="2710" spans="1:21" x14ac:dyDescent="0.35">
      <c r="A2710" t="s">
        <v>2790</v>
      </c>
      <c r="B2710" s="1">
        <v>46304</v>
      </c>
      <c r="C2710" t="str">
        <f>TEXT(tblData[[#This Row],[Rental Date]],"mmm")</f>
        <v>Oct</v>
      </c>
      <c r="D2710" t="str">
        <f>TEXT(tblData[[#This Row],[Rental Date]],"mmmm")</f>
        <v>October</v>
      </c>
      <c r="E2710" t="s">
        <v>38</v>
      </c>
      <c r="F2710" t="str">
        <f>TEXT(WEEKNUM(tblData[[#This Row],[Rental Date]]),"00")</f>
        <v>41</v>
      </c>
      <c r="G2710" s="1">
        <f>EOMONTH(tblData[[#This Row],[Rental Date]],0)</f>
        <v>46326</v>
      </c>
      <c r="H2710" t="s">
        <v>2441</v>
      </c>
      <c r="I2710" t="s">
        <v>48</v>
      </c>
      <c r="J2710" t="s">
        <v>65</v>
      </c>
      <c r="K2710" t="s">
        <v>40</v>
      </c>
      <c r="L2710">
        <v>1</v>
      </c>
      <c r="M2710" s="2">
        <v>28</v>
      </c>
      <c r="N2710" t="s">
        <v>70</v>
      </c>
      <c r="O2710" s="3">
        <v>7</v>
      </c>
      <c r="P2710" s="3">
        <v>0</v>
      </c>
      <c r="Q2710" s="2">
        <v>35</v>
      </c>
      <c r="R2710" t="s">
        <v>66</v>
      </c>
      <c r="S2710" t="s">
        <v>50</v>
      </c>
      <c r="T2710" t="s">
        <v>63</v>
      </c>
      <c r="U2710" t="s">
        <v>30</v>
      </c>
    </row>
    <row r="2711" spans="1:21" x14ac:dyDescent="0.35">
      <c r="A2711" t="s">
        <v>2791</v>
      </c>
      <c r="B2711" s="1">
        <v>46304</v>
      </c>
      <c r="C2711" t="str">
        <f>TEXT(tblData[[#This Row],[Rental Date]],"mmm")</f>
        <v>Oct</v>
      </c>
      <c r="D2711" t="str">
        <f>TEXT(tblData[[#This Row],[Rental Date]],"mmmm")</f>
        <v>October</v>
      </c>
      <c r="E2711" t="s">
        <v>38</v>
      </c>
      <c r="F2711" t="str">
        <f>TEXT(WEEKNUM(tblData[[#This Row],[Rental Date]]),"00")</f>
        <v>41</v>
      </c>
      <c r="G2711" s="1">
        <f>EOMONTH(tblData[[#This Row],[Rental Date]],0)</f>
        <v>46326</v>
      </c>
      <c r="H2711" t="s">
        <v>2441</v>
      </c>
      <c r="I2711" t="s">
        <v>23</v>
      </c>
      <c r="J2711" t="s">
        <v>78</v>
      </c>
      <c r="K2711" t="s">
        <v>25</v>
      </c>
      <c r="L2711">
        <v>1</v>
      </c>
      <c r="M2711" s="2">
        <v>42</v>
      </c>
      <c r="N2711" t="s">
        <v>26</v>
      </c>
      <c r="O2711" s="3">
        <v>0</v>
      </c>
      <c r="P2711" s="3">
        <v>0</v>
      </c>
      <c r="Q2711" s="2">
        <v>42</v>
      </c>
      <c r="R2711" t="s">
        <v>27</v>
      </c>
      <c r="S2711" t="s">
        <v>54</v>
      </c>
      <c r="T2711" t="s">
        <v>29</v>
      </c>
      <c r="U2711" t="s">
        <v>30</v>
      </c>
    </row>
    <row r="2712" spans="1:21" x14ac:dyDescent="0.35">
      <c r="A2712" t="s">
        <v>2792</v>
      </c>
      <c r="B2712" s="1">
        <v>46304</v>
      </c>
      <c r="C2712" t="str">
        <f>TEXT(tblData[[#This Row],[Rental Date]],"mmm")</f>
        <v>Oct</v>
      </c>
      <c r="D2712" t="str">
        <f>TEXT(tblData[[#This Row],[Rental Date]],"mmmm")</f>
        <v>October</v>
      </c>
      <c r="E2712" t="s">
        <v>38</v>
      </c>
      <c r="F2712" t="str">
        <f>TEXT(WEEKNUM(tblData[[#This Row],[Rental Date]]),"00")</f>
        <v>41</v>
      </c>
      <c r="G2712" s="1">
        <f>EOMONTH(tblData[[#This Row],[Rental Date]],0)</f>
        <v>46326</v>
      </c>
      <c r="H2712" t="s">
        <v>2441</v>
      </c>
      <c r="I2712" t="s">
        <v>48</v>
      </c>
      <c r="J2712" t="s">
        <v>127</v>
      </c>
      <c r="K2712" t="s">
        <v>25</v>
      </c>
      <c r="L2712">
        <v>1</v>
      </c>
      <c r="M2712" s="2">
        <v>16</v>
      </c>
      <c r="N2712" t="s">
        <v>26</v>
      </c>
      <c r="O2712" s="3">
        <v>0</v>
      </c>
      <c r="P2712" s="3">
        <v>0</v>
      </c>
      <c r="Q2712" s="2">
        <v>16</v>
      </c>
      <c r="R2712" t="s">
        <v>27</v>
      </c>
      <c r="S2712" t="s">
        <v>54</v>
      </c>
      <c r="T2712" t="s">
        <v>29</v>
      </c>
      <c r="U2712" t="s">
        <v>30</v>
      </c>
    </row>
    <row r="2713" spans="1:21" x14ac:dyDescent="0.35">
      <c r="A2713" t="s">
        <v>2793</v>
      </c>
      <c r="B2713" s="1">
        <v>46304</v>
      </c>
      <c r="C2713" t="str">
        <f>TEXT(tblData[[#This Row],[Rental Date]],"mmm")</f>
        <v>Oct</v>
      </c>
      <c r="D2713" t="str">
        <f>TEXT(tblData[[#This Row],[Rental Date]],"mmmm")</f>
        <v>October</v>
      </c>
      <c r="E2713" t="s">
        <v>38</v>
      </c>
      <c r="F2713" t="str">
        <f>TEXT(WEEKNUM(tblData[[#This Row],[Rental Date]]),"00")</f>
        <v>41</v>
      </c>
      <c r="G2713" s="1">
        <f>EOMONTH(tblData[[#This Row],[Rental Date]],0)</f>
        <v>46326</v>
      </c>
      <c r="H2713" t="s">
        <v>2441</v>
      </c>
      <c r="I2713" t="s">
        <v>39</v>
      </c>
      <c r="J2713" t="s">
        <v>86</v>
      </c>
      <c r="K2713" t="s">
        <v>60</v>
      </c>
      <c r="L2713">
        <v>1</v>
      </c>
      <c r="M2713" s="2">
        <v>36</v>
      </c>
      <c r="N2713" t="s">
        <v>89</v>
      </c>
      <c r="O2713" s="3">
        <v>6</v>
      </c>
      <c r="P2713" s="3">
        <v>0</v>
      </c>
      <c r="Q2713" s="2">
        <v>42</v>
      </c>
      <c r="R2713" t="s">
        <v>66</v>
      </c>
      <c r="S2713" t="s">
        <v>54</v>
      </c>
      <c r="T2713" t="s">
        <v>29</v>
      </c>
      <c r="U2713" t="s">
        <v>30</v>
      </c>
    </row>
    <row r="2714" spans="1:21" x14ac:dyDescent="0.35">
      <c r="A2714" t="s">
        <v>2794</v>
      </c>
      <c r="B2714" s="1">
        <v>46305</v>
      </c>
      <c r="C2714" t="str">
        <f>TEXT(tblData[[#This Row],[Rental Date]],"mmm")</f>
        <v>Oct</v>
      </c>
      <c r="D2714" t="str">
        <f>TEXT(tblData[[#This Row],[Rental Date]],"mmmm")</f>
        <v>October</v>
      </c>
      <c r="E2714" t="s">
        <v>56</v>
      </c>
      <c r="F2714" t="str">
        <f>TEXT(WEEKNUM(tblData[[#This Row],[Rental Date]]),"00")</f>
        <v>41</v>
      </c>
      <c r="G2714" s="1">
        <f>EOMONTH(tblData[[#This Row],[Rental Date]],0)</f>
        <v>46326</v>
      </c>
      <c r="H2714" t="s">
        <v>2441</v>
      </c>
      <c r="I2714" t="s">
        <v>39</v>
      </c>
      <c r="J2714" t="s">
        <v>24</v>
      </c>
      <c r="K2714" t="s">
        <v>60</v>
      </c>
      <c r="L2714">
        <v>1</v>
      </c>
      <c r="M2714" s="2">
        <v>34.56</v>
      </c>
      <c r="N2714" t="s">
        <v>26</v>
      </c>
      <c r="O2714" s="3">
        <v>0</v>
      </c>
      <c r="P2714" s="3">
        <v>1.73</v>
      </c>
      <c r="Q2714" s="2">
        <v>32.83</v>
      </c>
      <c r="R2714" t="s">
        <v>57</v>
      </c>
      <c r="S2714" t="s">
        <v>28</v>
      </c>
      <c r="T2714" t="s">
        <v>51</v>
      </c>
      <c r="U2714" t="s">
        <v>58</v>
      </c>
    </row>
    <row r="2715" spans="1:21" x14ac:dyDescent="0.35">
      <c r="A2715" t="s">
        <v>2795</v>
      </c>
      <c r="B2715" s="1">
        <v>46305</v>
      </c>
      <c r="C2715" t="str">
        <f>TEXT(tblData[[#This Row],[Rental Date]],"mmm")</f>
        <v>Oct</v>
      </c>
      <c r="D2715" t="str">
        <f>TEXT(tblData[[#This Row],[Rental Date]],"mmmm")</f>
        <v>October</v>
      </c>
      <c r="E2715" t="s">
        <v>56</v>
      </c>
      <c r="F2715" t="str">
        <f>TEXT(WEEKNUM(tblData[[#This Row],[Rental Date]]),"00")</f>
        <v>41</v>
      </c>
      <c r="G2715" s="1">
        <f>EOMONTH(tblData[[#This Row],[Rental Date]],0)</f>
        <v>46326</v>
      </c>
      <c r="H2715" t="s">
        <v>2441</v>
      </c>
      <c r="I2715" t="s">
        <v>23</v>
      </c>
      <c r="J2715" t="s">
        <v>49</v>
      </c>
      <c r="K2715" t="s">
        <v>25</v>
      </c>
      <c r="L2715">
        <v>1</v>
      </c>
      <c r="M2715" s="2">
        <v>38.880000000000003</v>
      </c>
      <c r="N2715" t="s">
        <v>89</v>
      </c>
      <c r="O2715" s="3">
        <v>6</v>
      </c>
      <c r="P2715" s="3">
        <v>0</v>
      </c>
      <c r="Q2715" s="2">
        <v>44.88</v>
      </c>
      <c r="R2715" t="s">
        <v>62</v>
      </c>
      <c r="S2715" t="s">
        <v>46</v>
      </c>
      <c r="T2715" t="s">
        <v>51</v>
      </c>
      <c r="U2715" t="s">
        <v>58</v>
      </c>
    </row>
    <row r="2716" spans="1:21" x14ac:dyDescent="0.35">
      <c r="A2716" t="s">
        <v>2796</v>
      </c>
      <c r="B2716" s="1">
        <v>46305</v>
      </c>
      <c r="C2716" t="str">
        <f>TEXT(tblData[[#This Row],[Rental Date]],"mmm")</f>
        <v>Oct</v>
      </c>
      <c r="D2716" t="str">
        <f>TEXT(tblData[[#This Row],[Rental Date]],"mmmm")</f>
        <v>October</v>
      </c>
      <c r="E2716" t="s">
        <v>56</v>
      </c>
      <c r="F2716" t="str">
        <f>TEXT(WEEKNUM(tblData[[#This Row],[Rental Date]]),"00")</f>
        <v>41</v>
      </c>
      <c r="G2716" s="1">
        <f>EOMONTH(tblData[[#This Row],[Rental Date]],0)</f>
        <v>46326</v>
      </c>
      <c r="H2716" t="s">
        <v>2441</v>
      </c>
      <c r="I2716" t="s">
        <v>39</v>
      </c>
      <c r="J2716" t="s">
        <v>78</v>
      </c>
      <c r="K2716" t="s">
        <v>92</v>
      </c>
      <c r="L2716">
        <v>1</v>
      </c>
      <c r="M2716" s="2">
        <v>95.04</v>
      </c>
      <c r="N2716" t="s">
        <v>61</v>
      </c>
      <c r="O2716" s="3">
        <v>8</v>
      </c>
      <c r="P2716" s="3">
        <v>0</v>
      </c>
      <c r="Q2716" s="2">
        <v>103.04</v>
      </c>
      <c r="R2716" t="s">
        <v>62</v>
      </c>
      <c r="S2716" t="s">
        <v>35</v>
      </c>
      <c r="T2716" t="s">
        <v>90</v>
      </c>
      <c r="U2716" t="s">
        <v>58</v>
      </c>
    </row>
    <row r="2717" spans="1:21" x14ac:dyDescent="0.35">
      <c r="A2717" t="s">
        <v>2797</v>
      </c>
      <c r="B2717" s="1">
        <v>46305</v>
      </c>
      <c r="C2717" t="str">
        <f>TEXT(tblData[[#This Row],[Rental Date]],"mmm")</f>
        <v>Oct</v>
      </c>
      <c r="D2717" t="str">
        <f>TEXT(tblData[[#This Row],[Rental Date]],"mmmm")</f>
        <v>October</v>
      </c>
      <c r="E2717" t="s">
        <v>56</v>
      </c>
      <c r="F2717" t="str">
        <f>TEXT(WEEKNUM(tblData[[#This Row],[Rental Date]]),"00")</f>
        <v>41</v>
      </c>
      <c r="G2717" s="1">
        <f>EOMONTH(tblData[[#This Row],[Rental Date]],0)</f>
        <v>46326</v>
      </c>
      <c r="H2717" t="s">
        <v>2441</v>
      </c>
      <c r="I2717" t="s">
        <v>48</v>
      </c>
      <c r="J2717" t="s">
        <v>78</v>
      </c>
      <c r="K2717" t="s">
        <v>60</v>
      </c>
      <c r="L2717">
        <v>1</v>
      </c>
      <c r="M2717" s="2">
        <v>28.08</v>
      </c>
      <c r="N2717" t="s">
        <v>26</v>
      </c>
      <c r="O2717" s="3">
        <v>0</v>
      </c>
      <c r="P2717" s="3">
        <v>0</v>
      </c>
      <c r="Q2717" s="2">
        <v>28.08</v>
      </c>
      <c r="R2717" t="s">
        <v>27</v>
      </c>
      <c r="S2717" t="s">
        <v>50</v>
      </c>
      <c r="T2717" t="s">
        <v>51</v>
      </c>
      <c r="U2717" t="s">
        <v>30</v>
      </c>
    </row>
    <row r="2718" spans="1:21" x14ac:dyDescent="0.35">
      <c r="A2718" t="s">
        <v>2798</v>
      </c>
      <c r="B2718" s="1">
        <v>46306</v>
      </c>
      <c r="C2718" t="str">
        <f>TEXT(tblData[[#This Row],[Rental Date]],"mmm")</f>
        <v>Oct</v>
      </c>
      <c r="D2718" t="str">
        <f>TEXT(tblData[[#This Row],[Rental Date]],"mmmm")</f>
        <v>October</v>
      </c>
      <c r="E2718" t="s">
        <v>68</v>
      </c>
      <c r="F2718" t="str">
        <f>TEXT(WEEKNUM(tblData[[#This Row],[Rental Date]]),"00")</f>
        <v>42</v>
      </c>
      <c r="G2718" s="1">
        <f>EOMONTH(tblData[[#This Row],[Rental Date]],0)</f>
        <v>46326</v>
      </c>
      <c r="H2718" t="s">
        <v>2441</v>
      </c>
      <c r="I2718" t="s">
        <v>23</v>
      </c>
      <c r="J2718" t="s">
        <v>49</v>
      </c>
      <c r="K2718" t="s">
        <v>60</v>
      </c>
      <c r="L2718">
        <v>1</v>
      </c>
      <c r="M2718" s="2">
        <v>23.76</v>
      </c>
      <c r="N2718" t="s">
        <v>87</v>
      </c>
      <c r="O2718" s="3">
        <v>10</v>
      </c>
      <c r="P2718" s="3">
        <v>0</v>
      </c>
      <c r="Q2718" s="2">
        <v>33.76</v>
      </c>
      <c r="R2718" t="s">
        <v>94</v>
      </c>
      <c r="S2718" t="s">
        <v>46</v>
      </c>
      <c r="T2718" t="s">
        <v>51</v>
      </c>
      <c r="U2718" t="s">
        <v>30</v>
      </c>
    </row>
    <row r="2719" spans="1:21" x14ac:dyDescent="0.35">
      <c r="A2719" t="s">
        <v>2799</v>
      </c>
      <c r="B2719" s="1">
        <v>46306</v>
      </c>
      <c r="C2719" t="str">
        <f>TEXT(tblData[[#This Row],[Rental Date]],"mmm")</f>
        <v>Oct</v>
      </c>
      <c r="D2719" t="str">
        <f>TEXT(tblData[[#This Row],[Rental Date]],"mmmm")</f>
        <v>October</v>
      </c>
      <c r="E2719" t="s">
        <v>68</v>
      </c>
      <c r="F2719" t="str">
        <f>TEXT(WEEKNUM(tblData[[#This Row],[Rental Date]]),"00")</f>
        <v>42</v>
      </c>
      <c r="G2719" s="1">
        <f>EOMONTH(tblData[[#This Row],[Rental Date]],0)</f>
        <v>46326</v>
      </c>
      <c r="H2719" t="s">
        <v>2441</v>
      </c>
      <c r="I2719" t="s">
        <v>39</v>
      </c>
      <c r="J2719" t="s">
        <v>127</v>
      </c>
      <c r="K2719" t="s">
        <v>25</v>
      </c>
      <c r="L2719">
        <v>1</v>
      </c>
      <c r="M2719" s="2">
        <v>17.28</v>
      </c>
      <c r="N2719" t="s">
        <v>26</v>
      </c>
      <c r="O2719" s="3">
        <v>0</v>
      </c>
      <c r="P2719" s="3">
        <v>0</v>
      </c>
      <c r="Q2719" s="2">
        <v>17.28</v>
      </c>
      <c r="R2719" t="s">
        <v>76</v>
      </c>
      <c r="S2719" t="s">
        <v>54</v>
      </c>
      <c r="T2719" t="s">
        <v>90</v>
      </c>
      <c r="U2719" t="s">
        <v>30</v>
      </c>
    </row>
    <row r="2720" spans="1:21" x14ac:dyDescent="0.35">
      <c r="A2720" t="s">
        <v>2800</v>
      </c>
      <c r="B2720" s="1">
        <v>46306</v>
      </c>
      <c r="C2720" t="str">
        <f>TEXT(tblData[[#This Row],[Rental Date]],"mmm")</f>
        <v>Oct</v>
      </c>
      <c r="D2720" t="str">
        <f>TEXT(tblData[[#This Row],[Rental Date]],"mmmm")</f>
        <v>October</v>
      </c>
      <c r="E2720" t="s">
        <v>68</v>
      </c>
      <c r="F2720" t="str">
        <f>TEXT(WEEKNUM(tblData[[#This Row],[Rental Date]]),"00")</f>
        <v>42</v>
      </c>
      <c r="G2720" s="1">
        <f>EOMONTH(tblData[[#This Row],[Rental Date]],0)</f>
        <v>46326</v>
      </c>
      <c r="H2720" t="s">
        <v>2441</v>
      </c>
      <c r="I2720" t="s">
        <v>39</v>
      </c>
      <c r="J2720" t="s">
        <v>78</v>
      </c>
      <c r="K2720" t="s">
        <v>60</v>
      </c>
      <c r="L2720">
        <v>1</v>
      </c>
      <c r="M2720" s="2">
        <v>28.08</v>
      </c>
      <c r="N2720" t="s">
        <v>26</v>
      </c>
      <c r="O2720" s="3">
        <v>0</v>
      </c>
      <c r="P2720" s="3">
        <v>0</v>
      </c>
      <c r="Q2720" s="2">
        <v>28.08</v>
      </c>
      <c r="R2720" t="s">
        <v>34</v>
      </c>
      <c r="S2720" t="s">
        <v>46</v>
      </c>
      <c r="T2720" t="s">
        <v>29</v>
      </c>
      <c r="U2720" t="s">
        <v>30</v>
      </c>
    </row>
    <row r="2721" spans="1:21" x14ac:dyDescent="0.35">
      <c r="A2721" t="s">
        <v>2801</v>
      </c>
      <c r="B2721" s="1">
        <v>46306</v>
      </c>
      <c r="C2721" t="str">
        <f>TEXT(tblData[[#This Row],[Rental Date]],"mmm")</f>
        <v>Oct</v>
      </c>
      <c r="D2721" t="str">
        <f>TEXT(tblData[[#This Row],[Rental Date]],"mmmm")</f>
        <v>October</v>
      </c>
      <c r="E2721" t="s">
        <v>68</v>
      </c>
      <c r="F2721" t="str">
        <f>TEXT(WEEKNUM(tblData[[#This Row],[Rental Date]]),"00")</f>
        <v>42</v>
      </c>
      <c r="G2721" s="1">
        <f>EOMONTH(tblData[[#This Row],[Rental Date]],0)</f>
        <v>46326</v>
      </c>
      <c r="H2721" t="s">
        <v>2441</v>
      </c>
      <c r="I2721" t="s">
        <v>48</v>
      </c>
      <c r="J2721" t="s">
        <v>33</v>
      </c>
      <c r="K2721" t="s">
        <v>25</v>
      </c>
      <c r="L2721">
        <v>1</v>
      </c>
      <c r="M2721" s="2">
        <v>41.04</v>
      </c>
      <c r="N2721" t="s">
        <v>89</v>
      </c>
      <c r="O2721" s="3">
        <v>6</v>
      </c>
      <c r="P2721" s="3">
        <v>0</v>
      </c>
      <c r="Q2721" s="2">
        <v>47.04</v>
      </c>
      <c r="R2721" t="s">
        <v>76</v>
      </c>
      <c r="S2721" t="s">
        <v>50</v>
      </c>
      <c r="T2721" t="s">
        <v>29</v>
      </c>
      <c r="U2721" t="s">
        <v>58</v>
      </c>
    </row>
    <row r="2722" spans="1:21" x14ac:dyDescent="0.35">
      <c r="A2722" t="s">
        <v>2802</v>
      </c>
      <c r="B2722" s="1">
        <v>46306</v>
      </c>
      <c r="C2722" t="str">
        <f>TEXT(tblData[[#This Row],[Rental Date]],"mmm")</f>
        <v>Oct</v>
      </c>
      <c r="D2722" t="str">
        <f>TEXT(tblData[[#This Row],[Rental Date]],"mmmm")</f>
        <v>October</v>
      </c>
      <c r="E2722" t="s">
        <v>68</v>
      </c>
      <c r="F2722" t="str">
        <f>TEXT(WEEKNUM(tblData[[#This Row],[Rental Date]]),"00")</f>
        <v>42</v>
      </c>
      <c r="G2722" s="1">
        <f>EOMONTH(tblData[[#This Row],[Rental Date]],0)</f>
        <v>46326</v>
      </c>
      <c r="H2722" t="s">
        <v>2441</v>
      </c>
      <c r="I2722" t="s">
        <v>39</v>
      </c>
      <c r="J2722" t="s">
        <v>86</v>
      </c>
      <c r="K2722" t="s">
        <v>25</v>
      </c>
      <c r="L2722">
        <v>1</v>
      </c>
      <c r="M2722" s="2">
        <v>62.64</v>
      </c>
      <c r="N2722" t="s">
        <v>26</v>
      </c>
      <c r="O2722" s="3">
        <v>0</v>
      </c>
      <c r="P2722" s="3">
        <v>0</v>
      </c>
      <c r="Q2722" s="2">
        <v>62.64</v>
      </c>
      <c r="R2722" t="s">
        <v>45</v>
      </c>
      <c r="S2722" t="s">
        <v>54</v>
      </c>
      <c r="T2722" t="s">
        <v>51</v>
      </c>
      <c r="U2722" t="s">
        <v>58</v>
      </c>
    </row>
    <row r="2723" spans="1:21" x14ac:dyDescent="0.35">
      <c r="A2723" t="s">
        <v>2803</v>
      </c>
      <c r="B2723" s="1">
        <v>46307</v>
      </c>
      <c r="C2723" t="str">
        <f>TEXT(tblData[[#This Row],[Rental Date]],"mmm")</f>
        <v>Oct</v>
      </c>
      <c r="D2723" t="str">
        <f>TEXT(tblData[[#This Row],[Rental Date]],"mmmm")</f>
        <v>October</v>
      </c>
      <c r="E2723" t="s">
        <v>74</v>
      </c>
      <c r="F2723" t="str">
        <f>TEXT(WEEKNUM(tblData[[#This Row],[Rental Date]]),"00")</f>
        <v>42</v>
      </c>
      <c r="G2723" s="1">
        <f>EOMONTH(tblData[[#This Row],[Rental Date]],0)</f>
        <v>46326</v>
      </c>
      <c r="H2723" t="s">
        <v>2441</v>
      </c>
      <c r="I2723" t="s">
        <v>39</v>
      </c>
      <c r="J2723" t="s">
        <v>65</v>
      </c>
      <c r="K2723" t="s">
        <v>60</v>
      </c>
      <c r="L2723">
        <v>1</v>
      </c>
      <c r="M2723" s="2">
        <v>12</v>
      </c>
      <c r="N2723" t="s">
        <v>26</v>
      </c>
      <c r="O2723" s="3">
        <v>0</v>
      </c>
      <c r="P2723" s="3">
        <v>0</v>
      </c>
      <c r="Q2723" s="2">
        <v>12</v>
      </c>
      <c r="R2723" t="s">
        <v>42</v>
      </c>
      <c r="S2723" t="s">
        <v>50</v>
      </c>
      <c r="T2723" t="s">
        <v>63</v>
      </c>
      <c r="U2723" t="s">
        <v>58</v>
      </c>
    </row>
    <row r="2724" spans="1:21" x14ac:dyDescent="0.35">
      <c r="A2724" t="s">
        <v>2804</v>
      </c>
      <c r="B2724" s="1">
        <v>46307</v>
      </c>
      <c r="C2724" t="str">
        <f>TEXT(tblData[[#This Row],[Rental Date]],"mmm")</f>
        <v>Oct</v>
      </c>
      <c r="D2724" t="str">
        <f>TEXT(tblData[[#This Row],[Rental Date]],"mmmm")</f>
        <v>October</v>
      </c>
      <c r="E2724" t="s">
        <v>74</v>
      </c>
      <c r="F2724" t="str">
        <f>TEXT(WEEKNUM(tblData[[#This Row],[Rental Date]]),"00")</f>
        <v>42</v>
      </c>
      <c r="G2724" s="1">
        <f>EOMONTH(tblData[[#This Row],[Rental Date]],0)</f>
        <v>46326</v>
      </c>
      <c r="H2724" t="s">
        <v>2441</v>
      </c>
      <c r="I2724" t="s">
        <v>39</v>
      </c>
      <c r="J2724" t="s">
        <v>127</v>
      </c>
      <c r="K2724" t="s">
        <v>25</v>
      </c>
      <c r="L2724">
        <v>1</v>
      </c>
      <c r="M2724" s="2">
        <v>16</v>
      </c>
      <c r="N2724" t="s">
        <v>26</v>
      </c>
      <c r="O2724" s="3">
        <v>0</v>
      </c>
      <c r="P2724" s="3">
        <v>0</v>
      </c>
      <c r="Q2724" s="2">
        <v>16</v>
      </c>
      <c r="R2724" t="s">
        <v>34</v>
      </c>
      <c r="S2724" t="s">
        <v>54</v>
      </c>
      <c r="T2724" t="s">
        <v>51</v>
      </c>
      <c r="U2724" t="s">
        <v>30</v>
      </c>
    </row>
    <row r="2725" spans="1:21" x14ac:dyDescent="0.35">
      <c r="A2725" t="s">
        <v>2805</v>
      </c>
      <c r="B2725" s="1">
        <v>46307</v>
      </c>
      <c r="C2725" t="str">
        <f>TEXT(tblData[[#This Row],[Rental Date]],"mmm")</f>
        <v>Oct</v>
      </c>
      <c r="D2725" t="str">
        <f>TEXT(tblData[[#This Row],[Rental Date]],"mmmm")</f>
        <v>October</v>
      </c>
      <c r="E2725" t="s">
        <v>74</v>
      </c>
      <c r="F2725" t="str">
        <f>TEXT(WEEKNUM(tblData[[#This Row],[Rental Date]]),"00")</f>
        <v>42</v>
      </c>
      <c r="G2725" s="1">
        <f>EOMONTH(tblData[[#This Row],[Rental Date]],0)</f>
        <v>46326</v>
      </c>
      <c r="H2725" t="s">
        <v>2441</v>
      </c>
      <c r="I2725" t="s">
        <v>48</v>
      </c>
      <c r="J2725" t="s">
        <v>78</v>
      </c>
      <c r="K2725" t="s">
        <v>60</v>
      </c>
      <c r="L2725">
        <v>1</v>
      </c>
      <c r="M2725" s="2">
        <v>26</v>
      </c>
      <c r="N2725" t="s">
        <v>26</v>
      </c>
      <c r="O2725" s="3">
        <v>0</v>
      </c>
      <c r="P2725" s="3">
        <v>0</v>
      </c>
      <c r="Q2725" s="2">
        <v>26</v>
      </c>
      <c r="R2725" t="s">
        <v>76</v>
      </c>
      <c r="S2725" t="s">
        <v>54</v>
      </c>
      <c r="T2725" t="s">
        <v>29</v>
      </c>
      <c r="U2725" t="s">
        <v>79</v>
      </c>
    </row>
    <row r="2726" spans="1:21" x14ac:dyDescent="0.35">
      <c r="A2726" t="s">
        <v>2806</v>
      </c>
      <c r="B2726" s="1">
        <v>46307</v>
      </c>
      <c r="C2726" t="str">
        <f>TEXT(tblData[[#This Row],[Rental Date]],"mmm")</f>
        <v>Oct</v>
      </c>
      <c r="D2726" t="str">
        <f>TEXT(tblData[[#This Row],[Rental Date]],"mmmm")</f>
        <v>October</v>
      </c>
      <c r="E2726" t="s">
        <v>74</v>
      </c>
      <c r="F2726" t="str">
        <f>TEXT(WEEKNUM(tblData[[#This Row],[Rental Date]]),"00")</f>
        <v>42</v>
      </c>
      <c r="G2726" s="1">
        <f>EOMONTH(tblData[[#This Row],[Rental Date]],0)</f>
        <v>46326</v>
      </c>
      <c r="H2726" t="s">
        <v>2441</v>
      </c>
      <c r="I2726" t="s">
        <v>48</v>
      </c>
      <c r="J2726" t="s">
        <v>78</v>
      </c>
      <c r="K2726" t="s">
        <v>25</v>
      </c>
      <c r="L2726">
        <v>1</v>
      </c>
      <c r="M2726" s="2">
        <v>42</v>
      </c>
      <c r="N2726" t="s">
        <v>26</v>
      </c>
      <c r="O2726" s="3">
        <v>0</v>
      </c>
      <c r="P2726" s="3">
        <v>0</v>
      </c>
      <c r="Q2726" s="2">
        <v>42</v>
      </c>
      <c r="R2726" t="s">
        <v>62</v>
      </c>
      <c r="S2726" t="s">
        <v>50</v>
      </c>
      <c r="T2726" t="s">
        <v>63</v>
      </c>
      <c r="U2726" t="s">
        <v>79</v>
      </c>
    </row>
    <row r="2727" spans="1:21" x14ac:dyDescent="0.35">
      <c r="A2727" t="s">
        <v>2807</v>
      </c>
      <c r="B2727" s="1">
        <v>46307</v>
      </c>
      <c r="C2727" t="str">
        <f>TEXT(tblData[[#This Row],[Rental Date]],"mmm")</f>
        <v>Oct</v>
      </c>
      <c r="D2727" t="str">
        <f>TEXT(tblData[[#This Row],[Rental Date]],"mmmm")</f>
        <v>October</v>
      </c>
      <c r="E2727" t="s">
        <v>74</v>
      </c>
      <c r="F2727" t="str">
        <f>TEXT(WEEKNUM(tblData[[#This Row],[Rental Date]]),"00")</f>
        <v>42</v>
      </c>
      <c r="G2727" s="1">
        <f>EOMONTH(tblData[[#This Row],[Rental Date]],0)</f>
        <v>46326</v>
      </c>
      <c r="H2727" t="s">
        <v>2441</v>
      </c>
      <c r="I2727" t="s">
        <v>32</v>
      </c>
      <c r="J2727" t="s">
        <v>44</v>
      </c>
      <c r="K2727" t="s">
        <v>60</v>
      </c>
      <c r="L2727">
        <v>1</v>
      </c>
      <c r="M2727" s="2">
        <v>34</v>
      </c>
      <c r="N2727" t="s">
        <v>26</v>
      </c>
      <c r="O2727" s="3">
        <v>0</v>
      </c>
      <c r="P2727" s="3">
        <v>0</v>
      </c>
      <c r="Q2727" s="2">
        <v>34</v>
      </c>
      <c r="R2727" t="s">
        <v>66</v>
      </c>
      <c r="S2727" t="s">
        <v>54</v>
      </c>
      <c r="T2727" t="s">
        <v>29</v>
      </c>
      <c r="U2727" t="s">
        <v>79</v>
      </c>
    </row>
    <row r="2728" spans="1:21" x14ac:dyDescent="0.35">
      <c r="A2728" t="s">
        <v>2808</v>
      </c>
      <c r="B2728" s="1">
        <v>46307</v>
      </c>
      <c r="C2728" t="str">
        <f>TEXT(tblData[[#This Row],[Rental Date]],"mmm")</f>
        <v>Oct</v>
      </c>
      <c r="D2728" t="str">
        <f>TEXT(tblData[[#This Row],[Rental Date]],"mmmm")</f>
        <v>October</v>
      </c>
      <c r="E2728" t="s">
        <v>74</v>
      </c>
      <c r="F2728" t="str">
        <f>TEXT(WEEKNUM(tblData[[#This Row],[Rental Date]]),"00")</f>
        <v>42</v>
      </c>
      <c r="G2728" s="1">
        <f>EOMONTH(tblData[[#This Row],[Rental Date]],0)</f>
        <v>46326</v>
      </c>
      <c r="H2728" t="s">
        <v>2441</v>
      </c>
      <c r="I2728" t="s">
        <v>48</v>
      </c>
      <c r="J2728" t="s">
        <v>33</v>
      </c>
      <c r="K2728" t="s">
        <v>60</v>
      </c>
      <c r="L2728">
        <v>1</v>
      </c>
      <c r="M2728" s="2">
        <v>24</v>
      </c>
      <c r="N2728" t="s">
        <v>87</v>
      </c>
      <c r="O2728" s="3">
        <v>10</v>
      </c>
      <c r="P2728" s="3">
        <v>0</v>
      </c>
      <c r="Q2728" s="2">
        <v>34</v>
      </c>
      <c r="R2728" t="s">
        <v>45</v>
      </c>
      <c r="S2728" t="s">
        <v>46</v>
      </c>
      <c r="T2728" t="s">
        <v>29</v>
      </c>
      <c r="U2728" t="s">
        <v>30</v>
      </c>
    </row>
    <row r="2729" spans="1:21" x14ac:dyDescent="0.35">
      <c r="A2729" t="s">
        <v>2809</v>
      </c>
      <c r="B2729" s="1">
        <v>46308</v>
      </c>
      <c r="C2729" t="str">
        <f>TEXT(tblData[[#This Row],[Rental Date]],"mmm")</f>
        <v>Oct</v>
      </c>
      <c r="D2729" t="str">
        <f>TEXT(tblData[[#This Row],[Rental Date]],"mmmm")</f>
        <v>October</v>
      </c>
      <c r="E2729" t="s">
        <v>102</v>
      </c>
      <c r="F2729" t="str">
        <f>TEXT(WEEKNUM(tblData[[#This Row],[Rental Date]]),"00")</f>
        <v>42</v>
      </c>
      <c r="G2729" s="1">
        <f>EOMONTH(tblData[[#This Row],[Rental Date]],0)</f>
        <v>46326</v>
      </c>
      <c r="H2729" t="s">
        <v>2441</v>
      </c>
      <c r="I2729" t="s">
        <v>48</v>
      </c>
      <c r="J2729" t="s">
        <v>78</v>
      </c>
      <c r="K2729" t="s">
        <v>40</v>
      </c>
      <c r="L2729">
        <v>1</v>
      </c>
      <c r="M2729" s="2">
        <v>62</v>
      </c>
      <c r="N2729" t="s">
        <v>26</v>
      </c>
      <c r="O2729" s="3">
        <v>0</v>
      </c>
      <c r="P2729" s="3">
        <v>0</v>
      </c>
      <c r="Q2729" s="2">
        <v>62</v>
      </c>
      <c r="R2729" t="s">
        <v>76</v>
      </c>
      <c r="S2729" t="s">
        <v>54</v>
      </c>
      <c r="T2729" t="s">
        <v>29</v>
      </c>
      <c r="U2729" t="s">
        <v>58</v>
      </c>
    </row>
    <row r="2730" spans="1:21" x14ac:dyDescent="0.35">
      <c r="A2730" t="s">
        <v>2810</v>
      </c>
      <c r="B2730" s="1">
        <v>46308</v>
      </c>
      <c r="C2730" t="str">
        <f>TEXT(tblData[[#This Row],[Rental Date]],"mmm")</f>
        <v>Oct</v>
      </c>
      <c r="D2730" t="str">
        <f>TEXT(tblData[[#This Row],[Rental Date]],"mmmm")</f>
        <v>October</v>
      </c>
      <c r="E2730" t="s">
        <v>102</v>
      </c>
      <c r="F2730" t="str">
        <f>TEXT(WEEKNUM(tblData[[#This Row],[Rental Date]]),"00")</f>
        <v>42</v>
      </c>
      <c r="G2730" s="1">
        <f>EOMONTH(tblData[[#This Row],[Rental Date]],0)</f>
        <v>46326</v>
      </c>
      <c r="H2730" t="s">
        <v>2441</v>
      </c>
      <c r="I2730" t="s">
        <v>48</v>
      </c>
      <c r="J2730" t="s">
        <v>86</v>
      </c>
      <c r="K2730" t="s">
        <v>60</v>
      </c>
      <c r="L2730">
        <v>1</v>
      </c>
      <c r="M2730" s="2">
        <v>36</v>
      </c>
      <c r="N2730" t="s">
        <v>89</v>
      </c>
      <c r="O2730" s="3">
        <v>6</v>
      </c>
      <c r="P2730" s="3">
        <v>0</v>
      </c>
      <c r="Q2730" s="2">
        <v>42</v>
      </c>
      <c r="R2730" t="s">
        <v>27</v>
      </c>
      <c r="S2730" t="s">
        <v>46</v>
      </c>
      <c r="T2730" t="s">
        <v>29</v>
      </c>
      <c r="U2730" t="s">
        <v>30</v>
      </c>
    </row>
    <row r="2731" spans="1:21" x14ac:dyDescent="0.35">
      <c r="A2731" t="s">
        <v>2811</v>
      </c>
      <c r="B2731" s="1">
        <v>46308</v>
      </c>
      <c r="C2731" t="str">
        <f>TEXT(tblData[[#This Row],[Rental Date]],"mmm")</f>
        <v>Oct</v>
      </c>
      <c r="D2731" t="str">
        <f>TEXT(tblData[[#This Row],[Rental Date]],"mmmm")</f>
        <v>October</v>
      </c>
      <c r="E2731" t="s">
        <v>102</v>
      </c>
      <c r="F2731" t="str">
        <f>TEXT(WEEKNUM(tblData[[#This Row],[Rental Date]]),"00")</f>
        <v>42</v>
      </c>
      <c r="G2731" s="1">
        <f>EOMONTH(tblData[[#This Row],[Rental Date]],0)</f>
        <v>46326</v>
      </c>
      <c r="H2731" t="s">
        <v>2441</v>
      </c>
      <c r="I2731" t="s">
        <v>48</v>
      </c>
      <c r="J2731" t="s">
        <v>127</v>
      </c>
      <c r="K2731" t="s">
        <v>92</v>
      </c>
      <c r="L2731">
        <v>1</v>
      </c>
      <c r="M2731" s="2">
        <v>34</v>
      </c>
      <c r="N2731" t="s">
        <v>26</v>
      </c>
      <c r="O2731" s="3">
        <v>0</v>
      </c>
      <c r="P2731" s="3">
        <v>0</v>
      </c>
      <c r="Q2731" s="2">
        <v>34</v>
      </c>
      <c r="R2731" t="s">
        <v>66</v>
      </c>
      <c r="S2731" t="s">
        <v>28</v>
      </c>
      <c r="T2731" t="s">
        <v>51</v>
      </c>
      <c r="U2731" t="s">
        <v>30</v>
      </c>
    </row>
    <row r="2732" spans="1:21" x14ac:dyDescent="0.35">
      <c r="A2732" t="s">
        <v>2812</v>
      </c>
      <c r="B2732" s="1">
        <v>46308</v>
      </c>
      <c r="C2732" t="str">
        <f>TEXT(tblData[[#This Row],[Rental Date]],"mmm")</f>
        <v>Oct</v>
      </c>
      <c r="D2732" t="str">
        <f>TEXT(tblData[[#This Row],[Rental Date]],"mmmm")</f>
        <v>October</v>
      </c>
      <c r="E2732" t="s">
        <v>102</v>
      </c>
      <c r="F2732" t="str">
        <f>TEXT(WEEKNUM(tblData[[#This Row],[Rental Date]]),"00")</f>
        <v>42</v>
      </c>
      <c r="G2732" s="1">
        <f>EOMONTH(tblData[[#This Row],[Rental Date]],0)</f>
        <v>46326</v>
      </c>
      <c r="H2732" t="s">
        <v>2441</v>
      </c>
      <c r="I2732" t="s">
        <v>39</v>
      </c>
      <c r="J2732" t="s">
        <v>127</v>
      </c>
      <c r="K2732" t="s">
        <v>40</v>
      </c>
      <c r="L2732">
        <v>1</v>
      </c>
      <c r="M2732" s="2">
        <v>24</v>
      </c>
      <c r="N2732" t="s">
        <v>89</v>
      </c>
      <c r="O2732" s="3">
        <v>6</v>
      </c>
      <c r="P2732" s="3">
        <v>0</v>
      </c>
      <c r="Q2732" s="2">
        <v>30</v>
      </c>
      <c r="R2732" t="s">
        <v>57</v>
      </c>
      <c r="S2732" t="s">
        <v>54</v>
      </c>
      <c r="T2732" t="s">
        <v>29</v>
      </c>
      <c r="U2732" t="s">
        <v>30</v>
      </c>
    </row>
    <row r="2733" spans="1:21" x14ac:dyDescent="0.35">
      <c r="A2733" t="s">
        <v>2813</v>
      </c>
      <c r="B2733" s="1">
        <v>46308</v>
      </c>
      <c r="C2733" t="str">
        <f>TEXT(tblData[[#This Row],[Rental Date]],"mmm")</f>
        <v>Oct</v>
      </c>
      <c r="D2733" t="str">
        <f>TEXT(tblData[[#This Row],[Rental Date]],"mmmm")</f>
        <v>October</v>
      </c>
      <c r="E2733" t="s">
        <v>102</v>
      </c>
      <c r="F2733" t="str">
        <f>TEXT(WEEKNUM(tblData[[#This Row],[Rental Date]]),"00")</f>
        <v>42</v>
      </c>
      <c r="G2733" s="1">
        <f>EOMONTH(tblData[[#This Row],[Rental Date]],0)</f>
        <v>46326</v>
      </c>
      <c r="H2733" t="s">
        <v>2441</v>
      </c>
      <c r="I2733" t="s">
        <v>48</v>
      </c>
      <c r="J2733" t="s">
        <v>49</v>
      </c>
      <c r="K2733" t="s">
        <v>25</v>
      </c>
      <c r="L2733">
        <v>1</v>
      </c>
      <c r="M2733" s="2">
        <v>36</v>
      </c>
      <c r="N2733" t="s">
        <v>26</v>
      </c>
      <c r="O2733" s="3">
        <v>0</v>
      </c>
      <c r="P2733" s="3">
        <v>0</v>
      </c>
      <c r="Q2733" s="2">
        <v>36</v>
      </c>
      <c r="R2733" t="s">
        <v>57</v>
      </c>
      <c r="S2733" t="s">
        <v>28</v>
      </c>
      <c r="T2733" t="s">
        <v>29</v>
      </c>
      <c r="U2733" t="s">
        <v>30</v>
      </c>
    </row>
    <row r="2734" spans="1:21" x14ac:dyDescent="0.35">
      <c r="A2734" t="s">
        <v>2814</v>
      </c>
      <c r="B2734" s="1">
        <v>46309</v>
      </c>
      <c r="C2734" t="str">
        <f>TEXT(tblData[[#This Row],[Rental Date]],"mmm")</f>
        <v>Oct</v>
      </c>
      <c r="D2734" t="str">
        <f>TEXT(tblData[[#This Row],[Rental Date]],"mmmm")</f>
        <v>October</v>
      </c>
      <c r="E2734" t="s">
        <v>109</v>
      </c>
      <c r="F2734" t="str">
        <f>TEXT(WEEKNUM(tblData[[#This Row],[Rental Date]]),"00")</f>
        <v>42</v>
      </c>
      <c r="G2734" s="1">
        <f>EOMONTH(tblData[[#This Row],[Rental Date]],0)</f>
        <v>46326</v>
      </c>
      <c r="H2734" t="s">
        <v>2441</v>
      </c>
      <c r="I2734" t="s">
        <v>39</v>
      </c>
      <c r="J2734" t="s">
        <v>111</v>
      </c>
      <c r="K2734" t="s">
        <v>60</v>
      </c>
      <c r="L2734">
        <v>1</v>
      </c>
      <c r="M2734" s="2">
        <v>14</v>
      </c>
      <c r="N2734" t="s">
        <v>26</v>
      </c>
      <c r="O2734" s="3">
        <v>0</v>
      </c>
      <c r="P2734" s="3">
        <v>0</v>
      </c>
      <c r="Q2734" s="2">
        <v>14</v>
      </c>
      <c r="R2734" t="s">
        <v>34</v>
      </c>
      <c r="S2734" t="s">
        <v>50</v>
      </c>
      <c r="T2734" t="s">
        <v>90</v>
      </c>
      <c r="U2734" t="s">
        <v>36</v>
      </c>
    </row>
    <row r="2735" spans="1:21" x14ac:dyDescent="0.35">
      <c r="A2735" t="s">
        <v>2815</v>
      </c>
      <c r="B2735" s="1">
        <v>46309</v>
      </c>
      <c r="C2735" t="str">
        <f>TEXT(tblData[[#This Row],[Rental Date]],"mmm")</f>
        <v>Oct</v>
      </c>
      <c r="D2735" t="str">
        <f>TEXT(tblData[[#This Row],[Rental Date]],"mmmm")</f>
        <v>October</v>
      </c>
      <c r="E2735" t="s">
        <v>109</v>
      </c>
      <c r="F2735" t="str">
        <f>TEXT(WEEKNUM(tblData[[#This Row],[Rental Date]]),"00")</f>
        <v>42</v>
      </c>
      <c r="G2735" s="1">
        <f>EOMONTH(tblData[[#This Row],[Rental Date]],0)</f>
        <v>46326</v>
      </c>
      <c r="H2735" t="s">
        <v>2441</v>
      </c>
      <c r="I2735" t="s">
        <v>48</v>
      </c>
      <c r="J2735" t="s">
        <v>78</v>
      </c>
      <c r="K2735" t="s">
        <v>92</v>
      </c>
      <c r="L2735">
        <v>1</v>
      </c>
      <c r="M2735" s="2">
        <v>88</v>
      </c>
      <c r="N2735" t="s">
        <v>26</v>
      </c>
      <c r="O2735" s="3">
        <v>0</v>
      </c>
      <c r="P2735" s="3">
        <v>0</v>
      </c>
      <c r="Q2735" s="2">
        <v>88</v>
      </c>
      <c r="R2735" t="s">
        <v>66</v>
      </c>
      <c r="S2735" t="s">
        <v>54</v>
      </c>
      <c r="T2735" t="s">
        <v>29</v>
      </c>
      <c r="U2735" t="s">
        <v>30</v>
      </c>
    </row>
    <row r="2736" spans="1:21" x14ac:dyDescent="0.35">
      <c r="A2736" t="s">
        <v>2816</v>
      </c>
      <c r="B2736" s="1">
        <v>46309</v>
      </c>
      <c r="C2736" t="str">
        <f>TEXT(tblData[[#This Row],[Rental Date]],"mmm")</f>
        <v>Oct</v>
      </c>
      <c r="D2736" t="str">
        <f>TEXT(tblData[[#This Row],[Rental Date]],"mmmm")</f>
        <v>October</v>
      </c>
      <c r="E2736" t="s">
        <v>109</v>
      </c>
      <c r="F2736" t="str">
        <f>TEXT(WEEKNUM(tblData[[#This Row],[Rental Date]]),"00")</f>
        <v>42</v>
      </c>
      <c r="G2736" s="1">
        <f>EOMONTH(tblData[[#This Row],[Rental Date]],0)</f>
        <v>46326</v>
      </c>
      <c r="H2736" t="s">
        <v>2441</v>
      </c>
      <c r="I2736" t="s">
        <v>39</v>
      </c>
      <c r="J2736" t="s">
        <v>65</v>
      </c>
      <c r="K2736" t="s">
        <v>60</v>
      </c>
      <c r="L2736">
        <v>1</v>
      </c>
      <c r="M2736" s="2">
        <v>12</v>
      </c>
      <c r="N2736" t="s">
        <v>41</v>
      </c>
      <c r="O2736" s="3">
        <v>5</v>
      </c>
      <c r="P2736" s="3">
        <v>0</v>
      </c>
      <c r="Q2736" s="2">
        <v>17</v>
      </c>
      <c r="R2736" t="s">
        <v>42</v>
      </c>
      <c r="S2736" t="s">
        <v>54</v>
      </c>
      <c r="T2736" t="s">
        <v>29</v>
      </c>
      <c r="U2736" t="s">
        <v>30</v>
      </c>
    </row>
    <row r="2737" spans="1:21" x14ac:dyDescent="0.35">
      <c r="A2737" t="s">
        <v>2817</v>
      </c>
      <c r="B2737" s="1">
        <v>46310</v>
      </c>
      <c r="C2737" t="str">
        <f>TEXT(tblData[[#This Row],[Rental Date]],"mmm")</f>
        <v>Oct</v>
      </c>
      <c r="D2737" t="str">
        <f>TEXT(tblData[[#This Row],[Rental Date]],"mmmm")</f>
        <v>October</v>
      </c>
      <c r="E2737" t="s">
        <v>21</v>
      </c>
      <c r="F2737" t="str">
        <f>TEXT(WEEKNUM(tblData[[#This Row],[Rental Date]]),"00")</f>
        <v>42</v>
      </c>
      <c r="G2737" s="1">
        <f>EOMONTH(tblData[[#This Row],[Rental Date]],0)</f>
        <v>46326</v>
      </c>
      <c r="H2737" t="s">
        <v>2441</v>
      </c>
      <c r="I2737" t="s">
        <v>39</v>
      </c>
      <c r="J2737" t="s">
        <v>78</v>
      </c>
      <c r="K2737" t="s">
        <v>60</v>
      </c>
      <c r="L2737">
        <v>1</v>
      </c>
      <c r="M2737" s="2">
        <v>26</v>
      </c>
      <c r="N2737" t="s">
        <v>26</v>
      </c>
      <c r="O2737" s="3">
        <v>0</v>
      </c>
      <c r="P2737" s="3">
        <v>0</v>
      </c>
      <c r="Q2737" s="2">
        <v>26</v>
      </c>
      <c r="R2737" t="s">
        <v>62</v>
      </c>
      <c r="S2737" t="s">
        <v>46</v>
      </c>
      <c r="T2737" t="s">
        <v>90</v>
      </c>
      <c r="U2737" t="s">
        <v>30</v>
      </c>
    </row>
    <row r="2738" spans="1:21" x14ac:dyDescent="0.35">
      <c r="A2738" t="s">
        <v>2818</v>
      </c>
      <c r="B2738" s="1">
        <v>46310</v>
      </c>
      <c r="C2738" t="str">
        <f>TEXT(tblData[[#This Row],[Rental Date]],"mmm")</f>
        <v>Oct</v>
      </c>
      <c r="D2738" t="str">
        <f>TEXT(tblData[[#This Row],[Rental Date]],"mmmm")</f>
        <v>October</v>
      </c>
      <c r="E2738" t="s">
        <v>21</v>
      </c>
      <c r="F2738" t="str">
        <f>TEXT(WEEKNUM(tblData[[#This Row],[Rental Date]]),"00")</f>
        <v>42</v>
      </c>
      <c r="G2738" s="1">
        <f>EOMONTH(tblData[[#This Row],[Rental Date]],0)</f>
        <v>46326</v>
      </c>
      <c r="H2738" t="s">
        <v>2441</v>
      </c>
      <c r="I2738" t="s">
        <v>39</v>
      </c>
      <c r="J2738" t="s">
        <v>78</v>
      </c>
      <c r="K2738" t="s">
        <v>40</v>
      </c>
      <c r="L2738">
        <v>1</v>
      </c>
      <c r="M2738" s="2">
        <v>62</v>
      </c>
      <c r="N2738" t="s">
        <v>87</v>
      </c>
      <c r="O2738" s="3">
        <v>10</v>
      </c>
      <c r="P2738" s="3">
        <v>0</v>
      </c>
      <c r="Q2738" s="2">
        <v>72</v>
      </c>
      <c r="R2738" t="s">
        <v>57</v>
      </c>
      <c r="S2738" t="s">
        <v>35</v>
      </c>
      <c r="T2738" t="s">
        <v>51</v>
      </c>
      <c r="U2738" t="s">
        <v>30</v>
      </c>
    </row>
    <row r="2739" spans="1:21" x14ac:dyDescent="0.35">
      <c r="A2739" t="s">
        <v>2819</v>
      </c>
      <c r="B2739" s="1">
        <v>46310</v>
      </c>
      <c r="C2739" t="str">
        <f>TEXT(tblData[[#This Row],[Rental Date]],"mmm")</f>
        <v>Oct</v>
      </c>
      <c r="D2739" t="str">
        <f>TEXT(tblData[[#This Row],[Rental Date]],"mmmm")</f>
        <v>October</v>
      </c>
      <c r="E2739" t="s">
        <v>21</v>
      </c>
      <c r="F2739" t="str">
        <f>TEXT(WEEKNUM(tblData[[#This Row],[Rental Date]]),"00")</f>
        <v>42</v>
      </c>
      <c r="G2739" s="1">
        <f>EOMONTH(tblData[[#This Row],[Rental Date]],0)</f>
        <v>46326</v>
      </c>
      <c r="H2739" t="s">
        <v>2441</v>
      </c>
      <c r="I2739" t="s">
        <v>48</v>
      </c>
      <c r="J2739" t="s">
        <v>65</v>
      </c>
      <c r="K2739" t="s">
        <v>40</v>
      </c>
      <c r="L2739">
        <v>1</v>
      </c>
      <c r="M2739" s="2">
        <v>28</v>
      </c>
      <c r="N2739" t="s">
        <v>89</v>
      </c>
      <c r="O2739" s="3">
        <v>6</v>
      </c>
      <c r="P2739" s="3">
        <v>0</v>
      </c>
      <c r="Q2739" s="2">
        <v>34</v>
      </c>
      <c r="R2739" t="s">
        <v>71</v>
      </c>
      <c r="S2739" t="s">
        <v>50</v>
      </c>
      <c r="T2739" t="s">
        <v>90</v>
      </c>
      <c r="U2739" t="s">
        <v>30</v>
      </c>
    </row>
    <row r="2740" spans="1:21" x14ac:dyDescent="0.35">
      <c r="A2740" t="s">
        <v>2820</v>
      </c>
      <c r="B2740" s="1">
        <v>46310</v>
      </c>
      <c r="C2740" t="str">
        <f>TEXT(tblData[[#This Row],[Rental Date]],"mmm")</f>
        <v>Oct</v>
      </c>
      <c r="D2740" t="str">
        <f>TEXT(tblData[[#This Row],[Rental Date]],"mmmm")</f>
        <v>October</v>
      </c>
      <c r="E2740" t="s">
        <v>21</v>
      </c>
      <c r="F2740" t="str">
        <f>TEXT(WEEKNUM(tblData[[#This Row],[Rental Date]]),"00")</f>
        <v>42</v>
      </c>
      <c r="G2740" s="1">
        <f>EOMONTH(tblData[[#This Row],[Rental Date]],0)</f>
        <v>46326</v>
      </c>
      <c r="H2740" t="s">
        <v>2441</v>
      </c>
      <c r="I2740" t="s">
        <v>48</v>
      </c>
      <c r="J2740" t="s">
        <v>33</v>
      </c>
      <c r="K2740" t="s">
        <v>25</v>
      </c>
      <c r="L2740">
        <v>1</v>
      </c>
      <c r="M2740" s="2">
        <v>38</v>
      </c>
      <c r="N2740" t="s">
        <v>89</v>
      </c>
      <c r="O2740" s="3">
        <v>6</v>
      </c>
      <c r="P2740" s="3">
        <v>0</v>
      </c>
      <c r="Q2740" s="2">
        <v>44</v>
      </c>
      <c r="R2740" t="s">
        <v>57</v>
      </c>
      <c r="S2740" t="s">
        <v>50</v>
      </c>
      <c r="T2740" t="s">
        <v>29</v>
      </c>
      <c r="U2740" t="s">
        <v>30</v>
      </c>
    </row>
    <row r="2741" spans="1:21" x14ac:dyDescent="0.35">
      <c r="A2741" t="s">
        <v>2821</v>
      </c>
      <c r="B2741" s="1">
        <v>46310</v>
      </c>
      <c r="C2741" t="str">
        <f>TEXT(tblData[[#This Row],[Rental Date]],"mmm")</f>
        <v>Oct</v>
      </c>
      <c r="D2741" t="str">
        <f>TEXT(tblData[[#This Row],[Rental Date]],"mmmm")</f>
        <v>October</v>
      </c>
      <c r="E2741" t="s">
        <v>21</v>
      </c>
      <c r="F2741" t="str">
        <f>TEXT(WEEKNUM(tblData[[#This Row],[Rental Date]]),"00")</f>
        <v>42</v>
      </c>
      <c r="G2741" s="1">
        <f>EOMONTH(tblData[[#This Row],[Rental Date]],0)</f>
        <v>46326</v>
      </c>
      <c r="H2741" t="s">
        <v>2441</v>
      </c>
      <c r="I2741" t="s">
        <v>39</v>
      </c>
      <c r="J2741" t="s">
        <v>44</v>
      </c>
      <c r="K2741" t="s">
        <v>60</v>
      </c>
      <c r="L2741">
        <v>1</v>
      </c>
      <c r="M2741" s="2">
        <v>34</v>
      </c>
      <c r="N2741" t="s">
        <v>26</v>
      </c>
      <c r="O2741" s="3">
        <v>0</v>
      </c>
      <c r="P2741" s="3">
        <v>0</v>
      </c>
      <c r="Q2741" s="2">
        <v>34</v>
      </c>
      <c r="R2741" t="s">
        <v>71</v>
      </c>
      <c r="S2741" t="s">
        <v>54</v>
      </c>
      <c r="T2741" t="s">
        <v>29</v>
      </c>
      <c r="U2741" t="s">
        <v>30</v>
      </c>
    </row>
    <row r="2742" spans="1:21" x14ac:dyDescent="0.35">
      <c r="A2742" t="s">
        <v>2822</v>
      </c>
      <c r="B2742" s="1">
        <v>46310</v>
      </c>
      <c r="C2742" t="str">
        <f>TEXT(tblData[[#This Row],[Rental Date]],"mmm")</f>
        <v>Oct</v>
      </c>
      <c r="D2742" t="str">
        <f>TEXT(tblData[[#This Row],[Rental Date]],"mmmm")</f>
        <v>October</v>
      </c>
      <c r="E2742" t="s">
        <v>21</v>
      </c>
      <c r="F2742" t="str">
        <f>TEXT(WEEKNUM(tblData[[#This Row],[Rental Date]]),"00")</f>
        <v>42</v>
      </c>
      <c r="G2742" s="1">
        <f>EOMONTH(tblData[[#This Row],[Rental Date]],0)</f>
        <v>46326</v>
      </c>
      <c r="H2742" t="s">
        <v>2441</v>
      </c>
      <c r="I2742" t="s">
        <v>39</v>
      </c>
      <c r="J2742" t="s">
        <v>78</v>
      </c>
      <c r="K2742" t="s">
        <v>60</v>
      </c>
      <c r="L2742">
        <v>1</v>
      </c>
      <c r="M2742" s="2">
        <v>26</v>
      </c>
      <c r="N2742" t="s">
        <v>61</v>
      </c>
      <c r="O2742" s="3">
        <v>8</v>
      </c>
      <c r="P2742" s="3">
        <v>0</v>
      </c>
      <c r="Q2742" s="2">
        <v>34</v>
      </c>
      <c r="R2742" t="s">
        <v>45</v>
      </c>
      <c r="S2742" t="s">
        <v>46</v>
      </c>
      <c r="T2742" t="s">
        <v>29</v>
      </c>
      <c r="U2742" t="s">
        <v>30</v>
      </c>
    </row>
    <row r="2743" spans="1:21" x14ac:dyDescent="0.35">
      <c r="A2743" t="s">
        <v>2823</v>
      </c>
      <c r="B2743" s="1">
        <v>46311</v>
      </c>
      <c r="C2743" t="str">
        <f>TEXT(tblData[[#This Row],[Rental Date]],"mmm")</f>
        <v>Oct</v>
      </c>
      <c r="D2743" t="str">
        <f>TEXT(tblData[[#This Row],[Rental Date]],"mmmm")</f>
        <v>October</v>
      </c>
      <c r="E2743" t="s">
        <v>38</v>
      </c>
      <c r="F2743" t="str">
        <f>TEXT(WEEKNUM(tblData[[#This Row],[Rental Date]]),"00")</f>
        <v>42</v>
      </c>
      <c r="G2743" s="1">
        <f>EOMONTH(tblData[[#This Row],[Rental Date]],0)</f>
        <v>46326</v>
      </c>
      <c r="H2743" t="s">
        <v>2441</v>
      </c>
      <c r="I2743" t="s">
        <v>48</v>
      </c>
      <c r="J2743" t="s">
        <v>127</v>
      </c>
      <c r="K2743" t="s">
        <v>40</v>
      </c>
      <c r="L2743">
        <v>1</v>
      </c>
      <c r="M2743" s="2">
        <v>24</v>
      </c>
      <c r="N2743" t="s">
        <v>89</v>
      </c>
      <c r="O2743" s="3">
        <v>6</v>
      </c>
      <c r="P2743" s="3">
        <v>0</v>
      </c>
      <c r="Q2743" s="2">
        <v>30</v>
      </c>
      <c r="R2743" t="s">
        <v>57</v>
      </c>
      <c r="S2743" t="s">
        <v>35</v>
      </c>
      <c r="T2743" t="s">
        <v>29</v>
      </c>
      <c r="U2743" t="s">
        <v>30</v>
      </c>
    </row>
    <row r="2744" spans="1:21" x14ac:dyDescent="0.35">
      <c r="A2744" t="s">
        <v>2824</v>
      </c>
      <c r="B2744" s="1">
        <v>46311</v>
      </c>
      <c r="C2744" t="str">
        <f>TEXT(tblData[[#This Row],[Rental Date]],"mmm")</f>
        <v>Oct</v>
      </c>
      <c r="D2744" t="str">
        <f>TEXT(tblData[[#This Row],[Rental Date]],"mmmm")</f>
        <v>October</v>
      </c>
      <c r="E2744" t="s">
        <v>38</v>
      </c>
      <c r="F2744" t="str">
        <f>TEXT(WEEKNUM(tblData[[#This Row],[Rental Date]]),"00")</f>
        <v>42</v>
      </c>
      <c r="G2744" s="1">
        <f>EOMONTH(tblData[[#This Row],[Rental Date]],0)</f>
        <v>46326</v>
      </c>
      <c r="H2744" t="s">
        <v>2441</v>
      </c>
      <c r="I2744" t="s">
        <v>48</v>
      </c>
      <c r="J2744" t="s">
        <v>78</v>
      </c>
      <c r="K2744" t="s">
        <v>60</v>
      </c>
      <c r="L2744">
        <v>1</v>
      </c>
      <c r="M2744" s="2">
        <v>26</v>
      </c>
      <c r="N2744" t="s">
        <v>70</v>
      </c>
      <c r="O2744" s="3">
        <v>7</v>
      </c>
      <c r="P2744" s="3">
        <v>0</v>
      </c>
      <c r="Q2744" s="2">
        <v>33</v>
      </c>
      <c r="R2744" t="s">
        <v>27</v>
      </c>
      <c r="S2744" t="s">
        <v>50</v>
      </c>
      <c r="T2744" t="s">
        <v>29</v>
      </c>
      <c r="U2744" t="s">
        <v>30</v>
      </c>
    </row>
    <row r="2745" spans="1:21" x14ac:dyDescent="0.35">
      <c r="A2745" t="s">
        <v>2825</v>
      </c>
      <c r="B2745" s="1">
        <v>46311</v>
      </c>
      <c r="C2745" t="str">
        <f>TEXT(tblData[[#This Row],[Rental Date]],"mmm")</f>
        <v>Oct</v>
      </c>
      <c r="D2745" t="str">
        <f>TEXT(tblData[[#This Row],[Rental Date]],"mmmm")</f>
        <v>October</v>
      </c>
      <c r="E2745" t="s">
        <v>38</v>
      </c>
      <c r="F2745" t="str">
        <f>TEXT(WEEKNUM(tblData[[#This Row],[Rental Date]]),"00")</f>
        <v>42</v>
      </c>
      <c r="G2745" s="1">
        <f>EOMONTH(tblData[[#This Row],[Rental Date]],0)</f>
        <v>46326</v>
      </c>
      <c r="H2745" t="s">
        <v>2441</v>
      </c>
      <c r="I2745" t="s">
        <v>23</v>
      </c>
      <c r="J2745" t="s">
        <v>65</v>
      </c>
      <c r="K2745" t="s">
        <v>25</v>
      </c>
      <c r="L2745">
        <v>1</v>
      </c>
      <c r="M2745" s="2">
        <v>18</v>
      </c>
      <c r="N2745" t="s">
        <v>75</v>
      </c>
      <c r="O2745" s="3">
        <v>12</v>
      </c>
      <c r="P2745" s="3">
        <v>0</v>
      </c>
      <c r="Q2745" s="2">
        <v>30</v>
      </c>
      <c r="R2745" t="s">
        <v>34</v>
      </c>
      <c r="S2745" t="s">
        <v>46</v>
      </c>
      <c r="T2745" t="s">
        <v>51</v>
      </c>
      <c r="U2745" t="s">
        <v>30</v>
      </c>
    </row>
    <row r="2746" spans="1:21" x14ac:dyDescent="0.35">
      <c r="A2746" t="s">
        <v>2826</v>
      </c>
      <c r="B2746" s="1">
        <v>46312</v>
      </c>
      <c r="C2746" t="str">
        <f>TEXT(tblData[[#This Row],[Rental Date]],"mmm")</f>
        <v>Oct</v>
      </c>
      <c r="D2746" t="str">
        <f>TEXT(tblData[[#This Row],[Rental Date]],"mmmm")</f>
        <v>October</v>
      </c>
      <c r="E2746" t="s">
        <v>56</v>
      </c>
      <c r="F2746" t="str">
        <f>TEXT(WEEKNUM(tblData[[#This Row],[Rental Date]]),"00")</f>
        <v>42</v>
      </c>
      <c r="G2746" s="1">
        <f>EOMONTH(tblData[[#This Row],[Rental Date]],0)</f>
        <v>46326</v>
      </c>
      <c r="H2746" t="s">
        <v>2441</v>
      </c>
      <c r="I2746" t="s">
        <v>39</v>
      </c>
      <c r="J2746" t="s">
        <v>78</v>
      </c>
      <c r="K2746" t="s">
        <v>60</v>
      </c>
      <c r="L2746">
        <v>1</v>
      </c>
      <c r="M2746" s="2">
        <v>28.08</v>
      </c>
      <c r="N2746" t="s">
        <v>61</v>
      </c>
      <c r="O2746" s="3">
        <v>8</v>
      </c>
      <c r="P2746" s="3">
        <v>0</v>
      </c>
      <c r="Q2746" s="2">
        <v>36.08</v>
      </c>
      <c r="R2746" t="s">
        <v>42</v>
      </c>
      <c r="S2746" t="s">
        <v>35</v>
      </c>
      <c r="T2746" t="s">
        <v>90</v>
      </c>
      <c r="U2746" t="s">
        <v>58</v>
      </c>
    </row>
    <row r="2747" spans="1:21" x14ac:dyDescent="0.35">
      <c r="A2747" t="s">
        <v>2827</v>
      </c>
      <c r="B2747" s="1">
        <v>46312</v>
      </c>
      <c r="C2747" t="str">
        <f>TEXT(tblData[[#This Row],[Rental Date]],"mmm")</f>
        <v>Oct</v>
      </c>
      <c r="D2747" t="str">
        <f>TEXT(tblData[[#This Row],[Rental Date]],"mmmm")</f>
        <v>October</v>
      </c>
      <c r="E2747" t="s">
        <v>56</v>
      </c>
      <c r="F2747" t="str">
        <f>TEXT(WEEKNUM(tblData[[#This Row],[Rental Date]]),"00")</f>
        <v>42</v>
      </c>
      <c r="G2747" s="1">
        <f>EOMONTH(tblData[[#This Row],[Rental Date]],0)</f>
        <v>46326</v>
      </c>
      <c r="H2747" t="s">
        <v>2441</v>
      </c>
      <c r="I2747" t="s">
        <v>23</v>
      </c>
      <c r="J2747" t="s">
        <v>138</v>
      </c>
      <c r="K2747" t="s">
        <v>25</v>
      </c>
      <c r="L2747">
        <v>1</v>
      </c>
      <c r="M2747" s="2">
        <v>51.84</v>
      </c>
      <c r="N2747" t="s">
        <v>87</v>
      </c>
      <c r="O2747" s="3">
        <v>10</v>
      </c>
      <c r="P2747" s="3">
        <v>0</v>
      </c>
      <c r="Q2747" s="2">
        <v>61.84</v>
      </c>
      <c r="R2747" t="s">
        <v>76</v>
      </c>
      <c r="S2747" t="s">
        <v>50</v>
      </c>
      <c r="T2747" t="s">
        <v>29</v>
      </c>
      <c r="U2747" t="s">
        <v>30</v>
      </c>
    </row>
    <row r="2748" spans="1:21" x14ac:dyDescent="0.35">
      <c r="A2748" t="s">
        <v>2828</v>
      </c>
      <c r="B2748" s="1">
        <v>46312</v>
      </c>
      <c r="C2748" t="str">
        <f>TEXT(tblData[[#This Row],[Rental Date]],"mmm")</f>
        <v>Oct</v>
      </c>
      <c r="D2748" t="str">
        <f>TEXT(tblData[[#This Row],[Rental Date]],"mmmm")</f>
        <v>October</v>
      </c>
      <c r="E2748" t="s">
        <v>56</v>
      </c>
      <c r="F2748" t="str">
        <f>TEXT(WEEKNUM(tblData[[#This Row],[Rental Date]]),"00")</f>
        <v>42</v>
      </c>
      <c r="G2748" s="1">
        <f>EOMONTH(tblData[[#This Row],[Rental Date]],0)</f>
        <v>46326</v>
      </c>
      <c r="H2748" t="s">
        <v>2441</v>
      </c>
      <c r="I2748" t="s">
        <v>23</v>
      </c>
      <c r="J2748" t="s">
        <v>78</v>
      </c>
      <c r="K2748" t="s">
        <v>25</v>
      </c>
      <c r="L2748">
        <v>1</v>
      </c>
      <c r="M2748" s="2">
        <v>45.36</v>
      </c>
      <c r="N2748" t="s">
        <v>26</v>
      </c>
      <c r="O2748" s="3">
        <v>0</v>
      </c>
      <c r="P2748" s="3">
        <v>0</v>
      </c>
      <c r="Q2748" s="2">
        <v>45.36</v>
      </c>
      <c r="R2748" t="s">
        <v>62</v>
      </c>
      <c r="S2748" t="s">
        <v>28</v>
      </c>
      <c r="T2748" t="s">
        <v>29</v>
      </c>
      <c r="U2748" t="s">
        <v>30</v>
      </c>
    </row>
    <row r="2749" spans="1:21" x14ac:dyDescent="0.35">
      <c r="A2749" t="s">
        <v>2829</v>
      </c>
      <c r="B2749" s="1">
        <v>46312</v>
      </c>
      <c r="C2749" t="str">
        <f>TEXT(tblData[[#This Row],[Rental Date]],"mmm")</f>
        <v>Oct</v>
      </c>
      <c r="D2749" t="str">
        <f>TEXT(tblData[[#This Row],[Rental Date]],"mmmm")</f>
        <v>October</v>
      </c>
      <c r="E2749" t="s">
        <v>56</v>
      </c>
      <c r="F2749" t="str">
        <f>TEXT(WEEKNUM(tblData[[#This Row],[Rental Date]]),"00")</f>
        <v>42</v>
      </c>
      <c r="G2749" s="1">
        <f>EOMONTH(tblData[[#This Row],[Rental Date]],0)</f>
        <v>46326</v>
      </c>
      <c r="H2749" t="s">
        <v>2441</v>
      </c>
      <c r="I2749" t="s">
        <v>48</v>
      </c>
      <c r="J2749" t="s">
        <v>65</v>
      </c>
      <c r="K2749" t="s">
        <v>25</v>
      </c>
      <c r="L2749">
        <v>1</v>
      </c>
      <c r="M2749" s="2">
        <v>19.440000000000001</v>
      </c>
      <c r="N2749" t="s">
        <v>87</v>
      </c>
      <c r="O2749" s="3">
        <v>10</v>
      </c>
      <c r="P2749" s="3">
        <v>0</v>
      </c>
      <c r="Q2749" s="2">
        <v>29.44</v>
      </c>
      <c r="R2749" t="s">
        <v>76</v>
      </c>
      <c r="S2749" t="s">
        <v>28</v>
      </c>
      <c r="T2749" t="s">
        <v>29</v>
      </c>
      <c r="U2749" t="s">
        <v>36</v>
      </c>
    </row>
    <row r="2750" spans="1:21" x14ac:dyDescent="0.35">
      <c r="A2750" t="s">
        <v>2830</v>
      </c>
      <c r="B2750" s="1">
        <v>46312</v>
      </c>
      <c r="C2750" t="str">
        <f>TEXT(tblData[[#This Row],[Rental Date]],"mmm")</f>
        <v>Oct</v>
      </c>
      <c r="D2750" t="str">
        <f>TEXT(tblData[[#This Row],[Rental Date]],"mmmm")</f>
        <v>October</v>
      </c>
      <c r="E2750" t="s">
        <v>56</v>
      </c>
      <c r="F2750" t="str">
        <f>TEXT(WEEKNUM(tblData[[#This Row],[Rental Date]]),"00")</f>
        <v>42</v>
      </c>
      <c r="G2750" s="1">
        <f>EOMONTH(tblData[[#This Row],[Rental Date]],0)</f>
        <v>46326</v>
      </c>
      <c r="H2750" t="s">
        <v>2441</v>
      </c>
      <c r="I2750" t="s">
        <v>48</v>
      </c>
      <c r="J2750" t="s">
        <v>24</v>
      </c>
      <c r="K2750" t="s">
        <v>40</v>
      </c>
      <c r="L2750">
        <v>1</v>
      </c>
      <c r="M2750" s="2">
        <v>82.08</v>
      </c>
      <c r="N2750" t="s">
        <v>26</v>
      </c>
      <c r="O2750" s="3">
        <v>0</v>
      </c>
      <c r="P2750" s="3">
        <v>0</v>
      </c>
      <c r="Q2750" s="2">
        <v>82.08</v>
      </c>
      <c r="R2750" t="s">
        <v>27</v>
      </c>
      <c r="S2750" t="s">
        <v>35</v>
      </c>
      <c r="T2750" t="s">
        <v>29</v>
      </c>
      <c r="U2750" t="s">
        <v>30</v>
      </c>
    </row>
    <row r="2751" spans="1:21" x14ac:dyDescent="0.35">
      <c r="A2751" t="s">
        <v>2831</v>
      </c>
      <c r="B2751" s="1">
        <v>46312</v>
      </c>
      <c r="C2751" t="str">
        <f>TEXT(tblData[[#This Row],[Rental Date]],"mmm")</f>
        <v>Oct</v>
      </c>
      <c r="D2751" t="str">
        <f>TEXT(tblData[[#This Row],[Rental Date]],"mmmm")</f>
        <v>October</v>
      </c>
      <c r="E2751" t="s">
        <v>56</v>
      </c>
      <c r="F2751" t="str">
        <f>TEXT(WEEKNUM(tblData[[#This Row],[Rental Date]]),"00")</f>
        <v>42</v>
      </c>
      <c r="G2751" s="1">
        <f>EOMONTH(tblData[[#This Row],[Rental Date]],0)</f>
        <v>46326</v>
      </c>
      <c r="H2751" t="s">
        <v>2441</v>
      </c>
      <c r="I2751" t="s">
        <v>39</v>
      </c>
      <c r="J2751" t="s">
        <v>49</v>
      </c>
      <c r="K2751" t="s">
        <v>25</v>
      </c>
      <c r="L2751">
        <v>1</v>
      </c>
      <c r="M2751" s="2">
        <v>38.880000000000003</v>
      </c>
      <c r="N2751" t="s">
        <v>26</v>
      </c>
      <c r="O2751" s="3">
        <v>0</v>
      </c>
      <c r="P2751" s="3">
        <v>1.94</v>
      </c>
      <c r="Q2751" s="2">
        <v>36.94</v>
      </c>
      <c r="R2751" t="s">
        <v>66</v>
      </c>
      <c r="S2751" t="s">
        <v>54</v>
      </c>
      <c r="T2751" t="s">
        <v>29</v>
      </c>
      <c r="U2751" t="s">
        <v>30</v>
      </c>
    </row>
    <row r="2752" spans="1:21" x14ac:dyDescent="0.35">
      <c r="A2752" t="s">
        <v>2832</v>
      </c>
      <c r="B2752" s="1">
        <v>46312</v>
      </c>
      <c r="C2752" t="str">
        <f>TEXT(tblData[[#This Row],[Rental Date]],"mmm")</f>
        <v>Oct</v>
      </c>
      <c r="D2752" t="str">
        <f>TEXT(tblData[[#This Row],[Rental Date]],"mmmm")</f>
        <v>October</v>
      </c>
      <c r="E2752" t="s">
        <v>56</v>
      </c>
      <c r="F2752" t="str">
        <f>TEXT(WEEKNUM(tblData[[#This Row],[Rental Date]]),"00")</f>
        <v>42</v>
      </c>
      <c r="G2752" s="1">
        <f>EOMONTH(tblData[[#This Row],[Rental Date]],0)</f>
        <v>46326</v>
      </c>
      <c r="H2752" t="s">
        <v>2441</v>
      </c>
      <c r="I2752" t="s">
        <v>48</v>
      </c>
      <c r="J2752" t="s">
        <v>138</v>
      </c>
      <c r="K2752" t="s">
        <v>25</v>
      </c>
      <c r="L2752">
        <v>1</v>
      </c>
      <c r="M2752" s="2">
        <v>51.84</v>
      </c>
      <c r="N2752" t="s">
        <v>26</v>
      </c>
      <c r="O2752" s="3">
        <v>0</v>
      </c>
      <c r="P2752" s="3">
        <v>0</v>
      </c>
      <c r="Q2752" s="2">
        <v>51.84</v>
      </c>
      <c r="R2752" t="s">
        <v>71</v>
      </c>
      <c r="S2752" t="s">
        <v>28</v>
      </c>
      <c r="T2752" t="s">
        <v>63</v>
      </c>
      <c r="U2752" t="s">
        <v>30</v>
      </c>
    </row>
    <row r="2753" spans="1:21" x14ac:dyDescent="0.35">
      <c r="A2753" t="s">
        <v>2833</v>
      </c>
      <c r="B2753" s="1">
        <v>46312</v>
      </c>
      <c r="C2753" t="str">
        <f>TEXT(tblData[[#This Row],[Rental Date]],"mmm")</f>
        <v>Oct</v>
      </c>
      <c r="D2753" t="str">
        <f>TEXT(tblData[[#This Row],[Rental Date]],"mmmm")</f>
        <v>October</v>
      </c>
      <c r="E2753" t="s">
        <v>56</v>
      </c>
      <c r="F2753" t="str">
        <f>TEXT(WEEKNUM(tblData[[#This Row],[Rental Date]]),"00")</f>
        <v>42</v>
      </c>
      <c r="G2753" s="1">
        <f>EOMONTH(tblData[[#This Row],[Rental Date]],0)</f>
        <v>46326</v>
      </c>
      <c r="H2753" t="s">
        <v>2441</v>
      </c>
      <c r="I2753" t="s">
        <v>23</v>
      </c>
      <c r="J2753" t="s">
        <v>78</v>
      </c>
      <c r="K2753" t="s">
        <v>60</v>
      </c>
      <c r="L2753">
        <v>1</v>
      </c>
      <c r="M2753" s="2">
        <v>28.08</v>
      </c>
      <c r="N2753" t="s">
        <v>26</v>
      </c>
      <c r="O2753" s="3">
        <v>0</v>
      </c>
      <c r="P2753" s="3">
        <v>0</v>
      </c>
      <c r="Q2753" s="2">
        <v>28.08</v>
      </c>
      <c r="R2753" t="s">
        <v>42</v>
      </c>
      <c r="S2753" t="s">
        <v>28</v>
      </c>
      <c r="T2753" t="s">
        <v>63</v>
      </c>
      <c r="U2753" t="s">
        <v>30</v>
      </c>
    </row>
    <row r="2754" spans="1:21" x14ac:dyDescent="0.35">
      <c r="A2754" t="s">
        <v>2834</v>
      </c>
      <c r="B2754" s="1">
        <v>46312</v>
      </c>
      <c r="C2754" t="str">
        <f>TEXT(tblData[[#This Row],[Rental Date]],"mmm")</f>
        <v>Oct</v>
      </c>
      <c r="D2754" t="str">
        <f>TEXT(tblData[[#This Row],[Rental Date]],"mmmm")</f>
        <v>October</v>
      </c>
      <c r="E2754" t="s">
        <v>56</v>
      </c>
      <c r="F2754" t="str">
        <f>TEXT(WEEKNUM(tblData[[#This Row],[Rental Date]]),"00")</f>
        <v>42</v>
      </c>
      <c r="G2754" s="1">
        <f>EOMONTH(tblData[[#This Row],[Rental Date]],0)</f>
        <v>46326</v>
      </c>
      <c r="H2754" t="s">
        <v>2441</v>
      </c>
      <c r="I2754" t="s">
        <v>32</v>
      </c>
      <c r="J2754" t="s">
        <v>44</v>
      </c>
      <c r="K2754" t="s">
        <v>60</v>
      </c>
      <c r="L2754">
        <v>1</v>
      </c>
      <c r="M2754" s="2">
        <v>36.72</v>
      </c>
      <c r="N2754" t="s">
        <v>75</v>
      </c>
      <c r="O2754" s="3">
        <v>12</v>
      </c>
      <c r="P2754" s="3">
        <v>2.44</v>
      </c>
      <c r="Q2754" s="2">
        <v>46.28</v>
      </c>
      <c r="R2754" t="s">
        <v>45</v>
      </c>
      <c r="S2754" t="s">
        <v>50</v>
      </c>
      <c r="T2754" t="s">
        <v>51</v>
      </c>
      <c r="U2754" t="s">
        <v>36</v>
      </c>
    </row>
    <row r="2755" spans="1:21" x14ac:dyDescent="0.35">
      <c r="A2755" t="s">
        <v>2835</v>
      </c>
      <c r="B2755" s="1">
        <v>46312</v>
      </c>
      <c r="C2755" t="str">
        <f>TEXT(tblData[[#This Row],[Rental Date]],"mmm")</f>
        <v>Oct</v>
      </c>
      <c r="D2755" t="str">
        <f>TEXT(tblData[[#This Row],[Rental Date]],"mmmm")</f>
        <v>October</v>
      </c>
      <c r="E2755" t="s">
        <v>56</v>
      </c>
      <c r="F2755" t="str">
        <f>TEXT(WEEKNUM(tblData[[#This Row],[Rental Date]]),"00")</f>
        <v>42</v>
      </c>
      <c r="G2755" s="1">
        <f>EOMONTH(tblData[[#This Row],[Rental Date]],0)</f>
        <v>46326</v>
      </c>
      <c r="H2755" t="s">
        <v>2441</v>
      </c>
      <c r="I2755" t="s">
        <v>48</v>
      </c>
      <c r="J2755" t="s">
        <v>78</v>
      </c>
      <c r="K2755" t="s">
        <v>25</v>
      </c>
      <c r="L2755">
        <v>1</v>
      </c>
      <c r="M2755" s="2">
        <v>45.36</v>
      </c>
      <c r="N2755" t="s">
        <v>89</v>
      </c>
      <c r="O2755" s="3">
        <v>6</v>
      </c>
      <c r="P2755" s="3">
        <v>0</v>
      </c>
      <c r="Q2755" s="2">
        <v>51.36</v>
      </c>
      <c r="R2755" t="s">
        <v>94</v>
      </c>
      <c r="S2755" t="s">
        <v>50</v>
      </c>
      <c r="T2755" t="s">
        <v>29</v>
      </c>
      <c r="U2755" t="s">
        <v>30</v>
      </c>
    </row>
    <row r="2756" spans="1:21" x14ac:dyDescent="0.35">
      <c r="A2756" t="s">
        <v>2836</v>
      </c>
      <c r="B2756" s="1">
        <v>46313</v>
      </c>
      <c r="C2756" t="str">
        <f>TEXT(tblData[[#This Row],[Rental Date]],"mmm")</f>
        <v>Oct</v>
      </c>
      <c r="D2756" t="str">
        <f>TEXT(tblData[[#This Row],[Rental Date]],"mmmm")</f>
        <v>October</v>
      </c>
      <c r="E2756" t="s">
        <v>68</v>
      </c>
      <c r="F2756" t="str">
        <f>TEXT(WEEKNUM(tblData[[#This Row],[Rental Date]]),"00")</f>
        <v>43</v>
      </c>
      <c r="G2756" s="1">
        <f>EOMONTH(tblData[[#This Row],[Rental Date]],0)</f>
        <v>46326</v>
      </c>
      <c r="H2756" t="s">
        <v>2441</v>
      </c>
      <c r="I2756" t="s">
        <v>48</v>
      </c>
      <c r="J2756" t="s">
        <v>111</v>
      </c>
      <c r="K2756" t="s">
        <v>92</v>
      </c>
      <c r="L2756">
        <v>1</v>
      </c>
      <c r="M2756" s="2">
        <v>51.84</v>
      </c>
      <c r="N2756" t="s">
        <v>87</v>
      </c>
      <c r="O2756" s="3">
        <v>10</v>
      </c>
      <c r="P2756" s="3">
        <v>3.09</v>
      </c>
      <c r="Q2756" s="2">
        <v>58.75</v>
      </c>
      <c r="R2756" t="s">
        <v>57</v>
      </c>
      <c r="S2756" t="s">
        <v>54</v>
      </c>
      <c r="T2756" t="s">
        <v>29</v>
      </c>
      <c r="U2756" t="s">
        <v>36</v>
      </c>
    </row>
    <row r="2757" spans="1:21" x14ac:dyDescent="0.35">
      <c r="A2757" t="s">
        <v>2837</v>
      </c>
      <c r="B2757" s="1">
        <v>46313</v>
      </c>
      <c r="C2757" t="str">
        <f>TEXT(tblData[[#This Row],[Rental Date]],"mmm")</f>
        <v>Oct</v>
      </c>
      <c r="D2757" t="str">
        <f>TEXT(tblData[[#This Row],[Rental Date]],"mmmm")</f>
        <v>October</v>
      </c>
      <c r="E2757" t="s">
        <v>68</v>
      </c>
      <c r="F2757" t="str">
        <f>TEXT(WEEKNUM(tblData[[#This Row],[Rental Date]]),"00")</f>
        <v>43</v>
      </c>
      <c r="G2757" s="1">
        <f>EOMONTH(tblData[[#This Row],[Rental Date]],0)</f>
        <v>46326</v>
      </c>
      <c r="H2757" t="s">
        <v>2441</v>
      </c>
      <c r="I2757" t="s">
        <v>48</v>
      </c>
      <c r="J2757" t="s">
        <v>65</v>
      </c>
      <c r="K2757" t="s">
        <v>25</v>
      </c>
      <c r="L2757">
        <v>1</v>
      </c>
      <c r="M2757" s="2">
        <v>19.440000000000001</v>
      </c>
      <c r="N2757" t="s">
        <v>75</v>
      </c>
      <c r="O2757" s="3">
        <v>12</v>
      </c>
      <c r="P2757" s="3">
        <v>0</v>
      </c>
      <c r="Q2757" s="2">
        <v>31.44</v>
      </c>
      <c r="R2757" t="s">
        <v>62</v>
      </c>
      <c r="S2757" t="s">
        <v>35</v>
      </c>
      <c r="T2757" t="s">
        <v>29</v>
      </c>
      <c r="U2757" t="s">
        <v>36</v>
      </c>
    </row>
    <row r="2758" spans="1:21" x14ac:dyDescent="0.35">
      <c r="A2758" t="s">
        <v>2838</v>
      </c>
      <c r="B2758" s="1">
        <v>46313</v>
      </c>
      <c r="C2758" t="str">
        <f>TEXT(tblData[[#This Row],[Rental Date]],"mmm")</f>
        <v>Oct</v>
      </c>
      <c r="D2758" t="str">
        <f>TEXT(tblData[[#This Row],[Rental Date]],"mmmm")</f>
        <v>October</v>
      </c>
      <c r="E2758" t="s">
        <v>68</v>
      </c>
      <c r="F2758" t="str">
        <f>TEXT(WEEKNUM(tblData[[#This Row],[Rental Date]]),"00")</f>
        <v>43</v>
      </c>
      <c r="G2758" s="1">
        <f>EOMONTH(tblData[[#This Row],[Rental Date]],0)</f>
        <v>46326</v>
      </c>
      <c r="H2758" t="s">
        <v>2441</v>
      </c>
      <c r="I2758" t="s">
        <v>48</v>
      </c>
      <c r="J2758" t="s">
        <v>49</v>
      </c>
      <c r="K2758" t="s">
        <v>25</v>
      </c>
      <c r="L2758">
        <v>1</v>
      </c>
      <c r="M2758" s="2">
        <v>38.880000000000003</v>
      </c>
      <c r="N2758" t="s">
        <v>61</v>
      </c>
      <c r="O2758" s="3">
        <v>8</v>
      </c>
      <c r="P2758" s="3">
        <v>0</v>
      </c>
      <c r="Q2758" s="2">
        <v>46.88</v>
      </c>
      <c r="R2758" t="s">
        <v>45</v>
      </c>
      <c r="S2758" t="s">
        <v>35</v>
      </c>
      <c r="T2758" t="s">
        <v>29</v>
      </c>
      <c r="U2758" t="s">
        <v>30</v>
      </c>
    </row>
    <row r="2759" spans="1:21" x14ac:dyDescent="0.35">
      <c r="A2759" t="s">
        <v>2839</v>
      </c>
      <c r="B2759" s="1">
        <v>46313</v>
      </c>
      <c r="C2759" t="str">
        <f>TEXT(tblData[[#This Row],[Rental Date]],"mmm")</f>
        <v>Oct</v>
      </c>
      <c r="D2759" t="str">
        <f>TEXT(tblData[[#This Row],[Rental Date]],"mmmm")</f>
        <v>October</v>
      </c>
      <c r="E2759" t="s">
        <v>68</v>
      </c>
      <c r="F2759" t="str">
        <f>TEXT(WEEKNUM(tblData[[#This Row],[Rental Date]]),"00")</f>
        <v>43</v>
      </c>
      <c r="G2759" s="1">
        <f>EOMONTH(tblData[[#This Row],[Rental Date]],0)</f>
        <v>46326</v>
      </c>
      <c r="H2759" t="s">
        <v>2441</v>
      </c>
      <c r="I2759" t="s">
        <v>53</v>
      </c>
      <c r="J2759" t="s">
        <v>33</v>
      </c>
      <c r="K2759" t="s">
        <v>25</v>
      </c>
      <c r="L2759">
        <v>1</v>
      </c>
      <c r="M2759" s="2">
        <v>41.04</v>
      </c>
      <c r="N2759" t="s">
        <v>26</v>
      </c>
      <c r="O2759" s="3">
        <v>0</v>
      </c>
      <c r="P2759" s="3">
        <v>6.16</v>
      </c>
      <c r="Q2759" s="2">
        <v>34.880000000000003</v>
      </c>
      <c r="R2759" t="s">
        <v>27</v>
      </c>
      <c r="S2759" t="s">
        <v>54</v>
      </c>
      <c r="T2759" t="s">
        <v>63</v>
      </c>
      <c r="U2759" t="s">
        <v>58</v>
      </c>
    </row>
    <row r="2760" spans="1:21" x14ac:dyDescent="0.35">
      <c r="A2760" t="s">
        <v>2840</v>
      </c>
      <c r="B2760" s="1">
        <v>46313</v>
      </c>
      <c r="C2760" t="str">
        <f>TEXT(tblData[[#This Row],[Rental Date]],"mmm")</f>
        <v>Oct</v>
      </c>
      <c r="D2760" t="str">
        <f>TEXT(tblData[[#This Row],[Rental Date]],"mmmm")</f>
        <v>October</v>
      </c>
      <c r="E2760" t="s">
        <v>68</v>
      </c>
      <c r="F2760" t="str">
        <f>TEXT(WEEKNUM(tblData[[#This Row],[Rental Date]]),"00")</f>
        <v>43</v>
      </c>
      <c r="G2760" s="1">
        <f>EOMONTH(tblData[[#This Row],[Rental Date]],0)</f>
        <v>46326</v>
      </c>
      <c r="H2760" t="s">
        <v>2441</v>
      </c>
      <c r="I2760" t="s">
        <v>39</v>
      </c>
      <c r="J2760" t="s">
        <v>138</v>
      </c>
      <c r="K2760" t="s">
        <v>25</v>
      </c>
      <c r="L2760">
        <v>1</v>
      </c>
      <c r="M2760" s="2">
        <v>51.84</v>
      </c>
      <c r="N2760" t="s">
        <v>89</v>
      </c>
      <c r="O2760" s="3">
        <v>6</v>
      </c>
      <c r="P2760" s="3">
        <v>0</v>
      </c>
      <c r="Q2760" s="2">
        <v>57.84</v>
      </c>
      <c r="R2760" t="s">
        <v>66</v>
      </c>
      <c r="S2760" t="s">
        <v>46</v>
      </c>
      <c r="T2760" t="s">
        <v>29</v>
      </c>
      <c r="U2760" t="s">
        <v>30</v>
      </c>
    </row>
    <row r="2761" spans="1:21" x14ac:dyDescent="0.35">
      <c r="A2761" t="s">
        <v>2841</v>
      </c>
      <c r="B2761" s="1">
        <v>46314</v>
      </c>
      <c r="C2761" t="str">
        <f>TEXT(tblData[[#This Row],[Rental Date]],"mmm")</f>
        <v>Oct</v>
      </c>
      <c r="D2761" t="str">
        <f>TEXT(tblData[[#This Row],[Rental Date]],"mmmm")</f>
        <v>October</v>
      </c>
      <c r="E2761" t="s">
        <v>74</v>
      </c>
      <c r="F2761" t="str">
        <f>TEXT(WEEKNUM(tblData[[#This Row],[Rental Date]]),"00")</f>
        <v>43</v>
      </c>
      <c r="G2761" s="1">
        <f>EOMONTH(tblData[[#This Row],[Rental Date]],0)</f>
        <v>46326</v>
      </c>
      <c r="H2761" t="s">
        <v>2441</v>
      </c>
      <c r="I2761" t="s">
        <v>39</v>
      </c>
      <c r="J2761" t="s">
        <v>127</v>
      </c>
      <c r="K2761" t="s">
        <v>92</v>
      </c>
      <c r="L2761">
        <v>1</v>
      </c>
      <c r="M2761" s="2">
        <v>34</v>
      </c>
      <c r="N2761" t="s">
        <v>26</v>
      </c>
      <c r="O2761" s="3">
        <v>0</v>
      </c>
      <c r="P2761" s="3">
        <v>0</v>
      </c>
      <c r="Q2761" s="2">
        <v>34</v>
      </c>
      <c r="R2761" t="s">
        <v>42</v>
      </c>
      <c r="S2761" t="s">
        <v>46</v>
      </c>
      <c r="T2761" t="s">
        <v>51</v>
      </c>
      <c r="U2761" t="s">
        <v>30</v>
      </c>
    </row>
    <row r="2762" spans="1:21" x14ac:dyDescent="0.35">
      <c r="A2762" t="s">
        <v>2842</v>
      </c>
      <c r="B2762" s="1">
        <v>46314</v>
      </c>
      <c r="C2762" t="str">
        <f>TEXT(tblData[[#This Row],[Rental Date]],"mmm")</f>
        <v>Oct</v>
      </c>
      <c r="D2762" t="str">
        <f>TEXT(tblData[[#This Row],[Rental Date]],"mmmm")</f>
        <v>October</v>
      </c>
      <c r="E2762" t="s">
        <v>74</v>
      </c>
      <c r="F2762" t="str">
        <f>TEXT(WEEKNUM(tblData[[#This Row],[Rental Date]]),"00")</f>
        <v>43</v>
      </c>
      <c r="G2762" s="1">
        <f>EOMONTH(tblData[[#This Row],[Rental Date]],0)</f>
        <v>46326</v>
      </c>
      <c r="H2762" t="s">
        <v>2441</v>
      </c>
      <c r="I2762" t="s">
        <v>23</v>
      </c>
      <c r="J2762" t="s">
        <v>24</v>
      </c>
      <c r="K2762" t="s">
        <v>25</v>
      </c>
      <c r="L2762">
        <v>1</v>
      </c>
      <c r="M2762" s="2">
        <v>50</v>
      </c>
      <c r="N2762" t="s">
        <v>61</v>
      </c>
      <c r="O2762" s="3">
        <v>8</v>
      </c>
      <c r="P2762" s="3">
        <v>0</v>
      </c>
      <c r="Q2762" s="2">
        <v>58</v>
      </c>
      <c r="R2762" t="s">
        <v>42</v>
      </c>
      <c r="S2762" t="s">
        <v>35</v>
      </c>
      <c r="T2762" t="s">
        <v>29</v>
      </c>
      <c r="U2762" t="s">
        <v>79</v>
      </c>
    </row>
    <row r="2763" spans="1:21" x14ac:dyDescent="0.35">
      <c r="A2763" t="s">
        <v>2843</v>
      </c>
      <c r="B2763" s="1">
        <v>46314</v>
      </c>
      <c r="C2763" t="str">
        <f>TEXT(tblData[[#This Row],[Rental Date]],"mmm")</f>
        <v>Oct</v>
      </c>
      <c r="D2763" t="str">
        <f>TEXT(tblData[[#This Row],[Rental Date]],"mmmm")</f>
        <v>October</v>
      </c>
      <c r="E2763" t="s">
        <v>74</v>
      </c>
      <c r="F2763" t="str">
        <f>TEXT(WEEKNUM(tblData[[#This Row],[Rental Date]]),"00")</f>
        <v>43</v>
      </c>
      <c r="G2763" s="1">
        <f>EOMONTH(tblData[[#This Row],[Rental Date]],0)</f>
        <v>46326</v>
      </c>
      <c r="H2763" t="s">
        <v>2441</v>
      </c>
      <c r="I2763" t="s">
        <v>23</v>
      </c>
      <c r="J2763" t="s">
        <v>78</v>
      </c>
      <c r="K2763" t="s">
        <v>25</v>
      </c>
      <c r="L2763">
        <v>1</v>
      </c>
      <c r="M2763" s="2">
        <v>42</v>
      </c>
      <c r="N2763" t="s">
        <v>87</v>
      </c>
      <c r="O2763" s="3">
        <v>10</v>
      </c>
      <c r="P2763" s="3">
        <v>0</v>
      </c>
      <c r="Q2763" s="2">
        <v>52</v>
      </c>
      <c r="R2763" t="s">
        <v>45</v>
      </c>
      <c r="S2763" t="s">
        <v>35</v>
      </c>
      <c r="T2763" t="s">
        <v>29</v>
      </c>
      <c r="U2763" t="s">
        <v>30</v>
      </c>
    </row>
    <row r="2764" spans="1:21" x14ac:dyDescent="0.35">
      <c r="A2764" t="s">
        <v>2844</v>
      </c>
      <c r="B2764" s="1">
        <v>46314</v>
      </c>
      <c r="C2764" t="str">
        <f>TEXT(tblData[[#This Row],[Rental Date]],"mmm")</f>
        <v>Oct</v>
      </c>
      <c r="D2764" t="str">
        <f>TEXT(tblData[[#This Row],[Rental Date]],"mmmm")</f>
        <v>October</v>
      </c>
      <c r="E2764" t="s">
        <v>74</v>
      </c>
      <c r="F2764" t="str">
        <f>TEXT(WEEKNUM(tblData[[#This Row],[Rental Date]]),"00")</f>
        <v>43</v>
      </c>
      <c r="G2764" s="1">
        <f>EOMONTH(tblData[[#This Row],[Rental Date]],0)</f>
        <v>46326</v>
      </c>
      <c r="H2764" t="s">
        <v>2441</v>
      </c>
      <c r="I2764" t="s">
        <v>53</v>
      </c>
      <c r="J2764" t="s">
        <v>44</v>
      </c>
      <c r="K2764" t="s">
        <v>60</v>
      </c>
      <c r="L2764">
        <v>1</v>
      </c>
      <c r="M2764" s="2">
        <v>34</v>
      </c>
      <c r="N2764" t="s">
        <v>26</v>
      </c>
      <c r="O2764" s="3">
        <v>0</v>
      </c>
      <c r="P2764" s="3">
        <v>5.0999999999999996</v>
      </c>
      <c r="Q2764" s="2">
        <v>28.9</v>
      </c>
      <c r="R2764" t="s">
        <v>42</v>
      </c>
      <c r="S2764" t="s">
        <v>46</v>
      </c>
      <c r="T2764" t="s">
        <v>29</v>
      </c>
      <c r="U2764" t="s">
        <v>58</v>
      </c>
    </row>
    <row r="2765" spans="1:21" x14ac:dyDescent="0.35">
      <c r="A2765" t="s">
        <v>2845</v>
      </c>
      <c r="B2765" s="1">
        <v>46315</v>
      </c>
      <c r="C2765" t="str">
        <f>TEXT(tblData[[#This Row],[Rental Date]],"mmm")</f>
        <v>Oct</v>
      </c>
      <c r="D2765" t="str">
        <f>TEXT(tblData[[#This Row],[Rental Date]],"mmmm")</f>
        <v>October</v>
      </c>
      <c r="E2765" t="s">
        <v>102</v>
      </c>
      <c r="F2765" t="str">
        <f>TEXT(WEEKNUM(tblData[[#This Row],[Rental Date]]),"00")</f>
        <v>43</v>
      </c>
      <c r="G2765" s="1">
        <f>EOMONTH(tblData[[#This Row],[Rental Date]],0)</f>
        <v>46326</v>
      </c>
      <c r="H2765" t="s">
        <v>2441</v>
      </c>
      <c r="I2765" t="s">
        <v>23</v>
      </c>
      <c r="J2765" t="s">
        <v>49</v>
      </c>
      <c r="K2765" t="s">
        <v>25</v>
      </c>
      <c r="L2765">
        <v>1</v>
      </c>
      <c r="M2765" s="2">
        <v>36</v>
      </c>
      <c r="N2765" t="s">
        <v>70</v>
      </c>
      <c r="O2765" s="3">
        <v>7</v>
      </c>
      <c r="P2765" s="3">
        <v>0</v>
      </c>
      <c r="Q2765" s="2">
        <v>43</v>
      </c>
      <c r="R2765" t="s">
        <v>94</v>
      </c>
      <c r="S2765" t="s">
        <v>46</v>
      </c>
      <c r="T2765" t="s">
        <v>29</v>
      </c>
      <c r="U2765" t="s">
        <v>36</v>
      </c>
    </row>
    <row r="2766" spans="1:21" x14ac:dyDescent="0.35">
      <c r="A2766" t="s">
        <v>2846</v>
      </c>
      <c r="B2766" s="1">
        <v>46315</v>
      </c>
      <c r="C2766" t="str">
        <f>TEXT(tblData[[#This Row],[Rental Date]],"mmm")</f>
        <v>Oct</v>
      </c>
      <c r="D2766" t="str">
        <f>TEXT(tblData[[#This Row],[Rental Date]],"mmmm")</f>
        <v>October</v>
      </c>
      <c r="E2766" t="s">
        <v>102</v>
      </c>
      <c r="F2766" t="str">
        <f>TEXT(WEEKNUM(tblData[[#This Row],[Rental Date]]),"00")</f>
        <v>43</v>
      </c>
      <c r="G2766" s="1">
        <f>EOMONTH(tblData[[#This Row],[Rental Date]],0)</f>
        <v>46326</v>
      </c>
      <c r="H2766" t="s">
        <v>2441</v>
      </c>
      <c r="I2766" t="s">
        <v>23</v>
      </c>
      <c r="J2766" t="s">
        <v>78</v>
      </c>
      <c r="K2766" t="s">
        <v>40</v>
      </c>
      <c r="L2766">
        <v>1</v>
      </c>
      <c r="M2766" s="2">
        <v>62</v>
      </c>
      <c r="N2766" t="s">
        <v>41</v>
      </c>
      <c r="O2766" s="3">
        <v>5</v>
      </c>
      <c r="P2766" s="3">
        <v>0</v>
      </c>
      <c r="Q2766" s="2">
        <v>67</v>
      </c>
      <c r="R2766" t="s">
        <v>66</v>
      </c>
      <c r="S2766" t="s">
        <v>35</v>
      </c>
      <c r="T2766" t="s">
        <v>29</v>
      </c>
      <c r="U2766" t="s">
        <v>58</v>
      </c>
    </row>
    <row r="2767" spans="1:21" x14ac:dyDescent="0.35">
      <c r="A2767" t="s">
        <v>2847</v>
      </c>
      <c r="B2767" s="1">
        <v>46316</v>
      </c>
      <c r="C2767" t="str">
        <f>TEXT(tblData[[#This Row],[Rental Date]],"mmm")</f>
        <v>Oct</v>
      </c>
      <c r="D2767" t="str">
        <f>TEXT(tblData[[#This Row],[Rental Date]],"mmmm")</f>
        <v>October</v>
      </c>
      <c r="E2767" t="s">
        <v>109</v>
      </c>
      <c r="F2767" t="str">
        <f>TEXT(WEEKNUM(tblData[[#This Row],[Rental Date]]),"00")</f>
        <v>43</v>
      </c>
      <c r="G2767" s="1">
        <f>EOMONTH(tblData[[#This Row],[Rental Date]],0)</f>
        <v>46326</v>
      </c>
      <c r="H2767" t="s">
        <v>2441</v>
      </c>
      <c r="I2767" t="s">
        <v>39</v>
      </c>
      <c r="J2767" t="s">
        <v>49</v>
      </c>
      <c r="K2767" t="s">
        <v>60</v>
      </c>
      <c r="L2767">
        <v>1</v>
      </c>
      <c r="M2767" s="2">
        <v>22</v>
      </c>
      <c r="N2767" t="s">
        <v>70</v>
      </c>
      <c r="O2767" s="3">
        <v>7</v>
      </c>
      <c r="P2767" s="3">
        <v>0</v>
      </c>
      <c r="Q2767" s="2">
        <v>29</v>
      </c>
      <c r="R2767" t="s">
        <v>94</v>
      </c>
      <c r="S2767" t="s">
        <v>35</v>
      </c>
      <c r="T2767" t="s">
        <v>90</v>
      </c>
      <c r="U2767" t="s">
        <v>58</v>
      </c>
    </row>
    <row r="2768" spans="1:21" x14ac:dyDescent="0.35">
      <c r="A2768" t="s">
        <v>2848</v>
      </c>
      <c r="B2768" s="1">
        <v>46316</v>
      </c>
      <c r="C2768" t="str">
        <f>TEXT(tblData[[#This Row],[Rental Date]],"mmm")</f>
        <v>Oct</v>
      </c>
      <c r="D2768" t="str">
        <f>TEXT(tblData[[#This Row],[Rental Date]],"mmmm")</f>
        <v>October</v>
      </c>
      <c r="E2768" t="s">
        <v>109</v>
      </c>
      <c r="F2768" t="str">
        <f>TEXT(WEEKNUM(tblData[[#This Row],[Rental Date]]),"00")</f>
        <v>43</v>
      </c>
      <c r="G2768" s="1">
        <f>EOMONTH(tblData[[#This Row],[Rental Date]],0)</f>
        <v>46326</v>
      </c>
      <c r="H2768" t="s">
        <v>2441</v>
      </c>
      <c r="I2768" t="s">
        <v>48</v>
      </c>
      <c r="J2768" t="s">
        <v>111</v>
      </c>
      <c r="K2768" t="s">
        <v>25</v>
      </c>
      <c r="L2768">
        <v>1</v>
      </c>
      <c r="M2768" s="2">
        <v>22</v>
      </c>
      <c r="N2768" t="s">
        <v>26</v>
      </c>
      <c r="O2768" s="3">
        <v>0</v>
      </c>
      <c r="P2768" s="3">
        <v>0</v>
      </c>
      <c r="Q2768" s="2">
        <v>22</v>
      </c>
      <c r="R2768" t="s">
        <v>27</v>
      </c>
      <c r="S2768" t="s">
        <v>54</v>
      </c>
      <c r="T2768" t="s">
        <v>51</v>
      </c>
      <c r="U2768" t="s">
        <v>30</v>
      </c>
    </row>
    <row r="2769" spans="1:21" x14ac:dyDescent="0.35">
      <c r="A2769" t="s">
        <v>2849</v>
      </c>
      <c r="B2769" s="1">
        <v>46316</v>
      </c>
      <c r="C2769" t="str">
        <f>TEXT(tblData[[#This Row],[Rental Date]],"mmm")</f>
        <v>Oct</v>
      </c>
      <c r="D2769" t="str">
        <f>TEXT(tblData[[#This Row],[Rental Date]],"mmmm")</f>
        <v>October</v>
      </c>
      <c r="E2769" t="s">
        <v>109</v>
      </c>
      <c r="F2769" t="str">
        <f>TEXT(WEEKNUM(tblData[[#This Row],[Rental Date]]),"00")</f>
        <v>43</v>
      </c>
      <c r="G2769" s="1">
        <f>EOMONTH(tblData[[#This Row],[Rental Date]],0)</f>
        <v>46326</v>
      </c>
      <c r="H2769" t="s">
        <v>2441</v>
      </c>
      <c r="I2769" t="s">
        <v>48</v>
      </c>
      <c r="J2769" t="s">
        <v>49</v>
      </c>
      <c r="K2769" t="s">
        <v>40</v>
      </c>
      <c r="L2769">
        <v>1</v>
      </c>
      <c r="M2769" s="2">
        <v>54</v>
      </c>
      <c r="N2769" t="s">
        <v>75</v>
      </c>
      <c r="O2769" s="3">
        <v>12</v>
      </c>
      <c r="P2769" s="3">
        <v>0</v>
      </c>
      <c r="Q2769" s="2">
        <v>66</v>
      </c>
      <c r="R2769" t="s">
        <v>71</v>
      </c>
      <c r="S2769" t="s">
        <v>28</v>
      </c>
      <c r="T2769" t="s">
        <v>90</v>
      </c>
      <c r="U2769" t="s">
        <v>30</v>
      </c>
    </row>
    <row r="2770" spans="1:21" x14ac:dyDescent="0.35">
      <c r="A2770" t="s">
        <v>2850</v>
      </c>
      <c r="B2770" s="1">
        <v>46316</v>
      </c>
      <c r="C2770" t="str">
        <f>TEXT(tblData[[#This Row],[Rental Date]],"mmm")</f>
        <v>Oct</v>
      </c>
      <c r="D2770" t="str">
        <f>TEXT(tblData[[#This Row],[Rental Date]],"mmmm")</f>
        <v>October</v>
      </c>
      <c r="E2770" t="s">
        <v>109</v>
      </c>
      <c r="F2770" t="str">
        <f>TEXT(WEEKNUM(tblData[[#This Row],[Rental Date]]),"00")</f>
        <v>43</v>
      </c>
      <c r="G2770" s="1">
        <f>EOMONTH(tblData[[#This Row],[Rental Date]],0)</f>
        <v>46326</v>
      </c>
      <c r="H2770" t="s">
        <v>2441</v>
      </c>
      <c r="I2770" t="s">
        <v>23</v>
      </c>
      <c r="J2770" t="s">
        <v>78</v>
      </c>
      <c r="K2770" t="s">
        <v>25</v>
      </c>
      <c r="L2770">
        <v>1</v>
      </c>
      <c r="M2770" s="2">
        <v>42</v>
      </c>
      <c r="N2770" t="s">
        <v>26</v>
      </c>
      <c r="O2770" s="3">
        <v>0</v>
      </c>
      <c r="P2770" s="3">
        <v>0</v>
      </c>
      <c r="Q2770" s="2">
        <v>42</v>
      </c>
      <c r="R2770" t="s">
        <v>71</v>
      </c>
      <c r="S2770" t="s">
        <v>50</v>
      </c>
      <c r="T2770" t="s">
        <v>29</v>
      </c>
      <c r="U2770" t="s">
        <v>30</v>
      </c>
    </row>
    <row r="2771" spans="1:21" x14ac:dyDescent="0.35">
      <c r="A2771" t="s">
        <v>2851</v>
      </c>
      <c r="B2771" s="1">
        <v>46316</v>
      </c>
      <c r="C2771" t="str">
        <f>TEXT(tblData[[#This Row],[Rental Date]],"mmm")</f>
        <v>Oct</v>
      </c>
      <c r="D2771" t="str">
        <f>TEXT(tblData[[#This Row],[Rental Date]],"mmmm")</f>
        <v>October</v>
      </c>
      <c r="E2771" t="s">
        <v>109</v>
      </c>
      <c r="F2771" t="str">
        <f>TEXT(WEEKNUM(tblData[[#This Row],[Rental Date]]),"00")</f>
        <v>43</v>
      </c>
      <c r="G2771" s="1">
        <f>EOMONTH(tblData[[#This Row],[Rental Date]],0)</f>
        <v>46326</v>
      </c>
      <c r="H2771" t="s">
        <v>2441</v>
      </c>
      <c r="I2771" t="s">
        <v>53</v>
      </c>
      <c r="J2771" t="s">
        <v>65</v>
      </c>
      <c r="K2771" t="s">
        <v>92</v>
      </c>
      <c r="L2771">
        <v>1</v>
      </c>
      <c r="M2771" s="2">
        <v>40</v>
      </c>
      <c r="N2771" t="s">
        <v>26</v>
      </c>
      <c r="O2771" s="3">
        <v>0</v>
      </c>
      <c r="P2771" s="3">
        <v>4</v>
      </c>
      <c r="Q2771" s="2">
        <v>36</v>
      </c>
      <c r="R2771" t="s">
        <v>71</v>
      </c>
      <c r="S2771" t="s">
        <v>54</v>
      </c>
      <c r="T2771" t="s">
        <v>90</v>
      </c>
      <c r="U2771" t="s">
        <v>30</v>
      </c>
    </row>
    <row r="2772" spans="1:21" x14ac:dyDescent="0.35">
      <c r="A2772" t="s">
        <v>2852</v>
      </c>
      <c r="B2772" s="1">
        <v>46317</v>
      </c>
      <c r="C2772" t="str">
        <f>TEXT(tblData[[#This Row],[Rental Date]],"mmm")</f>
        <v>Oct</v>
      </c>
      <c r="D2772" t="str">
        <f>TEXT(tblData[[#This Row],[Rental Date]],"mmmm")</f>
        <v>October</v>
      </c>
      <c r="E2772" t="s">
        <v>21</v>
      </c>
      <c r="F2772" t="str">
        <f>TEXT(WEEKNUM(tblData[[#This Row],[Rental Date]]),"00")</f>
        <v>43</v>
      </c>
      <c r="G2772" s="1">
        <f>EOMONTH(tblData[[#This Row],[Rental Date]],0)</f>
        <v>46326</v>
      </c>
      <c r="H2772" t="s">
        <v>2441</v>
      </c>
      <c r="I2772" t="s">
        <v>48</v>
      </c>
      <c r="J2772" t="s">
        <v>127</v>
      </c>
      <c r="K2772" t="s">
        <v>25</v>
      </c>
      <c r="L2772">
        <v>1</v>
      </c>
      <c r="M2772" s="2">
        <v>16</v>
      </c>
      <c r="N2772" t="s">
        <v>89</v>
      </c>
      <c r="O2772" s="3">
        <v>6</v>
      </c>
      <c r="P2772" s="3">
        <v>0</v>
      </c>
      <c r="Q2772" s="2">
        <v>22</v>
      </c>
      <c r="R2772" t="s">
        <v>27</v>
      </c>
      <c r="S2772" t="s">
        <v>28</v>
      </c>
      <c r="T2772" t="s">
        <v>51</v>
      </c>
      <c r="U2772" t="s">
        <v>30</v>
      </c>
    </row>
    <row r="2773" spans="1:21" x14ac:dyDescent="0.35">
      <c r="A2773" t="s">
        <v>2853</v>
      </c>
      <c r="B2773" s="1">
        <v>46317</v>
      </c>
      <c r="C2773" t="str">
        <f>TEXT(tblData[[#This Row],[Rental Date]],"mmm")</f>
        <v>Oct</v>
      </c>
      <c r="D2773" t="str">
        <f>TEXT(tblData[[#This Row],[Rental Date]],"mmmm")</f>
        <v>October</v>
      </c>
      <c r="E2773" t="s">
        <v>21</v>
      </c>
      <c r="F2773" t="str">
        <f>TEXT(WEEKNUM(tblData[[#This Row],[Rental Date]]),"00")</f>
        <v>43</v>
      </c>
      <c r="G2773" s="1">
        <f>EOMONTH(tblData[[#This Row],[Rental Date]],0)</f>
        <v>46326</v>
      </c>
      <c r="H2773" t="s">
        <v>2441</v>
      </c>
      <c r="I2773" t="s">
        <v>48</v>
      </c>
      <c r="J2773" t="s">
        <v>24</v>
      </c>
      <c r="K2773" t="s">
        <v>60</v>
      </c>
      <c r="L2773">
        <v>1</v>
      </c>
      <c r="M2773" s="2">
        <v>32</v>
      </c>
      <c r="N2773" t="s">
        <v>26</v>
      </c>
      <c r="O2773" s="3">
        <v>0</v>
      </c>
      <c r="P2773" s="3">
        <v>0</v>
      </c>
      <c r="Q2773" s="2">
        <v>32</v>
      </c>
      <c r="R2773" t="s">
        <v>34</v>
      </c>
      <c r="S2773" t="s">
        <v>50</v>
      </c>
      <c r="T2773" t="s">
        <v>29</v>
      </c>
      <c r="U2773" t="s">
        <v>79</v>
      </c>
    </row>
    <row r="2774" spans="1:21" x14ac:dyDescent="0.35">
      <c r="A2774" t="s">
        <v>2854</v>
      </c>
      <c r="B2774" s="1">
        <v>46317</v>
      </c>
      <c r="C2774" t="str">
        <f>TEXT(tblData[[#This Row],[Rental Date]],"mmm")</f>
        <v>Oct</v>
      </c>
      <c r="D2774" t="str">
        <f>TEXT(tblData[[#This Row],[Rental Date]],"mmmm")</f>
        <v>October</v>
      </c>
      <c r="E2774" t="s">
        <v>21</v>
      </c>
      <c r="F2774" t="str">
        <f>TEXT(WEEKNUM(tblData[[#This Row],[Rental Date]]),"00")</f>
        <v>43</v>
      </c>
      <c r="G2774" s="1">
        <f>EOMONTH(tblData[[#This Row],[Rental Date]],0)</f>
        <v>46326</v>
      </c>
      <c r="H2774" t="s">
        <v>2441</v>
      </c>
      <c r="I2774" t="s">
        <v>39</v>
      </c>
      <c r="J2774" t="s">
        <v>65</v>
      </c>
      <c r="K2774" t="s">
        <v>25</v>
      </c>
      <c r="L2774">
        <v>1</v>
      </c>
      <c r="M2774" s="2">
        <v>18</v>
      </c>
      <c r="N2774" t="s">
        <v>61</v>
      </c>
      <c r="O2774" s="3">
        <v>8</v>
      </c>
      <c r="P2774" s="3">
        <v>0</v>
      </c>
      <c r="Q2774" s="2">
        <v>26</v>
      </c>
      <c r="R2774" t="s">
        <v>34</v>
      </c>
      <c r="S2774" t="s">
        <v>35</v>
      </c>
      <c r="T2774" t="s">
        <v>29</v>
      </c>
      <c r="U2774" t="s">
        <v>30</v>
      </c>
    </row>
    <row r="2775" spans="1:21" x14ac:dyDescent="0.35">
      <c r="A2775" t="s">
        <v>2855</v>
      </c>
      <c r="B2775" s="1">
        <v>46318</v>
      </c>
      <c r="C2775" t="str">
        <f>TEXT(tblData[[#This Row],[Rental Date]],"mmm")</f>
        <v>Oct</v>
      </c>
      <c r="D2775" t="str">
        <f>TEXT(tblData[[#This Row],[Rental Date]],"mmmm")</f>
        <v>October</v>
      </c>
      <c r="E2775" t="s">
        <v>38</v>
      </c>
      <c r="F2775" t="str">
        <f>TEXT(WEEKNUM(tblData[[#This Row],[Rental Date]]),"00")</f>
        <v>43</v>
      </c>
      <c r="G2775" s="1">
        <f>EOMONTH(tblData[[#This Row],[Rental Date]],0)</f>
        <v>46326</v>
      </c>
      <c r="H2775" t="s">
        <v>2441</v>
      </c>
      <c r="I2775" t="s">
        <v>48</v>
      </c>
      <c r="J2775" t="s">
        <v>127</v>
      </c>
      <c r="K2775" t="s">
        <v>25</v>
      </c>
      <c r="L2775">
        <v>1</v>
      </c>
      <c r="M2775" s="2">
        <v>16</v>
      </c>
      <c r="N2775" t="s">
        <v>26</v>
      </c>
      <c r="O2775" s="3">
        <v>0</v>
      </c>
      <c r="P2775" s="3">
        <v>0</v>
      </c>
      <c r="Q2775" s="2">
        <v>16</v>
      </c>
      <c r="R2775" t="s">
        <v>34</v>
      </c>
      <c r="S2775" t="s">
        <v>46</v>
      </c>
      <c r="T2775" t="s">
        <v>29</v>
      </c>
      <c r="U2775" t="s">
        <v>30</v>
      </c>
    </row>
    <row r="2776" spans="1:21" x14ac:dyDescent="0.35">
      <c r="A2776" t="s">
        <v>2856</v>
      </c>
      <c r="B2776" s="1">
        <v>46318</v>
      </c>
      <c r="C2776" t="str">
        <f>TEXT(tblData[[#This Row],[Rental Date]],"mmm")</f>
        <v>Oct</v>
      </c>
      <c r="D2776" t="str">
        <f>TEXT(tblData[[#This Row],[Rental Date]],"mmmm")</f>
        <v>October</v>
      </c>
      <c r="E2776" t="s">
        <v>38</v>
      </c>
      <c r="F2776" t="str">
        <f>TEXT(WEEKNUM(tblData[[#This Row],[Rental Date]]),"00")</f>
        <v>43</v>
      </c>
      <c r="G2776" s="1">
        <f>EOMONTH(tblData[[#This Row],[Rental Date]],0)</f>
        <v>46326</v>
      </c>
      <c r="H2776" t="s">
        <v>2441</v>
      </c>
      <c r="I2776" t="s">
        <v>23</v>
      </c>
      <c r="J2776" t="s">
        <v>65</v>
      </c>
      <c r="K2776" t="s">
        <v>92</v>
      </c>
      <c r="L2776">
        <v>1</v>
      </c>
      <c r="M2776" s="2">
        <v>40</v>
      </c>
      <c r="N2776" t="s">
        <v>70</v>
      </c>
      <c r="O2776" s="3">
        <v>7</v>
      </c>
      <c r="P2776" s="3">
        <v>0</v>
      </c>
      <c r="Q2776" s="2">
        <v>47</v>
      </c>
      <c r="R2776" t="s">
        <v>71</v>
      </c>
      <c r="S2776" t="s">
        <v>46</v>
      </c>
      <c r="T2776" t="s">
        <v>29</v>
      </c>
      <c r="U2776" t="s">
        <v>30</v>
      </c>
    </row>
    <row r="2777" spans="1:21" x14ac:dyDescent="0.35">
      <c r="A2777" t="s">
        <v>2857</v>
      </c>
      <c r="B2777" s="1">
        <v>46319</v>
      </c>
      <c r="C2777" t="str">
        <f>TEXT(tblData[[#This Row],[Rental Date]],"mmm")</f>
        <v>Oct</v>
      </c>
      <c r="D2777" t="str">
        <f>TEXT(tblData[[#This Row],[Rental Date]],"mmmm")</f>
        <v>October</v>
      </c>
      <c r="E2777" t="s">
        <v>56</v>
      </c>
      <c r="F2777" t="str">
        <f>TEXT(WEEKNUM(tblData[[#This Row],[Rental Date]]),"00")</f>
        <v>43</v>
      </c>
      <c r="G2777" s="1">
        <f>EOMONTH(tblData[[#This Row],[Rental Date]],0)</f>
        <v>46326</v>
      </c>
      <c r="H2777" t="s">
        <v>2441</v>
      </c>
      <c r="I2777" t="s">
        <v>48</v>
      </c>
      <c r="J2777" t="s">
        <v>86</v>
      </c>
      <c r="K2777" t="s">
        <v>25</v>
      </c>
      <c r="L2777">
        <v>1</v>
      </c>
      <c r="M2777" s="2">
        <v>62.64</v>
      </c>
      <c r="N2777" t="s">
        <v>41</v>
      </c>
      <c r="O2777" s="3">
        <v>5</v>
      </c>
      <c r="P2777" s="3">
        <v>0</v>
      </c>
      <c r="Q2777" s="2">
        <v>67.64</v>
      </c>
      <c r="R2777" t="s">
        <v>66</v>
      </c>
      <c r="S2777" t="s">
        <v>35</v>
      </c>
      <c r="T2777" t="s">
        <v>29</v>
      </c>
      <c r="U2777" t="s">
        <v>30</v>
      </c>
    </row>
    <row r="2778" spans="1:21" x14ac:dyDescent="0.35">
      <c r="A2778" t="s">
        <v>2858</v>
      </c>
      <c r="B2778" s="1">
        <v>46319</v>
      </c>
      <c r="C2778" t="str">
        <f>TEXT(tblData[[#This Row],[Rental Date]],"mmm")</f>
        <v>Oct</v>
      </c>
      <c r="D2778" t="str">
        <f>TEXT(tblData[[#This Row],[Rental Date]],"mmmm")</f>
        <v>October</v>
      </c>
      <c r="E2778" t="s">
        <v>56</v>
      </c>
      <c r="F2778" t="str">
        <f>TEXT(WEEKNUM(tblData[[#This Row],[Rental Date]]),"00")</f>
        <v>43</v>
      </c>
      <c r="G2778" s="1">
        <f>EOMONTH(tblData[[#This Row],[Rental Date]],0)</f>
        <v>46326</v>
      </c>
      <c r="H2778" t="s">
        <v>2441</v>
      </c>
      <c r="I2778" t="s">
        <v>23</v>
      </c>
      <c r="J2778" t="s">
        <v>127</v>
      </c>
      <c r="K2778" t="s">
        <v>40</v>
      </c>
      <c r="L2778">
        <v>1</v>
      </c>
      <c r="M2778" s="2">
        <v>25.92</v>
      </c>
      <c r="N2778" t="s">
        <v>61</v>
      </c>
      <c r="O2778" s="3">
        <v>8</v>
      </c>
      <c r="P2778" s="3">
        <v>0</v>
      </c>
      <c r="Q2778" s="2">
        <v>33.92</v>
      </c>
      <c r="R2778" t="s">
        <v>45</v>
      </c>
      <c r="S2778" t="s">
        <v>35</v>
      </c>
      <c r="T2778" t="s">
        <v>29</v>
      </c>
      <c r="U2778" t="s">
        <v>79</v>
      </c>
    </row>
    <row r="2779" spans="1:21" x14ac:dyDescent="0.35">
      <c r="A2779" t="s">
        <v>2859</v>
      </c>
      <c r="B2779" s="1">
        <v>46319</v>
      </c>
      <c r="C2779" t="str">
        <f>TEXT(tblData[[#This Row],[Rental Date]],"mmm")</f>
        <v>Oct</v>
      </c>
      <c r="D2779" t="str">
        <f>TEXT(tblData[[#This Row],[Rental Date]],"mmmm")</f>
        <v>October</v>
      </c>
      <c r="E2779" t="s">
        <v>56</v>
      </c>
      <c r="F2779" t="str">
        <f>TEXT(WEEKNUM(tblData[[#This Row],[Rental Date]]),"00")</f>
        <v>43</v>
      </c>
      <c r="G2779" s="1">
        <f>EOMONTH(tblData[[#This Row],[Rental Date]],0)</f>
        <v>46326</v>
      </c>
      <c r="H2779" t="s">
        <v>2441</v>
      </c>
      <c r="I2779" t="s">
        <v>23</v>
      </c>
      <c r="J2779" t="s">
        <v>78</v>
      </c>
      <c r="K2779" t="s">
        <v>25</v>
      </c>
      <c r="L2779">
        <v>1</v>
      </c>
      <c r="M2779" s="2">
        <v>45.36</v>
      </c>
      <c r="N2779" t="s">
        <v>70</v>
      </c>
      <c r="O2779" s="3">
        <v>7</v>
      </c>
      <c r="P2779" s="3">
        <v>0</v>
      </c>
      <c r="Q2779" s="2">
        <v>52.36</v>
      </c>
      <c r="R2779" t="s">
        <v>34</v>
      </c>
      <c r="S2779" t="s">
        <v>35</v>
      </c>
      <c r="T2779" t="s">
        <v>29</v>
      </c>
      <c r="U2779" t="s">
        <v>30</v>
      </c>
    </row>
    <row r="2780" spans="1:21" x14ac:dyDescent="0.35">
      <c r="A2780" t="s">
        <v>2860</v>
      </c>
      <c r="B2780" s="1">
        <v>46319</v>
      </c>
      <c r="C2780" t="str">
        <f>TEXT(tblData[[#This Row],[Rental Date]],"mmm")</f>
        <v>Oct</v>
      </c>
      <c r="D2780" t="str">
        <f>TEXT(tblData[[#This Row],[Rental Date]],"mmmm")</f>
        <v>October</v>
      </c>
      <c r="E2780" t="s">
        <v>56</v>
      </c>
      <c r="F2780" t="str">
        <f>TEXT(WEEKNUM(tblData[[#This Row],[Rental Date]]),"00")</f>
        <v>43</v>
      </c>
      <c r="G2780" s="1">
        <f>EOMONTH(tblData[[#This Row],[Rental Date]],0)</f>
        <v>46326</v>
      </c>
      <c r="H2780" t="s">
        <v>2441</v>
      </c>
      <c r="I2780" t="s">
        <v>23</v>
      </c>
      <c r="J2780" t="s">
        <v>44</v>
      </c>
      <c r="K2780" t="s">
        <v>60</v>
      </c>
      <c r="L2780">
        <v>1</v>
      </c>
      <c r="M2780" s="2">
        <v>36.72</v>
      </c>
      <c r="N2780" t="s">
        <v>89</v>
      </c>
      <c r="O2780" s="3">
        <v>6</v>
      </c>
      <c r="P2780" s="3">
        <v>0</v>
      </c>
      <c r="Q2780" s="2">
        <v>42.72</v>
      </c>
      <c r="R2780" t="s">
        <v>57</v>
      </c>
      <c r="S2780" t="s">
        <v>28</v>
      </c>
      <c r="T2780" t="s">
        <v>51</v>
      </c>
      <c r="U2780" t="s">
        <v>30</v>
      </c>
    </row>
    <row r="2781" spans="1:21" x14ac:dyDescent="0.35">
      <c r="A2781" t="s">
        <v>2861</v>
      </c>
      <c r="B2781" s="1">
        <v>46319</v>
      </c>
      <c r="C2781" t="str">
        <f>TEXT(tblData[[#This Row],[Rental Date]],"mmm")</f>
        <v>Oct</v>
      </c>
      <c r="D2781" t="str">
        <f>TEXT(tblData[[#This Row],[Rental Date]],"mmmm")</f>
        <v>October</v>
      </c>
      <c r="E2781" t="s">
        <v>56</v>
      </c>
      <c r="F2781" t="str">
        <f>TEXT(WEEKNUM(tblData[[#This Row],[Rental Date]]),"00")</f>
        <v>43</v>
      </c>
      <c r="G2781" s="1">
        <f>EOMONTH(tblData[[#This Row],[Rental Date]],0)</f>
        <v>46326</v>
      </c>
      <c r="H2781" t="s">
        <v>2441</v>
      </c>
      <c r="I2781" t="s">
        <v>23</v>
      </c>
      <c r="J2781" t="s">
        <v>49</v>
      </c>
      <c r="K2781" t="s">
        <v>60</v>
      </c>
      <c r="L2781">
        <v>1</v>
      </c>
      <c r="M2781" s="2">
        <v>23.76</v>
      </c>
      <c r="N2781" t="s">
        <v>70</v>
      </c>
      <c r="O2781" s="3">
        <v>7</v>
      </c>
      <c r="P2781" s="3">
        <v>0</v>
      </c>
      <c r="Q2781" s="2">
        <v>30.76</v>
      </c>
      <c r="R2781" t="s">
        <v>27</v>
      </c>
      <c r="S2781" t="s">
        <v>54</v>
      </c>
      <c r="T2781" t="s">
        <v>51</v>
      </c>
      <c r="U2781" t="s">
        <v>30</v>
      </c>
    </row>
    <row r="2782" spans="1:21" x14ac:dyDescent="0.35">
      <c r="A2782" t="s">
        <v>2862</v>
      </c>
      <c r="B2782" s="1">
        <v>46319</v>
      </c>
      <c r="C2782" t="str">
        <f>TEXT(tblData[[#This Row],[Rental Date]],"mmm")</f>
        <v>Oct</v>
      </c>
      <c r="D2782" t="str">
        <f>TEXT(tblData[[#This Row],[Rental Date]],"mmmm")</f>
        <v>October</v>
      </c>
      <c r="E2782" t="s">
        <v>56</v>
      </c>
      <c r="F2782" t="str">
        <f>TEXT(WEEKNUM(tblData[[#This Row],[Rental Date]]),"00")</f>
        <v>43</v>
      </c>
      <c r="G2782" s="1">
        <f>EOMONTH(tblData[[#This Row],[Rental Date]],0)</f>
        <v>46326</v>
      </c>
      <c r="H2782" t="s">
        <v>2441</v>
      </c>
      <c r="I2782" t="s">
        <v>48</v>
      </c>
      <c r="J2782" t="s">
        <v>127</v>
      </c>
      <c r="K2782" t="s">
        <v>60</v>
      </c>
      <c r="L2782">
        <v>1</v>
      </c>
      <c r="M2782" s="2">
        <v>10.8</v>
      </c>
      <c r="N2782" t="s">
        <v>26</v>
      </c>
      <c r="O2782" s="3">
        <v>0</v>
      </c>
      <c r="P2782" s="3">
        <v>0</v>
      </c>
      <c r="Q2782" s="2">
        <v>10.8</v>
      </c>
      <c r="R2782" t="s">
        <v>76</v>
      </c>
      <c r="S2782" t="s">
        <v>54</v>
      </c>
      <c r="T2782" t="s">
        <v>90</v>
      </c>
      <c r="U2782" t="s">
        <v>30</v>
      </c>
    </row>
    <row r="2783" spans="1:21" x14ac:dyDescent="0.35">
      <c r="A2783" t="s">
        <v>2863</v>
      </c>
      <c r="B2783" s="1">
        <v>46319</v>
      </c>
      <c r="C2783" t="str">
        <f>TEXT(tblData[[#This Row],[Rental Date]],"mmm")</f>
        <v>Oct</v>
      </c>
      <c r="D2783" t="str">
        <f>TEXT(tblData[[#This Row],[Rental Date]],"mmmm")</f>
        <v>October</v>
      </c>
      <c r="E2783" t="s">
        <v>56</v>
      </c>
      <c r="F2783" t="str">
        <f>TEXT(WEEKNUM(tblData[[#This Row],[Rental Date]]),"00")</f>
        <v>43</v>
      </c>
      <c r="G2783" s="1">
        <f>EOMONTH(tblData[[#This Row],[Rental Date]],0)</f>
        <v>46326</v>
      </c>
      <c r="H2783" t="s">
        <v>2441</v>
      </c>
      <c r="I2783" t="s">
        <v>32</v>
      </c>
      <c r="J2783" t="s">
        <v>127</v>
      </c>
      <c r="K2783" t="s">
        <v>40</v>
      </c>
      <c r="L2783">
        <v>1</v>
      </c>
      <c r="M2783" s="2">
        <v>25.92</v>
      </c>
      <c r="N2783" t="s">
        <v>70</v>
      </c>
      <c r="O2783" s="3">
        <v>7</v>
      </c>
      <c r="P2783" s="3">
        <v>3.29</v>
      </c>
      <c r="Q2783" s="2">
        <v>29.63</v>
      </c>
      <c r="R2783" t="s">
        <v>94</v>
      </c>
      <c r="S2783" t="s">
        <v>50</v>
      </c>
      <c r="T2783" t="s">
        <v>29</v>
      </c>
      <c r="U2783" t="s">
        <v>36</v>
      </c>
    </row>
    <row r="2784" spans="1:21" x14ac:dyDescent="0.35">
      <c r="A2784" t="s">
        <v>2864</v>
      </c>
      <c r="B2784" s="1">
        <v>46319</v>
      </c>
      <c r="C2784" t="str">
        <f>TEXT(tblData[[#This Row],[Rental Date]],"mmm")</f>
        <v>Oct</v>
      </c>
      <c r="D2784" t="str">
        <f>TEXT(tblData[[#This Row],[Rental Date]],"mmmm")</f>
        <v>October</v>
      </c>
      <c r="E2784" t="s">
        <v>56</v>
      </c>
      <c r="F2784" t="str">
        <f>TEXT(WEEKNUM(tblData[[#This Row],[Rental Date]]),"00")</f>
        <v>43</v>
      </c>
      <c r="G2784" s="1">
        <f>EOMONTH(tblData[[#This Row],[Rental Date]],0)</f>
        <v>46326</v>
      </c>
      <c r="H2784" t="s">
        <v>2441</v>
      </c>
      <c r="I2784" t="s">
        <v>48</v>
      </c>
      <c r="J2784" t="s">
        <v>138</v>
      </c>
      <c r="K2784" t="s">
        <v>25</v>
      </c>
      <c r="L2784">
        <v>1</v>
      </c>
      <c r="M2784" s="2">
        <v>51.84</v>
      </c>
      <c r="N2784" t="s">
        <v>26</v>
      </c>
      <c r="O2784" s="3">
        <v>0</v>
      </c>
      <c r="P2784" s="3">
        <v>0</v>
      </c>
      <c r="Q2784" s="2">
        <v>51.84</v>
      </c>
      <c r="R2784" t="s">
        <v>71</v>
      </c>
      <c r="S2784" t="s">
        <v>50</v>
      </c>
      <c r="T2784" t="s">
        <v>63</v>
      </c>
      <c r="U2784" t="s">
        <v>30</v>
      </c>
    </row>
    <row r="2785" spans="1:21" x14ac:dyDescent="0.35">
      <c r="A2785" t="s">
        <v>2865</v>
      </c>
      <c r="B2785" s="1">
        <v>46319</v>
      </c>
      <c r="C2785" t="str">
        <f>TEXT(tblData[[#This Row],[Rental Date]],"mmm")</f>
        <v>Oct</v>
      </c>
      <c r="D2785" t="str">
        <f>TEXT(tblData[[#This Row],[Rental Date]],"mmmm")</f>
        <v>October</v>
      </c>
      <c r="E2785" t="s">
        <v>56</v>
      </c>
      <c r="F2785" t="str">
        <f>TEXT(WEEKNUM(tblData[[#This Row],[Rental Date]]),"00")</f>
        <v>43</v>
      </c>
      <c r="G2785" s="1">
        <f>EOMONTH(tblData[[#This Row],[Rental Date]],0)</f>
        <v>46326</v>
      </c>
      <c r="H2785" t="s">
        <v>2441</v>
      </c>
      <c r="I2785" t="s">
        <v>48</v>
      </c>
      <c r="J2785" t="s">
        <v>44</v>
      </c>
      <c r="K2785" t="s">
        <v>25</v>
      </c>
      <c r="L2785">
        <v>1</v>
      </c>
      <c r="M2785" s="2">
        <v>56.16</v>
      </c>
      <c r="N2785" t="s">
        <v>41</v>
      </c>
      <c r="O2785" s="3">
        <v>5</v>
      </c>
      <c r="P2785" s="3">
        <v>0</v>
      </c>
      <c r="Q2785" s="2">
        <v>61.16</v>
      </c>
      <c r="R2785" t="s">
        <v>45</v>
      </c>
      <c r="S2785" t="s">
        <v>35</v>
      </c>
      <c r="T2785" t="s">
        <v>29</v>
      </c>
      <c r="U2785" t="s">
        <v>30</v>
      </c>
    </row>
    <row r="2786" spans="1:21" x14ac:dyDescent="0.35">
      <c r="A2786" t="s">
        <v>2866</v>
      </c>
      <c r="B2786" s="1">
        <v>46319</v>
      </c>
      <c r="C2786" t="str">
        <f>TEXT(tblData[[#This Row],[Rental Date]],"mmm")</f>
        <v>Oct</v>
      </c>
      <c r="D2786" t="str">
        <f>TEXT(tblData[[#This Row],[Rental Date]],"mmmm")</f>
        <v>October</v>
      </c>
      <c r="E2786" t="s">
        <v>56</v>
      </c>
      <c r="F2786" t="str">
        <f>TEXT(WEEKNUM(tblData[[#This Row],[Rental Date]]),"00")</f>
        <v>43</v>
      </c>
      <c r="G2786" s="1">
        <f>EOMONTH(tblData[[#This Row],[Rental Date]],0)</f>
        <v>46326</v>
      </c>
      <c r="H2786" t="s">
        <v>2441</v>
      </c>
      <c r="I2786" t="s">
        <v>39</v>
      </c>
      <c r="J2786" t="s">
        <v>65</v>
      </c>
      <c r="K2786" t="s">
        <v>40</v>
      </c>
      <c r="L2786">
        <v>1</v>
      </c>
      <c r="M2786" s="2">
        <v>30.24</v>
      </c>
      <c r="N2786" t="s">
        <v>26</v>
      </c>
      <c r="O2786" s="3">
        <v>0</v>
      </c>
      <c r="P2786" s="3">
        <v>0</v>
      </c>
      <c r="Q2786" s="2">
        <v>30.24</v>
      </c>
      <c r="R2786" t="s">
        <v>45</v>
      </c>
      <c r="S2786" t="s">
        <v>50</v>
      </c>
      <c r="T2786" t="s">
        <v>51</v>
      </c>
      <c r="U2786" t="s">
        <v>30</v>
      </c>
    </row>
    <row r="2787" spans="1:21" x14ac:dyDescent="0.35">
      <c r="A2787" t="s">
        <v>2867</v>
      </c>
      <c r="B2787" s="1">
        <v>46319</v>
      </c>
      <c r="C2787" t="str">
        <f>TEXT(tblData[[#This Row],[Rental Date]],"mmm")</f>
        <v>Oct</v>
      </c>
      <c r="D2787" t="str">
        <f>TEXT(tblData[[#This Row],[Rental Date]],"mmmm")</f>
        <v>October</v>
      </c>
      <c r="E2787" t="s">
        <v>56</v>
      </c>
      <c r="F2787" t="str">
        <f>TEXT(WEEKNUM(tblData[[#This Row],[Rental Date]]),"00")</f>
        <v>43</v>
      </c>
      <c r="G2787" s="1">
        <f>EOMONTH(tblData[[#This Row],[Rental Date]],0)</f>
        <v>46326</v>
      </c>
      <c r="H2787" t="s">
        <v>2441</v>
      </c>
      <c r="I2787" t="s">
        <v>32</v>
      </c>
      <c r="J2787" t="s">
        <v>78</v>
      </c>
      <c r="K2787" t="s">
        <v>60</v>
      </c>
      <c r="L2787">
        <v>1</v>
      </c>
      <c r="M2787" s="2">
        <v>28.08</v>
      </c>
      <c r="N2787" t="s">
        <v>26</v>
      </c>
      <c r="O2787" s="3">
        <v>0</v>
      </c>
      <c r="P2787" s="3">
        <v>2.81</v>
      </c>
      <c r="Q2787" s="2">
        <v>25.27</v>
      </c>
      <c r="R2787" t="s">
        <v>76</v>
      </c>
      <c r="S2787" t="s">
        <v>50</v>
      </c>
      <c r="T2787" t="s">
        <v>63</v>
      </c>
      <c r="U2787" t="s">
        <v>58</v>
      </c>
    </row>
    <row r="2788" spans="1:21" x14ac:dyDescent="0.35">
      <c r="A2788" t="s">
        <v>2868</v>
      </c>
      <c r="B2788" s="1">
        <v>46319</v>
      </c>
      <c r="C2788" t="str">
        <f>TEXT(tblData[[#This Row],[Rental Date]],"mmm")</f>
        <v>Oct</v>
      </c>
      <c r="D2788" t="str">
        <f>TEXT(tblData[[#This Row],[Rental Date]],"mmmm")</f>
        <v>October</v>
      </c>
      <c r="E2788" t="s">
        <v>56</v>
      </c>
      <c r="F2788" t="str">
        <f>TEXT(WEEKNUM(tblData[[#This Row],[Rental Date]]),"00")</f>
        <v>43</v>
      </c>
      <c r="G2788" s="1">
        <f>EOMONTH(tblData[[#This Row],[Rental Date]],0)</f>
        <v>46326</v>
      </c>
      <c r="H2788" t="s">
        <v>2441</v>
      </c>
      <c r="I2788" t="s">
        <v>32</v>
      </c>
      <c r="J2788" t="s">
        <v>127</v>
      </c>
      <c r="K2788" t="s">
        <v>60</v>
      </c>
      <c r="L2788">
        <v>1</v>
      </c>
      <c r="M2788" s="2">
        <v>10.8</v>
      </c>
      <c r="N2788" t="s">
        <v>26</v>
      </c>
      <c r="O2788" s="3">
        <v>0</v>
      </c>
      <c r="P2788" s="3">
        <v>1.08</v>
      </c>
      <c r="Q2788" s="2">
        <v>9.7200000000000006</v>
      </c>
      <c r="R2788" t="s">
        <v>71</v>
      </c>
      <c r="S2788" t="s">
        <v>54</v>
      </c>
      <c r="T2788" t="s">
        <v>90</v>
      </c>
      <c r="U2788" t="s">
        <v>30</v>
      </c>
    </row>
    <row r="2789" spans="1:21" x14ac:dyDescent="0.35">
      <c r="A2789" t="s">
        <v>2869</v>
      </c>
      <c r="B2789" s="1">
        <v>46319</v>
      </c>
      <c r="C2789" t="str">
        <f>TEXT(tblData[[#This Row],[Rental Date]],"mmm")</f>
        <v>Oct</v>
      </c>
      <c r="D2789" t="str">
        <f>TEXT(tblData[[#This Row],[Rental Date]],"mmmm")</f>
        <v>October</v>
      </c>
      <c r="E2789" t="s">
        <v>56</v>
      </c>
      <c r="F2789" t="str">
        <f>TEXT(WEEKNUM(tblData[[#This Row],[Rental Date]]),"00")</f>
        <v>43</v>
      </c>
      <c r="G2789" s="1">
        <f>EOMONTH(tblData[[#This Row],[Rental Date]],0)</f>
        <v>46326</v>
      </c>
      <c r="H2789" t="s">
        <v>2441</v>
      </c>
      <c r="I2789" t="s">
        <v>39</v>
      </c>
      <c r="J2789" t="s">
        <v>24</v>
      </c>
      <c r="K2789" t="s">
        <v>60</v>
      </c>
      <c r="L2789">
        <v>1</v>
      </c>
      <c r="M2789" s="2">
        <v>34.56</v>
      </c>
      <c r="N2789" t="s">
        <v>89</v>
      </c>
      <c r="O2789" s="3">
        <v>6</v>
      </c>
      <c r="P2789" s="3">
        <v>0</v>
      </c>
      <c r="Q2789" s="2">
        <v>40.56</v>
      </c>
      <c r="R2789" t="s">
        <v>45</v>
      </c>
      <c r="S2789" t="s">
        <v>46</v>
      </c>
      <c r="T2789" t="s">
        <v>90</v>
      </c>
      <c r="U2789" t="s">
        <v>30</v>
      </c>
    </row>
    <row r="2790" spans="1:21" x14ac:dyDescent="0.35">
      <c r="A2790" t="s">
        <v>2870</v>
      </c>
      <c r="B2790" s="1">
        <v>46320</v>
      </c>
      <c r="C2790" t="str">
        <f>TEXT(tblData[[#This Row],[Rental Date]],"mmm")</f>
        <v>Oct</v>
      </c>
      <c r="D2790" t="str">
        <f>TEXT(tblData[[#This Row],[Rental Date]],"mmmm")</f>
        <v>October</v>
      </c>
      <c r="E2790" t="s">
        <v>68</v>
      </c>
      <c r="F2790" t="str">
        <f>TEXT(WEEKNUM(tblData[[#This Row],[Rental Date]]),"00")</f>
        <v>44</v>
      </c>
      <c r="G2790" s="1">
        <f>EOMONTH(tblData[[#This Row],[Rental Date]],0)</f>
        <v>46326</v>
      </c>
      <c r="H2790" t="s">
        <v>2441</v>
      </c>
      <c r="I2790" t="s">
        <v>48</v>
      </c>
      <c r="J2790" t="s">
        <v>24</v>
      </c>
      <c r="K2790" t="s">
        <v>25</v>
      </c>
      <c r="L2790">
        <v>1</v>
      </c>
      <c r="M2790" s="2">
        <v>54</v>
      </c>
      <c r="N2790" t="s">
        <v>26</v>
      </c>
      <c r="O2790" s="3">
        <v>0</v>
      </c>
      <c r="P2790" s="3">
        <v>0</v>
      </c>
      <c r="Q2790" s="2">
        <v>54</v>
      </c>
      <c r="R2790" t="s">
        <v>71</v>
      </c>
      <c r="S2790" t="s">
        <v>46</v>
      </c>
      <c r="T2790" t="s">
        <v>63</v>
      </c>
      <c r="U2790" t="s">
        <v>58</v>
      </c>
    </row>
    <row r="2791" spans="1:21" x14ac:dyDescent="0.35">
      <c r="A2791" t="s">
        <v>2871</v>
      </c>
      <c r="B2791" s="1">
        <v>46320</v>
      </c>
      <c r="C2791" t="str">
        <f>TEXT(tblData[[#This Row],[Rental Date]],"mmm")</f>
        <v>Oct</v>
      </c>
      <c r="D2791" t="str">
        <f>TEXT(tblData[[#This Row],[Rental Date]],"mmmm")</f>
        <v>October</v>
      </c>
      <c r="E2791" t="s">
        <v>68</v>
      </c>
      <c r="F2791" t="str">
        <f>TEXT(WEEKNUM(tblData[[#This Row],[Rental Date]]),"00")</f>
        <v>44</v>
      </c>
      <c r="G2791" s="1">
        <f>EOMONTH(tblData[[#This Row],[Rental Date]],0)</f>
        <v>46326</v>
      </c>
      <c r="H2791" t="s">
        <v>2441</v>
      </c>
      <c r="I2791" t="s">
        <v>39</v>
      </c>
      <c r="J2791" t="s">
        <v>78</v>
      </c>
      <c r="K2791" t="s">
        <v>40</v>
      </c>
      <c r="L2791">
        <v>1</v>
      </c>
      <c r="M2791" s="2">
        <v>66.959999999999994</v>
      </c>
      <c r="N2791" t="s">
        <v>89</v>
      </c>
      <c r="O2791" s="3">
        <v>6</v>
      </c>
      <c r="P2791" s="3">
        <v>0</v>
      </c>
      <c r="Q2791" s="2">
        <v>72.959999999999994</v>
      </c>
      <c r="R2791" t="s">
        <v>27</v>
      </c>
      <c r="S2791" t="s">
        <v>35</v>
      </c>
      <c r="T2791" t="s">
        <v>29</v>
      </c>
      <c r="U2791" t="s">
        <v>36</v>
      </c>
    </row>
    <row r="2792" spans="1:21" x14ac:dyDescent="0.35">
      <c r="A2792" t="s">
        <v>2872</v>
      </c>
      <c r="B2792" s="1">
        <v>46320</v>
      </c>
      <c r="C2792" t="str">
        <f>TEXT(tblData[[#This Row],[Rental Date]],"mmm")</f>
        <v>Oct</v>
      </c>
      <c r="D2792" t="str">
        <f>TEXT(tblData[[#This Row],[Rental Date]],"mmmm")</f>
        <v>October</v>
      </c>
      <c r="E2792" t="s">
        <v>68</v>
      </c>
      <c r="F2792" t="str">
        <f>TEXT(WEEKNUM(tblData[[#This Row],[Rental Date]]),"00")</f>
        <v>44</v>
      </c>
      <c r="G2792" s="1">
        <f>EOMONTH(tblData[[#This Row],[Rental Date]],0)</f>
        <v>46326</v>
      </c>
      <c r="H2792" t="s">
        <v>2441</v>
      </c>
      <c r="I2792" t="s">
        <v>48</v>
      </c>
      <c r="J2792" t="s">
        <v>44</v>
      </c>
      <c r="K2792" t="s">
        <v>25</v>
      </c>
      <c r="L2792">
        <v>1</v>
      </c>
      <c r="M2792" s="2">
        <v>56.16</v>
      </c>
      <c r="N2792" t="s">
        <v>41</v>
      </c>
      <c r="O2792" s="3">
        <v>5</v>
      </c>
      <c r="P2792" s="3">
        <v>3.06</v>
      </c>
      <c r="Q2792" s="2">
        <v>58.1</v>
      </c>
      <c r="R2792" t="s">
        <v>34</v>
      </c>
      <c r="S2792" t="s">
        <v>54</v>
      </c>
      <c r="T2792" t="s">
        <v>29</v>
      </c>
      <c r="U2792" t="s">
        <v>30</v>
      </c>
    </row>
    <row r="2793" spans="1:21" x14ac:dyDescent="0.35">
      <c r="A2793" t="s">
        <v>2873</v>
      </c>
      <c r="B2793" s="1">
        <v>46320</v>
      </c>
      <c r="C2793" t="str">
        <f>TEXT(tblData[[#This Row],[Rental Date]],"mmm")</f>
        <v>Oct</v>
      </c>
      <c r="D2793" t="str">
        <f>TEXT(tblData[[#This Row],[Rental Date]],"mmmm")</f>
        <v>October</v>
      </c>
      <c r="E2793" t="s">
        <v>68</v>
      </c>
      <c r="F2793" t="str">
        <f>TEXT(WEEKNUM(tblData[[#This Row],[Rental Date]]),"00")</f>
        <v>44</v>
      </c>
      <c r="G2793" s="1">
        <f>EOMONTH(tblData[[#This Row],[Rental Date]],0)</f>
        <v>46326</v>
      </c>
      <c r="H2793" t="s">
        <v>2441</v>
      </c>
      <c r="I2793" t="s">
        <v>23</v>
      </c>
      <c r="J2793" t="s">
        <v>65</v>
      </c>
      <c r="K2793" t="s">
        <v>25</v>
      </c>
      <c r="L2793">
        <v>1</v>
      </c>
      <c r="M2793" s="2">
        <v>19.440000000000001</v>
      </c>
      <c r="N2793" t="s">
        <v>41</v>
      </c>
      <c r="O2793" s="3">
        <v>5</v>
      </c>
      <c r="P2793" s="3">
        <v>0</v>
      </c>
      <c r="Q2793" s="2">
        <v>24.44</v>
      </c>
      <c r="R2793" t="s">
        <v>66</v>
      </c>
      <c r="S2793" t="s">
        <v>46</v>
      </c>
      <c r="T2793" t="s">
        <v>63</v>
      </c>
      <c r="U2793" t="s">
        <v>30</v>
      </c>
    </row>
    <row r="2794" spans="1:21" x14ac:dyDescent="0.35">
      <c r="A2794" t="s">
        <v>2874</v>
      </c>
      <c r="B2794" s="1">
        <v>46320</v>
      </c>
      <c r="C2794" t="str">
        <f>TEXT(tblData[[#This Row],[Rental Date]],"mmm")</f>
        <v>Oct</v>
      </c>
      <c r="D2794" t="str">
        <f>TEXT(tblData[[#This Row],[Rental Date]],"mmmm")</f>
        <v>October</v>
      </c>
      <c r="E2794" t="s">
        <v>68</v>
      </c>
      <c r="F2794" t="str">
        <f>TEXT(WEEKNUM(tblData[[#This Row],[Rental Date]]),"00")</f>
        <v>44</v>
      </c>
      <c r="G2794" s="1">
        <f>EOMONTH(tblData[[#This Row],[Rental Date]],0)</f>
        <v>46326</v>
      </c>
      <c r="H2794" t="s">
        <v>2441</v>
      </c>
      <c r="I2794" t="s">
        <v>32</v>
      </c>
      <c r="J2794" t="s">
        <v>24</v>
      </c>
      <c r="K2794" t="s">
        <v>60</v>
      </c>
      <c r="L2794">
        <v>1</v>
      </c>
      <c r="M2794" s="2">
        <v>34.56</v>
      </c>
      <c r="N2794" t="s">
        <v>89</v>
      </c>
      <c r="O2794" s="3">
        <v>6</v>
      </c>
      <c r="P2794" s="3">
        <v>4.0599999999999996</v>
      </c>
      <c r="Q2794" s="2">
        <v>36.5</v>
      </c>
      <c r="R2794" t="s">
        <v>57</v>
      </c>
      <c r="S2794" t="s">
        <v>28</v>
      </c>
      <c r="T2794" t="s">
        <v>90</v>
      </c>
      <c r="U2794" t="s">
        <v>36</v>
      </c>
    </row>
    <row r="2795" spans="1:21" x14ac:dyDescent="0.35">
      <c r="A2795" t="s">
        <v>2875</v>
      </c>
      <c r="B2795" s="1">
        <v>46320</v>
      </c>
      <c r="C2795" t="str">
        <f>TEXT(tblData[[#This Row],[Rental Date]],"mmm")</f>
        <v>Oct</v>
      </c>
      <c r="D2795" t="str">
        <f>TEXT(tblData[[#This Row],[Rental Date]],"mmmm")</f>
        <v>October</v>
      </c>
      <c r="E2795" t="s">
        <v>68</v>
      </c>
      <c r="F2795" t="str">
        <f>TEXT(WEEKNUM(tblData[[#This Row],[Rental Date]]),"00")</f>
        <v>44</v>
      </c>
      <c r="G2795" s="1">
        <f>EOMONTH(tblData[[#This Row],[Rental Date]],0)</f>
        <v>46326</v>
      </c>
      <c r="H2795" t="s">
        <v>2441</v>
      </c>
      <c r="I2795" t="s">
        <v>48</v>
      </c>
      <c r="J2795" t="s">
        <v>78</v>
      </c>
      <c r="K2795" t="s">
        <v>60</v>
      </c>
      <c r="L2795">
        <v>1</v>
      </c>
      <c r="M2795" s="2">
        <v>28.08</v>
      </c>
      <c r="N2795" t="s">
        <v>41</v>
      </c>
      <c r="O2795" s="3">
        <v>5</v>
      </c>
      <c r="P2795" s="3">
        <v>0</v>
      </c>
      <c r="Q2795" s="2">
        <v>33.08</v>
      </c>
      <c r="R2795" t="s">
        <v>76</v>
      </c>
      <c r="S2795" t="s">
        <v>46</v>
      </c>
      <c r="T2795" t="s">
        <v>29</v>
      </c>
      <c r="U2795" t="s">
        <v>30</v>
      </c>
    </row>
    <row r="2796" spans="1:21" x14ac:dyDescent="0.35">
      <c r="A2796" t="s">
        <v>2876</v>
      </c>
      <c r="B2796" s="1">
        <v>46320</v>
      </c>
      <c r="C2796" t="str">
        <f>TEXT(tblData[[#This Row],[Rental Date]],"mmm")</f>
        <v>Oct</v>
      </c>
      <c r="D2796" t="str">
        <f>TEXT(tblData[[#This Row],[Rental Date]],"mmmm")</f>
        <v>October</v>
      </c>
      <c r="E2796" t="s">
        <v>68</v>
      </c>
      <c r="F2796" t="str">
        <f>TEXT(WEEKNUM(tblData[[#This Row],[Rental Date]]),"00")</f>
        <v>44</v>
      </c>
      <c r="G2796" s="1">
        <f>EOMONTH(tblData[[#This Row],[Rental Date]],0)</f>
        <v>46326</v>
      </c>
      <c r="H2796" t="s">
        <v>2441</v>
      </c>
      <c r="I2796" t="s">
        <v>48</v>
      </c>
      <c r="J2796" t="s">
        <v>44</v>
      </c>
      <c r="K2796" t="s">
        <v>25</v>
      </c>
      <c r="L2796">
        <v>1</v>
      </c>
      <c r="M2796" s="2">
        <v>56.16</v>
      </c>
      <c r="N2796" t="s">
        <v>41</v>
      </c>
      <c r="O2796" s="3">
        <v>5</v>
      </c>
      <c r="P2796" s="3">
        <v>0</v>
      </c>
      <c r="Q2796" s="2">
        <v>61.16</v>
      </c>
      <c r="R2796" t="s">
        <v>34</v>
      </c>
      <c r="S2796" t="s">
        <v>50</v>
      </c>
      <c r="T2796" t="s">
        <v>90</v>
      </c>
      <c r="U2796" t="s">
        <v>30</v>
      </c>
    </row>
    <row r="2797" spans="1:21" x14ac:dyDescent="0.35">
      <c r="A2797" t="s">
        <v>2877</v>
      </c>
      <c r="B2797" s="1">
        <v>46320</v>
      </c>
      <c r="C2797" t="str">
        <f>TEXT(tblData[[#This Row],[Rental Date]],"mmm")</f>
        <v>Oct</v>
      </c>
      <c r="D2797" t="str">
        <f>TEXT(tblData[[#This Row],[Rental Date]],"mmmm")</f>
        <v>October</v>
      </c>
      <c r="E2797" t="s">
        <v>68</v>
      </c>
      <c r="F2797" t="str">
        <f>TEXT(WEEKNUM(tblData[[#This Row],[Rental Date]]),"00")</f>
        <v>44</v>
      </c>
      <c r="G2797" s="1">
        <f>EOMONTH(tblData[[#This Row],[Rental Date]],0)</f>
        <v>46326</v>
      </c>
      <c r="H2797" t="s">
        <v>2441</v>
      </c>
      <c r="I2797" t="s">
        <v>32</v>
      </c>
      <c r="J2797" t="s">
        <v>44</v>
      </c>
      <c r="K2797" t="s">
        <v>25</v>
      </c>
      <c r="L2797">
        <v>1</v>
      </c>
      <c r="M2797" s="2">
        <v>56.16</v>
      </c>
      <c r="N2797" t="s">
        <v>89</v>
      </c>
      <c r="O2797" s="3">
        <v>6</v>
      </c>
      <c r="P2797" s="3">
        <v>6.22</v>
      </c>
      <c r="Q2797" s="2">
        <v>55.94</v>
      </c>
      <c r="R2797" t="s">
        <v>27</v>
      </c>
      <c r="S2797" t="s">
        <v>54</v>
      </c>
      <c r="T2797" t="s">
        <v>90</v>
      </c>
      <c r="U2797" t="s">
        <v>30</v>
      </c>
    </row>
    <row r="2798" spans="1:21" x14ac:dyDescent="0.35">
      <c r="A2798" t="s">
        <v>2878</v>
      </c>
      <c r="B2798" s="1">
        <v>46321</v>
      </c>
      <c r="C2798" t="str">
        <f>TEXT(tblData[[#This Row],[Rental Date]],"mmm")</f>
        <v>Oct</v>
      </c>
      <c r="D2798" t="str">
        <f>TEXT(tblData[[#This Row],[Rental Date]],"mmmm")</f>
        <v>October</v>
      </c>
      <c r="E2798" t="s">
        <v>74</v>
      </c>
      <c r="F2798" t="str">
        <f>TEXT(WEEKNUM(tblData[[#This Row],[Rental Date]]),"00")</f>
        <v>44</v>
      </c>
      <c r="G2798" s="1">
        <f>EOMONTH(tblData[[#This Row],[Rental Date]],0)</f>
        <v>46326</v>
      </c>
      <c r="H2798" t="s">
        <v>2441</v>
      </c>
      <c r="I2798" t="s">
        <v>39</v>
      </c>
      <c r="J2798" t="s">
        <v>78</v>
      </c>
      <c r="K2798" t="s">
        <v>25</v>
      </c>
      <c r="L2798">
        <v>1</v>
      </c>
      <c r="M2798" s="2">
        <v>42</v>
      </c>
      <c r="N2798" t="s">
        <v>26</v>
      </c>
      <c r="O2798" s="3">
        <v>0</v>
      </c>
      <c r="P2798" s="3">
        <v>0</v>
      </c>
      <c r="Q2798" s="2">
        <v>42</v>
      </c>
      <c r="R2798" t="s">
        <v>45</v>
      </c>
      <c r="S2798" t="s">
        <v>35</v>
      </c>
      <c r="T2798" t="s">
        <v>29</v>
      </c>
      <c r="U2798" t="s">
        <v>30</v>
      </c>
    </row>
    <row r="2799" spans="1:21" x14ac:dyDescent="0.35">
      <c r="A2799" t="s">
        <v>2879</v>
      </c>
      <c r="B2799" s="1">
        <v>46321</v>
      </c>
      <c r="C2799" t="str">
        <f>TEXT(tblData[[#This Row],[Rental Date]],"mmm")</f>
        <v>Oct</v>
      </c>
      <c r="D2799" t="str">
        <f>TEXT(tblData[[#This Row],[Rental Date]],"mmmm")</f>
        <v>October</v>
      </c>
      <c r="E2799" t="s">
        <v>74</v>
      </c>
      <c r="F2799" t="str">
        <f>TEXT(WEEKNUM(tblData[[#This Row],[Rental Date]]),"00")</f>
        <v>44</v>
      </c>
      <c r="G2799" s="1">
        <f>EOMONTH(tblData[[#This Row],[Rental Date]],0)</f>
        <v>46326</v>
      </c>
      <c r="H2799" t="s">
        <v>2441</v>
      </c>
      <c r="I2799" t="s">
        <v>32</v>
      </c>
      <c r="J2799" t="s">
        <v>44</v>
      </c>
      <c r="K2799" t="s">
        <v>25</v>
      </c>
      <c r="L2799">
        <v>1</v>
      </c>
      <c r="M2799" s="2">
        <v>52</v>
      </c>
      <c r="N2799" t="s">
        <v>26</v>
      </c>
      <c r="O2799" s="3">
        <v>0</v>
      </c>
      <c r="P2799" s="3">
        <v>5.2</v>
      </c>
      <c r="Q2799" s="2">
        <v>46.8</v>
      </c>
      <c r="R2799" t="s">
        <v>42</v>
      </c>
      <c r="S2799" t="s">
        <v>46</v>
      </c>
      <c r="T2799" t="s">
        <v>90</v>
      </c>
      <c r="U2799" t="s">
        <v>30</v>
      </c>
    </row>
    <row r="2800" spans="1:21" x14ac:dyDescent="0.35">
      <c r="A2800" t="s">
        <v>2880</v>
      </c>
      <c r="B2800" s="1">
        <v>46321</v>
      </c>
      <c r="C2800" t="str">
        <f>TEXT(tblData[[#This Row],[Rental Date]],"mmm")</f>
        <v>Oct</v>
      </c>
      <c r="D2800" t="str">
        <f>TEXT(tblData[[#This Row],[Rental Date]],"mmmm")</f>
        <v>October</v>
      </c>
      <c r="E2800" t="s">
        <v>74</v>
      </c>
      <c r="F2800" t="str">
        <f>TEXT(WEEKNUM(tblData[[#This Row],[Rental Date]]),"00")</f>
        <v>44</v>
      </c>
      <c r="G2800" s="1">
        <f>EOMONTH(tblData[[#This Row],[Rental Date]],0)</f>
        <v>46326</v>
      </c>
      <c r="H2800" t="s">
        <v>2441</v>
      </c>
      <c r="I2800" t="s">
        <v>48</v>
      </c>
      <c r="J2800" t="s">
        <v>111</v>
      </c>
      <c r="K2800" t="s">
        <v>40</v>
      </c>
      <c r="L2800">
        <v>1</v>
      </c>
      <c r="M2800" s="2">
        <v>34</v>
      </c>
      <c r="N2800" t="s">
        <v>26</v>
      </c>
      <c r="O2800" s="3">
        <v>0</v>
      </c>
      <c r="P2800" s="3">
        <v>0</v>
      </c>
      <c r="Q2800" s="2">
        <v>34</v>
      </c>
      <c r="R2800" t="s">
        <v>45</v>
      </c>
      <c r="S2800" t="s">
        <v>46</v>
      </c>
      <c r="T2800" t="s">
        <v>29</v>
      </c>
      <c r="U2800" t="s">
        <v>30</v>
      </c>
    </row>
    <row r="2801" spans="1:21" x14ac:dyDescent="0.35">
      <c r="A2801" t="s">
        <v>2881</v>
      </c>
      <c r="B2801" s="1">
        <v>46321</v>
      </c>
      <c r="C2801" t="str">
        <f>TEXT(tblData[[#This Row],[Rental Date]],"mmm")</f>
        <v>Oct</v>
      </c>
      <c r="D2801" t="str">
        <f>TEXT(tblData[[#This Row],[Rental Date]],"mmmm")</f>
        <v>October</v>
      </c>
      <c r="E2801" t="s">
        <v>74</v>
      </c>
      <c r="F2801" t="str">
        <f>TEXT(WEEKNUM(tblData[[#This Row],[Rental Date]]),"00")</f>
        <v>44</v>
      </c>
      <c r="G2801" s="1">
        <f>EOMONTH(tblData[[#This Row],[Rental Date]],0)</f>
        <v>46326</v>
      </c>
      <c r="H2801" t="s">
        <v>2441</v>
      </c>
      <c r="I2801" t="s">
        <v>39</v>
      </c>
      <c r="J2801" t="s">
        <v>33</v>
      </c>
      <c r="K2801" t="s">
        <v>60</v>
      </c>
      <c r="L2801">
        <v>1</v>
      </c>
      <c r="M2801" s="2">
        <v>24</v>
      </c>
      <c r="N2801" t="s">
        <v>26</v>
      </c>
      <c r="O2801" s="3">
        <v>0</v>
      </c>
      <c r="P2801" s="3">
        <v>0</v>
      </c>
      <c r="Q2801" s="2">
        <v>24</v>
      </c>
      <c r="R2801" t="s">
        <v>42</v>
      </c>
      <c r="S2801" t="s">
        <v>46</v>
      </c>
      <c r="T2801" t="s">
        <v>51</v>
      </c>
      <c r="U2801" t="s">
        <v>30</v>
      </c>
    </row>
    <row r="2802" spans="1:21" x14ac:dyDescent="0.35">
      <c r="A2802" t="s">
        <v>2882</v>
      </c>
      <c r="B2802" s="1">
        <v>46322</v>
      </c>
      <c r="C2802" t="str">
        <f>TEXT(tblData[[#This Row],[Rental Date]],"mmm")</f>
        <v>Oct</v>
      </c>
      <c r="D2802" t="str">
        <f>TEXT(tblData[[#This Row],[Rental Date]],"mmmm")</f>
        <v>October</v>
      </c>
      <c r="E2802" t="s">
        <v>102</v>
      </c>
      <c r="F2802" t="str">
        <f>TEXT(WEEKNUM(tblData[[#This Row],[Rental Date]]),"00")</f>
        <v>44</v>
      </c>
      <c r="G2802" s="1">
        <f>EOMONTH(tblData[[#This Row],[Rental Date]],0)</f>
        <v>46326</v>
      </c>
      <c r="H2802" t="s">
        <v>2441</v>
      </c>
      <c r="I2802" t="s">
        <v>48</v>
      </c>
      <c r="J2802" t="s">
        <v>44</v>
      </c>
      <c r="K2802" t="s">
        <v>25</v>
      </c>
      <c r="L2802">
        <v>1</v>
      </c>
      <c r="M2802" s="2">
        <v>52</v>
      </c>
      <c r="N2802" t="s">
        <v>26</v>
      </c>
      <c r="O2802" s="3">
        <v>0</v>
      </c>
      <c r="P2802" s="3">
        <v>0</v>
      </c>
      <c r="Q2802" s="2">
        <v>52</v>
      </c>
      <c r="R2802" t="s">
        <v>27</v>
      </c>
      <c r="S2802" t="s">
        <v>46</v>
      </c>
      <c r="T2802" t="s">
        <v>63</v>
      </c>
      <c r="U2802" t="s">
        <v>30</v>
      </c>
    </row>
    <row r="2803" spans="1:21" x14ac:dyDescent="0.35">
      <c r="A2803" t="s">
        <v>2883</v>
      </c>
      <c r="B2803" s="1">
        <v>46322</v>
      </c>
      <c r="C2803" t="str">
        <f>TEXT(tblData[[#This Row],[Rental Date]],"mmm")</f>
        <v>Oct</v>
      </c>
      <c r="D2803" t="str">
        <f>TEXT(tblData[[#This Row],[Rental Date]],"mmmm")</f>
        <v>October</v>
      </c>
      <c r="E2803" t="s">
        <v>102</v>
      </c>
      <c r="F2803" t="str">
        <f>TEXT(WEEKNUM(tblData[[#This Row],[Rental Date]]),"00")</f>
        <v>44</v>
      </c>
      <c r="G2803" s="1">
        <f>EOMONTH(tblData[[#This Row],[Rental Date]],0)</f>
        <v>46326</v>
      </c>
      <c r="H2803" t="s">
        <v>2441</v>
      </c>
      <c r="I2803" t="s">
        <v>39</v>
      </c>
      <c r="J2803" t="s">
        <v>78</v>
      </c>
      <c r="K2803" t="s">
        <v>40</v>
      </c>
      <c r="L2803">
        <v>1</v>
      </c>
      <c r="M2803" s="2">
        <v>62</v>
      </c>
      <c r="N2803" t="s">
        <v>26</v>
      </c>
      <c r="O2803" s="3">
        <v>0</v>
      </c>
      <c r="P2803" s="3">
        <v>0</v>
      </c>
      <c r="Q2803" s="2">
        <v>62</v>
      </c>
      <c r="R2803" t="s">
        <v>45</v>
      </c>
      <c r="S2803" t="s">
        <v>54</v>
      </c>
      <c r="T2803" t="s">
        <v>83</v>
      </c>
      <c r="U2803" t="s">
        <v>58</v>
      </c>
    </row>
    <row r="2804" spans="1:21" x14ac:dyDescent="0.35">
      <c r="A2804" t="s">
        <v>2884</v>
      </c>
      <c r="B2804" s="1">
        <v>46322</v>
      </c>
      <c r="C2804" t="str">
        <f>TEXT(tblData[[#This Row],[Rental Date]],"mmm")</f>
        <v>Oct</v>
      </c>
      <c r="D2804" t="str">
        <f>TEXT(tblData[[#This Row],[Rental Date]],"mmmm")</f>
        <v>October</v>
      </c>
      <c r="E2804" t="s">
        <v>102</v>
      </c>
      <c r="F2804" t="str">
        <f>TEXT(WEEKNUM(tblData[[#This Row],[Rental Date]]),"00")</f>
        <v>44</v>
      </c>
      <c r="G2804" s="1">
        <f>EOMONTH(tblData[[#This Row],[Rental Date]],0)</f>
        <v>46326</v>
      </c>
      <c r="H2804" t="s">
        <v>2441</v>
      </c>
      <c r="I2804" t="s">
        <v>48</v>
      </c>
      <c r="J2804" t="s">
        <v>44</v>
      </c>
      <c r="K2804" t="s">
        <v>25</v>
      </c>
      <c r="L2804">
        <v>1</v>
      </c>
      <c r="M2804" s="2">
        <v>52</v>
      </c>
      <c r="N2804" t="s">
        <v>26</v>
      </c>
      <c r="O2804" s="3">
        <v>0</v>
      </c>
      <c r="P2804" s="3">
        <v>2.6</v>
      </c>
      <c r="Q2804" s="2">
        <v>49.4</v>
      </c>
      <c r="R2804" t="s">
        <v>34</v>
      </c>
      <c r="S2804" t="s">
        <v>35</v>
      </c>
      <c r="T2804" t="s">
        <v>51</v>
      </c>
      <c r="U2804" t="s">
        <v>30</v>
      </c>
    </row>
    <row r="2805" spans="1:21" x14ac:dyDescent="0.35">
      <c r="A2805" t="s">
        <v>2885</v>
      </c>
      <c r="B2805" s="1">
        <v>46322</v>
      </c>
      <c r="C2805" t="str">
        <f>TEXT(tblData[[#This Row],[Rental Date]],"mmm")</f>
        <v>Oct</v>
      </c>
      <c r="D2805" t="str">
        <f>TEXT(tblData[[#This Row],[Rental Date]],"mmmm")</f>
        <v>October</v>
      </c>
      <c r="E2805" t="s">
        <v>102</v>
      </c>
      <c r="F2805" t="str">
        <f>TEXT(WEEKNUM(tblData[[#This Row],[Rental Date]]),"00")</f>
        <v>44</v>
      </c>
      <c r="G2805" s="1">
        <f>EOMONTH(tblData[[#This Row],[Rental Date]],0)</f>
        <v>46326</v>
      </c>
      <c r="H2805" t="s">
        <v>2441</v>
      </c>
      <c r="I2805" t="s">
        <v>48</v>
      </c>
      <c r="J2805" t="s">
        <v>78</v>
      </c>
      <c r="K2805" t="s">
        <v>40</v>
      </c>
      <c r="L2805">
        <v>1</v>
      </c>
      <c r="M2805" s="2">
        <v>62</v>
      </c>
      <c r="N2805" t="s">
        <v>41</v>
      </c>
      <c r="O2805" s="3">
        <v>5</v>
      </c>
      <c r="P2805" s="3">
        <v>0</v>
      </c>
      <c r="Q2805" s="2">
        <v>67</v>
      </c>
      <c r="R2805" t="s">
        <v>34</v>
      </c>
      <c r="S2805" t="s">
        <v>54</v>
      </c>
      <c r="T2805" t="s">
        <v>63</v>
      </c>
      <c r="U2805" t="s">
        <v>30</v>
      </c>
    </row>
    <row r="2806" spans="1:21" x14ac:dyDescent="0.35">
      <c r="A2806" t="s">
        <v>2886</v>
      </c>
      <c r="B2806" s="1">
        <v>46322</v>
      </c>
      <c r="C2806" t="str">
        <f>TEXT(tblData[[#This Row],[Rental Date]],"mmm")</f>
        <v>Oct</v>
      </c>
      <c r="D2806" t="str">
        <f>TEXT(tblData[[#This Row],[Rental Date]],"mmmm")</f>
        <v>October</v>
      </c>
      <c r="E2806" t="s">
        <v>102</v>
      </c>
      <c r="F2806" t="str">
        <f>TEXT(WEEKNUM(tblData[[#This Row],[Rental Date]]),"00")</f>
        <v>44</v>
      </c>
      <c r="G2806" s="1">
        <f>EOMONTH(tblData[[#This Row],[Rental Date]],0)</f>
        <v>46326</v>
      </c>
      <c r="H2806" t="s">
        <v>2441</v>
      </c>
      <c r="I2806" t="s">
        <v>39</v>
      </c>
      <c r="J2806" t="s">
        <v>78</v>
      </c>
      <c r="K2806" t="s">
        <v>60</v>
      </c>
      <c r="L2806">
        <v>1</v>
      </c>
      <c r="M2806" s="2">
        <v>26</v>
      </c>
      <c r="N2806" t="s">
        <v>41</v>
      </c>
      <c r="O2806" s="3">
        <v>5</v>
      </c>
      <c r="P2806" s="3">
        <v>0</v>
      </c>
      <c r="Q2806" s="2">
        <v>31</v>
      </c>
      <c r="R2806" t="s">
        <v>62</v>
      </c>
      <c r="S2806" t="s">
        <v>35</v>
      </c>
      <c r="T2806" t="s">
        <v>29</v>
      </c>
      <c r="U2806" t="s">
        <v>30</v>
      </c>
    </row>
    <row r="2807" spans="1:21" x14ac:dyDescent="0.35">
      <c r="A2807" t="s">
        <v>2887</v>
      </c>
      <c r="B2807" s="1">
        <v>46322</v>
      </c>
      <c r="C2807" t="str">
        <f>TEXT(tblData[[#This Row],[Rental Date]],"mmm")</f>
        <v>Oct</v>
      </c>
      <c r="D2807" t="str">
        <f>TEXT(tblData[[#This Row],[Rental Date]],"mmmm")</f>
        <v>October</v>
      </c>
      <c r="E2807" t="s">
        <v>102</v>
      </c>
      <c r="F2807" t="str">
        <f>TEXT(WEEKNUM(tblData[[#This Row],[Rental Date]]),"00")</f>
        <v>44</v>
      </c>
      <c r="G2807" s="1">
        <f>EOMONTH(tblData[[#This Row],[Rental Date]],0)</f>
        <v>46326</v>
      </c>
      <c r="H2807" t="s">
        <v>2441</v>
      </c>
      <c r="I2807" t="s">
        <v>39</v>
      </c>
      <c r="J2807" t="s">
        <v>33</v>
      </c>
      <c r="K2807" t="s">
        <v>25</v>
      </c>
      <c r="L2807">
        <v>1</v>
      </c>
      <c r="M2807" s="2">
        <v>38</v>
      </c>
      <c r="N2807" t="s">
        <v>41</v>
      </c>
      <c r="O2807" s="3">
        <v>5</v>
      </c>
      <c r="P2807" s="3">
        <v>0</v>
      </c>
      <c r="Q2807" s="2">
        <v>43</v>
      </c>
      <c r="R2807" t="s">
        <v>76</v>
      </c>
      <c r="S2807" t="s">
        <v>46</v>
      </c>
      <c r="T2807" t="s">
        <v>29</v>
      </c>
      <c r="U2807" t="s">
        <v>30</v>
      </c>
    </row>
    <row r="2808" spans="1:21" x14ac:dyDescent="0.35">
      <c r="A2808" t="s">
        <v>2888</v>
      </c>
      <c r="B2808" s="1">
        <v>46323</v>
      </c>
      <c r="C2808" t="str">
        <f>TEXT(tblData[[#This Row],[Rental Date]],"mmm")</f>
        <v>Oct</v>
      </c>
      <c r="D2808" t="str">
        <f>TEXT(tblData[[#This Row],[Rental Date]],"mmmm")</f>
        <v>October</v>
      </c>
      <c r="E2808" t="s">
        <v>109</v>
      </c>
      <c r="F2808" t="str">
        <f>TEXT(WEEKNUM(tblData[[#This Row],[Rental Date]]),"00")</f>
        <v>44</v>
      </c>
      <c r="G2808" s="1">
        <f>EOMONTH(tblData[[#This Row],[Rental Date]],0)</f>
        <v>46326</v>
      </c>
      <c r="H2808" t="s">
        <v>2441</v>
      </c>
      <c r="I2808" t="s">
        <v>39</v>
      </c>
      <c r="J2808" t="s">
        <v>65</v>
      </c>
      <c r="K2808" t="s">
        <v>60</v>
      </c>
      <c r="L2808">
        <v>1</v>
      </c>
      <c r="M2808" s="2">
        <v>12</v>
      </c>
      <c r="N2808" t="s">
        <v>70</v>
      </c>
      <c r="O2808" s="3">
        <v>7</v>
      </c>
      <c r="P2808" s="3">
        <v>0</v>
      </c>
      <c r="Q2808" s="2">
        <v>19</v>
      </c>
      <c r="R2808" t="s">
        <v>45</v>
      </c>
      <c r="S2808" t="s">
        <v>35</v>
      </c>
      <c r="T2808" t="s">
        <v>29</v>
      </c>
      <c r="U2808" t="s">
        <v>58</v>
      </c>
    </row>
    <row r="2809" spans="1:21" x14ac:dyDescent="0.35">
      <c r="A2809" t="s">
        <v>2889</v>
      </c>
      <c r="B2809" s="1">
        <v>46323</v>
      </c>
      <c r="C2809" t="str">
        <f>TEXT(tblData[[#This Row],[Rental Date]],"mmm")</f>
        <v>Oct</v>
      </c>
      <c r="D2809" t="str">
        <f>TEXT(tblData[[#This Row],[Rental Date]],"mmmm")</f>
        <v>October</v>
      </c>
      <c r="E2809" t="s">
        <v>109</v>
      </c>
      <c r="F2809" t="str">
        <f>TEXT(WEEKNUM(tblData[[#This Row],[Rental Date]]),"00")</f>
        <v>44</v>
      </c>
      <c r="G2809" s="1">
        <f>EOMONTH(tblData[[#This Row],[Rental Date]],0)</f>
        <v>46326</v>
      </c>
      <c r="H2809" t="s">
        <v>2441</v>
      </c>
      <c r="I2809" t="s">
        <v>48</v>
      </c>
      <c r="J2809" t="s">
        <v>44</v>
      </c>
      <c r="K2809" t="s">
        <v>40</v>
      </c>
      <c r="L2809">
        <v>1</v>
      </c>
      <c r="M2809" s="2">
        <v>78</v>
      </c>
      <c r="N2809" t="s">
        <v>26</v>
      </c>
      <c r="O2809" s="3">
        <v>0</v>
      </c>
      <c r="P2809" s="3">
        <v>0</v>
      </c>
      <c r="Q2809" s="2">
        <v>78</v>
      </c>
      <c r="R2809" t="s">
        <v>27</v>
      </c>
      <c r="S2809" t="s">
        <v>28</v>
      </c>
      <c r="T2809" t="s">
        <v>29</v>
      </c>
      <c r="U2809" t="s">
        <v>30</v>
      </c>
    </row>
    <row r="2810" spans="1:21" x14ac:dyDescent="0.35">
      <c r="A2810" t="s">
        <v>2890</v>
      </c>
      <c r="B2810" s="1">
        <v>46323</v>
      </c>
      <c r="C2810" t="str">
        <f>TEXT(tblData[[#This Row],[Rental Date]],"mmm")</f>
        <v>Oct</v>
      </c>
      <c r="D2810" t="str">
        <f>TEXT(tblData[[#This Row],[Rental Date]],"mmmm")</f>
        <v>October</v>
      </c>
      <c r="E2810" t="s">
        <v>109</v>
      </c>
      <c r="F2810" t="str">
        <f>TEXT(WEEKNUM(tblData[[#This Row],[Rental Date]]),"00")</f>
        <v>44</v>
      </c>
      <c r="G2810" s="1">
        <f>EOMONTH(tblData[[#This Row],[Rental Date]],0)</f>
        <v>46326</v>
      </c>
      <c r="H2810" t="s">
        <v>2441</v>
      </c>
      <c r="I2810" t="s">
        <v>53</v>
      </c>
      <c r="J2810" t="s">
        <v>138</v>
      </c>
      <c r="K2810" t="s">
        <v>25</v>
      </c>
      <c r="L2810">
        <v>1</v>
      </c>
      <c r="M2810" s="2">
        <v>48</v>
      </c>
      <c r="N2810" t="s">
        <v>61</v>
      </c>
      <c r="O2810" s="3">
        <v>8</v>
      </c>
      <c r="P2810" s="3">
        <v>5.6</v>
      </c>
      <c r="Q2810" s="2">
        <v>50.4</v>
      </c>
      <c r="R2810" t="s">
        <v>27</v>
      </c>
      <c r="S2810" t="s">
        <v>50</v>
      </c>
      <c r="T2810" t="s">
        <v>29</v>
      </c>
      <c r="U2810" t="s">
        <v>58</v>
      </c>
    </row>
    <row r="2811" spans="1:21" x14ac:dyDescent="0.35">
      <c r="A2811" t="s">
        <v>2891</v>
      </c>
      <c r="B2811" s="1">
        <v>46324</v>
      </c>
      <c r="C2811" t="str">
        <f>TEXT(tblData[[#This Row],[Rental Date]],"mmm")</f>
        <v>Oct</v>
      </c>
      <c r="D2811" t="str">
        <f>TEXT(tblData[[#This Row],[Rental Date]],"mmmm")</f>
        <v>October</v>
      </c>
      <c r="E2811" t="s">
        <v>21</v>
      </c>
      <c r="F2811" t="str">
        <f>TEXT(WEEKNUM(tblData[[#This Row],[Rental Date]]),"00")</f>
        <v>44</v>
      </c>
      <c r="G2811" s="1">
        <f>EOMONTH(tblData[[#This Row],[Rental Date]],0)</f>
        <v>46326</v>
      </c>
      <c r="H2811" t="s">
        <v>2441</v>
      </c>
      <c r="I2811" t="s">
        <v>48</v>
      </c>
      <c r="J2811" t="s">
        <v>24</v>
      </c>
      <c r="K2811" t="s">
        <v>40</v>
      </c>
      <c r="L2811">
        <v>1</v>
      </c>
      <c r="M2811" s="2">
        <v>76</v>
      </c>
      <c r="N2811" t="s">
        <v>26</v>
      </c>
      <c r="O2811" s="3">
        <v>0</v>
      </c>
      <c r="P2811" s="3">
        <v>0</v>
      </c>
      <c r="Q2811" s="2">
        <v>76</v>
      </c>
      <c r="R2811" t="s">
        <v>94</v>
      </c>
      <c r="S2811" t="s">
        <v>54</v>
      </c>
      <c r="T2811" t="s">
        <v>90</v>
      </c>
      <c r="U2811" t="s">
        <v>30</v>
      </c>
    </row>
    <row r="2812" spans="1:21" x14ac:dyDescent="0.35">
      <c r="A2812" t="s">
        <v>2892</v>
      </c>
      <c r="B2812" s="1">
        <v>46324</v>
      </c>
      <c r="C2812" t="str">
        <f>TEXT(tblData[[#This Row],[Rental Date]],"mmm")</f>
        <v>Oct</v>
      </c>
      <c r="D2812" t="str">
        <f>TEXT(tblData[[#This Row],[Rental Date]],"mmmm")</f>
        <v>October</v>
      </c>
      <c r="E2812" t="s">
        <v>21</v>
      </c>
      <c r="F2812" t="str">
        <f>TEXT(WEEKNUM(tblData[[#This Row],[Rental Date]]),"00")</f>
        <v>44</v>
      </c>
      <c r="G2812" s="1">
        <f>EOMONTH(tblData[[#This Row],[Rental Date]],0)</f>
        <v>46326</v>
      </c>
      <c r="H2812" t="s">
        <v>2441</v>
      </c>
      <c r="I2812" t="s">
        <v>48</v>
      </c>
      <c r="J2812" t="s">
        <v>111</v>
      </c>
      <c r="K2812" t="s">
        <v>60</v>
      </c>
      <c r="L2812">
        <v>1</v>
      </c>
      <c r="M2812" s="2">
        <v>14</v>
      </c>
      <c r="N2812" t="s">
        <v>26</v>
      </c>
      <c r="O2812" s="3">
        <v>0</v>
      </c>
      <c r="P2812" s="3">
        <v>0</v>
      </c>
      <c r="Q2812" s="2">
        <v>14</v>
      </c>
      <c r="R2812" t="s">
        <v>66</v>
      </c>
      <c r="S2812" t="s">
        <v>35</v>
      </c>
      <c r="T2812" t="s">
        <v>90</v>
      </c>
      <c r="U2812" t="s">
        <v>30</v>
      </c>
    </row>
    <row r="2813" spans="1:21" x14ac:dyDescent="0.35">
      <c r="A2813" t="s">
        <v>2893</v>
      </c>
      <c r="B2813" s="1">
        <v>46325</v>
      </c>
      <c r="C2813" t="str">
        <f>TEXT(tblData[[#This Row],[Rental Date]],"mmm")</f>
        <v>Oct</v>
      </c>
      <c r="D2813" t="str">
        <f>TEXT(tblData[[#This Row],[Rental Date]],"mmmm")</f>
        <v>October</v>
      </c>
      <c r="E2813" t="s">
        <v>38</v>
      </c>
      <c r="F2813" t="str">
        <f>TEXT(WEEKNUM(tblData[[#This Row],[Rental Date]]),"00")</f>
        <v>44</v>
      </c>
      <c r="G2813" s="1">
        <f>EOMONTH(tblData[[#This Row],[Rental Date]],0)</f>
        <v>46326</v>
      </c>
      <c r="H2813" t="s">
        <v>2441</v>
      </c>
      <c r="I2813" t="s">
        <v>39</v>
      </c>
      <c r="J2813" t="s">
        <v>78</v>
      </c>
      <c r="K2813" t="s">
        <v>60</v>
      </c>
      <c r="L2813">
        <v>1</v>
      </c>
      <c r="M2813" s="2">
        <v>26</v>
      </c>
      <c r="N2813" t="s">
        <v>26</v>
      </c>
      <c r="O2813" s="3">
        <v>0</v>
      </c>
      <c r="P2813" s="3">
        <v>0</v>
      </c>
      <c r="Q2813" s="2">
        <v>26</v>
      </c>
      <c r="R2813" t="s">
        <v>45</v>
      </c>
      <c r="S2813" t="s">
        <v>28</v>
      </c>
      <c r="T2813" t="s">
        <v>51</v>
      </c>
      <c r="U2813" t="s">
        <v>30</v>
      </c>
    </row>
    <row r="2814" spans="1:21" x14ac:dyDescent="0.35">
      <c r="A2814" t="s">
        <v>2894</v>
      </c>
      <c r="B2814" s="1">
        <v>46325</v>
      </c>
      <c r="C2814" t="str">
        <f>TEXT(tblData[[#This Row],[Rental Date]],"mmm")</f>
        <v>Oct</v>
      </c>
      <c r="D2814" t="str">
        <f>TEXT(tblData[[#This Row],[Rental Date]],"mmmm")</f>
        <v>October</v>
      </c>
      <c r="E2814" t="s">
        <v>38</v>
      </c>
      <c r="F2814" t="str">
        <f>TEXT(WEEKNUM(tblData[[#This Row],[Rental Date]]),"00")</f>
        <v>44</v>
      </c>
      <c r="G2814" s="1">
        <f>EOMONTH(tblData[[#This Row],[Rental Date]],0)</f>
        <v>46326</v>
      </c>
      <c r="H2814" t="s">
        <v>2441</v>
      </c>
      <c r="I2814" t="s">
        <v>39</v>
      </c>
      <c r="J2814" t="s">
        <v>65</v>
      </c>
      <c r="K2814" t="s">
        <v>60</v>
      </c>
      <c r="L2814">
        <v>1</v>
      </c>
      <c r="M2814" s="2">
        <v>12</v>
      </c>
      <c r="N2814" t="s">
        <v>26</v>
      </c>
      <c r="O2814" s="3">
        <v>0</v>
      </c>
      <c r="P2814" s="3">
        <v>0</v>
      </c>
      <c r="Q2814" s="2">
        <v>12</v>
      </c>
      <c r="R2814" t="s">
        <v>27</v>
      </c>
      <c r="S2814" t="s">
        <v>46</v>
      </c>
      <c r="T2814" t="s">
        <v>51</v>
      </c>
      <c r="U2814" t="s">
        <v>58</v>
      </c>
    </row>
    <row r="2815" spans="1:21" x14ac:dyDescent="0.35">
      <c r="A2815" t="s">
        <v>2895</v>
      </c>
      <c r="B2815" s="1">
        <v>46325</v>
      </c>
      <c r="C2815" t="str">
        <f>TEXT(tblData[[#This Row],[Rental Date]],"mmm")</f>
        <v>Oct</v>
      </c>
      <c r="D2815" t="str">
        <f>TEXT(tblData[[#This Row],[Rental Date]],"mmmm")</f>
        <v>October</v>
      </c>
      <c r="E2815" t="s">
        <v>38</v>
      </c>
      <c r="F2815" t="str">
        <f>TEXT(WEEKNUM(tblData[[#This Row],[Rental Date]]),"00")</f>
        <v>44</v>
      </c>
      <c r="G2815" s="1">
        <f>EOMONTH(tblData[[#This Row],[Rental Date]],0)</f>
        <v>46326</v>
      </c>
      <c r="H2815" t="s">
        <v>2441</v>
      </c>
      <c r="I2815" t="s">
        <v>48</v>
      </c>
      <c r="J2815" t="s">
        <v>44</v>
      </c>
      <c r="K2815" t="s">
        <v>60</v>
      </c>
      <c r="L2815">
        <v>1</v>
      </c>
      <c r="M2815" s="2">
        <v>34</v>
      </c>
      <c r="N2815" t="s">
        <v>61</v>
      </c>
      <c r="O2815" s="3">
        <v>8</v>
      </c>
      <c r="P2815" s="3">
        <v>0</v>
      </c>
      <c r="Q2815" s="2">
        <v>42</v>
      </c>
      <c r="R2815" t="s">
        <v>66</v>
      </c>
      <c r="S2815" t="s">
        <v>54</v>
      </c>
      <c r="T2815" t="s">
        <v>51</v>
      </c>
      <c r="U2815" t="s">
        <v>36</v>
      </c>
    </row>
    <row r="2816" spans="1:21" x14ac:dyDescent="0.35">
      <c r="A2816" t="s">
        <v>2896</v>
      </c>
      <c r="B2816" s="1">
        <v>46325</v>
      </c>
      <c r="C2816" t="str">
        <f>TEXT(tblData[[#This Row],[Rental Date]],"mmm")</f>
        <v>Oct</v>
      </c>
      <c r="D2816" t="str">
        <f>TEXT(tblData[[#This Row],[Rental Date]],"mmmm")</f>
        <v>October</v>
      </c>
      <c r="E2816" t="s">
        <v>38</v>
      </c>
      <c r="F2816" t="str">
        <f>TEXT(WEEKNUM(tblData[[#This Row],[Rental Date]]),"00")</f>
        <v>44</v>
      </c>
      <c r="G2816" s="1">
        <f>EOMONTH(tblData[[#This Row],[Rental Date]],0)</f>
        <v>46326</v>
      </c>
      <c r="H2816" t="s">
        <v>2441</v>
      </c>
      <c r="I2816" t="s">
        <v>23</v>
      </c>
      <c r="J2816" t="s">
        <v>78</v>
      </c>
      <c r="K2816" t="s">
        <v>40</v>
      </c>
      <c r="L2816">
        <v>1</v>
      </c>
      <c r="M2816" s="2">
        <v>62</v>
      </c>
      <c r="N2816" t="s">
        <v>26</v>
      </c>
      <c r="O2816" s="3">
        <v>0</v>
      </c>
      <c r="P2816" s="3">
        <v>0</v>
      </c>
      <c r="Q2816" s="2">
        <v>62</v>
      </c>
      <c r="R2816" t="s">
        <v>76</v>
      </c>
      <c r="S2816" t="s">
        <v>28</v>
      </c>
      <c r="T2816" t="s">
        <v>29</v>
      </c>
      <c r="U2816" t="s">
        <v>30</v>
      </c>
    </row>
    <row r="2817" spans="1:21" x14ac:dyDescent="0.35">
      <c r="A2817" t="s">
        <v>2897</v>
      </c>
      <c r="B2817" s="1">
        <v>46325</v>
      </c>
      <c r="C2817" t="str">
        <f>TEXT(tblData[[#This Row],[Rental Date]],"mmm")</f>
        <v>Oct</v>
      </c>
      <c r="D2817" t="str">
        <f>TEXT(tblData[[#This Row],[Rental Date]],"mmmm")</f>
        <v>October</v>
      </c>
      <c r="E2817" t="s">
        <v>38</v>
      </c>
      <c r="F2817" t="str">
        <f>TEXT(WEEKNUM(tblData[[#This Row],[Rental Date]]),"00")</f>
        <v>44</v>
      </c>
      <c r="G2817" s="1">
        <f>EOMONTH(tblData[[#This Row],[Rental Date]],0)</f>
        <v>46326</v>
      </c>
      <c r="H2817" t="s">
        <v>2441</v>
      </c>
      <c r="I2817" t="s">
        <v>53</v>
      </c>
      <c r="J2817" t="s">
        <v>33</v>
      </c>
      <c r="K2817" t="s">
        <v>25</v>
      </c>
      <c r="L2817">
        <v>1</v>
      </c>
      <c r="M2817" s="2">
        <v>38</v>
      </c>
      <c r="N2817" t="s">
        <v>75</v>
      </c>
      <c r="O2817" s="3">
        <v>12</v>
      </c>
      <c r="P2817" s="3">
        <v>7.5</v>
      </c>
      <c r="Q2817" s="2">
        <v>42.5</v>
      </c>
      <c r="R2817" t="s">
        <v>42</v>
      </c>
      <c r="S2817" t="s">
        <v>50</v>
      </c>
      <c r="T2817" t="s">
        <v>29</v>
      </c>
      <c r="U2817" t="s">
        <v>30</v>
      </c>
    </row>
    <row r="2818" spans="1:21" x14ac:dyDescent="0.35">
      <c r="A2818" t="s">
        <v>2898</v>
      </c>
      <c r="B2818" s="1">
        <v>46326</v>
      </c>
      <c r="C2818" t="str">
        <f>TEXT(tblData[[#This Row],[Rental Date]],"mmm")</f>
        <v>Oct</v>
      </c>
      <c r="D2818" t="str">
        <f>TEXT(tblData[[#This Row],[Rental Date]],"mmmm")</f>
        <v>October</v>
      </c>
      <c r="E2818" t="s">
        <v>56</v>
      </c>
      <c r="F2818" t="str">
        <f>TEXT(WEEKNUM(tblData[[#This Row],[Rental Date]]),"00")</f>
        <v>44</v>
      </c>
      <c r="G2818" s="1">
        <f>EOMONTH(tblData[[#This Row],[Rental Date]],0)</f>
        <v>46326</v>
      </c>
      <c r="H2818" t="s">
        <v>2441</v>
      </c>
      <c r="I2818" t="s">
        <v>48</v>
      </c>
      <c r="J2818" t="s">
        <v>78</v>
      </c>
      <c r="K2818" t="s">
        <v>60</v>
      </c>
      <c r="L2818">
        <v>1</v>
      </c>
      <c r="M2818" s="2">
        <v>28.08</v>
      </c>
      <c r="N2818" t="s">
        <v>26</v>
      </c>
      <c r="O2818" s="3">
        <v>0</v>
      </c>
      <c r="P2818" s="3">
        <v>1.4</v>
      </c>
      <c r="Q2818" s="2">
        <v>26.68</v>
      </c>
      <c r="R2818" t="s">
        <v>76</v>
      </c>
      <c r="S2818" t="s">
        <v>28</v>
      </c>
      <c r="T2818" t="s">
        <v>51</v>
      </c>
      <c r="U2818" t="s">
        <v>30</v>
      </c>
    </row>
    <row r="2819" spans="1:21" x14ac:dyDescent="0.35">
      <c r="A2819" t="s">
        <v>2899</v>
      </c>
      <c r="B2819" s="1">
        <v>46326</v>
      </c>
      <c r="C2819" t="str">
        <f>TEXT(tblData[[#This Row],[Rental Date]],"mmm")</f>
        <v>Oct</v>
      </c>
      <c r="D2819" t="str">
        <f>TEXT(tblData[[#This Row],[Rental Date]],"mmmm")</f>
        <v>October</v>
      </c>
      <c r="E2819" t="s">
        <v>56</v>
      </c>
      <c r="F2819" t="str">
        <f>TEXT(WEEKNUM(tblData[[#This Row],[Rental Date]]),"00")</f>
        <v>44</v>
      </c>
      <c r="G2819" s="1">
        <f>EOMONTH(tblData[[#This Row],[Rental Date]],0)</f>
        <v>46326</v>
      </c>
      <c r="H2819" t="s">
        <v>2441</v>
      </c>
      <c r="I2819" t="s">
        <v>23</v>
      </c>
      <c r="J2819" t="s">
        <v>127</v>
      </c>
      <c r="K2819" t="s">
        <v>40</v>
      </c>
      <c r="L2819">
        <v>1</v>
      </c>
      <c r="M2819" s="2">
        <v>25.92</v>
      </c>
      <c r="N2819" t="s">
        <v>89</v>
      </c>
      <c r="O2819" s="3">
        <v>6</v>
      </c>
      <c r="P2819" s="3">
        <v>1.6</v>
      </c>
      <c r="Q2819" s="2">
        <v>30.32</v>
      </c>
      <c r="R2819" t="s">
        <v>62</v>
      </c>
      <c r="S2819" t="s">
        <v>35</v>
      </c>
      <c r="T2819" t="s">
        <v>90</v>
      </c>
      <c r="U2819" t="s">
        <v>58</v>
      </c>
    </row>
    <row r="2820" spans="1:21" x14ac:dyDescent="0.35">
      <c r="A2820" t="s">
        <v>2900</v>
      </c>
      <c r="B2820" s="1">
        <v>46326</v>
      </c>
      <c r="C2820" t="str">
        <f>TEXT(tblData[[#This Row],[Rental Date]],"mmm")</f>
        <v>Oct</v>
      </c>
      <c r="D2820" t="str">
        <f>TEXT(tblData[[#This Row],[Rental Date]],"mmmm")</f>
        <v>October</v>
      </c>
      <c r="E2820" t="s">
        <v>56</v>
      </c>
      <c r="F2820" t="str">
        <f>TEXT(WEEKNUM(tblData[[#This Row],[Rental Date]]),"00")</f>
        <v>44</v>
      </c>
      <c r="G2820" s="1">
        <f>EOMONTH(tblData[[#This Row],[Rental Date]],0)</f>
        <v>46326</v>
      </c>
      <c r="H2820" t="s">
        <v>2441</v>
      </c>
      <c r="I2820" t="s">
        <v>23</v>
      </c>
      <c r="J2820" t="s">
        <v>138</v>
      </c>
      <c r="K2820" t="s">
        <v>60</v>
      </c>
      <c r="L2820">
        <v>1</v>
      </c>
      <c r="M2820" s="2">
        <v>32.4</v>
      </c>
      <c r="N2820" t="s">
        <v>87</v>
      </c>
      <c r="O2820" s="3">
        <v>10</v>
      </c>
      <c r="P2820" s="3">
        <v>0</v>
      </c>
      <c r="Q2820" s="2">
        <v>42.4</v>
      </c>
      <c r="R2820" t="s">
        <v>76</v>
      </c>
      <c r="S2820" t="s">
        <v>50</v>
      </c>
      <c r="T2820" t="s">
        <v>51</v>
      </c>
      <c r="U2820" t="s">
        <v>30</v>
      </c>
    </row>
    <row r="2821" spans="1:21" x14ac:dyDescent="0.35">
      <c r="A2821" t="s">
        <v>2901</v>
      </c>
      <c r="B2821" s="1">
        <v>46326</v>
      </c>
      <c r="C2821" t="str">
        <f>TEXT(tblData[[#This Row],[Rental Date]],"mmm")</f>
        <v>Oct</v>
      </c>
      <c r="D2821" t="str">
        <f>TEXT(tblData[[#This Row],[Rental Date]],"mmmm")</f>
        <v>October</v>
      </c>
      <c r="E2821" t="s">
        <v>56</v>
      </c>
      <c r="F2821" t="str">
        <f>TEXT(WEEKNUM(tblData[[#This Row],[Rental Date]]),"00")</f>
        <v>44</v>
      </c>
      <c r="G2821" s="1">
        <f>EOMONTH(tblData[[#This Row],[Rental Date]],0)</f>
        <v>46326</v>
      </c>
      <c r="H2821" t="s">
        <v>2441</v>
      </c>
      <c r="I2821" t="s">
        <v>48</v>
      </c>
      <c r="J2821" t="s">
        <v>44</v>
      </c>
      <c r="K2821" t="s">
        <v>92</v>
      </c>
      <c r="L2821">
        <v>1</v>
      </c>
      <c r="M2821" s="2">
        <v>120.96</v>
      </c>
      <c r="N2821" t="s">
        <v>89</v>
      </c>
      <c r="O2821" s="3">
        <v>6</v>
      </c>
      <c r="P2821" s="3">
        <v>0</v>
      </c>
      <c r="Q2821" s="2">
        <v>126.96</v>
      </c>
      <c r="R2821" t="s">
        <v>62</v>
      </c>
      <c r="S2821" t="s">
        <v>28</v>
      </c>
      <c r="T2821" t="s">
        <v>63</v>
      </c>
      <c r="U2821" t="s">
        <v>30</v>
      </c>
    </row>
    <row r="2822" spans="1:21" x14ac:dyDescent="0.35">
      <c r="A2822" t="s">
        <v>2902</v>
      </c>
      <c r="B2822" s="1">
        <v>46326</v>
      </c>
      <c r="C2822" t="str">
        <f>TEXT(tblData[[#This Row],[Rental Date]],"mmm")</f>
        <v>Oct</v>
      </c>
      <c r="D2822" t="str">
        <f>TEXT(tblData[[#This Row],[Rental Date]],"mmmm")</f>
        <v>October</v>
      </c>
      <c r="E2822" t="s">
        <v>56</v>
      </c>
      <c r="F2822" t="str">
        <f>TEXT(WEEKNUM(tblData[[#This Row],[Rental Date]]),"00")</f>
        <v>44</v>
      </c>
      <c r="G2822" s="1">
        <f>EOMONTH(tblData[[#This Row],[Rental Date]],0)</f>
        <v>46326</v>
      </c>
      <c r="H2822" t="s">
        <v>2441</v>
      </c>
      <c r="I2822" t="s">
        <v>23</v>
      </c>
      <c r="J2822" t="s">
        <v>138</v>
      </c>
      <c r="K2822" t="s">
        <v>60</v>
      </c>
      <c r="L2822">
        <v>1</v>
      </c>
      <c r="M2822" s="2">
        <v>32.4</v>
      </c>
      <c r="N2822" t="s">
        <v>26</v>
      </c>
      <c r="O2822" s="3">
        <v>0</v>
      </c>
      <c r="P2822" s="3">
        <v>0</v>
      </c>
      <c r="Q2822" s="2">
        <v>32.4</v>
      </c>
      <c r="R2822" t="s">
        <v>42</v>
      </c>
      <c r="S2822" t="s">
        <v>28</v>
      </c>
      <c r="T2822" t="s">
        <v>63</v>
      </c>
      <c r="U2822" t="s">
        <v>30</v>
      </c>
    </row>
    <row r="2823" spans="1:21" x14ac:dyDescent="0.35">
      <c r="A2823" t="s">
        <v>2903</v>
      </c>
      <c r="B2823" s="1">
        <v>46326</v>
      </c>
      <c r="C2823" t="str">
        <f>TEXT(tblData[[#This Row],[Rental Date]],"mmm")</f>
        <v>Oct</v>
      </c>
      <c r="D2823" t="str">
        <f>TEXT(tblData[[#This Row],[Rental Date]],"mmmm")</f>
        <v>October</v>
      </c>
      <c r="E2823" t="s">
        <v>56</v>
      </c>
      <c r="F2823" t="str">
        <f>TEXT(WEEKNUM(tblData[[#This Row],[Rental Date]]),"00")</f>
        <v>44</v>
      </c>
      <c r="G2823" s="1">
        <f>EOMONTH(tblData[[#This Row],[Rental Date]],0)</f>
        <v>46326</v>
      </c>
      <c r="H2823" t="s">
        <v>2441</v>
      </c>
      <c r="I2823" t="s">
        <v>39</v>
      </c>
      <c r="J2823" t="s">
        <v>111</v>
      </c>
      <c r="K2823" t="s">
        <v>92</v>
      </c>
      <c r="L2823">
        <v>1</v>
      </c>
      <c r="M2823" s="2">
        <v>51.84</v>
      </c>
      <c r="N2823" t="s">
        <v>41</v>
      </c>
      <c r="O2823" s="3">
        <v>5</v>
      </c>
      <c r="P2823" s="3">
        <v>0</v>
      </c>
      <c r="Q2823" s="2">
        <v>56.84</v>
      </c>
      <c r="R2823" t="s">
        <v>71</v>
      </c>
      <c r="S2823" t="s">
        <v>28</v>
      </c>
      <c r="T2823" t="s">
        <v>51</v>
      </c>
      <c r="U2823" t="s">
        <v>30</v>
      </c>
    </row>
    <row r="2824" spans="1:21" x14ac:dyDescent="0.35">
      <c r="A2824" t="s">
        <v>2904</v>
      </c>
      <c r="B2824" s="1">
        <v>46326</v>
      </c>
      <c r="C2824" t="str">
        <f>TEXT(tblData[[#This Row],[Rental Date]],"mmm")</f>
        <v>Oct</v>
      </c>
      <c r="D2824" t="str">
        <f>TEXT(tblData[[#This Row],[Rental Date]],"mmmm")</f>
        <v>October</v>
      </c>
      <c r="E2824" t="s">
        <v>56</v>
      </c>
      <c r="F2824" t="str">
        <f>TEXT(WEEKNUM(tblData[[#This Row],[Rental Date]]),"00")</f>
        <v>44</v>
      </c>
      <c r="G2824" s="1">
        <f>EOMONTH(tblData[[#This Row],[Rental Date]],0)</f>
        <v>46326</v>
      </c>
      <c r="H2824" t="s">
        <v>2441</v>
      </c>
      <c r="I2824" t="s">
        <v>39</v>
      </c>
      <c r="J2824" t="s">
        <v>78</v>
      </c>
      <c r="K2824" t="s">
        <v>40</v>
      </c>
      <c r="L2824">
        <v>1</v>
      </c>
      <c r="M2824" s="2">
        <v>66.959999999999994</v>
      </c>
      <c r="N2824" t="s">
        <v>26</v>
      </c>
      <c r="O2824" s="3">
        <v>0</v>
      </c>
      <c r="P2824" s="3">
        <v>0</v>
      </c>
      <c r="Q2824" s="2">
        <v>66.959999999999994</v>
      </c>
      <c r="R2824" t="s">
        <v>34</v>
      </c>
      <c r="S2824" t="s">
        <v>35</v>
      </c>
      <c r="T2824" t="s">
        <v>29</v>
      </c>
      <c r="U2824" t="s">
        <v>30</v>
      </c>
    </row>
    <row r="2825" spans="1:21" x14ac:dyDescent="0.35">
      <c r="A2825" t="s">
        <v>2905</v>
      </c>
      <c r="B2825" s="1">
        <v>46326</v>
      </c>
      <c r="C2825" t="str">
        <f>TEXT(tblData[[#This Row],[Rental Date]],"mmm")</f>
        <v>Oct</v>
      </c>
      <c r="D2825" t="str">
        <f>TEXT(tblData[[#This Row],[Rental Date]],"mmmm")</f>
        <v>October</v>
      </c>
      <c r="E2825" t="s">
        <v>56</v>
      </c>
      <c r="F2825" t="str">
        <f>TEXT(WEEKNUM(tblData[[#This Row],[Rental Date]]),"00")</f>
        <v>44</v>
      </c>
      <c r="G2825" s="1">
        <f>EOMONTH(tblData[[#This Row],[Rental Date]],0)</f>
        <v>46326</v>
      </c>
      <c r="H2825" t="s">
        <v>2441</v>
      </c>
      <c r="I2825" t="s">
        <v>39</v>
      </c>
      <c r="J2825" t="s">
        <v>78</v>
      </c>
      <c r="K2825" t="s">
        <v>25</v>
      </c>
      <c r="L2825">
        <v>1</v>
      </c>
      <c r="M2825" s="2">
        <v>45.36</v>
      </c>
      <c r="N2825" t="s">
        <v>26</v>
      </c>
      <c r="O2825" s="3">
        <v>0</v>
      </c>
      <c r="P2825" s="3">
        <v>0</v>
      </c>
      <c r="Q2825" s="2">
        <v>45.36</v>
      </c>
      <c r="R2825" t="s">
        <v>45</v>
      </c>
      <c r="S2825" t="s">
        <v>54</v>
      </c>
      <c r="T2825" t="s">
        <v>83</v>
      </c>
      <c r="U2825" t="s">
        <v>30</v>
      </c>
    </row>
    <row r="2826" spans="1:21" x14ac:dyDescent="0.35">
      <c r="A2826" t="s">
        <v>2906</v>
      </c>
      <c r="B2826" s="1">
        <v>46326</v>
      </c>
      <c r="C2826" t="str">
        <f>TEXT(tblData[[#This Row],[Rental Date]],"mmm")</f>
        <v>Oct</v>
      </c>
      <c r="D2826" t="str">
        <f>TEXT(tblData[[#This Row],[Rental Date]],"mmmm")</f>
        <v>October</v>
      </c>
      <c r="E2826" t="s">
        <v>56</v>
      </c>
      <c r="F2826" t="str">
        <f>TEXT(WEEKNUM(tblData[[#This Row],[Rental Date]]),"00")</f>
        <v>44</v>
      </c>
      <c r="G2826" s="1">
        <f>EOMONTH(tblData[[#This Row],[Rental Date]],0)</f>
        <v>46326</v>
      </c>
      <c r="H2826" t="s">
        <v>2441</v>
      </c>
      <c r="I2826" t="s">
        <v>23</v>
      </c>
      <c r="J2826" t="s">
        <v>44</v>
      </c>
      <c r="K2826" t="s">
        <v>40</v>
      </c>
      <c r="L2826">
        <v>1</v>
      </c>
      <c r="M2826" s="2">
        <v>84.24</v>
      </c>
      <c r="N2826" t="s">
        <v>26</v>
      </c>
      <c r="O2826" s="3">
        <v>0</v>
      </c>
      <c r="P2826" s="3">
        <v>0</v>
      </c>
      <c r="Q2826" s="2">
        <v>84.24</v>
      </c>
      <c r="R2826" t="s">
        <v>34</v>
      </c>
      <c r="S2826" t="s">
        <v>28</v>
      </c>
      <c r="T2826" t="s">
        <v>90</v>
      </c>
      <c r="U2826" t="s">
        <v>30</v>
      </c>
    </row>
    <row r="2827" spans="1:21" x14ac:dyDescent="0.35">
      <c r="A2827" t="s">
        <v>2907</v>
      </c>
      <c r="B2827" s="1">
        <v>46326</v>
      </c>
      <c r="C2827" t="str">
        <f>TEXT(tblData[[#This Row],[Rental Date]],"mmm")</f>
        <v>Oct</v>
      </c>
      <c r="D2827" t="str">
        <f>TEXT(tblData[[#This Row],[Rental Date]],"mmmm")</f>
        <v>October</v>
      </c>
      <c r="E2827" t="s">
        <v>56</v>
      </c>
      <c r="F2827" t="str">
        <f>TEXT(WEEKNUM(tblData[[#This Row],[Rental Date]]),"00")</f>
        <v>44</v>
      </c>
      <c r="G2827" s="1">
        <f>EOMONTH(tblData[[#This Row],[Rental Date]],0)</f>
        <v>46326</v>
      </c>
      <c r="H2827" t="s">
        <v>2441</v>
      </c>
      <c r="I2827" t="s">
        <v>23</v>
      </c>
      <c r="J2827" t="s">
        <v>24</v>
      </c>
      <c r="K2827" t="s">
        <v>60</v>
      </c>
      <c r="L2827">
        <v>1</v>
      </c>
      <c r="M2827" s="2">
        <v>34.56</v>
      </c>
      <c r="N2827" t="s">
        <v>87</v>
      </c>
      <c r="O2827" s="3">
        <v>10</v>
      </c>
      <c r="P2827" s="3">
        <v>0</v>
      </c>
      <c r="Q2827" s="2">
        <v>44.56</v>
      </c>
      <c r="R2827" t="s">
        <v>66</v>
      </c>
      <c r="S2827" t="s">
        <v>46</v>
      </c>
      <c r="T2827" t="s">
        <v>29</v>
      </c>
      <c r="U2827" t="s">
        <v>30</v>
      </c>
    </row>
    <row r="2828" spans="1:21" x14ac:dyDescent="0.35">
      <c r="A2828" t="s">
        <v>2908</v>
      </c>
      <c r="B2828" s="1">
        <v>46326</v>
      </c>
      <c r="C2828" t="str">
        <f>TEXT(tblData[[#This Row],[Rental Date]],"mmm")</f>
        <v>Oct</v>
      </c>
      <c r="D2828" t="str">
        <f>TEXT(tblData[[#This Row],[Rental Date]],"mmmm")</f>
        <v>October</v>
      </c>
      <c r="E2828" t="s">
        <v>56</v>
      </c>
      <c r="F2828" t="str">
        <f>TEXT(WEEKNUM(tblData[[#This Row],[Rental Date]]),"00")</f>
        <v>44</v>
      </c>
      <c r="G2828" s="1">
        <f>EOMONTH(tblData[[#This Row],[Rental Date]],0)</f>
        <v>46326</v>
      </c>
      <c r="H2828" t="s">
        <v>2441</v>
      </c>
      <c r="I2828" t="s">
        <v>23</v>
      </c>
      <c r="J2828" t="s">
        <v>78</v>
      </c>
      <c r="K2828" t="s">
        <v>25</v>
      </c>
      <c r="L2828">
        <v>1</v>
      </c>
      <c r="M2828" s="2">
        <v>45.36</v>
      </c>
      <c r="N2828" t="s">
        <v>26</v>
      </c>
      <c r="O2828" s="3">
        <v>0</v>
      </c>
      <c r="P2828" s="3">
        <v>0</v>
      </c>
      <c r="Q2828" s="2">
        <v>45.36</v>
      </c>
      <c r="R2828" t="s">
        <v>57</v>
      </c>
      <c r="S2828" t="s">
        <v>54</v>
      </c>
      <c r="T2828" t="s">
        <v>29</v>
      </c>
      <c r="U2828" t="s">
        <v>58</v>
      </c>
    </row>
    <row r="2829" spans="1:21" x14ac:dyDescent="0.35">
      <c r="A2829" t="s">
        <v>2909</v>
      </c>
      <c r="B2829" s="1">
        <v>46326</v>
      </c>
      <c r="C2829" t="str">
        <f>TEXT(tblData[[#This Row],[Rental Date]],"mmm")</f>
        <v>Oct</v>
      </c>
      <c r="D2829" t="str">
        <f>TEXT(tblData[[#This Row],[Rental Date]],"mmmm")</f>
        <v>October</v>
      </c>
      <c r="E2829" t="s">
        <v>56</v>
      </c>
      <c r="F2829" t="str">
        <f>TEXT(WEEKNUM(tblData[[#This Row],[Rental Date]]),"00")</f>
        <v>44</v>
      </c>
      <c r="G2829" s="1">
        <f>EOMONTH(tblData[[#This Row],[Rental Date]],0)</f>
        <v>46326</v>
      </c>
      <c r="H2829" t="s">
        <v>2441</v>
      </c>
      <c r="I2829" t="s">
        <v>39</v>
      </c>
      <c r="J2829" t="s">
        <v>33</v>
      </c>
      <c r="K2829" t="s">
        <v>25</v>
      </c>
      <c r="L2829">
        <v>1</v>
      </c>
      <c r="M2829" s="2">
        <v>41.04</v>
      </c>
      <c r="N2829" t="s">
        <v>89</v>
      </c>
      <c r="O2829" s="3">
        <v>6</v>
      </c>
      <c r="P2829" s="3">
        <v>0</v>
      </c>
      <c r="Q2829" s="2">
        <v>47.04</v>
      </c>
      <c r="R2829" t="s">
        <v>45</v>
      </c>
      <c r="S2829" t="s">
        <v>54</v>
      </c>
      <c r="T2829" t="s">
        <v>29</v>
      </c>
      <c r="U2829" t="s">
        <v>79</v>
      </c>
    </row>
    <row r="2830" spans="1:21" x14ac:dyDescent="0.35">
      <c r="A2830" t="s">
        <v>2910</v>
      </c>
      <c r="B2830" s="1">
        <v>46326</v>
      </c>
      <c r="C2830" t="str">
        <f>TEXT(tblData[[#This Row],[Rental Date]],"mmm")</f>
        <v>Oct</v>
      </c>
      <c r="D2830" t="str">
        <f>TEXT(tblData[[#This Row],[Rental Date]],"mmmm")</f>
        <v>October</v>
      </c>
      <c r="E2830" t="s">
        <v>56</v>
      </c>
      <c r="F2830" t="str">
        <f>TEXT(WEEKNUM(tblData[[#This Row],[Rental Date]]),"00")</f>
        <v>44</v>
      </c>
      <c r="G2830" s="1">
        <f>EOMONTH(tblData[[#This Row],[Rental Date]],0)</f>
        <v>46326</v>
      </c>
      <c r="H2830" t="s">
        <v>2441</v>
      </c>
      <c r="I2830" t="s">
        <v>23</v>
      </c>
      <c r="J2830" t="s">
        <v>65</v>
      </c>
      <c r="K2830" t="s">
        <v>40</v>
      </c>
      <c r="L2830">
        <v>1</v>
      </c>
      <c r="M2830" s="2">
        <v>30.24</v>
      </c>
      <c r="N2830" t="s">
        <v>89</v>
      </c>
      <c r="O2830" s="3">
        <v>6</v>
      </c>
      <c r="P2830" s="3">
        <v>0</v>
      </c>
      <c r="Q2830" s="2">
        <v>36.24</v>
      </c>
      <c r="R2830" t="s">
        <v>42</v>
      </c>
      <c r="S2830" t="s">
        <v>50</v>
      </c>
      <c r="T2830" t="s">
        <v>29</v>
      </c>
      <c r="U2830" t="s">
        <v>30</v>
      </c>
    </row>
    <row r="2831" spans="1:21" x14ac:dyDescent="0.35">
      <c r="A2831" t="s">
        <v>2911</v>
      </c>
      <c r="B2831" s="1">
        <v>46326</v>
      </c>
      <c r="C2831" t="str">
        <f>TEXT(tblData[[#This Row],[Rental Date]],"mmm")</f>
        <v>Oct</v>
      </c>
      <c r="D2831" t="str">
        <f>TEXT(tblData[[#This Row],[Rental Date]],"mmmm")</f>
        <v>October</v>
      </c>
      <c r="E2831" t="s">
        <v>56</v>
      </c>
      <c r="F2831" t="str">
        <f>TEXT(WEEKNUM(tblData[[#This Row],[Rental Date]]),"00")</f>
        <v>44</v>
      </c>
      <c r="G2831" s="1">
        <f>EOMONTH(tblData[[#This Row],[Rental Date]],0)</f>
        <v>46326</v>
      </c>
      <c r="H2831" t="s">
        <v>2441</v>
      </c>
      <c r="I2831" t="s">
        <v>39</v>
      </c>
      <c r="J2831" t="s">
        <v>24</v>
      </c>
      <c r="K2831" t="s">
        <v>60</v>
      </c>
      <c r="L2831">
        <v>1</v>
      </c>
      <c r="M2831" s="2">
        <v>34.56</v>
      </c>
      <c r="N2831" t="s">
        <v>26</v>
      </c>
      <c r="O2831" s="3">
        <v>0</v>
      </c>
      <c r="P2831" s="3">
        <v>0</v>
      </c>
      <c r="Q2831" s="2">
        <v>34.56</v>
      </c>
      <c r="R2831" t="s">
        <v>27</v>
      </c>
      <c r="S2831" t="s">
        <v>46</v>
      </c>
      <c r="T2831" t="s">
        <v>51</v>
      </c>
      <c r="U2831" t="s">
        <v>30</v>
      </c>
    </row>
    <row r="2832" spans="1:21" x14ac:dyDescent="0.35">
      <c r="A2832" t="s">
        <v>2912</v>
      </c>
      <c r="B2832" s="1">
        <v>46326</v>
      </c>
      <c r="C2832" t="str">
        <f>TEXT(tblData[[#This Row],[Rental Date]],"mmm")</f>
        <v>Oct</v>
      </c>
      <c r="D2832" t="str">
        <f>TEXT(tblData[[#This Row],[Rental Date]],"mmmm")</f>
        <v>October</v>
      </c>
      <c r="E2832" t="s">
        <v>56</v>
      </c>
      <c r="F2832" t="str">
        <f>TEXT(WEEKNUM(tblData[[#This Row],[Rental Date]]),"00")</f>
        <v>44</v>
      </c>
      <c r="G2832" s="1">
        <f>EOMONTH(tblData[[#This Row],[Rental Date]],0)</f>
        <v>46326</v>
      </c>
      <c r="H2832" t="s">
        <v>2441</v>
      </c>
      <c r="I2832" t="s">
        <v>48</v>
      </c>
      <c r="J2832" t="s">
        <v>49</v>
      </c>
      <c r="K2832" t="s">
        <v>25</v>
      </c>
      <c r="L2832">
        <v>1</v>
      </c>
      <c r="M2832" s="2">
        <v>38.880000000000003</v>
      </c>
      <c r="N2832" t="s">
        <v>87</v>
      </c>
      <c r="O2832" s="3">
        <v>10</v>
      </c>
      <c r="P2832" s="3">
        <v>0</v>
      </c>
      <c r="Q2832" s="2">
        <v>48.88</v>
      </c>
      <c r="R2832" t="s">
        <v>71</v>
      </c>
      <c r="S2832" t="s">
        <v>50</v>
      </c>
      <c r="T2832" t="s">
        <v>90</v>
      </c>
      <c r="U2832" t="s">
        <v>30</v>
      </c>
    </row>
    <row r="2833" spans="1:21" x14ac:dyDescent="0.35">
      <c r="A2833" t="s">
        <v>2913</v>
      </c>
      <c r="B2833" s="1">
        <v>46326</v>
      </c>
      <c r="C2833" t="str">
        <f>TEXT(tblData[[#This Row],[Rental Date]],"mmm")</f>
        <v>Oct</v>
      </c>
      <c r="D2833" t="str">
        <f>TEXT(tblData[[#This Row],[Rental Date]],"mmmm")</f>
        <v>October</v>
      </c>
      <c r="E2833" t="s">
        <v>56</v>
      </c>
      <c r="F2833" t="str">
        <f>TEXT(WEEKNUM(tblData[[#This Row],[Rental Date]]),"00")</f>
        <v>44</v>
      </c>
      <c r="G2833" s="1">
        <f>EOMONTH(tblData[[#This Row],[Rental Date]],0)</f>
        <v>46326</v>
      </c>
      <c r="H2833" t="s">
        <v>2441</v>
      </c>
      <c r="I2833" t="s">
        <v>23</v>
      </c>
      <c r="J2833" t="s">
        <v>49</v>
      </c>
      <c r="K2833" t="s">
        <v>60</v>
      </c>
      <c r="L2833">
        <v>1</v>
      </c>
      <c r="M2833" s="2">
        <v>23.76</v>
      </c>
      <c r="N2833" t="s">
        <v>26</v>
      </c>
      <c r="O2833" s="3">
        <v>0</v>
      </c>
      <c r="P2833" s="3">
        <v>0</v>
      </c>
      <c r="Q2833" s="2">
        <v>23.76</v>
      </c>
      <c r="R2833" t="s">
        <v>34</v>
      </c>
      <c r="S2833" t="s">
        <v>54</v>
      </c>
      <c r="T2833" t="s">
        <v>51</v>
      </c>
      <c r="U2833" t="s">
        <v>30</v>
      </c>
    </row>
    <row r="2834" spans="1:21" x14ac:dyDescent="0.35">
      <c r="A2834" t="s">
        <v>2914</v>
      </c>
      <c r="B2834" s="1">
        <v>46326</v>
      </c>
      <c r="C2834" t="str">
        <f>TEXT(tblData[[#This Row],[Rental Date]],"mmm")</f>
        <v>Oct</v>
      </c>
      <c r="D2834" t="str">
        <f>TEXT(tblData[[#This Row],[Rental Date]],"mmmm")</f>
        <v>October</v>
      </c>
      <c r="E2834" t="s">
        <v>56</v>
      </c>
      <c r="F2834" t="str">
        <f>TEXT(WEEKNUM(tblData[[#This Row],[Rental Date]]),"00")</f>
        <v>44</v>
      </c>
      <c r="G2834" s="1">
        <f>EOMONTH(tblData[[#This Row],[Rental Date]],0)</f>
        <v>46326</v>
      </c>
      <c r="H2834" t="s">
        <v>2441</v>
      </c>
      <c r="I2834" t="s">
        <v>23</v>
      </c>
      <c r="J2834" t="s">
        <v>24</v>
      </c>
      <c r="K2834" t="s">
        <v>25</v>
      </c>
      <c r="L2834">
        <v>1</v>
      </c>
      <c r="M2834" s="2">
        <v>54</v>
      </c>
      <c r="N2834" t="s">
        <v>26</v>
      </c>
      <c r="O2834" s="3">
        <v>0</v>
      </c>
      <c r="P2834" s="3">
        <v>0</v>
      </c>
      <c r="Q2834" s="2">
        <v>54</v>
      </c>
      <c r="R2834" t="s">
        <v>45</v>
      </c>
      <c r="S2834" t="s">
        <v>50</v>
      </c>
      <c r="T2834" t="s">
        <v>83</v>
      </c>
      <c r="U2834" t="s">
        <v>79</v>
      </c>
    </row>
    <row r="2835" spans="1:21" x14ac:dyDescent="0.35">
      <c r="A2835" t="s">
        <v>2915</v>
      </c>
      <c r="B2835" s="1">
        <v>46327</v>
      </c>
      <c r="C2835" t="str">
        <f>TEXT(tblData[[#This Row],[Rental Date]],"mmm")</f>
        <v>Nov</v>
      </c>
      <c r="D2835" t="str">
        <f>TEXT(tblData[[#This Row],[Rental Date]],"mmmm")</f>
        <v>November</v>
      </c>
      <c r="E2835" t="s">
        <v>68</v>
      </c>
      <c r="F2835" t="str">
        <f>TEXT(WEEKNUM(tblData[[#This Row],[Rental Date]]),"00")</f>
        <v>45</v>
      </c>
      <c r="G2835" s="1">
        <f>EOMONTH(tblData[[#This Row],[Rental Date]],0)</f>
        <v>46356</v>
      </c>
      <c r="H2835" t="s">
        <v>2441</v>
      </c>
      <c r="I2835" t="s">
        <v>48</v>
      </c>
      <c r="J2835" t="s">
        <v>127</v>
      </c>
      <c r="K2835" t="s">
        <v>25</v>
      </c>
      <c r="L2835">
        <v>1</v>
      </c>
      <c r="M2835" s="2">
        <v>17.28</v>
      </c>
      <c r="N2835" t="s">
        <v>26</v>
      </c>
      <c r="O2835" s="3">
        <v>0</v>
      </c>
      <c r="P2835" s="3">
        <v>0</v>
      </c>
      <c r="Q2835" s="2">
        <v>17.28</v>
      </c>
      <c r="R2835" t="s">
        <v>66</v>
      </c>
      <c r="S2835" t="s">
        <v>28</v>
      </c>
      <c r="T2835" t="s">
        <v>90</v>
      </c>
      <c r="U2835" t="s">
        <v>30</v>
      </c>
    </row>
    <row r="2836" spans="1:21" x14ac:dyDescent="0.35">
      <c r="A2836" t="s">
        <v>2916</v>
      </c>
      <c r="B2836" s="1">
        <v>46327</v>
      </c>
      <c r="C2836" t="str">
        <f>TEXT(tblData[[#This Row],[Rental Date]],"mmm")</f>
        <v>Nov</v>
      </c>
      <c r="D2836" t="str">
        <f>TEXT(tblData[[#This Row],[Rental Date]],"mmmm")</f>
        <v>November</v>
      </c>
      <c r="E2836" t="s">
        <v>68</v>
      </c>
      <c r="F2836" t="str">
        <f>TEXT(WEEKNUM(tblData[[#This Row],[Rental Date]]),"00")</f>
        <v>45</v>
      </c>
      <c r="G2836" s="1">
        <f>EOMONTH(tblData[[#This Row],[Rental Date]],0)</f>
        <v>46356</v>
      </c>
      <c r="H2836" t="s">
        <v>2441</v>
      </c>
      <c r="I2836" t="s">
        <v>39</v>
      </c>
      <c r="J2836" t="s">
        <v>33</v>
      </c>
      <c r="K2836" t="s">
        <v>92</v>
      </c>
      <c r="L2836">
        <v>1</v>
      </c>
      <c r="M2836" s="2">
        <v>90.72</v>
      </c>
      <c r="N2836" t="s">
        <v>89</v>
      </c>
      <c r="O2836" s="3">
        <v>6</v>
      </c>
      <c r="P2836" s="3">
        <v>0</v>
      </c>
      <c r="Q2836" s="2">
        <v>96.72</v>
      </c>
      <c r="R2836" t="s">
        <v>71</v>
      </c>
      <c r="S2836" t="s">
        <v>46</v>
      </c>
      <c r="T2836" t="s">
        <v>29</v>
      </c>
      <c r="U2836" t="s">
        <v>58</v>
      </c>
    </row>
    <row r="2837" spans="1:21" x14ac:dyDescent="0.35">
      <c r="A2837" t="s">
        <v>2917</v>
      </c>
      <c r="B2837" s="1">
        <v>46327</v>
      </c>
      <c r="C2837" t="str">
        <f>TEXT(tblData[[#This Row],[Rental Date]],"mmm")</f>
        <v>Nov</v>
      </c>
      <c r="D2837" t="str">
        <f>TEXT(tblData[[#This Row],[Rental Date]],"mmmm")</f>
        <v>November</v>
      </c>
      <c r="E2837" t="s">
        <v>68</v>
      </c>
      <c r="F2837" t="str">
        <f>TEXT(WEEKNUM(tblData[[#This Row],[Rental Date]]),"00")</f>
        <v>45</v>
      </c>
      <c r="G2837" s="1">
        <f>EOMONTH(tblData[[#This Row],[Rental Date]],0)</f>
        <v>46356</v>
      </c>
      <c r="H2837" t="s">
        <v>2441</v>
      </c>
      <c r="I2837" t="s">
        <v>48</v>
      </c>
      <c r="J2837" t="s">
        <v>78</v>
      </c>
      <c r="K2837" t="s">
        <v>25</v>
      </c>
      <c r="L2837">
        <v>1</v>
      </c>
      <c r="M2837" s="2">
        <v>45.36</v>
      </c>
      <c r="N2837" t="s">
        <v>26</v>
      </c>
      <c r="O2837" s="3">
        <v>0</v>
      </c>
      <c r="P2837" s="3">
        <v>0</v>
      </c>
      <c r="Q2837" s="2">
        <v>45.36</v>
      </c>
      <c r="R2837" t="s">
        <v>34</v>
      </c>
      <c r="S2837" t="s">
        <v>54</v>
      </c>
      <c r="T2837" t="s">
        <v>29</v>
      </c>
      <c r="U2837" t="s">
        <v>58</v>
      </c>
    </row>
    <row r="2838" spans="1:21" x14ac:dyDescent="0.35">
      <c r="A2838" t="s">
        <v>2918</v>
      </c>
      <c r="B2838" s="1">
        <v>46328</v>
      </c>
      <c r="C2838" t="str">
        <f>TEXT(tblData[[#This Row],[Rental Date]],"mmm")</f>
        <v>Nov</v>
      </c>
      <c r="D2838" t="str">
        <f>TEXT(tblData[[#This Row],[Rental Date]],"mmmm")</f>
        <v>November</v>
      </c>
      <c r="E2838" t="s">
        <v>74</v>
      </c>
      <c r="F2838" t="str">
        <f>TEXT(WEEKNUM(tblData[[#This Row],[Rental Date]]),"00")</f>
        <v>45</v>
      </c>
      <c r="G2838" s="1">
        <f>EOMONTH(tblData[[#This Row],[Rental Date]],0)</f>
        <v>46356</v>
      </c>
      <c r="H2838" t="s">
        <v>2441</v>
      </c>
      <c r="I2838" t="s">
        <v>39</v>
      </c>
      <c r="J2838" t="s">
        <v>44</v>
      </c>
      <c r="K2838" t="s">
        <v>25</v>
      </c>
      <c r="L2838">
        <v>1</v>
      </c>
      <c r="M2838" s="2">
        <v>52</v>
      </c>
      <c r="N2838" t="s">
        <v>89</v>
      </c>
      <c r="O2838" s="3">
        <v>6</v>
      </c>
      <c r="P2838" s="3">
        <v>0</v>
      </c>
      <c r="Q2838" s="2">
        <v>58</v>
      </c>
      <c r="R2838" t="s">
        <v>42</v>
      </c>
      <c r="S2838" t="s">
        <v>50</v>
      </c>
      <c r="T2838" t="s">
        <v>63</v>
      </c>
      <c r="U2838" t="s">
        <v>30</v>
      </c>
    </row>
    <row r="2839" spans="1:21" x14ac:dyDescent="0.35">
      <c r="A2839" t="s">
        <v>2919</v>
      </c>
      <c r="B2839" s="1">
        <v>46328</v>
      </c>
      <c r="C2839" t="str">
        <f>TEXT(tblData[[#This Row],[Rental Date]],"mmm")</f>
        <v>Nov</v>
      </c>
      <c r="D2839" t="str">
        <f>TEXT(tblData[[#This Row],[Rental Date]],"mmmm")</f>
        <v>November</v>
      </c>
      <c r="E2839" t="s">
        <v>74</v>
      </c>
      <c r="F2839" t="str">
        <f>TEXT(WEEKNUM(tblData[[#This Row],[Rental Date]]),"00")</f>
        <v>45</v>
      </c>
      <c r="G2839" s="1">
        <f>EOMONTH(tblData[[#This Row],[Rental Date]],0)</f>
        <v>46356</v>
      </c>
      <c r="H2839" t="s">
        <v>2441</v>
      </c>
      <c r="I2839" t="s">
        <v>53</v>
      </c>
      <c r="J2839" t="s">
        <v>111</v>
      </c>
      <c r="K2839" t="s">
        <v>40</v>
      </c>
      <c r="L2839">
        <v>1</v>
      </c>
      <c r="M2839" s="2">
        <v>34</v>
      </c>
      <c r="N2839" t="s">
        <v>26</v>
      </c>
      <c r="O2839" s="3">
        <v>0</v>
      </c>
      <c r="P2839" s="3">
        <v>5.0999999999999996</v>
      </c>
      <c r="Q2839" s="2">
        <v>28.9</v>
      </c>
      <c r="R2839" t="s">
        <v>42</v>
      </c>
      <c r="S2839" t="s">
        <v>46</v>
      </c>
      <c r="T2839" t="s">
        <v>90</v>
      </c>
      <c r="U2839" t="s">
        <v>30</v>
      </c>
    </row>
    <row r="2840" spans="1:21" x14ac:dyDescent="0.35">
      <c r="A2840" t="s">
        <v>2920</v>
      </c>
      <c r="B2840" s="1">
        <v>46328</v>
      </c>
      <c r="C2840" t="str">
        <f>TEXT(tblData[[#This Row],[Rental Date]],"mmm")</f>
        <v>Nov</v>
      </c>
      <c r="D2840" t="str">
        <f>TEXT(tblData[[#This Row],[Rental Date]],"mmmm")</f>
        <v>November</v>
      </c>
      <c r="E2840" t="s">
        <v>74</v>
      </c>
      <c r="F2840" t="str">
        <f>TEXT(WEEKNUM(tblData[[#This Row],[Rental Date]]),"00")</f>
        <v>45</v>
      </c>
      <c r="G2840" s="1">
        <f>EOMONTH(tblData[[#This Row],[Rental Date]],0)</f>
        <v>46356</v>
      </c>
      <c r="H2840" t="s">
        <v>2441</v>
      </c>
      <c r="I2840" t="s">
        <v>39</v>
      </c>
      <c r="J2840" t="s">
        <v>78</v>
      </c>
      <c r="K2840" t="s">
        <v>92</v>
      </c>
      <c r="L2840">
        <v>1</v>
      </c>
      <c r="M2840" s="2">
        <v>88</v>
      </c>
      <c r="N2840" t="s">
        <v>26</v>
      </c>
      <c r="O2840" s="3">
        <v>0</v>
      </c>
      <c r="P2840" s="3">
        <v>0</v>
      </c>
      <c r="Q2840" s="2">
        <v>88</v>
      </c>
      <c r="R2840" t="s">
        <v>66</v>
      </c>
      <c r="S2840" t="s">
        <v>46</v>
      </c>
      <c r="T2840" t="s">
        <v>83</v>
      </c>
      <c r="U2840" t="s">
        <v>58</v>
      </c>
    </row>
    <row r="2841" spans="1:21" x14ac:dyDescent="0.35">
      <c r="A2841" t="s">
        <v>2921</v>
      </c>
      <c r="B2841" s="1">
        <v>46329</v>
      </c>
      <c r="C2841" t="str">
        <f>TEXT(tblData[[#This Row],[Rental Date]],"mmm")</f>
        <v>Nov</v>
      </c>
      <c r="D2841" t="str">
        <f>TEXT(tblData[[#This Row],[Rental Date]],"mmmm")</f>
        <v>November</v>
      </c>
      <c r="E2841" t="s">
        <v>102</v>
      </c>
      <c r="F2841" t="str">
        <f>TEXT(WEEKNUM(tblData[[#This Row],[Rental Date]]),"00")</f>
        <v>45</v>
      </c>
      <c r="G2841" s="1">
        <f>EOMONTH(tblData[[#This Row],[Rental Date]],0)</f>
        <v>46356</v>
      </c>
      <c r="H2841" t="s">
        <v>2441</v>
      </c>
      <c r="I2841" t="s">
        <v>48</v>
      </c>
      <c r="J2841" t="s">
        <v>78</v>
      </c>
      <c r="K2841" t="s">
        <v>92</v>
      </c>
      <c r="L2841">
        <v>1</v>
      </c>
      <c r="M2841" s="2">
        <v>88</v>
      </c>
      <c r="N2841" t="s">
        <v>70</v>
      </c>
      <c r="O2841" s="3">
        <v>7</v>
      </c>
      <c r="P2841" s="3">
        <v>0</v>
      </c>
      <c r="Q2841" s="2">
        <v>95</v>
      </c>
      <c r="R2841" t="s">
        <v>62</v>
      </c>
      <c r="S2841" t="s">
        <v>54</v>
      </c>
      <c r="T2841" t="s">
        <v>51</v>
      </c>
      <c r="U2841" t="s">
        <v>30</v>
      </c>
    </row>
    <row r="2842" spans="1:21" x14ac:dyDescent="0.35">
      <c r="A2842" t="s">
        <v>2922</v>
      </c>
      <c r="B2842" s="1">
        <v>46331</v>
      </c>
      <c r="C2842" t="str">
        <f>TEXT(tblData[[#This Row],[Rental Date]],"mmm")</f>
        <v>Nov</v>
      </c>
      <c r="D2842" t="str">
        <f>TEXT(tblData[[#This Row],[Rental Date]],"mmmm")</f>
        <v>November</v>
      </c>
      <c r="E2842" t="s">
        <v>21</v>
      </c>
      <c r="F2842" t="str">
        <f>TEXT(WEEKNUM(tblData[[#This Row],[Rental Date]]),"00")</f>
        <v>45</v>
      </c>
      <c r="G2842" s="1">
        <f>EOMONTH(tblData[[#This Row],[Rental Date]],0)</f>
        <v>46356</v>
      </c>
      <c r="H2842" t="s">
        <v>2441</v>
      </c>
      <c r="I2842" t="s">
        <v>32</v>
      </c>
      <c r="J2842" t="s">
        <v>24</v>
      </c>
      <c r="K2842" t="s">
        <v>40</v>
      </c>
      <c r="L2842">
        <v>1</v>
      </c>
      <c r="M2842" s="2">
        <v>76</v>
      </c>
      <c r="N2842" t="s">
        <v>26</v>
      </c>
      <c r="O2842" s="3">
        <v>0</v>
      </c>
      <c r="P2842" s="3">
        <v>0</v>
      </c>
      <c r="Q2842" s="2">
        <v>76</v>
      </c>
      <c r="R2842" t="s">
        <v>76</v>
      </c>
      <c r="S2842" t="s">
        <v>35</v>
      </c>
      <c r="T2842" t="s">
        <v>51</v>
      </c>
      <c r="U2842" t="s">
        <v>30</v>
      </c>
    </row>
    <row r="2843" spans="1:21" x14ac:dyDescent="0.35">
      <c r="A2843" t="s">
        <v>2923</v>
      </c>
      <c r="B2843" s="1">
        <v>46331</v>
      </c>
      <c r="C2843" t="str">
        <f>TEXT(tblData[[#This Row],[Rental Date]],"mmm")</f>
        <v>Nov</v>
      </c>
      <c r="D2843" t="str">
        <f>TEXT(tblData[[#This Row],[Rental Date]],"mmmm")</f>
        <v>November</v>
      </c>
      <c r="E2843" t="s">
        <v>21</v>
      </c>
      <c r="F2843" t="str">
        <f>TEXT(WEEKNUM(tblData[[#This Row],[Rental Date]]),"00")</f>
        <v>45</v>
      </c>
      <c r="G2843" s="1">
        <f>EOMONTH(tblData[[#This Row],[Rental Date]],0)</f>
        <v>46356</v>
      </c>
      <c r="H2843" t="s">
        <v>2441</v>
      </c>
      <c r="I2843" t="s">
        <v>48</v>
      </c>
      <c r="J2843" t="s">
        <v>78</v>
      </c>
      <c r="K2843" t="s">
        <v>60</v>
      </c>
      <c r="L2843">
        <v>1</v>
      </c>
      <c r="M2843" s="2">
        <v>26</v>
      </c>
      <c r="N2843" t="s">
        <v>41</v>
      </c>
      <c r="O2843" s="3">
        <v>5</v>
      </c>
      <c r="P2843" s="3">
        <v>0</v>
      </c>
      <c r="Q2843" s="2">
        <v>31</v>
      </c>
      <c r="R2843" t="s">
        <v>45</v>
      </c>
      <c r="S2843" t="s">
        <v>46</v>
      </c>
      <c r="T2843" t="s">
        <v>90</v>
      </c>
      <c r="U2843" t="s">
        <v>30</v>
      </c>
    </row>
    <row r="2844" spans="1:21" x14ac:dyDescent="0.35">
      <c r="A2844" t="s">
        <v>2924</v>
      </c>
      <c r="B2844" s="1">
        <v>46331</v>
      </c>
      <c r="C2844" t="str">
        <f>TEXT(tblData[[#This Row],[Rental Date]],"mmm")</f>
        <v>Nov</v>
      </c>
      <c r="D2844" t="str">
        <f>TEXT(tblData[[#This Row],[Rental Date]],"mmmm")</f>
        <v>November</v>
      </c>
      <c r="E2844" t="s">
        <v>21</v>
      </c>
      <c r="F2844" t="str">
        <f>TEXT(WEEKNUM(tblData[[#This Row],[Rental Date]]),"00")</f>
        <v>45</v>
      </c>
      <c r="G2844" s="1">
        <f>EOMONTH(tblData[[#This Row],[Rental Date]],0)</f>
        <v>46356</v>
      </c>
      <c r="H2844" t="s">
        <v>2441</v>
      </c>
      <c r="I2844" t="s">
        <v>53</v>
      </c>
      <c r="J2844" t="s">
        <v>49</v>
      </c>
      <c r="K2844" t="s">
        <v>25</v>
      </c>
      <c r="L2844">
        <v>1</v>
      </c>
      <c r="M2844" s="2">
        <v>36</v>
      </c>
      <c r="N2844" t="s">
        <v>26</v>
      </c>
      <c r="O2844" s="3">
        <v>0</v>
      </c>
      <c r="P2844" s="3">
        <v>3.6</v>
      </c>
      <c r="Q2844" s="2">
        <v>32.4</v>
      </c>
      <c r="R2844" t="s">
        <v>76</v>
      </c>
      <c r="S2844" t="s">
        <v>46</v>
      </c>
      <c r="T2844" t="s">
        <v>29</v>
      </c>
      <c r="U2844" t="s">
        <v>36</v>
      </c>
    </row>
    <row r="2845" spans="1:21" x14ac:dyDescent="0.35">
      <c r="A2845" t="s">
        <v>2925</v>
      </c>
      <c r="B2845" s="1">
        <v>46332</v>
      </c>
      <c r="C2845" t="str">
        <f>TEXT(tblData[[#This Row],[Rental Date]],"mmm")</f>
        <v>Nov</v>
      </c>
      <c r="D2845" t="str">
        <f>TEXT(tblData[[#This Row],[Rental Date]],"mmmm")</f>
        <v>November</v>
      </c>
      <c r="E2845" t="s">
        <v>38</v>
      </c>
      <c r="F2845" t="str">
        <f>TEXT(WEEKNUM(tblData[[#This Row],[Rental Date]]),"00")</f>
        <v>45</v>
      </c>
      <c r="G2845" s="1">
        <f>EOMONTH(tblData[[#This Row],[Rental Date]],0)</f>
        <v>46356</v>
      </c>
      <c r="H2845" t="s">
        <v>2441</v>
      </c>
      <c r="I2845" t="s">
        <v>23</v>
      </c>
      <c r="J2845" t="s">
        <v>33</v>
      </c>
      <c r="K2845" t="s">
        <v>40</v>
      </c>
      <c r="L2845">
        <v>1</v>
      </c>
      <c r="M2845" s="2">
        <v>58</v>
      </c>
      <c r="N2845" t="s">
        <v>26</v>
      </c>
      <c r="O2845" s="3">
        <v>0</v>
      </c>
      <c r="P2845" s="3">
        <v>0</v>
      </c>
      <c r="Q2845" s="2">
        <v>58</v>
      </c>
      <c r="R2845" t="s">
        <v>45</v>
      </c>
      <c r="S2845" t="s">
        <v>28</v>
      </c>
      <c r="T2845" t="s">
        <v>63</v>
      </c>
      <c r="U2845" t="s">
        <v>30</v>
      </c>
    </row>
    <row r="2846" spans="1:21" x14ac:dyDescent="0.35">
      <c r="A2846" t="s">
        <v>2926</v>
      </c>
      <c r="B2846" s="1">
        <v>46332</v>
      </c>
      <c r="C2846" t="str">
        <f>TEXT(tblData[[#This Row],[Rental Date]],"mmm")</f>
        <v>Nov</v>
      </c>
      <c r="D2846" t="str">
        <f>TEXT(tblData[[#This Row],[Rental Date]],"mmmm")</f>
        <v>November</v>
      </c>
      <c r="E2846" t="s">
        <v>38</v>
      </c>
      <c r="F2846" t="str">
        <f>TEXT(WEEKNUM(tblData[[#This Row],[Rental Date]]),"00")</f>
        <v>45</v>
      </c>
      <c r="G2846" s="1">
        <f>EOMONTH(tblData[[#This Row],[Rental Date]],0)</f>
        <v>46356</v>
      </c>
      <c r="H2846" t="s">
        <v>2441</v>
      </c>
      <c r="I2846" t="s">
        <v>23</v>
      </c>
      <c r="J2846" t="s">
        <v>78</v>
      </c>
      <c r="K2846" t="s">
        <v>60</v>
      </c>
      <c r="L2846">
        <v>1</v>
      </c>
      <c r="M2846" s="2">
        <v>26</v>
      </c>
      <c r="N2846" t="s">
        <v>26</v>
      </c>
      <c r="O2846" s="3">
        <v>0</v>
      </c>
      <c r="P2846" s="3">
        <v>0</v>
      </c>
      <c r="Q2846" s="2">
        <v>26</v>
      </c>
      <c r="R2846" t="s">
        <v>45</v>
      </c>
      <c r="S2846" t="s">
        <v>54</v>
      </c>
      <c r="T2846" t="s">
        <v>51</v>
      </c>
      <c r="U2846" t="s">
        <v>30</v>
      </c>
    </row>
    <row r="2847" spans="1:21" x14ac:dyDescent="0.35">
      <c r="A2847" t="s">
        <v>2927</v>
      </c>
      <c r="B2847" s="1">
        <v>46332</v>
      </c>
      <c r="C2847" t="str">
        <f>TEXT(tblData[[#This Row],[Rental Date]],"mmm")</f>
        <v>Nov</v>
      </c>
      <c r="D2847" t="str">
        <f>TEXT(tblData[[#This Row],[Rental Date]],"mmmm")</f>
        <v>November</v>
      </c>
      <c r="E2847" t="s">
        <v>38</v>
      </c>
      <c r="F2847" t="str">
        <f>TEXT(WEEKNUM(tblData[[#This Row],[Rental Date]]),"00")</f>
        <v>45</v>
      </c>
      <c r="G2847" s="1">
        <f>EOMONTH(tblData[[#This Row],[Rental Date]],0)</f>
        <v>46356</v>
      </c>
      <c r="H2847" t="s">
        <v>2441</v>
      </c>
      <c r="I2847" t="s">
        <v>48</v>
      </c>
      <c r="J2847" t="s">
        <v>138</v>
      </c>
      <c r="K2847" t="s">
        <v>60</v>
      </c>
      <c r="L2847">
        <v>1</v>
      </c>
      <c r="M2847" s="2">
        <v>30</v>
      </c>
      <c r="N2847" t="s">
        <v>26</v>
      </c>
      <c r="O2847" s="3">
        <v>0</v>
      </c>
      <c r="P2847" s="3">
        <v>0</v>
      </c>
      <c r="Q2847" s="2">
        <v>30</v>
      </c>
      <c r="R2847" t="s">
        <v>94</v>
      </c>
      <c r="S2847" t="s">
        <v>54</v>
      </c>
      <c r="T2847" t="s">
        <v>83</v>
      </c>
      <c r="U2847" t="s">
        <v>30</v>
      </c>
    </row>
    <row r="2848" spans="1:21" x14ac:dyDescent="0.35">
      <c r="A2848" t="s">
        <v>2928</v>
      </c>
      <c r="B2848" s="1">
        <v>46332</v>
      </c>
      <c r="C2848" t="str">
        <f>TEXT(tblData[[#This Row],[Rental Date]],"mmm")</f>
        <v>Nov</v>
      </c>
      <c r="D2848" t="str">
        <f>TEXT(tblData[[#This Row],[Rental Date]],"mmmm")</f>
        <v>November</v>
      </c>
      <c r="E2848" t="s">
        <v>38</v>
      </c>
      <c r="F2848" t="str">
        <f>TEXT(WEEKNUM(tblData[[#This Row],[Rental Date]]),"00")</f>
        <v>45</v>
      </c>
      <c r="G2848" s="1">
        <f>EOMONTH(tblData[[#This Row],[Rental Date]],0)</f>
        <v>46356</v>
      </c>
      <c r="H2848" t="s">
        <v>2441</v>
      </c>
      <c r="I2848" t="s">
        <v>39</v>
      </c>
      <c r="J2848" t="s">
        <v>127</v>
      </c>
      <c r="K2848" t="s">
        <v>60</v>
      </c>
      <c r="L2848">
        <v>1</v>
      </c>
      <c r="M2848" s="2">
        <v>10</v>
      </c>
      <c r="N2848" t="s">
        <v>26</v>
      </c>
      <c r="O2848" s="3">
        <v>0</v>
      </c>
      <c r="P2848" s="3">
        <v>0</v>
      </c>
      <c r="Q2848" s="2">
        <v>10</v>
      </c>
      <c r="R2848" t="s">
        <v>94</v>
      </c>
      <c r="S2848" t="s">
        <v>28</v>
      </c>
      <c r="T2848" t="s">
        <v>29</v>
      </c>
      <c r="U2848" t="s">
        <v>79</v>
      </c>
    </row>
    <row r="2849" spans="1:21" x14ac:dyDescent="0.35">
      <c r="A2849" t="s">
        <v>2929</v>
      </c>
      <c r="B2849" s="1">
        <v>46333</v>
      </c>
      <c r="C2849" t="str">
        <f>TEXT(tblData[[#This Row],[Rental Date]],"mmm")</f>
        <v>Nov</v>
      </c>
      <c r="D2849" t="str">
        <f>TEXT(tblData[[#This Row],[Rental Date]],"mmmm")</f>
        <v>November</v>
      </c>
      <c r="E2849" t="s">
        <v>56</v>
      </c>
      <c r="F2849" t="str">
        <f>TEXT(WEEKNUM(tblData[[#This Row],[Rental Date]]),"00")</f>
        <v>45</v>
      </c>
      <c r="G2849" s="1">
        <f>EOMONTH(tblData[[#This Row],[Rental Date]],0)</f>
        <v>46356</v>
      </c>
      <c r="H2849" t="s">
        <v>2441</v>
      </c>
      <c r="I2849" t="s">
        <v>39</v>
      </c>
      <c r="J2849" t="s">
        <v>78</v>
      </c>
      <c r="K2849" t="s">
        <v>60</v>
      </c>
      <c r="L2849">
        <v>1</v>
      </c>
      <c r="M2849" s="2">
        <v>28.08</v>
      </c>
      <c r="N2849" t="s">
        <v>26</v>
      </c>
      <c r="O2849" s="3">
        <v>0</v>
      </c>
      <c r="P2849" s="3">
        <v>0</v>
      </c>
      <c r="Q2849" s="2">
        <v>28.08</v>
      </c>
      <c r="R2849" t="s">
        <v>62</v>
      </c>
      <c r="S2849" t="s">
        <v>50</v>
      </c>
      <c r="T2849" t="s">
        <v>29</v>
      </c>
      <c r="U2849" t="s">
        <v>58</v>
      </c>
    </row>
    <row r="2850" spans="1:21" x14ac:dyDescent="0.35">
      <c r="A2850" t="s">
        <v>2930</v>
      </c>
      <c r="B2850" s="1">
        <v>46333</v>
      </c>
      <c r="C2850" t="str">
        <f>TEXT(tblData[[#This Row],[Rental Date]],"mmm")</f>
        <v>Nov</v>
      </c>
      <c r="D2850" t="str">
        <f>TEXT(tblData[[#This Row],[Rental Date]],"mmmm")</f>
        <v>November</v>
      </c>
      <c r="E2850" t="s">
        <v>56</v>
      </c>
      <c r="F2850" t="str">
        <f>TEXT(WEEKNUM(tblData[[#This Row],[Rental Date]]),"00")</f>
        <v>45</v>
      </c>
      <c r="G2850" s="1">
        <f>EOMONTH(tblData[[#This Row],[Rental Date]],0)</f>
        <v>46356</v>
      </c>
      <c r="H2850" t="s">
        <v>2441</v>
      </c>
      <c r="I2850" t="s">
        <v>39</v>
      </c>
      <c r="J2850" t="s">
        <v>33</v>
      </c>
      <c r="K2850" t="s">
        <v>25</v>
      </c>
      <c r="L2850">
        <v>1</v>
      </c>
      <c r="M2850" s="2">
        <v>41.04</v>
      </c>
      <c r="N2850" t="s">
        <v>41</v>
      </c>
      <c r="O2850" s="3">
        <v>5</v>
      </c>
      <c r="P2850" s="3">
        <v>0</v>
      </c>
      <c r="Q2850" s="2">
        <v>46.04</v>
      </c>
      <c r="R2850" t="s">
        <v>27</v>
      </c>
      <c r="S2850" t="s">
        <v>28</v>
      </c>
      <c r="T2850" t="s">
        <v>29</v>
      </c>
      <c r="U2850" t="s">
        <v>58</v>
      </c>
    </row>
    <row r="2851" spans="1:21" x14ac:dyDescent="0.35">
      <c r="A2851" t="s">
        <v>2931</v>
      </c>
      <c r="B2851" s="1">
        <v>46333</v>
      </c>
      <c r="C2851" t="str">
        <f>TEXT(tblData[[#This Row],[Rental Date]],"mmm")</f>
        <v>Nov</v>
      </c>
      <c r="D2851" t="str">
        <f>TEXT(tblData[[#This Row],[Rental Date]],"mmmm")</f>
        <v>November</v>
      </c>
      <c r="E2851" t="s">
        <v>56</v>
      </c>
      <c r="F2851" t="str">
        <f>TEXT(WEEKNUM(tblData[[#This Row],[Rental Date]]),"00")</f>
        <v>45</v>
      </c>
      <c r="G2851" s="1">
        <f>EOMONTH(tblData[[#This Row],[Rental Date]],0)</f>
        <v>46356</v>
      </c>
      <c r="H2851" t="s">
        <v>2441</v>
      </c>
      <c r="I2851" t="s">
        <v>32</v>
      </c>
      <c r="J2851" t="s">
        <v>33</v>
      </c>
      <c r="K2851" t="s">
        <v>60</v>
      </c>
      <c r="L2851">
        <v>1</v>
      </c>
      <c r="M2851" s="2">
        <v>25.92</v>
      </c>
      <c r="N2851" t="s">
        <v>75</v>
      </c>
      <c r="O2851" s="3">
        <v>12</v>
      </c>
      <c r="P2851" s="3">
        <v>3.79</v>
      </c>
      <c r="Q2851" s="2">
        <v>34.130000000000003</v>
      </c>
      <c r="R2851" t="s">
        <v>76</v>
      </c>
      <c r="S2851" t="s">
        <v>35</v>
      </c>
      <c r="T2851" t="s">
        <v>29</v>
      </c>
      <c r="U2851" t="s">
        <v>30</v>
      </c>
    </row>
    <row r="2852" spans="1:21" x14ac:dyDescent="0.35">
      <c r="A2852" t="s">
        <v>2932</v>
      </c>
      <c r="B2852" s="1">
        <v>46333</v>
      </c>
      <c r="C2852" t="str">
        <f>TEXT(tblData[[#This Row],[Rental Date]],"mmm")</f>
        <v>Nov</v>
      </c>
      <c r="D2852" t="str">
        <f>TEXT(tblData[[#This Row],[Rental Date]],"mmmm")</f>
        <v>November</v>
      </c>
      <c r="E2852" t="s">
        <v>56</v>
      </c>
      <c r="F2852" t="str">
        <f>TEXT(WEEKNUM(tblData[[#This Row],[Rental Date]]),"00")</f>
        <v>45</v>
      </c>
      <c r="G2852" s="1">
        <f>EOMONTH(tblData[[#This Row],[Rental Date]],0)</f>
        <v>46356</v>
      </c>
      <c r="H2852" t="s">
        <v>2441</v>
      </c>
      <c r="I2852" t="s">
        <v>48</v>
      </c>
      <c r="J2852" t="s">
        <v>78</v>
      </c>
      <c r="K2852" t="s">
        <v>40</v>
      </c>
      <c r="L2852">
        <v>1</v>
      </c>
      <c r="M2852" s="2">
        <v>66.959999999999994</v>
      </c>
      <c r="N2852" t="s">
        <v>26</v>
      </c>
      <c r="O2852" s="3">
        <v>0</v>
      </c>
      <c r="P2852" s="3">
        <v>0</v>
      </c>
      <c r="Q2852" s="2">
        <v>66.959999999999994</v>
      </c>
      <c r="R2852" t="s">
        <v>94</v>
      </c>
      <c r="S2852" t="s">
        <v>28</v>
      </c>
      <c r="T2852" t="s">
        <v>51</v>
      </c>
      <c r="U2852" t="s">
        <v>30</v>
      </c>
    </row>
    <row r="2853" spans="1:21" x14ac:dyDescent="0.35">
      <c r="A2853" t="s">
        <v>2933</v>
      </c>
      <c r="B2853" s="1">
        <v>46334</v>
      </c>
      <c r="C2853" t="str">
        <f>TEXT(tblData[[#This Row],[Rental Date]],"mmm")</f>
        <v>Nov</v>
      </c>
      <c r="D2853" t="str">
        <f>TEXT(tblData[[#This Row],[Rental Date]],"mmmm")</f>
        <v>November</v>
      </c>
      <c r="E2853" t="s">
        <v>68</v>
      </c>
      <c r="F2853" t="str">
        <f>TEXT(WEEKNUM(tblData[[#This Row],[Rental Date]]),"00")</f>
        <v>46</v>
      </c>
      <c r="G2853" s="1">
        <f>EOMONTH(tblData[[#This Row],[Rental Date]],0)</f>
        <v>46356</v>
      </c>
      <c r="H2853" t="s">
        <v>2441</v>
      </c>
      <c r="I2853" t="s">
        <v>48</v>
      </c>
      <c r="J2853" t="s">
        <v>127</v>
      </c>
      <c r="K2853" t="s">
        <v>60</v>
      </c>
      <c r="L2853">
        <v>1</v>
      </c>
      <c r="M2853" s="2">
        <v>10.8</v>
      </c>
      <c r="N2853" t="s">
        <v>26</v>
      </c>
      <c r="O2853" s="3">
        <v>0</v>
      </c>
      <c r="P2853" s="3">
        <v>0</v>
      </c>
      <c r="Q2853" s="2">
        <v>10.8</v>
      </c>
      <c r="R2853" t="s">
        <v>71</v>
      </c>
      <c r="S2853" t="s">
        <v>50</v>
      </c>
      <c r="T2853" t="s">
        <v>63</v>
      </c>
      <c r="U2853" t="s">
        <v>30</v>
      </c>
    </row>
    <row r="2854" spans="1:21" x14ac:dyDescent="0.35">
      <c r="A2854" t="s">
        <v>2934</v>
      </c>
      <c r="B2854" s="1">
        <v>46335</v>
      </c>
      <c r="C2854" t="str">
        <f>TEXT(tblData[[#This Row],[Rental Date]],"mmm")</f>
        <v>Nov</v>
      </c>
      <c r="D2854" t="str">
        <f>TEXT(tblData[[#This Row],[Rental Date]],"mmmm")</f>
        <v>November</v>
      </c>
      <c r="E2854" t="s">
        <v>74</v>
      </c>
      <c r="F2854" t="str">
        <f>TEXT(WEEKNUM(tblData[[#This Row],[Rental Date]]),"00")</f>
        <v>46</v>
      </c>
      <c r="G2854" s="1">
        <f>EOMONTH(tblData[[#This Row],[Rental Date]],0)</f>
        <v>46356</v>
      </c>
      <c r="H2854" t="s">
        <v>2441</v>
      </c>
      <c r="I2854" t="s">
        <v>48</v>
      </c>
      <c r="J2854" t="s">
        <v>138</v>
      </c>
      <c r="K2854" t="s">
        <v>60</v>
      </c>
      <c r="L2854">
        <v>1</v>
      </c>
      <c r="M2854" s="2">
        <v>30</v>
      </c>
      <c r="N2854" t="s">
        <v>26</v>
      </c>
      <c r="O2854" s="3">
        <v>0</v>
      </c>
      <c r="P2854" s="3">
        <v>0</v>
      </c>
      <c r="Q2854" s="2">
        <v>30</v>
      </c>
      <c r="R2854" t="s">
        <v>34</v>
      </c>
      <c r="S2854" t="s">
        <v>50</v>
      </c>
      <c r="T2854" t="s">
        <v>29</v>
      </c>
      <c r="U2854" t="s">
        <v>58</v>
      </c>
    </row>
    <row r="2855" spans="1:21" x14ac:dyDescent="0.35">
      <c r="A2855" t="s">
        <v>2935</v>
      </c>
      <c r="B2855" s="1">
        <v>46335</v>
      </c>
      <c r="C2855" t="str">
        <f>TEXT(tblData[[#This Row],[Rental Date]],"mmm")</f>
        <v>Nov</v>
      </c>
      <c r="D2855" t="str">
        <f>TEXT(tblData[[#This Row],[Rental Date]],"mmmm")</f>
        <v>November</v>
      </c>
      <c r="E2855" t="s">
        <v>74</v>
      </c>
      <c r="F2855" t="str">
        <f>TEXT(WEEKNUM(tblData[[#This Row],[Rental Date]]),"00")</f>
        <v>46</v>
      </c>
      <c r="G2855" s="1">
        <f>EOMONTH(tblData[[#This Row],[Rental Date]],0)</f>
        <v>46356</v>
      </c>
      <c r="H2855" t="s">
        <v>2441</v>
      </c>
      <c r="I2855" t="s">
        <v>48</v>
      </c>
      <c r="J2855" t="s">
        <v>78</v>
      </c>
      <c r="K2855" t="s">
        <v>60</v>
      </c>
      <c r="L2855">
        <v>1</v>
      </c>
      <c r="M2855" s="2">
        <v>26</v>
      </c>
      <c r="N2855" t="s">
        <v>61</v>
      </c>
      <c r="O2855" s="3">
        <v>8</v>
      </c>
      <c r="P2855" s="3">
        <v>0</v>
      </c>
      <c r="Q2855" s="2">
        <v>34</v>
      </c>
      <c r="R2855" t="s">
        <v>34</v>
      </c>
      <c r="S2855" t="s">
        <v>46</v>
      </c>
      <c r="T2855" t="s">
        <v>90</v>
      </c>
      <c r="U2855" t="s">
        <v>30</v>
      </c>
    </row>
    <row r="2856" spans="1:21" x14ac:dyDescent="0.35">
      <c r="A2856" t="s">
        <v>2936</v>
      </c>
      <c r="B2856" s="1">
        <v>46335</v>
      </c>
      <c r="C2856" t="str">
        <f>TEXT(tblData[[#This Row],[Rental Date]],"mmm")</f>
        <v>Nov</v>
      </c>
      <c r="D2856" t="str">
        <f>TEXT(tblData[[#This Row],[Rental Date]],"mmmm")</f>
        <v>November</v>
      </c>
      <c r="E2856" t="s">
        <v>74</v>
      </c>
      <c r="F2856" t="str">
        <f>TEXT(WEEKNUM(tblData[[#This Row],[Rental Date]]),"00")</f>
        <v>46</v>
      </c>
      <c r="G2856" s="1">
        <f>EOMONTH(tblData[[#This Row],[Rental Date]],0)</f>
        <v>46356</v>
      </c>
      <c r="H2856" t="s">
        <v>2441</v>
      </c>
      <c r="I2856" t="s">
        <v>53</v>
      </c>
      <c r="J2856" t="s">
        <v>127</v>
      </c>
      <c r="K2856" t="s">
        <v>60</v>
      </c>
      <c r="L2856">
        <v>1</v>
      </c>
      <c r="M2856" s="2">
        <v>10</v>
      </c>
      <c r="N2856" t="s">
        <v>26</v>
      </c>
      <c r="O2856" s="3">
        <v>0</v>
      </c>
      <c r="P2856" s="3">
        <v>1</v>
      </c>
      <c r="Q2856" s="2">
        <v>9</v>
      </c>
      <c r="R2856" t="s">
        <v>34</v>
      </c>
      <c r="S2856" t="s">
        <v>28</v>
      </c>
      <c r="T2856" t="s">
        <v>90</v>
      </c>
      <c r="U2856" t="s">
        <v>58</v>
      </c>
    </row>
    <row r="2857" spans="1:21" x14ac:dyDescent="0.35">
      <c r="A2857" t="s">
        <v>2937</v>
      </c>
      <c r="B2857" s="1">
        <v>46336</v>
      </c>
      <c r="C2857" t="str">
        <f>TEXT(tblData[[#This Row],[Rental Date]],"mmm")</f>
        <v>Nov</v>
      </c>
      <c r="D2857" t="str">
        <f>TEXT(tblData[[#This Row],[Rental Date]],"mmmm")</f>
        <v>November</v>
      </c>
      <c r="E2857" t="s">
        <v>102</v>
      </c>
      <c r="F2857" t="str">
        <f>TEXT(WEEKNUM(tblData[[#This Row],[Rental Date]]),"00")</f>
        <v>46</v>
      </c>
      <c r="G2857" s="1">
        <f>EOMONTH(tblData[[#This Row],[Rental Date]],0)</f>
        <v>46356</v>
      </c>
      <c r="H2857" t="s">
        <v>2441</v>
      </c>
      <c r="I2857" t="s">
        <v>39</v>
      </c>
      <c r="J2857" t="s">
        <v>78</v>
      </c>
      <c r="K2857" t="s">
        <v>25</v>
      </c>
      <c r="L2857">
        <v>1</v>
      </c>
      <c r="M2857" s="2">
        <v>42</v>
      </c>
      <c r="N2857" t="s">
        <v>26</v>
      </c>
      <c r="O2857" s="3">
        <v>0</v>
      </c>
      <c r="P2857" s="3">
        <v>0</v>
      </c>
      <c r="Q2857" s="2">
        <v>42</v>
      </c>
      <c r="R2857" t="s">
        <v>42</v>
      </c>
      <c r="S2857" t="s">
        <v>35</v>
      </c>
      <c r="T2857" t="s">
        <v>90</v>
      </c>
      <c r="U2857" t="s">
        <v>58</v>
      </c>
    </row>
    <row r="2858" spans="1:21" x14ac:dyDescent="0.35">
      <c r="A2858" t="s">
        <v>2938</v>
      </c>
      <c r="B2858" s="1">
        <v>46336</v>
      </c>
      <c r="C2858" t="str">
        <f>TEXT(tblData[[#This Row],[Rental Date]],"mmm")</f>
        <v>Nov</v>
      </c>
      <c r="D2858" t="str">
        <f>TEXT(tblData[[#This Row],[Rental Date]],"mmmm")</f>
        <v>November</v>
      </c>
      <c r="E2858" t="s">
        <v>102</v>
      </c>
      <c r="F2858" t="str">
        <f>TEXT(WEEKNUM(tblData[[#This Row],[Rental Date]]),"00")</f>
        <v>46</v>
      </c>
      <c r="G2858" s="1">
        <f>EOMONTH(tblData[[#This Row],[Rental Date]],0)</f>
        <v>46356</v>
      </c>
      <c r="H2858" t="s">
        <v>2441</v>
      </c>
      <c r="I2858" t="s">
        <v>39</v>
      </c>
      <c r="J2858" t="s">
        <v>33</v>
      </c>
      <c r="K2858" t="s">
        <v>60</v>
      </c>
      <c r="L2858">
        <v>1</v>
      </c>
      <c r="M2858" s="2">
        <v>24</v>
      </c>
      <c r="N2858" t="s">
        <v>26</v>
      </c>
      <c r="O2858" s="3">
        <v>0</v>
      </c>
      <c r="P2858" s="3">
        <v>0</v>
      </c>
      <c r="Q2858" s="2">
        <v>24</v>
      </c>
      <c r="R2858" t="s">
        <v>62</v>
      </c>
      <c r="S2858" t="s">
        <v>54</v>
      </c>
      <c r="T2858" t="s">
        <v>51</v>
      </c>
      <c r="U2858" t="s">
        <v>79</v>
      </c>
    </row>
    <row r="2859" spans="1:21" x14ac:dyDescent="0.35">
      <c r="A2859" t="s">
        <v>2939</v>
      </c>
      <c r="B2859" s="1">
        <v>46336</v>
      </c>
      <c r="C2859" t="str">
        <f>TEXT(tblData[[#This Row],[Rental Date]],"mmm")</f>
        <v>Nov</v>
      </c>
      <c r="D2859" t="str">
        <f>TEXT(tblData[[#This Row],[Rental Date]],"mmmm")</f>
        <v>November</v>
      </c>
      <c r="E2859" t="s">
        <v>102</v>
      </c>
      <c r="F2859" t="str">
        <f>TEXT(WEEKNUM(tblData[[#This Row],[Rental Date]]),"00")</f>
        <v>46</v>
      </c>
      <c r="G2859" s="1">
        <f>EOMONTH(tblData[[#This Row],[Rental Date]],0)</f>
        <v>46356</v>
      </c>
      <c r="H2859" t="s">
        <v>2441</v>
      </c>
      <c r="I2859" t="s">
        <v>23</v>
      </c>
      <c r="J2859" t="s">
        <v>24</v>
      </c>
      <c r="K2859" t="s">
        <v>25</v>
      </c>
      <c r="L2859">
        <v>1</v>
      </c>
      <c r="M2859" s="2">
        <v>50</v>
      </c>
      <c r="N2859" t="s">
        <v>89</v>
      </c>
      <c r="O2859" s="3">
        <v>6</v>
      </c>
      <c r="P2859" s="3">
        <v>0</v>
      </c>
      <c r="Q2859" s="2">
        <v>56</v>
      </c>
      <c r="R2859" t="s">
        <v>45</v>
      </c>
      <c r="S2859" t="s">
        <v>46</v>
      </c>
      <c r="T2859" t="s">
        <v>51</v>
      </c>
      <c r="U2859" t="s">
        <v>58</v>
      </c>
    </row>
    <row r="2860" spans="1:21" x14ac:dyDescent="0.35">
      <c r="A2860" t="s">
        <v>2940</v>
      </c>
      <c r="B2860" s="1">
        <v>46337</v>
      </c>
      <c r="C2860" t="str">
        <f>TEXT(tblData[[#This Row],[Rental Date]],"mmm")</f>
        <v>Nov</v>
      </c>
      <c r="D2860" t="str">
        <f>TEXT(tblData[[#This Row],[Rental Date]],"mmmm")</f>
        <v>November</v>
      </c>
      <c r="E2860" t="s">
        <v>109</v>
      </c>
      <c r="F2860" t="str">
        <f>TEXT(WEEKNUM(tblData[[#This Row],[Rental Date]]),"00")</f>
        <v>46</v>
      </c>
      <c r="G2860" s="1">
        <f>EOMONTH(tblData[[#This Row],[Rental Date]],0)</f>
        <v>46356</v>
      </c>
      <c r="H2860" t="s">
        <v>2441</v>
      </c>
      <c r="I2860" t="s">
        <v>48</v>
      </c>
      <c r="J2860" t="s">
        <v>86</v>
      </c>
      <c r="K2860" t="s">
        <v>40</v>
      </c>
      <c r="L2860">
        <v>1</v>
      </c>
      <c r="M2860" s="2">
        <v>86</v>
      </c>
      <c r="N2860" t="s">
        <v>75</v>
      </c>
      <c r="O2860" s="3">
        <v>12</v>
      </c>
      <c r="P2860" s="3">
        <v>0</v>
      </c>
      <c r="Q2860" s="2">
        <v>98</v>
      </c>
      <c r="R2860" t="s">
        <v>34</v>
      </c>
      <c r="S2860" t="s">
        <v>35</v>
      </c>
      <c r="T2860" t="s">
        <v>29</v>
      </c>
      <c r="U2860" t="s">
        <v>30</v>
      </c>
    </row>
    <row r="2861" spans="1:21" x14ac:dyDescent="0.35">
      <c r="A2861" t="s">
        <v>2941</v>
      </c>
      <c r="B2861" s="1">
        <v>46339</v>
      </c>
      <c r="C2861" t="str">
        <f>TEXT(tblData[[#This Row],[Rental Date]],"mmm")</f>
        <v>Nov</v>
      </c>
      <c r="D2861" t="str">
        <f>TEXT(tblData[[#This Row],[Rental Date]],"mmmm")</f>
        <v>November</v>
      </c>
      <c r="E2861" t="s">
        <v>38</v>
      </c>
      <c r="F2861" t="str">
        <f>TEXT(WEEKNUM(tblData[[#This Row],[Rental Date]]),"00")</f>
        <v>46</v>
      </c>
      <c r="G2861" s="1">
        <f>EOMONTH(tblData[[#This Row],[Rental Date]],0)</f>
        <v>46356</v>
      </c>
      <c r="H2861" t="s">
        <v>2441</v>
      </c>
      <c r="I2861" t="s">
        <v>48</v>
      </c>
      <c r="J2861" t="s">
        <v>33</v>
      </c>
      <c r="K2861" t="s">
        <v>60</v>
      </c>
      <c r="L2861">
        <v>1</v>
      </c>
      <c r="M2861" s="2">
        <v>24</v>
      </c>
      <c r="N2861" t="s">
        <v>26</v>
      </c>
      <c r="O2861" s="3">
        <v>0</v>
      </c>
      <c r="P2861" s="3">
        <v>0</v>
      </c>
      <c r="Q2861" s="2">
        <v>24</v>
      </c>
      <c r="R2861" t="s">
        <v>66</v>
      </c>
      <c r="S2861" t="s">
        <v>46</v>
      </c>
      <c r="T2861" t="s">
        <v>90</v>
      </c>
      <c r="U2861" t="s">
        <v>30</v>
      </c>
    </row>
    <row r="2862" spans="1:21" x14ac:dyDescent="0.35">
      <c r="A2862" t="s">
        <v>2942</v>
      </c>
      <c r="B2862" s="1">
        <v>46339</v>
      </c>
      <c r="C2862" t="str">
        <f>TEXT(tblData[[#This Row],[Rental Date]],"mmm")</f>
        <v>Nov</v>
      </c>
      <c r="D2862" t="str">
        <f>TEXT(tblData[[#This Row],[Rental Date]],"mmmm")</f>
        <v>November</v>
      </c>
      <c r="E2862" t="s">
        <v>38</v>
      </c>
      <c r="F2862" t="str">
        <f>TEXT(WEEKNUM(tblData[[#This Row],[Rental Date]]),"00")</f>
        <v>46</v>
      </c>
      <c r="G2862" s="1">
        <f>EOMONTH(tblData[[#This Row],[Rental Date]],0)</f>
        <v>46356</v>
      </c>
      <c r="H2862" t="s">
        <v>2441</v>
      </c>
      <c r="I2862" t="s">
        <v>48</v>
      </c>
      <c r="J2862" t="s">
        <v>111</v>
      </c>
      <c r="K2862" t="s">
        <v>25</v>
      </c>
      <c r="L2862">
        <v>1</v>
      </c>
      <c r="M2862" s="2">
        <v>22</v>
      </c>
      <c r="N2862" t="s">
        <v>26</v>
      </c>
      <c r="O2862" s="3">
        <v>0</v>
      </c>
      <c r="P2862" s="3">
        <v>1.1000000000000001</v>
      </c>
      <c r="Q2862" s="2">
        <v>20.9</v>
      </c>
      <c r="R2862" t="s">
        <v>45</v>
      </c>
      <c r="S2862" t="s">
        <v>50</v>
      </c>
      <c r="T2862" t="s">
        <v>29</v>
      </c>
      <c r="U2862" t="s">
        <v>58</v>
      </c>
    </row>
    <row r="2863" spans="1:21" x14ac:dyDescent="0.35">
      <c r="A2863" t="s">
        <v>2943</v>
      </c>
      <c r="B2863" s="1">
        <v>46339</v>
      </c>
      <c r="C2863" t="str">
        <f>TEXT(tblData[[#This Row],[Rental Date]],"mmm")</f>
        <v>Nov</v>
      </c>
      <c r="D2863" t="str">
        <f>TEXT(tblData[[#This Row],[Rental Date]],"mmmm")</f>
        <v>November</v>
      </c>
      <c r="E2863" t="s">
        <v>38</v>
      </c>
      <c r="F2863" t="str">
        <f>TEXT(WEEKNUM(tblData[[#This Row],[Rental Date]]),"00")</f>
        <v>46</v>
      </c>
      <c r="G2863" s="1">
        <f>EOMONTH(tblData[[#This Row],[Rental Date]],0)</f>
        <v>46356</v>
      </c>
      <c r="H2863" t="s">
        <v>2441</v>
      </c>
      <c r="I2863" t="s">
        <v>48</v>
      </c>
      <c r="J2863" t="s">
        <v>49</v>
      </c>
      <c r="K2863" t="s">
        <v>25</v>
      </c>
      <c r="L2863">
        <v>1</v>
      </c>
      <c r="M2863" s="2">
        <v>36</v>
      </c>
      <c r="N2863" t="s">
        <v>89</v>
      </c>
      <c r="O2863" s="3">
        <v>6</v>
      </c>
      <c r="P2863" s="3">
        <v>0</v>
      </c>
      <c r="Q2863" s="2">
        <v>42</v>
      </c>
      <c r="R2863" t="s">
        <v>94</v>
      </c>
      <c r="S2863" t="s">
        <v>46</v>
      </c>
      <c r="T2863" t="s">
        <v>29</v>
      </c>
      <c r="U2863" t="s">
        <v>58</v>
      </c>
    </row>
    <row r="2864" spans="1:21" x14ac:dyDescent="0.35">
      <c r="A2864" t="s">
        <v>2944</v>
      </c>
      <c r="B2864" s="1">
        <v>46339</v>
      </c>
      <c r="C2864" t="str">
        <f>TEXT(tblData[[#This Row],[Rental Date]],"mmm")</f>
        <v>Nov</v>
      </c>
      <c r="D2864" t="str">
        <f>TEXT(tblData[[#This Row],[Rental Date]],"mmmm")</f>
        <v>November</v>
      </c>
      <c r="E2864" t="s">
        <v>38</v>
      </c>
      <c r="F2864" t="str">
        <f>TEXT(WEEKNUM(tblData[[#This Row],[Rental Date]]),"00")</f>
        <v>46</v>
      </c>
      <c r="G2864" s="1">
        <f>EOMONTH(tblData[[#This Row],[Rental Date]],0)</f>
        <v>46356</v>
      </c>
      <c r="H2864" t="s">
        <v>2441</v>
      </c>
      <c r="I2864" t="s">
        <v>48</v>
      </c>
      <c r="J2864" t="s">
        <v>86</v>
      </c>
      <c r="K2864" t="s">
        <v>40</v>
      </c>
      <c r="L2864">
        <v>1</v>
      </c>
      <c r="M2864" s="2">
        <v>86</v>
      </c>
      <c r="N2864" t="s">
        <v>26</v>
      </c>
      <c r="O2864" s="3">
        <v>0</v>
      </c>
      <c r="P2864" s="3">
        <v>0</v>
      </c>
      <c r="Q2864" s="2">
        <v>86</v>
      </c>
      <c r="R2864" t="s">
        <v>94</v>
      </c>
      <c r="S2864" t="s">
        <v>50</v>
      </c>
      <c r="T2864" t="s">
        <v>51</v>
      </c>
      <c r="U2864" t="s">
        <v>79</v>
      </c>
    </row>
    <row r="2865" spans="1:21" x14ac:dyDescent="0.35">
      <c r="A2865" t="s">
        <v>2945</v>
      </c>
      <c r="B2865" s="1">
        <v>46340</v>
      </c>
      <c r="C2865" t="str">
        <f>TEXT(tblData[[#This Row],[Rental Date]],"mmm")</f>
        <v>Nov</v>
      </c>
      <c r="D2865" t="str">
        <f>TEXT(tblData[[#This Row],[Rental Date]],"mmmm")</f>
        <v>November</v>
      </c>
      <c r="E2865" t="s">
        <v>56</v>
      </c>
      <c r="F2865" t="str">
        <f>TEXT(WEEKNUM(tblData[[#This Row],[Rental Date]]),"00")</f>
        <v>46</v>
      </c>
      <c r="G2865" s="1">
        <f>EOMONTH(tblData[[#This Row],[Rental Date]],0)</f>
        <v>46356</v>
      </c>
      <c r="H2865" t="s">
        <v>2441</v>
      </c>
      <c r="I2865" t="s">
        <v>39</v>
      </c>
      <c r="J2865" t="s">
        <v>44</v>
      </c>
      <c r="K2865" t="s">
        <v>40</v>
      </c>
      <c r="L2865">
        <v>1</v>
      </c>
      <c r="M2865" s="2">
        <v>84.24</v>
      </c>
      <c r="N2865" t="s">
        <v>89</v>
      </c>
      <c r="O2865" s="3">
        <v>6</v>
      </c>
      <c r="P2865" s="3">
        <v>0</v>
      </c>
      <c r="Q2865" s="2">
        <v>90.24</v>
      </c>
      <c r="R2865" t="s">
        <v>27</v>
      </c>
      <c r="S2865" t="s">
        <v>54</v>
      </c>
      <c r="T2865" t="s">
        <v>29</v>
      </c>
      <c r="U2865" t="s">
        <v>79</v>
      </c>
    </row>
    <row r="2866" spans="1:21" x14ac:dyDescent="0.35">
      <c r="A2866" t="s">
        <v>2946</v>
      </c>
      <c r="B2866" s="1">
        <v>46340</v>
      </c>
      <c r="C2866" t="str">
        <f>TEXT(tblData[[#This Row],[Rental Date]],"mmm")</f>
        <v>Nov</v>
      </c>
      <c r="D2866" t="str">
        <f>TEXT(tblData[[#This Row],[Rental Date]],"mmmm")</f>
        <v>November</v>
      </c>
      <c r="E2866" t="s">
        <v>56</v>
      </c>
      <c r="F2866" t="str">
        <f>TEXT(WEEKNUM(tblData[[#This Row],[Rental Date]]),"00")</f>
        <v>46</v>
      </c>
      <c r="G2866" s="1">
        <f>EOMONTH(tblData[[#This Row],[Rental Date]],0)</f>
        <v>46356</v>
      </c>
      <c r="H2866" t="s">
        <v>2441</v>
      </c>
      <c r="I2866" t="s">
        <v>48</v>
      </c>
      <c r="J2866" t="s">
        <v>78</v>
      </c>
      <c r="K2866" t="s">
        <v>40</v>
      </c>
      <c r="L2866">
        <v>1</v>
      </c>
      <c r="M2866" s="2">
        <v>66.959999999999994</v>
      </c>
      <c r="N2866" t="s">
        <v>26</v>
      </c>
      <c r="O2866" s="3">
        <v>0</v>
      </c>
      <c r="P2866" s="3">
        <v>0</v>
      </c>
      <c r="Q2866" s="2">
        <v>66.959999999999994</v>
      </c>
      <c r="R2866" t="s">
        <v>45</v>
      </c>
      <c r="S2866" t="s">
        <v>46</v>
      </c>
      <c r="T2866" t="s">
        <v>51</v>
      </c>
      <c r="U2866" t="s">
        <v>30</v>
      </c>
    </row>
    <row r="2867" spans="1:21" x14ac:dyDescent="0.35">
      <c r="A2867" t="s">
        <v>2947</v>
      </c>
      <c r="B2867" s="1">
        <v>46340</v>
      </c>
      <c r="C2867" t="str">
        <f>TEXT(tblData[[#This Row],[Rental Date]],"mmm")</f>
        <v>Nov</v>
      </c>
      <c r="D2867" t="str">
        <f>TEXT(tblData[[#This Row],[Rental Date]],"mmmm")</f>
        <v>November</v>
      </c>
      <c r="E2867" t="s">
        <v>56</v>
      </c>
      <c r="F2867" t="str">
        <f>TEXT(WEEKNUM(tblData[[#This Row],[Rental Date]]),"00")</f>
        <v>46</v>
      </c>
      <c r="G2867" s="1">
        <f>EOMONTH(tblData[[#This Row],[Rental Date]],0)</f>
        <v>46356</v>
      </c>
      <c r="H2867" t="s">
        <v>2441</v>
      </c>
      <c r="I2867" t="s">
        <v>39</v>
      </c>
      <c r="J2867" t="s">
        <v>138</v>
      </c>
      <c r="K2867" t="s">
        <v>25</v>
      </c>
      <c r="L2867">
        <v>1</v>
      </c>
      <c r="M2867" s="2">
        <v>51.84</v>
      </c>
      <c r="N2867" t="s">
        <v>26</v>
      </c>
      <c r="O2867" s="3">
        <v>0</v>
      </c>
      <c r="P2867" s="3">
        <v>0</v>
      </c>
      <c r="Q2867" s="2">
        <v>51.84</v>
      </c>
      <c r="R2867" t="s">
        <v>76</v>
      </c>
      <c r="S2867" t="s">
        <v>54</v>
      </c>
      <c r="T2867" t="s">
        <v>51</v>
      </c>
      <c r="U2867" t="s">
        <v>79</v>
      </c>
    </row>
    <row r="2868" spans="1:21" x14ac:dyDescent="0.35">
      <c r="A2868" t="s">
        <v>2948</v>
      </c>
      <c r="B2868" s="1">
        <v>46340</v>
      </c>
      <c r="C2868" t="str">
        <f>TEXT(tblData[[#This Row],[Rental Date]],"mmm")</f>
        <v>Nov</v>
      </c>
      <c r="D2868" t="str">
        <f>TEXT(tblData[[#This Row],[Rental Date]],"mmmm")</f>
        <v>November</v>
      </c>
      <c r="E2868" t="s">
        <v>56</v>
      </c>
      <c r="F2868" t="str">
        <f>TEXT(WEEKNUM(tblData[[#This Row],[Rental Date]]),"00")</f>
        <v>46</v>
      </c>
      <c r="G2868" s="1">
        <f>EOMONTH(tblData[[#This Row],[Rental Date]],0)</f>
        <v>46356</v>
      </c>
      <c r="H2868" t="s">
        <v>2441</v>
      </c>
      <c r="I2868" t="s">
        <v>32</v>
      </c>
      <c r="J2868" t="s">
        <v>44</v>
      </c>
      <c r="K2868" t="s">
        <v>25</v>
      </c>
      <c r="L2868">
        <v>1</v>
      </c>
      <c r="M2868" s="2">
        <v>56.16</v>
      </c>
      <c r="N2868" t="s">
        <v>41</v>
      </c>
      <c r="O2868" s="3">
        <v>5</v>
      </c>
      <c r="P2868" s="3">
        <v>3.06</v>
      </c>
      <c r="Q2868" s="2">
        <v>58.1</v>
      </c>
      <c r="R2868" t="s">
        <v>94</v>
      </c>
      <c r="S2868" t="s">
        <v>54</v>
      </c>
      <c r="T2868" t="s">
        <v>51</v>
      </c>
      <c r="U2868" t="s">
        <v>58</v>
      </c>
    </row>
    <row r="2869" spans="1:21" x14ac:dyDescent="0.35">
      <c r="A2869" t="s">
        <v>2949</v>
      </c>
      <c r="B2869" s="1">
        <v>46340</v>
      </c>
      <c r="C2869" t="str">
        <f>TEXT(tblData[[#This Row],[Rental Date]],"mmm")</f>
        <v>Nov</v>
      </c>
      <c r="D2869" t="str">
        <f>TEXT(tblData[[#This Row],[Rental Date]],"mmmm")</f>
        <v>November</v>
      </c>
      <c r="E2869" t="s">
        <v>56</v>
      </c>
      <c r="F2869" t="str">
        <f>TEXT(WEEKNUM(tblData[[#This Row],[Rental Date]]),"00")</f>
        <v>46</v>
      </c>
      <c r="G2869" s="1">
        <f>EOMONTH(tblData[[#This Row],[Rental Date]],0)</f>
        <v>46356</v>
      </c>
      <c r="H2869" t="s">
        <v>2441</v>
      </c>
      <c r="I2869" t="s">
        <v>48</v>
      </c>
      <c r="J2869" t="s">
        <v>33</v>
      </c>
      <c r="K2869" t="s">
        <v>25</v>
      </c>
      <c r="L2869">
        <v>1</v>
      </c>
      <c r="M2869" s="2">
        <v>41.04</v>
      </c>
      <c r="N2869" t="s">
        <v>89</v>
      </c>
      <c r="O2869" s="3">
        <v>6</v>
      </c>
      <c r="P2869" s="3">
        <v>0</v>
      </c>
      <c r="Q2869" s="2">
        <v>47.04</v>
      </c>
      <c r="R2869" t="s">
        <v>42</v>
      </c>
      <c r="S2869" t="s">
        <v>46</v>
      </c>
      <c r="T2869" t="s">
        <v>51</v>
      </c>
      <c r="U2869" t="s">
        <v>30</v>
      </c>
    </row>
    <row r="2870" spans="1:21" x14ac:dyDescent="0.35">
      <c r="A2870" t="s">
        <v>2950</v>
      </c>
      <c r="B2870" s="1">
        <v>46341</v>
      </c>
      <c r="C2870" t="str">
        <f>TEXT(tblData[[#This Row],[Rental Date]],"mmm")</f>
        <v>Nov</v>
      </c>
      <c r="D2870" t="str">
        <f>TEXT(tblData[[#This Row],[Rental Date]],"mmmm")</f>
        <v>November</v>
      </c>
      <c r="E2870" t="s">
        <v>68</v>
      </c>
      <c r="F2870" t="str">
        <f>TEXT(WEEKNUM(tblData[[#This Row],[Rental Date]]),"00")</f>
        <v>47</v>
      </c>
      <c r="G2870" s="1">
        <f>EOMONTH(tblData[[#This Row],[Rental Date]],0)</f>
        <v>46356</v>
      </c>
      <c r="H2870" t="s">
        <v>2441</v>
      </c>
      <c r="I2870" t="s">
        <v>48</v>
      </c>
      <c r="J2870" t="s">
        <v>49</v>
      </c>
      <c r="K2870" t="s">
        <v>40</v>
      </c>
      <c r="L2870">
        <v>1</v>
      </c>
      <c r="M2870" s="2">
        <v>58.32</v>
      </c>
      <c r="N2870" t="s">
        <v>61</v>
      </c>
      <c r="O2870" s="3">
        <v>8</v>
      </c>
      <c r="P2870" s="3">
        <v>0</v>
      </c>
      <c r="Q2870" s="2">
        <v>66.319999999999993</v>
      </c>
      <c r="R2870" t="s">
        <v>94</v>
      </c>
      <c r="S2870" t="s">
        <v>35</v>
      </c>
      <c r="T2870" t="s">
        <v>51</v>
      </c>
      <c r="U2870" t="s">
        <v>58</v>
      </c>
    </row>
    <row r="2871" spans="1:21" x14ac:dyDescent="0.35">
      <c r="A2871" t="s">
        <v>2951</v>
      </c>
      <c r="B2871" s="1">
        <v>46341</v>
      </c>
      <c r="C2871" t="str">
        <f>TEXT(tblData[[#This Row],[Rental Date]],"mmm")</f>
        <v>Nov</v>
      </c>
      <c r="D2871" t="str">
        <f>TEXT(tblData[[#This Row],[Rental Date]],"mmmm")</f>
        <v>November</v>
      </c>
      <c r="E2871" t="s">
        <v>68</v>
      </c>
      <c r="F2871" t="str">
        <f>TEXT(WEEKNUM(tblData[[#This Row],[Rental Date]]),"00")</f>
        <v>47</v>
      </c>
      <c r="G2871" s="1">
        <f>EOMONTH(tblData[[#This Row],[Rental Date]],0)</f>
        <v>46356</v>
      </c>
      <c r="H2871" t="s">
        <v>2441</v>
      </c>
      <c r="I2871" t="s">
        <v>48</v>
      </c>
      <c r="J2871" t="s">
        <v>44</v>
      </c>
      <c r="K2871" t="s">
        <v>25</v>
      </c>
      <c r="L2871">
        <v>1</v>
      </c>
      <c r="M2871" s="2">
        <v>56.16</v>
      </c>
      <c r="N2871" t="s">
        <v>26</v>
      </c>
      <c r="O2871" s="3">
        <v>0</v>
      </c>
      <c r="P2871" s="3">
        <v>0</v>
      </c>
      <c r="Q2871" s="2">
        <v>56.16</v>
      </c>
      <c r="R2871" t="s">
        <v>76</v>
      </c>
      <c r="S2871" t="s">
        <v>54</v>
      </c>
      <c r="T2871" t="s">
        <v>29</v>
      </c>
      <c r="U2871" t="s">
        <v>30</v>
      </c>
    </row>
    <row r="2872" spans="1:21" x14ac:dyDescent="0.35">
      <c r="A2872" t="s">
        <v>2952</v>
      </c>
      <c r="B2872" s="1">
        <v>46341</v>
      </c>
      <c r="C2872" t="str">
        <f>TEXT(tblData[[#This Row],[Rental Date]],"mmm")</f>
        <v>Nov</v>
      </c>
      <c r="D2872" t="str">
        <f>TEXT(tblData[[#This Row],[Rental Date]],"mmmm")</f>
        <v>November</v>
      </c>
      <c r="E2872" t="s">
        <v>68</v>
      </c>
      <c r="F2872" t="str">
        <f>TEXT(WEEKNUM(tblData[[#This Row],[Rental Date]]),"00")</f>
        <v>47</v>
      </c>
      <c r="G2872" s="1">
        <f>EOMONTH(tblData[[#This Row],[Rental Date]],0)</f>
        <v>46356</v>
      </c>
      <c r="H2872" t="s">
        <v>2441</v>
      </c>
      <c r="I2872" t="s">
        <v>48</v>
      </c>
      <c r="J2872" t="s">
        <v>65</v>
      </c>
      <c r="K2872" t="s">
        <v>25</v>
      </c>
      <c r="L2872">
        <v>1</v>
      </c>
      <c r="M2872" s="2">
        <v>19.440000000000001</v>
      </c>
      <c r="N2872" t="s">
        <v>26</v>
      </c>
      <c r="O2872" s="3">
        <v>0</v>
      </c>
      <c r="P2872" s="3">
        <v>0</v>
      </c>
      <c r="Q2872" s="2">
        <v>19.440000000000001</v>
      </c>
      <c r="R2872" t="s">
        <v>66</v>
      </c>
      <c r="S2872" t="s">
        <v>54</v>
      </c>
      <c r="T2872" t="s">
        <v>29</v>
      </c>
      <c r="U2872" t="s">
        <v>36</v>
      </c>
    </row>
    <row r="2873" spans="1:21" x14ac:dyDescent="0.35">
      <c r="A2873" t="s">
        <v>2953</v>
      </c>
      <c r="B2873" s="1">
        <v>46341</v>
      </c>
      <c r="C2873" t="str">
        <f>TEXT(tblData[[#This Row],[Rental Date]],"mmm")</f>
        <v>Nov</v>
      </c>
      <c r="D2873" t="str">
        <f>TEXT(tblData[[#This Row],[Rental Date]],"mmmm")</f>
        <v>November</v>
      </c>
      <c r="E2873" t="s">
        <v>68</v>
      </c>
      <c r="F2873" t="str">
        <f>TEXT(WEEKNUM(tblData[[#This Row],[Rental Date]]),"00")</f>
        <v>47</v>
      </c>
      <c r="G2873" s="1">
        <f>EOMONTH(tblData[[#This Row],[Rental Date]],0)</f>
        <v>46356</v>
      </c>
      <c r="H2873" t="s">
        <v>2441</v>
      </c>
      <c r="I2873" t="s">
        <v>39</v>
      </c>
      <c r="J2873" t="s">
        <v>127</v>
      </c>
      <c r="K2873" t="s">
        <v>25</v>
      </c>
      <c r="L2873">
        <v>1</v>
      </c>
      <c r="M2873" s="2">
        <v>17.28</v>
      </c>
      <c r="N2873" t="s">
        <v>26</v>
      </c>
      <c r="O2873" s="3">
        <v>0</v>
      </c>
      <c r="P2873" s="3">
        <v>0</v>
      </c>
      <c r="Q2873" s="2">
        <v>17.28</v>
      </c>
      <c r="R2873" t="s">
        <v>42</v>
      </c>
      <c r="S2873" t="s">
        <v>35</v>
      </c>
      <c r="T2873" t="s">
        <v>90</v>
      </c>
      <c r="U2873" t="s">
        <v>58</v>
      </c>
    </row>
    <row r="2874" spans="1:21" x14ac:dyDescent="0.35">
      <c r="A2874" t="s">
        <v>2954</v>
      </c>
      <c r="B2874" s="1">
        <v>46342</v>
      </c>
      <c r="C2874" t="str">
        <f>TEXT(tblData[[#This Row],[Rental Date]],"mmm")</f>
        <v>Nov</v>
      </c>
      <c r="D2874" t="str">
        <f>TEXT(tblData[[#This Row],[Rental Date]],"mmmm")</f>
        <v>November</v>
      </c>
      <c r="E2874" t="s">
        <v>74</v>
      </c>
      <c r="F2874" t="str">
        <f>TEXT(WEEKNUM(tblData[[#This Row],[Rental Date]]),"00")</f>
        <v>47</v>
      </c>
      <c r="G2874" s="1">
        <f>EOMONTH(tblData[[#This Row],[Rental Date]],0)</f>
        <v>46356</v>
      </c>
      <c r="H2874" t="s">
        <v>2441</v>
      </c>
      <c r="I2874" t="s">
        <v>23</v>
      </c>
      <c r="J2874" t="s">
        <v>127</v>
      </c>
      <c r="K2874" t="s">
        <v>60</v>
      </c>
      <c r="L2874">
        <v>1</v>
      </c>
      <c r="M2874" s="2">
        <v>10</v>
      </c>
      <c r="N2874" t="s">
        <v>26</v>
      </c>
      <c r="O2874" s="3">
        <v>0</v>
      </c>
      <c r="P2874" s="3">
        <v>0</v>
      </c>
      <c r="Q2874" s="2">
        <v>10</v>
      </c>
      <c r="R2874" t="s">
        <v>76</v>
      </c>
      <c r="S2874" t="s">
        <v>35</v>
      </c>
      <c r="T2874" t="s">
        <v>90</v>
      </c>
      <c r="U2874" t="s">
        <v>58</v>
      </c>
    </row>
    <row r="2875" spans="1:21" x14ac:dyDescent="0.35">
      <c r="A2875" t="s">
        <v>2955</v>
      </c>
      <c r="B2875" s="1">
        <v>46342</v>
      </c>
      <c r="C2875" t="str">
        <f>TEXT(tblData[[#This Row],[Rental Date]],"mmm")</f>
        <v>Nov</v>
      </c>
      <c r="D2875" t="str">
        <f>TEXT(tblData[[#This Row],[Rental Date]],"mmmm")</f>
        <v>November</v>
      </c>
      <c r="E2875" t="s">
        <v>74</v>
      </c>
      <c r="F2875" t="str">
        <f>TEXT(WEEKNUM(tblData[[#This Row],[Rental Date]]),"00")</f>
        <v>47</v>
      </c>
      <c r="G2875" s="1">
        <f>EOMONTH(tblData[[#This Row],[Rental Date]],0)</f>
        <v>46356</v>
      </c>
      <c r="H2875" t="s">
        <v>2441</v>
      </c>
      <c r="I2875" t="s">
        <v>53</v>
      </c>
      <c r="J2875" t="s">
        <v>33</v>
      </c>
      <c r="K2875" t="s">
        <v>25</v>
      </c>
      <c r="L2875">
        <v>1</v>
      </c>
      <c r="M2875" s="2">
        <v>38</v>
      </c>
      <c r="N2875" t="s">
        <v>89</v>
      </c>
      <c r="O2875" s="3">
        <v>6</v>
      </c>
      <c r="P2875" s="3">
        <v>6.6</v>
      </c>
      <c r="Q2875" s="2">
        <v>37.4</v>
      </c>
      <c r="R2875" t="s">
        <v>34</v>
      </c>
      <c r="S2875" t="s">
        <v>50</v>
      </c>
      <c r="T2875" t="s">
        <v>29</v>
      </c>
      <c r="U2875" t="s">
        <v>79</v>
      </c>
    </row>
    <row r="2876" spans="1:21" x14ac:dyDescent="0.35">
      <c r="A2876" t="s">
        <v>2956</v>
      </c>
      <c r="B2876" s="1">
        <v>46342</v>
      </c>
      <c r="C2876" t="str">
        <f>TEXT(tblData[[#This Row],[Rental Date]],"mmm")</f>
        <v>Nov</v>
      </c>
      <c r="D2876" t="str">
        <f>TEXT(tblData[[#This Row],[Rental Date]],"mmmm")</f>
        <v>November</v>
      </c>
      <c r="E2876" t="s">
        <v>74</v>
      </c>
      <c r="F2876" t="str">
        <f>TEXT(WEEKNUM(tblData[[#This Row],[Rental Date]]),"00")</f>
        <v>47</v>
      </c>
      <c r="G2876" s="1">
        <f>EOMONTH(tblData[[#This Row],[Rental Date]],0)</f>
        <v>46356</v>
      </c>
      <c r="H2876" t="s">
        <v>2441</v>
      </c>
      <c r="I2876" t="s">
        <v>39</v>
      </c>
      <c r="J2876" t="s">
        <v>33</v>
      </c>
      <c r="K2876" t="s">
        <v>60</v>
      </c>
      <c r="L2876">
        <v>1</v>
      </c>
      <c r="M2876" s="2">
        <v>24</v>
      </c>
      <c r="N2876" t="s">
        <v>41</v>
      </c>
      <c r="O2876" s="3">
        <v>5</v>
      </c>
      <c r="P2876" s="3">
        <v>0</v>
      </c>
      <c r="Q2876" s="2">
        <v>29</v>
      </c>
      <c r="R2876" t="s">
        <v>27</v>
      </c>
      <c r="S2876" t="s">
        <v>35</v>
      </c>
      <c r="T2876" t="s">
        <v>29</v>
      </c>
      <c r="U2876" t="s">
        <v>30</v>
      </c>
    </row>
    <row r="2877" spans="1:21" x14ac:dyDescent="0.35">
      <c r="A2877" t="s">
        <v>2957</v>
      </c>
      <c r="B2877" s="1">
        <v>46342</v>
      </c>
      <c r="C2877" t="str">
        <f>TEXT(tblData[[#This Row],[Rental Date]],"mmm")</f>
        <v>Nov</v>
      </c>
      <c r="D2877" t="str">
        <f>TEXT(tblData[[#This Row],[Rental Date]],"mmmm")</f>
        <v>November</v>
      </c>
      <c r="E2877" t="s">
        <v>74</v>
      </c>
      <c r="F2877" t="str">
        <f>TEXT(WEEKNUM(tblData[[#This Row],[Rental Date]]),"00")</f>
        <v>47</v>
      </c>
      <c r="G2877" s="1">
        <f>EOMONTH(tblData[[#This Row],[Rental Date]],0)</f>
        <v>46356</v>
      </c>
      <c r="H2877" t="s">
        <v>2441</v>
      </c>
      <c r="I2877" t="s">
        <v>53</v>
      </c>
      <c r="J2877" t="s">
        <v>78</v>
      </c>
      <c r="K2877" t="s">
        <v>60</v>
      </c>
      <c r="L2877">
        <v>1</v>
      </c>
      <c r="M2877" s="2">
        <v>26</v>
      </c>
      <c r="N2877" t="s">
        <v>26</v>
      </c>
      <c r="O2877" s="3">
        <v>0</v>
      </c>
      <c r="P2877" s="3">
        <v>3.9</v>
      </c>
      <c r="Q2877" s="2">
        <v>22.1</v>
      </c>
      <c r="R2877" t="s">
        <v>62</v>
      </c>
      <c r="S2877" t="s">
        <v>46</v>
      </c>
      <c r="T2877" t="s">
        <v>29</v>
      </c>
      <c r="U2877" t="s">
        <v>36</v>
      </c>
    </row>
    <row r="2878" spans="1:21" x14ac:dyDescent="0.35">
      <c r="A2878" t="s">
        <v>2958</v>
      </c>
      <c r="B2878" s="1">
        <v>46343</v>
      </c>
      <c r="C2878" t="str">
        <f>TEXT(tblData[[#This Row],[Rental Date]],"mmm")</f>
        <v>Nov</v>
      </c>
      <c r="D2878" t="str">
        <f>TEXT(tblData[[#This Row],[Rental Date]],"mmmm")</f>
        <v>November</v>
      </c>
      <c r="E2878" t="s">
        <v>102</v>
      </c>
      <c r="F2878" t="str">
        <f>TEXT(WEEKNUM(tblData[[#This Row],[Rental Date]]),"00")</f>
        <v>47</v>
      </c>
      <c r="G2878" s="1">
        <f>EOMONTH(tblData[[#This Row],[Rental Date]],0)</f>
        <v>46356</v>
      </c>
      <c r="H2878" t="s">
        <v>2441</v>
      </c>
      <c r="I2878" t="s">
        <v>39</v>
      </c>
      <c r="J2878" t="s">
        <v>49</v>
      </c>
      <c r="K2878" t="s">
        <v>40</v>
      </c>
      <c r="L2878">
        <v>1</v>
      </c>
      <c r="M2878" s="2">
        <v>54</v>
      </c>
      <c r="N2878" t="s">
        <v>26</v>
      </c>
      <c r="O2878" s="3">
        <v>0</v>
      </c>
      <c r="P2878" s="3">
        <v>0</v>
      </c>
      <c r="Q2878" s="2">
        <v>54</v>
      </c>
      <c r="R2878" t="s">
        <v>66</v>
      </c>
      <c r="S2878" t="s">
        <v>54</v>
      </c>
      <c r="T2878" t="s">
        <v>29</v>
      </c>
      <c r="U2878" t="s">
        <v>30</v>
      </c>
    </row>
    <row r="2879" spans="1:21" x14ac:dyDescent="0.35">
      <c r="A2879" t="s">
        <v>2959</v>
      </c>
      <c r="B2879" s="1">
        <v>46343</v>
      </c>
      <c r="C2879" t="str">
        <f>TEXT(tblData[[#This Row],[Rental Date]],"mmm")</f>
        <v>Nov</v>
      </c>
      <c r="D2879" t="str">
        <f>TEXT(tblData[[#This Row],[Rental Date]],"mmmm")</f>
        <v>November</v>
      </c>
      <c r="E2879" t="s">
        <v>102</v>
      </c>
      <c r="F2879" t="str">
        <f>TEXT(WEEKNUM(tblData[[#This Row],[Rental Date]]),"00")</f>
        <v>47</v>
      </c>
      <c r="G2879" s="1">
        <f>EOMONTH(tblData[[#This Row],[Rental Date]],0)</f>
        <v>46356</v>
      </c>
      <c r="H2879" t="s">
        <v>2441</v>
      </c>
      <c r="I2879" t="s">
        <v>32</v>
      </c>
      <c r="J2879" t="s">
        <v>127</v>
      </c>
      <c r="K2879" t="s">
        <v>60</v>
      </c>
      <c r="L2879">
        <v>1</v>
      </c>
      <c r="M2879" s="2">
        <v>10</v>
      </c>
      <c r="N2879" t="s">
        <v>89</v>
      </c>
      <c r="O2879" s="3">
        <v>6</v>
      </c>
      <c r="P2879" s="3">
        <v>0</v>
      </c>
      <c r="Q2879" s="2">
        <v>16</v>
      </c>
      <c r="R2879" t="s">
        <v>62</v>
      </c>
      <c r="S2879" t="s">
        <v>54</v>
      </c>
      <c r="T2879" t="s">
        <v>29</v>
      </c>
      <c r="U2879" t="s">
        <v>30</v>
      </c>
    </row>
    <row r="2880" spans="1:21" x14ac:dyDescent="0.35">
      <c r="A2880" t="s">
        <v>2960</v>
      </c>
      <c r="B2880" s="1">
        <v>46343</v>
      </c>
      <c r="C2880" t="str">
        <f>TEXT(tblData[[#This Row],[Rental Date]],"mmm")</f>
        <v>Nov</v>
      </c>
      <c r="D2880" t="str">
        <f>TEXT(tblData[[#This Row],[Rental Date]],"mmmm")</f>
        <v>November</v>
      </c>
      <c r="E2880" t="s">
        <v>102</v>
      </c>
      <c r="F2880" t="str">
        <f>TEXT(WEEKNUM(tblData[[#This Row],[Rental Date]]),"00")</f>
        <v>47</v>
      </c>
      <c r="G2880" s="1">
        <f>EOMONTH(tblData[[#This Row],[Rental Date]],0)</f>
        <v>46356</v>
      </c>
      <c r="H2880" t="s">
        <v>2441</v>
      </c>
      <c r="I2880" t="s">
        <v>23</v>
      </c>
      <c r="J2880" t="s">
        <v>49</v>
      </c>
      <c r="K2880" t="s">
        <v>25</v>
      </c>
      <c r="L2880">
        <v>1</v>
      </c>
      <c r="M2880" s="2">
        <v>36</v>
      </c>
      <c r="N2880" t="s">
        <v>26</v>
      </c>
      <c r="O2880" s="3">
        <v>0</v>
      </c>
      <c r="P2880" s="3">
        <v>1.8</v>
      </c>
      <c r="Q2880" s="2">
        <v>34.200000000000003</v>
      </c>
      <c r="R2880" t="s">
        <v>94</v>
      </c>
      <c r="S2880" t="s">
        <v>28</v>
      </c>
      <c r="T2880" t="s">
        <v>51</v>
      </c>
      <c r="U2880" t="s">
        <v>30</v>
      </c>
    </row>
    <row r="2881" spans="1:21" x14ac:dyDescent="0.35">
      <c r="A2881" t="s">
        <v>2961</v>
      </c>
      <c r="B2881" s="1">
        <v>46344</v>
      </c>
      <c r="C2881" t="str">
        <f>TEXT(tblData[[#This Row],[Rental Date]],"mmm")</f>
        <v>Nov</v>
      </c>
      <c r="D2881" t="str">
        <f>TEXT(tblData[[#This Row],[Rental Date]],"mmmm")</f>
        <v>November</v>
      </c>
      <c r="E2881" t="s">
        <v>109</v>
      </c>
      <c r="F2881" t="str">
        <f>TEXT(WEEKNUM(tblData[[#This Row],[Rental Date]]),"00")</f>
        <v>47</v>
      </c>
      <c r="G2881" s="1">
        <f>EOMONTH(tblData[[#This Row],[Rental Date]],0)</f>
        <v>46356</v>
      </c>
      <c r="H2881" t="s">
        <v>2441</v>
      </c>
      <c r="I2881" t="s">
        <v>23</v>
      </c>
      <c r="J2881" t="s">
        <v>65</v>
      </c>
      <c r="K2881" t="s">
        <v>25</v>
      </c>
      <c r="L2881">
        <v>1</v>
      </c>
      <c r="M2881" s="2">
        <v>18</v>
      </c>
      <c r="N2881" t="s">
        <v>89</v>
      </c>
      <c r="O2881" s="3">
        <v>6</v>
      </c>
      <c r="P2881" s="3">
        <v>1.2</v>
      </c>
      <c r="Q2881" s="2">
        <v>22.8</v>
      </c>
      <c r="R2881" t="s">
        <v>62</v>
      </c>
      <c r="S2881" t="s">
        <v>46</v>
      </c>
      <c r="T2881" t="s">
        <v>51</v>
      </c>
      <c r="U2881" t="s">
        <v>79</v>
      </c>
    </row>
    <row r="2882" spans="1:21" x14ac:dyDescent="0.35">
      <c r="A2882" t="s">
        <v>2962</v>
      </c>
      <c r="B2882" s="1">
        <v>46344</v>
      </c>
      <c r="C2882" t="str">
        <f>TEXT(tblData[[#This Row],[Rental Date]],"mmm")</f>
        <v>Nov</v>
      </c>
      <c r="D2882" t="str">
        <f>TEXT(tblData[[#This Row],[Rental Date]],"mmmm")</f>
        <v>November</v>
      </c>
      <c r="E2882" t="s">
        <v>109</v>
      </c>
      <c r="F2882" t="str">
        <f>TEXT(WEEKNUM(tblData[[#This Row],[Rental Date]]),"00")</f>
        <v>47</v>
      </c>
      <c r="G2882" s="1">
        <f>EOMONTH(tblData[[#This Row],[Rental Date]],0)</f>
        <v>46356</v>
      </c>
      <c r="H2882" t="s">
        <v>2441</v>
      </c>
      <c r="I2882" t="s">
        <v>39</v>
      </c>
      <c r="J2882" t="s">
        <v>78</v>
      </c>
      <c r="K2882" t="s">
        <v>25</v>
      </c>
      <c r="L2882">
        <v>1</v>
      </c>
      <c r="M2882" s="2">
        <v>42</v>
      </c>
      <c r="N2882" t="s">
        <v>26</v>
      </c>
      <c r="O2882" s="3">
        <v>0</v>
      </c>
      <c r="P2882" s="3">
        <v>0</v>
      </c>
      <c r="Q2882" s="2">
        <v>42</v>
      </c>
      <c r="R2882" t="s">
        <v>76</v>
      </c>
      <c r="S2882" t="s">
        <v>28</v>
      </c>
      <c r="T2882" t="s">
        <v>51</v>
      </c>
      <c r="U2882" t="s">
        <v>79</v>
      </c>
    </row>
    <row r="2883" spans="1:21" x14ac:dyDescent="0.35">
      <c r="A2883" t="s">
        <v>2963</v>
      </c>
      <c r="B2883" s="1">
        <v>46344</v>
      </c>
      <c r="C2883" t="str">
        <f>TEXT(tblData[[#This Row],[Rental Date]],"mmm")</f>
        <v>Nov</v>
      </c>
      <c r="D2883" t="str">
        <f>TEXT(tblData[[#This Row],[Rental Date]],"mmmm")</f>
        <v>November</v>
      </c>
      <c r="E2883" t="s">
        <v>109</v>
      </c>
      <c r="F2883" t="str">
        <f>TEXT(WEEKNUM(tblData[[#This Row],[Rental Date]]),"00")</f>
        <v>47</v>
      </c>
      <c r="G2883" s="1">
        <f>EOMONTH(tblData[[#This Row],[Rental Date]],0)</f>
        <v>46356</v>
      </c>
      <c r="H2883" t="s">
        <v>2441</v>
      </c>
      <c r="I2883" t="s">
        <v>23</v>
      </c>
      <c r="J2883" t="s">
        <v>78</v>
      </c>
      <c r="K2883" t="s">
        <v>25</v>
      </c>
      <c r="L2883">
        <v>1</v>
      </c>
      <c r="M2883" s="2">
        <v>42</v>
      </c>
      <c r="N2883" t="s">
        <v>26</v>
      </c>
      <c r="O2883" s="3">
        <v>0</v>
      </c>
      <c r="P2883" s="3">
        <v>0</v>
      </c>
      <c r="Q2883" s="2">
        <v>42</v>
      </c>
      <c r="R2883" t="s">
        <v>27</v>
      </c>
      <c r="S2883" t="s">
        <v>46</v>
      </c>
      <c r="T2883" t="s">
        <v>29</v>
      </c>
      <c r="U2883" t="s">
        <v>30</v>
      </c>
    </row>
    <row r="2884" spans="1:21" x14ac:dyDescent="0.35">
      <c r="A2884" t="s">
        <v>2964</v>
      </c>
      <c r="B2884" s="1">
        <v>46345</v>
      </c>
      <c r="C2884" t="str">
        <f>TEXT(tblData[[#This Row],[Rental Date]],"mmm")</f>
        <v>Nov</v>
      </c>
      <c r="D2884" t="str">
        <f>TEXT(tblData[[#This Row],[Rental Date]],"mmmm")</f>
        <v>November</v>
      </c>
      <c r="E2884" t="s">
        <v>21</v>
      </c>
      <c r="F2884" t="str">
        <f>TEXT(WEEKNUM(tblData[[#This Row],[Rental Date]]),"00")</f>
        <v>47</v>
      </c>
      <c r="G2884" s="1">
        <f>EOMONTH(tblData[[#This Row],[Rental Date]],0)</f>
        <v>46356</v>
      </c>
      <c r="H2884" t="s">
        <v>2441</v>
      </c>
      <c r="I2884" t="s">
        <v>23</v>
      </c>
      <c r="J2884" t="s">
        <v>111</v>
      </c>
      <c r="K2884" t="s">
        <v>25</v>
      </c>
      <c r="L2884">
        <v>1</v>
      </c>
      <c r="M2884" s="2">
        <v>22</v>
      </c>
      <c r="N2884" t="s">
        <v>41</v>
      </c>
      <c r="O2884" s="3">
        <v>5</v>
      </c>
      <c r="P2884" s="3">
        <v>0</v>
      </c>
      <c r="Q2884" s="2">
        <v>27</v>
      </c>
      <c r="R2884" t="s">
        <v>45</v>
      </c>
      <c r="S2884" t="s">
        <v>54</v>
      </c>
      <c r="T2884" t="s">
        <v>29</v>
      </c>
      <c r="U2884" t="s">
        <v>30</v>
      </c>
    </row>
    <row r="2885" spans="1:21" x14ac:dyDescent="0.35">
      <c r="A2885" t="s">
        <v>2965</v>
      </c>
      <c r="B2885" s="1">
        <v>46345</v>
      </c>
      <c r="C2885" t="str">
        <f>TEXT(tblData[[#This Row],[Rental Date]],"mmm")</f>
        <v>Nov</v>
      </c>
      <c r="D2885" t="str">
        <f>TEXT(tblData[[#This Row],[Rental Date]],"mmmm")</f>
        <v>November</v>
      </c>
      <c r="E2885" t="s">
        <v>21</v>
      </c>
      <c r="F2885" t="str">
        <f>TEXT(WEEKNUM(tblData[[#This Row],[Rental Date]]),"00")</f>
        <v>47</v>
      </c>
      <c r="G2885" s="1">
        <f>EOMONTH(tblData[[#This Row],[Rental Date]],0)</f>
        <v>46356</v>
      </c>
      <c r="H2885" t="s">
        <v>2441</v>
      </c>
      <c r="I2885" t="s">
        <v>48</v>
      </c>
      <c r="J2885" t="s">
        <v>65</v>
      </c>
      <c r="K2885" t="s">
        <v>25</v>
      </c>
      <c r="L2885">
        <v>1</v>
      </c>
      <c r="M2885" s="2">
        <v>18</v>
      </c>
      <c r="N2885" t="s">
        <v>61</v>
      </c>
      <c r="O2885" s="3">
        <v>8</v>
      </c>
      <c r="P2885" s="3">
        <v>0</v>
      </c>
      <c r="Q2885" s="2">
        <v>26</v>
      </c>
      <c r="R2885" t="s">
        <v>94</v>
      </c>
      <c r="S2885" t="s">
        <v>46</v>
      </c>
      <c r="T2885" t="s">
        <v>29</v>
      </c>
      <c r="U2885" t="s">
        <v>79</v>
      </c>
    </row>
    <row r="2886" spans="1:21" x14ac:dyDescent="0.35">
      <c r="A2886" t="s">
        <v>2966</v>
      </c>
      <c r="B2886" s="1">
        <v>46345</v>
      </c>
      <c r="C2886" t="str">
        <f>TEXT(tblData[[#This Row],[Rental Date]],"mmm")</f>
        <v>Nov</v>
      </c>
      <c r="D2886" t="str">
        <f>TEXT(tblData[[#This Row],[Rental Date]],"mmmm")</f>
        <v>November</v>
      </c>
      <c r="E2886" t="s">
        <v>21</v>
      </c>
      <c r="F2886" t="str">
        <f>TEXT(WEEKNUM(tblData[[#This Row],[Rental Date]]),"00")</f>
        <v>47</v>
      </c>
      <c r="G2886" s="1">
        <f>EOMONTH(tblData[[#This Row],[Rental Date]],0)</f>
        <v>46356</v>
      </c>
      <c r="H2886" t="s">
        <v>2441</v>
      </c>
      <c r="I2886" t="s">
        <v>32</v>
      </c>
      <c r="J2886" t="s">
        <v>127</v>
      </c>
      <c r="K2886" t="s">
        <v>40</v>
      </c>
      <c r="L2886">
        <v>1</v>
      </c>
      <c r="M2886" s="2">
        <v>24</v>
      </c>
      <c r="N2886" t="s">
        <v>61</v>
      </c>
      <c r="O2886" s="3">
        <v>8</v>
      </c>
      <c r="P2886" s="3">
        <v>1.6</v>
      </c>
      <c r="Q2886" s="2">
        <v>30.4</v>
      </c>
      <c r="R2886" t="s">
        <v>71</v>
      </c>
      <c r="S2886" t="s">
        <v>50</v>
      </c>
      <c r="T2886" t="s">
        <v>29</v>
      </c>
      <c r="U2886" t="s">
        <v>30</v>
      </c>
    </row>
    <row r="2887" spans="1:21" x14ac:dyDescent="0.35">
      <c r="A2887" t="s">
        <v>2967</v>
      </c>
      <c r="B2887" s="1">
        <v>46345</v>
      </c>
      <c r="C2887" t="str">
        <f>TEXT(tblData[[#This Row],[Rental Date]],"mmm")</f>
        <v>Nov</v>
      </c>
      <c r="D2887" t="str">
        <f>TEXT(tblData[[#This Row],[Rental Date]],"mmmm")</f>
        <v>November</v>
      </c>
      <c r="E2887" t="s">
        <v>21</v>
      </c>
      <c r="F2887" t="str">
        <f>TEXT(WEEKNUM(tblData[[#This Row],[Rental Date]]),"00")</f>
        <v>47</v>
      </c>
      <c r="G2887" s="1">
        <f>EOMONTH(tblData[[#This Row],[Rental Date]],0)</f>
        <v>46356</v>
      </c>
      <c r="H2887" t="s">
        <v>2441</v>
      </c>
      <c r="I2887" t="s">
        <v>23</v>
      </c>
      <c r="J2887" t="s">
        <v>65</v>
      </c>
      <c r="K2887" t="s">
        <v>92</v>
      </c>
      <c r="L2887">
        <v>1</v>
      </c>
      <c r="M2887" s="2">
        <v>40</v>
      </c>
      <c r="N2887" t="s">
        <v>26</v>
      </c>
      <c r="O2887" s="3">
        <v>0</v>
      </c>
      <c r="P2887" s="3">
        <v>0</v>
      </c>
      <c r="Q2887" s="2">
        <v>40</v>
      </c>
      <c r="R2887" t="s">
        <v>94</v>
      </c>
      <c r="S2887" t="s">
        <v>35</v>
      </c>
      <c r="T2887" t="s">
        <v>63</v>
      </c>
      <c r="U2887" t="s">
        <v>30</v>
      </c>
    </row>
    <row r="2888" spans="1:21" x14ac:dyDescent="0.35">
      <c r="A2888" t="s">
        <v>2968</v>
      </c>
      <c r="B2888" s="1">
        <v>46346</v>
      </c>
      <c r="C2888" t="str">
        <f>TEXT(tblData[[#This Row],[Rental Date]],"mmm")</f>
        <v>Nov</v>
      </c>
      <c r="D2888" t="str">
        <f>TEXT(tblData[[#This Row],[Rental Date]],"mmmm")</f>
        <v>November</v>
      </c>
      <c r="E2888" t="s">
        <v>38</v>
      </c>
      <c r="F2888" t="str">
        <f>TEXT(WEEKNUM(tblData[[#This Row],[Rental Date]]),"00")</f>
        <v>47</v>
      </c>
      <c r="G2888" s="1">
        <f>EOMONTH(tblData[[#This Row],[Rental Date]],0)</f>
        <v>46356</v>
      </c>
      <c r="H2888" t="s">
        <v>2441</v>
      </c>
      <c r="I2888" t="s">
        <v>48</v>
      </c>
      <c r="J2888" t="s">
        <v>49</v>
      </c>
      <c r="K2888" t="s">
        <v>60</v>
      </c>
      <c r="L2888">
        <v>1</v>
      </c>
      <c r="M2888" s="2">
        <v>22</v>
      </c>
      <c r="N2888" t="s">
        <v>26</v>
      </c>
      <c r="O2888" s="3">
        <v>0</v>
      </c>
      <c r="P2888" s="3">
        <v>0</v>
      </c>
      <c r="Q2888" s="2">
        <v>22</v>
      </c>
      <c r="R2888" t="s">
        <v>42</v>
      </c>
      <c r="S2888" t="s">
        <v>35</v>
      </c>
      <c r="T2888" t="s">
        <v>29</v>
      </c>
      <c r="U2888" t="s">
        <v>58</v>
      </c>
    </row>
    <row r="2889" spans="1:21" x14ac:dyDescent="0.35">
      <c r="A2889" t="s">
        <v>2969</v>
      </c>
      <c r="B2889" s="1">
        <v>46346</v>
      </c>
      <c r="C2889" t="str">
        <f>TEXT(tblData[[#This Row],[Rental Date]],"mmm")</f>
        <v>Nov</v>
      </c>
      <c r="D2889" t="str">
        <f>TEXT(tblData[[#This Row],[Rental Date]],"mmmm")</f>
        <v>November</v>
      </c>
      <c r="E2889" t="s">
        <v>38</v>
      </c>
      <c r="F2889" t="str">
        <f>TEXT(WEEKNUM(tblData[[#This Row],[Rental Date]]),"00")</f>
        <v>47</v>
      </c>
      <c r="G2889" s="1">
        <f>EOMONTH(tblData[[#This Row],[Rental Date]],0)</f>
        <v>46356</v>
      </c>
      <c r="H2889" t="s">
        <v>2441</v>
      </c>
      <c r="I2889" t="s">
        <v>53</v>
      </c>
      <c r="J2889" t="s">
        <v>33</v>
      </c>
      <c r="K2889" t="s">
        <v>60</v>
      </c>
      <c r="L2889">
        <v>1</v>
      </c>
      <c r="M2889" s="2">
        <v>24</v>
      </c>
      <c r="N2889" t="s">
        <v>61</v>
      </c>
      <c r="O2889" s="3">
        <v>8</v>
      </c>
      <c r="P2889" s="3">
        <v>4.8</v>
      </c>
      <c r="Q2889" s="2">
        <v>27.2</v>
      </c>
      <c r="R2889" t="s">
        <v>57</v>
      </c>
      <c r="S2889" t="s">
        <v>35</v>
      </c>
      <c r="T2889" t="s">
        <v>51</v>
      </c>
      <c r="U2889" t="s">
        <v>30</v>
      </c>
    </row>
    <row r="2890" spans="1:21" x14ac:dyDescent="0.35">
      <c r="A2890" t="s">
        <v>2970</v>
      </c>
      <c r="B2890" s="1">
        <v>46346</v>
      </c>
      <c r="C2890" t="str">
        <f>TEXT(tblData[[#This Row],[Rental Date]],"mmm")</f>
        <v>Nov</v>
      </c>
      <c r="D2890" t="str">
        <f>TEXT(tblData[[#This Row],[Rental Date]],"mmmm")</f>
        <v>November</v>
      </c>
      <c r="E2890" t="s">
        <v>38</v>
      </c>
      <c r="F2890" t="str">
        <f>TEXT(WEEKNUM(tblData[[#This Row],[Rental Date]]),"00")</f>
        <v>47</v>
      </c>
      <c r="G2890" s="1">
        <f>EOMONTH(tblData[[#This Row],[Rental Date]],0)</f>
        <v>46356</v>
      </c>
      <c r="H2890" t="s">
        <v>2441</v>
      </c>
      <c r="I2890" t="s">
        <v>39</v>
      </c>
      <c r="J2890" t="s">
        <v>44</v>
      </c>
      <c r="K2890" t="s">
        <v>60</v>
      </c>
      <c r="L2890">
        <v>1</v>
      </c>
      <c r="M2890" s="2">
        <v>34</v>
      </c>
      <c r="N2890" t="s">
        <v>89</v>
      </c>
      <c r="O2890" s="3">
        <v>6</v>
      </c>
      <c r="P2890" s="3">
        <v>0</v>
      </c>
      <c r="Q2890" s="2">
        <v>40</v>
      </c>
      <c r="R2890" t="s">
        <v>45</v>
      </c>
      <c r="S2890" t="s">
        <v>46</v>
      </c>
      <c r="T2890" t="s">
        <v>29</v>
      </c>
      <c r="U2890" t="s">
        <v>36</v>
      </c>
    </row>
    <row r="2891" spans="1:21" x14ac:dyDescent="0.35">
      <c r="A2891" t="s">
        <v>2971</v>
      </c>
      <c r="B2891" s="1">
        <v>46346</v>
      </c>
      <c r="C2891" t="str">
        <f>TEXT(tblData[[#This Row],[Rental Date]],"mmm")</f>
        <v>Nov</v>
      </c>
      <c r="D2891" t="str">
        <f>TEXT(tblData[[#This Row],[Rental Date]],"mmmm")</f>
        <v>November</v>
      </c>
      <c r="E2891" t="s">
        <v>38</v>
      </c>
      <c r="F2891" t="str">
        <f>TEXT(WEEKNUM(tblData[[#This Row],[Rental Date]]),"00")</f>
        <v>47</v>
      </c>
      <c r="G2891" s="1">
        <f>EOMONTH(tblData[[#This Row],[Rental Date]],0)</f>
        <v>46356</v>
      </c>
      <c r="H2891" t="s">
        <v>2441</v>
      </c>
      <c r="I2891" t="s">
        <v>32</v>
      </c>
      <c r="J2891" t="s">
        <v>65</v>
      </c>
      <c r="K2891" t="s">
        <v>60</v>
      </c>
      <c r="L2891">
        <v>1</v>
      </c>
      <c r="M2891" s="2">
        <v>12</v>
      </c>
      <c r="N2891" t="s">
        <v>26</v>
      </c>
      <c r="O2891" s="3">
        <v>0</v>
      </c>
      <c r="P2891" s="3">
        <v>0</v>
      </c>
      <c r="Q2891" s="2">
        <v>12</v>
      </c>
      <c r="R2891" t="s">
        <v>66</v>
      </c>
      <c r="S2891" t="s">
        <v>50</v>
      </c>
      <c r="T2891" t="s">
        <v>29</v>
      </c>
      <c r="U2891" t="s">
        <v>58</v>
      </c>
    </row>
    <row r="2892" spans="1:21" x14ac:dyDescent="0.35">
      <c r="A2892" t="s">
        <v>2972</v>
      </c>
      <c r="B2892" s="1">
        <v>46347</v>
      </c>
      <c r="C2892" t="str">
        <f>TEXT(tblData[[#This Row],[Rental Date]],"mmm")</f>
        <v>Nov</v>
      </c>
      <c r="D2892" t="str">
        <f>TEXT(tblData[[#This Row],[Rental Date]],"mmmm")</f>
        <v>November</v>
      </c>
      <c r="E2892" t="s">
        <v>56</v>
      </c>
      <c r="F2892" t="str">
        <f>TEXT(WEEKNUM(tblData[[#This Row],[Rental Date]]),"00")</f>
        <v>47</v>
      </c>
      <c r="G2892" s="1">
        <f>EOMONTH(tblData[[#This Row],[Rental Date]],0)</f>
        <v>46356</v>
      </c>
      <c r="H2892" t="s">
        <v>2441</v>
      </c>
      <c r="I2892" t="s">
        <v>39</v>
      </c>
      <c r="J2892" t="s">
        <v>33</v>
      </c>
      <c r="K2892" t="s">
        <v>25</v>
      </c>
      <c r="L2892">
        <v>1</v>
      </c>
      <c r="M2892" s="2">
        <v>41.04</v>
      </c>
      <c r="N2892" t="s">
        <v>26</v>
      </c>
      <c r="O2892" s="3">
        <v>0</v>
      </c>
      <c r="P2892" s="3">
        <v>0</v>
      </c>
      <c r="Q2892" s="2">
        <v>41.04</v>
      </c>
      <c r="R2892" t="s">
        <v>34</v>
      </c>
      <c r="S2892" t="s">
        <v>28</v>
      </c>
      <c r="T2892" t="s">
        <v>51</v>
      </c>
      <c r="U2892" t="s">
        <v>58</v>
      </c>
    </row>
    <row r="2893" spans="1:21" x14ac:dyDescent="0.35">
      <c r="A2893" t="s">
        <v>2973</v>
      </c>
      <c r="B2893" s="1">
        <v>46347</v>
      </c>
      <c r="C2893" t="str">
        <f>TEXT(tblData[[#This Row],[Rental Date]],"mmm")</f>
        <v>Nov</v>
      </c>
      <c r="D2893" t="str">
        <f>TEXT(tblData[[#This Row],[Rental Date]],"mmmm")</f>
        <v>November</v>
      </c>
      <c r="E2893" t="s">
        <v>56</v>
      </c>
      <c r="F2893" t="str">
        <f>TEXT(WEEKNUM(tblData[[#This Row],[Rental Date]]),"00")</f>
        <v>47</v>
      </c>
      <c r="G2893" s="1">
        <f>EOMONTH(tblData[[#This Row],[Rental Date]],0)</f>
        <v>46356</v>
      </c>
      <c r="H2893" t="s">
        <v>2441</v>
      </c>
      <c r="I2893" t="s">
        <v>39</v>
      </c>
      <c r="J2893" t="s">
        <v>33</v>
      </c>
      <c r="K2893" t="s">
        <v>25</v>
      </c>
      <c r="L2893">
        <v>1</v>
      </c>
      <c r="M2893" s="2">
        <v>41.04</v>
      </c>
      <c r="N2893" t="s">
        <v>26</v>
      </c>
      <c r="O2893" s="3">
        <v>0</v>
      </c>
      <c r="P2893" s="3">
        <v>0</v>
      </c>
      <c r="Q2893" s="2">
        <v>41.04</v>
      </c>
      <c r="R2893" t="s">
        <v>62</v>
      </c>
      <c r="S2893" t="s">
        <v>54</v>
      </c>
      <c r="T2893" t="s">
        <v>63</v>
      </c>
      <c r="U2893" t="s">
        <v>30</v>
      </c>
    </row>
    <row r="2894" spans="1:21" x14ac:dyDescent="0.35">
      <c r="A2894" t="s">
        <v>2974</v>
      </c>
      <c r="B2894" s="1">
        <v>46347</v>
      </c>
      <c r="C2894" t="str">
        <f>TEXT(tblData[[#This Row],[Rental Date]],"mmm")</f>
        <v>Nov</v>
      </c>
      <c r="D2894" t="str">
        <f>TEXT(tblData[[#This Row],[Rental Date]],"mmmm")</f>
        <v>November</v>
      </c>
      <c r="E2894" t="s">
        <v>56</v>
      </c>
      <c r="F2894" t="str">
        <f>TEXT(WEEKNUM(tblData[[#This Row],[Rental Date]]),"00")</f>
        <v>47</v>
      </c>
      <c r="G2894" s="1">
        <f>EOMONTH(tblData[[#This Row],[Rental Date]],0)</f>
        <v>46356</v>
      </c>
      <c r="H2894" t="s">
        <v>2441</v>
      </c>
      <c r="I2894" t="s">
        <v>39</v>
      </c>
      <c r="J2894" t="s">
        <v>44</v>
      </c>
      <c r="K2894" t="s">
        <v>92</v>
      </c>
      <c r="L2894">
        <v>1</v>
      </c>
      <c r="M2894" s="2">
        <v>120.96</v>
      </c>
      <c r="N2894" t="s">
        <v>87</v>
      </c>
      <c r="O2894" s="3">
        <v>10</v>
      </c>
      <c r="P2894" s="3">
        <v>6.55</v>
      </c>
      <c r="Q2894" s="2">
        <v>124.41</v>
      </c>
      <c r="R2894" t="s">
        <v>57</v>
      </c>
      <c r="S2894" t="s">
        <v>54</v>
      </c>
      <c r="T2894" t="s">
        <v>29</v>
      </c>
      <c r="U2894" t="s">
        <v>30</v>
      </c>
    </row>
    <row r="2895" spans="1:21" x14ac:dyDescent="0.35">
      <c r="A2895" t="s">
        <v>2975</v>
      </c>
      <c r="B2895" s="1">
        <v>46347</v>
      </c>
      <c r="C2895" t="str">
        <f>TEXT(tblData[[#This Row],[Rental Date]],"mmm")</f>
        <v>Nov</v>
      </c>
      <c r="D2895" t="str">
        <f>TEXT(tblData[[#This Row],[Rental Date]],"mmmm")</f>
        <v>November</v>
      </c>
      <c r="E2895" t="s">
        <v>56</v>
      </c>
      <c r="F2895" t="str">
        <f>TEXT(WEEKNUM(tblData[[#This Row],[Rental Date]]),"00")</f>
        <v>47</v>
      </c>
      <c r="G2895" s="1">
        <f>EOMONTH(tblData[[#This Row],[Rental Date]],0)</f>
        <v>46356</v>
      </c>
      <c r="H2895" t="s">
        <v>2441</v>
      </c>
      <c r="I2895" t="s">
        <v>32</v>
      </c>
      <c r="J2895" t="s">
        <v>127</v>
      </c>
      <c r="K2895" t="s">
        <v>25</v>
      </c>
      <c r="L2895">
        <v>1</v>
      </c>
      <c r="M2895" s="2">
        <v>17.28</v>
      </c>
      <c r="N2895" t="s">
        <v>26</v>
      </c>
      <c r="O2895" s="3">
        <v>0</v>
      </c>
      <c r="P2895" s="3">
        <v>0.86</v>
      </c>
      <c r="Q2895" s="2">
        <v>16.420000000000002</v>
      </c>
      <c r="R2895" t="s">
        <v>45</v>
      </c>
      <c r="S2895" t="s">
        <v>46</v>
      </c>
      <c r="T2895" t="s">
        <v>63</v>
      </c>
      <c r="U2895" t="s">
        <v>30</v>
      </c>
    </row>
    <row r="2896" spans="1:21" x14ac:dyDescent="0.35">
      <c r="A2896" t="s">
        <v>2976</v>
      </c>
      <c r="B2896" s="1">
        <v>46347</v>
      </c>
      <c r="C2896" t="str">
        <f>TEXT(tblData[[#This Row],[Rental Date]],"mmm")</f>
        <v>Nov</v>
      </c>
      <c r="D2896" t="str">
        <f>TEXT(tblData[[#This Row],[Rental Date]],"mmmm")</f>
        <v>November</v>
      </c>
      <c r="E2896" t="s">
        <v>56</v>
      </c>
      <c r="F2896" t="str">
        <f>TEXT(WEEKNUM(tblData[[#This Row],[Rental Date]]),"00")</f>
        <v>47</v>
      </c>
      <c r="G2896" s="1">
        <f>EOMONTH(tblData[[#This Row],[Rental Date]],0)</f>
        <v>46356</v>
      </c>
      <c r="H2896" t="s">
        <v>2441</v>
      </c>
      <c r="I2896" t="s">
        <v>23</v>
      </c>
      <c r="J2896" t="s">
        <v>24</v>
      </c>
      <c r="K2896" t="s">
        <v>25</v>
      </c>
      <c r="L2896">
        <v>1</v>
      </c>
      <c r="M2896" s="2">
        <v>54</v>
      </c>
      <c r="N2896" t="s">
        <v>87</v>
      </c>
      <c r="O2896" s="3">
        <v>10</v>
      </c>
      <c r="P2896" s="3">
        <v>0</v>
      </c>
      <c r="Q2896" s="2">
        <v>64</v>
      </c>
      <c r="R2896" t="s">
        <v>57</v>
      </c>
      <c r="S2896" t="s">
        <v>35</v>
      </c>
      <c r="T2896" t="s">
        <v>90</v>
      </c>
      <c r="U2896" t="s">
        <v>58</v>
      </c>
    </row>
    <row r="2897" spans="1:21" x14ac:dyDescent="0.35">
      <c r="A2897" t="s">
        <v>2977</v>
      </c>
      <c r="B2897" s="1">
        <v>46347</v>
      </c>
      <c r="C2897" t="str">
        <f>TEXT(tblData[[#This Row],[Rental Date]],"mmm")</f>
        <v>Nov</v>
      </c>
      <c r="D2897" t="str">
        <f>TEXT(tblData[[#This Row],[Rental Date]],"mmmm")</f>
        <v>November</v>
      </c>
      <c r="E2897" t="s">
        <v>56</v>
      </c>
      <c r="F2897" t="str">
        <f>TEXT(WEEKNUM(tblData[[#This Row],[Rental Date]]),"00")</f>
        <v>47</v>
      </c>
      <c r="G2897" s="1">
        <f>EOMONTH(tblData[[#This Row],[Rental Date]],0)</f>
        <v>46356</v>
      </c>
      <c r="H2897" t="s">
        <v>2441</v>
      </c>
      <c r="I2897" t="s">
        <v>39</v>
      </c>
      <c r="J2897" t="s">
        <v>78</v>
      </c>
      <c r="K2897" t="s">
        <v>40</v>
      </c>
      <c r="L2897">
        <v>1</v>
      </c>
      <c r="M2897" s="2">
        <v>66.959999999999994</v>
      </c>
      <c r="N2897" t="s">
        <v>89</v>
      </c>
      <c r="O2897" s="3">
        <v>6</v>
      </c>
      <c r="P2897" s="3">
        <v>0</v>
      </c>
      <c r="Q2897" s="2">
        <v>72.959999999999994</v>
      </c>
      <c r="R2897" t="s">
        <v>94</v>
      </c>
      <c r="S2897" t="s">
        <v>28</v>
      </c>
      <c r="T2897" t="s">
        <v>29</v>
      </c>
      <c r="U2897" t="s">
        <v>30</v>
      </c>
    </row>
    <row r="2898" spans="1:21" x14ac:dyDescent="0.35">
      <c r="A2898" t="s">
        <v>2978</v>
      </c>
      <c r="B2898" s="1">
        <v>46347</v>
      </c>
      <c r="C2898" t="str">
        <f>TEXT(tblData[[#This Row],[Rental Date]],"mmm")</f>
        <v>Nov</v>
      </c>
      <c r="D2898" t="str">
        <f>TEXT(tblData[[#This Row],[Rental Date]],"mmmm")</f>
        <v>November</v>
      </c>
      <c r="E2898" t="s">
        <v>56</v>
      </c>
      <c r="F2898" t="str">
        <f>TEXT(WEEKNUM(tblData[[#This Row],[Rental Date]]),"00")</f>
        <v>47</v>
      </c>
      <c r="G2898" s="1">
        <f>EOMONTH(tblData[[#This Row],[Rental Date]],0)</f>
        <v>46356</v>
      </c>
      <c r="H2898" t="s">
        <v>2441</v>
      </c>
      <c r="I2898" t="s">
        <v>23</v>
      </c>
      <c r="J2898" t="s">
        <v>78</v>
      </c>
      <c r="K2898" t="s">
        <v>60</v>
      </c>
      <c r="L2898">
        <v>1</v>
      </c>
      <c r="M2898" s="2">
        <v>28.08</v>
      </c>
      <c r="N2898" t="s">
        <v>75</v>
      </c>
      <c r="O2898" s="3">
        <v>12</v>
      </c>
      <c r="P2898" s="3">
        <v>0</v>
      </c>
      <c r="Q2898" s="2">
        <v>40.08</v>
      </c>
      <c r="R2898" t="s">
        <v>66</v>
      </c>
      <c r="S2898" t="s">
        <v>46</v>
      </c>
      <c r="T2898" t="s">
        <v>29</v>
      </c>
      <c r="U2898" t="s">
        <v>30</v>
      </c>
    </row>
    <row r="2899" spans="1:21" x14ac:dyDescent="0.35">
      <c r="A2899" t="s">
        <v>2979</v>
      </c>
      <c r="B2899" s="1">
        <v>46348</v>
      </c>
      <c r="C2899" t="str">
        <f>TEXT(tblData[[#This Row],[Rental Date]],"mmm")</f>
        <v>Nov</v>
      </c>
      <c r="D2899" t="str">
        <f>TEXT(tblData[[#This Row],[Rental Date]],"mmmm")</f>
        <v>November</v>
      </c>
      <c r="E2899" t="s">
        <v>68</v>
      </c>
      <c r="F2899" t="str">
        <f>TEXT(WEEKNUM(tblData[[#This Row],[Rental Date]]),"00")</f>
        <v>48</v>
      </c>
      <c r="G2899" s="1">
        <f>EOMONTH(tblData[[#This Row],[Rental Date]],0)</f>
        <v>46356</v>
      </c>
      <c r="H2899" t="s">
        <v>2441</v>
      </c>
      <c r="I2899" t="s">
        <v>39</v>
      </c>
      <c r="J2899" t="s">
        <v>78</v>
      </c>
      <c r="K2899" t="s">
        <v>25</v>
      </c>
      <c r="L2899">
        <v>1</v>
      </c>
      <c r="M2899" s="2">
        <v>45.36</v>
      </c>
      <c r="N2899" t="s">
        <v>61</v>
      </c>
      <c r="O2899" s="3">
        <v>8</v>
      </c>
      <c r="P2899" s="3">
        <v>0</v>
      </c>
      <c r="Q2899" s="2">
        <v>53.36</v>
      </c>
      <c r="R2899" t="s">
        <v>57</v>
      </c>
      <c r="S2899" t="s">
        <v>46</v>
      </c>
      <c r="T2899" t="s">
        <v>29</v>
      </c>
      <c r="U2899" t="s">
        <v>79</v>
      </c>
    </row>
    <row r="2900" spans="1:21" x14ac:dyDescent="0.35">
      <c r="A2900" t="s">
        <v>2980</v>
      </c>
      <c r="B2900" s="1">
        <v>46348</v>
      </c>
      <c r="C2900" t="str">
        <f>TEXT(tblData[[#This Row],[Rental Date]],"mmm")</f>
        <v>Nov</v>
      </c>
      <c r="D2900" t="str">
        <f>TEXT(tblData[[#This Row],[Rental Date]],"mmmm")</f>
        <v>November</v>
      </c>
      <c r="E2900" t="s">
        <v>68</v>
      </c>
      <c r="F2900" t="str">
        <f>TEXT(WEEKNUM(tblData[[#This Row],[Rental Date]]),"00")</f>
        <v>48</v>
      </c>
      <c r="G2900" s="1">
        <f>EOMONTH(tblData[[#This Row],[Rental Date]],0)</f>
        <v>46356</v>
      </c>
      <c r="H2900" t="s">
        <v>2441</v>
      </c>
      <c r="I2900" t="s">
        <v>39</v>
      </c>
      <c r="J2900" t="s">
        <v>86</v>
      </c>
      <c r="K2900" t="s">
        <v>25</v>
      </c>
      <c r="L2900">
        <v>1</v>
      </c>
      <c r="M2900" s="2">
        <v>62.64</v>
      </c>
      <c r="N2900" t="s">
        <v>41</v>
      </c>
      <c r="O2900" s="3">
        <v>5</v>
      </c>
      <c r="P2900" s="3">
        <v>0</v>
      </c>
      <c r="Q2900" s="2">
        <v>67.64</v>
      </c>
      <c r="R2900" t="s">
        <v>66</v>
      </c>
      <c r="S2900" t="s">
        <v>50</v>
      </c>
      <c r="T2900" t="s">
        <v>51</v>
      </c>
      <c r="U2900" t="s">
        <v>30</v>
      </c>
    </row>
    <row r="2901" spans="1:21" x14ac:dyDescent="0.35">
      <c r="A2901" t="s">
        <v>2981</v>
      </c>
      <c r="B2901" s="1">
        <v>46348</v>
      </c>
      <c r="C2901" t="str">
        <f>TEXT(tblData[[#This Row],[Rental Date]],"mmm")</f>
        <v>Nov</v>
      </c>
      <c r="D2901" t="str">
        <f>TEXT(tblData[[#This Row],[Rental Date]],"mmmm")</f>
        <v>November</v>
      </c>
      <c r="E2901" t="s">
        <v>68</v>
      </c>
      <c r="F2901" t="str">
        <f>TEXT(WEEKNUM(tblData[[#This Row],[Rental Date]]),"00")</f>
        <v>48</v>
      </c>
      <c r="G2901" s="1">
        <f>EOMONTH(tblData[[#This Row],[Rental Date]],0)</f>
        <v>46356</v>
      </c>
      <c r="H2901" t="s">
        <v>2441</v>
      </c>
      <c r="I2901" t="s">
        <v>48</v>
      </c>
      <c r="J2901" t="s">
        <v>44</v>
      </c>
      <c r="K2901" t="s">
        <v>60</v>
      </c>
      <c r="L2901">
        <v>1</v>
      </c>
      <c r="M2901" s="2">
        <v>36.72</v>
      </c>
      <c r="N2901" t="s">
        <v>26</v>
      </c>
      <c r="O2901" s="3">
        <v>0</v>
      </c>
      <c r="P2901" s="3">
        <v>0</v>
      </c>
      <c r="Q2901" s="2">
        <v>36.72</v>
      </c>
      <c r="R2901" t="s">
        <v>62</v>
      </c>
      <c r="S2901" t="s">
        <v>28</v>
      </c>
      <c r="T2901" t="s">
        <v>29</v>
      </c>
      <c r="U2901" t="s">
        <v>79</v>
      </c>
    </row>
    <row r="2902" spans="1:21" x14ac:dyDescent="0.35">
      <c r="A2902" t="s">
        <v>2982</v>
      </c>
      <c r="B2902" s="1">
        <v>46348</v>
      </c>
      <c r="C2902" t="str">
        <f>TEXT(tblData[[#This Row],[Rental Date]],"mmm")</f>
        <v>Nov</v>
      </c>
      <c r="D2902" t="str">
        <f>TEXT(tblData[[#This Row],[Rental Date]],"mmmm")</f>
        <v>November</v>
      </c>
      <c r="E2902" t="s">
        <v>68</v>
      </c>
      <c r="F2902" t="str">
        <f>TEXT(WEEKNUM(tblData[[#This Row],[Rental Date]]),"00")</f>
        <v>48</v>
      </c>
      <c r="G2902" s="1">
        <f>EOMONTH(tblData[[#This Row],[Rental Date]],0)</f>
        <v>46356</v>
      </c>
      <c r="H2902" t="s">
        <v>2441</v>
      </c>
      <c r="I2902" t="s">
        <v>32</v>
      </c>
      <c r="J2902" t="s">
        <v>24</v>
      </c>
      <c r="K2902" t="s">
        <v>60</v>
      </c>
      <c r="L2902">
        <v>1</v>
      </c>
      <c r="M2902" s="2">
        <v>34.56</v>
      </c>
      <c r="N2902" t="s">
        <v>70</v>
      </c>
      <c r="O2902" s="3">
        <v>7</v>
      </c>
      <c r="P2902" s="3">
        <v>0</v>
      </c>
      <c r="Q2902" s="2">
        <v>41.56</v>
      </c>
      <c r="R2902" t="s">
        <v>94</v>
      </c>
      <c r="S2902" t="s">
        <v>35</v>
      </c>
      <c r="T2902" t="s">
        <v>51</v>
      </c>
      <c r="U2902" t="s">
        <v>36</v>
      </c>
    </row>
    <row r="2903" spans="1:21" x14ac:dyDescent="0.35">
      <c r="A2903" t="s">
        <v>2983</v>
      </c>
      <c r="B2903" s="1">
        <v>46349</v>
      </c>
      <c r="C2903" t="str">
        <f>TEXT(tblData[[#This Row],[Rental Date]],"mmm")</f>
        <v>Nov</v>
      </c>
      <c r="D2903" t="str">
        <f>TEXT(tblData[[#This Row],[Rental Date]],"mmmm")</f>
        <v>November</v>
      </c>
      <c r="E2903" t="s">
        <v>74</v>
      </c>
      <c r="F2903" t="str">
        <f>TEXT(WEEKNUM(tblData[[#This Row],[Rental Date]]),"00")</f>
        <v>48</v>
      </c>
      <c r="G2903" s="1">
        <f>EOMONTH(tblData[[#This Row],[Rental Date]],0)</f>
        <v>46356</v>
      </c>
      <c r="H2903" t="s">
        <v>2441</v>
      </c>
      <c r="I2903" t="s">
        <v>48</v>
      </c>
      <c r="J2903" t="s">
        <v>78</v>
      </c>
      <c r="K2903" t="s">
        <v>40</v>
      </c>
      <c r="L2903">
        <v>1</v>
      </c>
      <c r="M2903" s="2">
        <v>62</v>
      </c>
      <c r="N2903" t="s">
        <v>70</v>
      </c>
      <c r="O2903" s="3">
        <v>7</v>
      </c>
      <c r="P2903" s="3">
        <v>0</v>
      </c>
      <c r="Q2903" s="2">
        <v>69</v>
      </c>
      <c r="R2903" t="s">
        <v>34</v>
      </c>
      <c r="S2903" t="s">
        <v>28</v>
      </c>
      <c r="T2903" t="s">
        <v>29</v>
      </c>
      <c r="U2903" t="s">
        <v>30</v>
      </c>
    </row>
    <row r="2904" spans="1:21" x14ac:dyDescent="0.35">
      <c r="A2904" t="s">
        <v>2984</v>
      </c>
      <c r="B2904" s="1">
        <v>46350</v>
      </c>
      <c r="C2904" t="str">
        <f>TEXT(tblData[[#This Row],[Rental Date]],"mmm")</f>
        <v>Nov</v>
      </c>
      <c r="D2904" t="str">
        <f>TEXT(tblData[[#This Row],[Rental Date]],"mmmm")</f>
        <v>November</v>
      </c>
      <c r="E2904" t="s">
        <v>102</v>
      </c>
      <c r="F2904" t="str">
        <f>TEXT(WEEKNUM(tblData[[#This Row],[Rental Date]]),"00")</f>
        <v>48</v>
      </c>
      <c r="G2904" s="1">
        <f>EOMONTH(tblData[[#This Row],[Rental Date]],0)</f>
        <v>46356</v>
      </c>
      <c r="H2904" t="s">
        <v>2441</v>
      </c>
      <c r="I2904" t="s">
        <v>32</v>
      </c>
      <c r="J2904" t="s">
        <v>111</v>
      </c>
      <c r="K2904" t="s">
        <v>60</v>
      </c>
      <c r="L2904">
        <v>1</v>
      </c>
      <c r="M2904" s="2">
        <v>14</v>
      </c>
      <c r="N2904" t="s">
        <v>87</v>
      </c>
      <c r="O2904" s="3">
        <v>10</v>
      </c>
      <c r="P2904" s="3">
        <v>2.4</v>
      </c>
      <c r="Q2904" s="2">
        <v>21.6</v>
      </c>
      <c r="R2904" t="s">
        <v>45</v>
      </c>
      <c r="S2904" t="s">
        <v>28</v>
      </c>
      <c r="T2904" t="s">
        <v>51</v>
      </c>
      <c r="U2904" t="s">
        <v>30</v>
      </c>
    </row>
    <row r="2905" spans="1:21" x14ac:dyDescent="0.35">
      <c r="A2905" t="s">
        <v>2985</v>
      </c>
      <c r="B2905" s="1">
        <v>46350</v>
      </c>
      <c r="C2905" t="str">
        <f>TEXT(tblData[[#This Row],[Rental Date]],"mmm")</f>
        <v>Nov</v>
      </c>
      <c r="D2905" t="str">
        <f>TEXT(tblData[[#This Row],[Rental Date]],"mmmm")</f>
        <v>November</v>
      </c>
      <c r="E2905" t="s">
        <v>102</v>
      </c>
      <c r="F2905" t="str">
        <f>TEXT(WEEKNUM(tblData[[#This Row],[Rental Date]]),"00")</f>
        <v>48</v>
      </c>
      <c r="G2905" s="1">
        <f>EOMONTH(tblData[[#This Row],[Rental Date]],0)</f>
        <v>46356</v>
      </c>
      <c r="H2905" t="s">
        <v>2441</v>
      </c>
      <c r="I2905" t="s">
        <v>39</v>
      </c>
      <c r="J2905" t="s">
        <v>65</v>
      </c>
      <c r="K2905" t="s">
        <v>25</v>
      </c>
      <c r="L2905">
        <v>1</v>
      </c>
      <c r="M2905" s="2">
        <v>18</v>
      </c>
      <c r="N2905" t="s">
        <v>75</v>
      </c>
      <c r="O2905" s="3">
        <v>12</v>
      </c>
      <c r="P2905" s="3">
        <v>0</v>
      </c>
      <c r="Q2905" s="2">
        <v>30</v>
      </c>
      <c r="R2905" t="s">
        <v>94</v>
      </c>
      <c r="S2905" t="s">
        <v>50</v>
      </c>
      <c r="T2905" t="s">
        <v>63</v>
      </c>
      <c r="U2905" t="s">
        <v>30</v>
      </c>
    </row>
    <row r="2906" spans="1:21" x14ac:dyDescent="0.35">
      <c r="A2906" t="s">
        <v>2986</v>
      </c>
      <c r="B2906" s="1">
        <v>46351</v>
      </c>
      <c r="C2906" t="str">
        <f>TEXT(tblData[[#This Row],[Rental Date]],"mmm")</f>
        <v>Nov</v>
      </c>
      <c r="D2906" t="str">
        <f>TEXT(tblData[[#This Row],[Rental Date]],"mmmm")</f>
        <v>November</v>
      </c>
      <c r="E2906" t="s">
        <v>109</v>
      </c>
      <c r="F2906" t="str">
        <f>TEXT(WEEKNUM(tblData[[#This Row],[Rental Date]]),"00")</f>
        <v>48</v>
      </c>
      <c r="G2906" s="1">
        <f>EOMONTH(tblData[[#This Row],[Rental Date]],0)</f>
        <v>46356</v>
      </c>
      <c r="H2906" t="s">
        <v>2441</v>
      </c>
      <c r="I2906" t="s">
        <v>32</v>
      </c>
      <c r="J2906" t="s">
        <v>33</v>
      </c>
      <c r="K2906" t="s">
        <v>92</v>
      </c>
      <c r="L2906">
        <v>1</v>
      </c>
      <c r="M2906" s="2">
        <v>84</v>
      </c>
      <c r="N2906" t="s">
        <v>26</v>
      </c>
      <c r="O2906" s="3">
        <v>0</v>
      </c>
      <c r="P2906" s="3">
        <v>4.2</v>
      </c>
      <c r="Q2906" s="2">
        <v>79.8</v>
      </c>
      <c r="R2906" t="s">
        <v>62</v>
      </c>
      <c r="S2906" t="s">
        <v>54</v>
      </c>
      <c r="T2906" t="s">
        <v>29</v>
      </c>
      <c r="U2906" t="s">
        <v>30</v>
      </c>
    </row>
    <row r="2907" spans="1:21" x14ac:dyDescent="0.35">
      <c r="A2907" t="s">
        <v>2987</v>
      </c>
      <c r="B2907" s="1">
        <v>46351</v>
      </c>
      <c r="C2907" t="str">
        <f>TEXT(tblData[[#This Row],[Rental Date]],"mmm")</f>
        <v>Nov</v>
      </c>
      <c r="D2907" t="str">
        <f>TEXT(tblData[[#This Row],[Rental Date]],"mmmm")</f>
        <v>November</v>
      </c>
      <c r="E2907" t="s">
        <v>109</v>
      </c>
      <c r="F2907" t="str">
        <f>TEXT(WEEKNUM(tblData[[#This Row],[Rental Date]]),"00")</f>
        <v>48</v>
      </c>
      <c r="G2907" s="1">
        <f>EOMONTH(tblData[[#This Row],[Rental Date]],0)</f>
        <v>46356</v>
      </c>
      <c r="H2907" t="s">
        <v>2441</v>
      </c>
      <c r="I2907" t="s">
        <v>48</v>
      </c>
      <c r="J2907" t="s">
        <v>33</v>
      </c>
      <c r="K2907" t="s">
        <v>60</v>
      </c>
      <c r="L2907">
        <v>1</v>
      </c>
      <c r="M2907" s="2">
        <v>24</v>
      </c>
      <c r="N2907" t="s">
        <v>26</v>
      </c>
      <c r="O2907" s="3">
        <v>0</v>
      </c>
      <c r="P2907" s="3">
        <v>0</v>
      </c>
      <c r="Q2907" s="2">
        <v>24</v>
      </c>
      <c r="R2907" t="s">
        <v>57</v>
      </c>
      <c r="S2907" t="s">
        <v>28</v>
      </c>
      <c r="T2907" t="s">
        <v>29</v>
      </c>
      <c r="U2907" t="s">
        <v>30</v>
      </c>
    </row>
    <row r="2908" spans="1:21" x14ac:dyDescent="0.35">
      <c r="A2908" t="s">
        <v>2988</v>
      </c>
      <c r="B2908" s="1">
        <v>46352</v>
      </c>
      <c r="C2908" t="str">
        <f>TEXT(tblData[[#This Row],[Rental Date]],"mmm")</f>
        <v>Nov</v>
      </c>
      <c r="D2908" t="str">
        <f>TEXT(tblData[[#This Row],[Rental Date]],"mmmm")</f>
        <v>November</v>
      </c>
      <c r="E2908" t="s">
        <v>21</v>
      </c>
      <c r="F2908" t="str">
        <f>TEXT(WEEKNUM(tblData[[#This Row],[Rental Date]]),"00")</f>
        <v>48</v>
      </c>
      <c r="G2908" s="1">
        <f>EOMONTH(tblData[[#This Row],[Rental Date]],0)</f>
        <v>46356</v>
      </c>
      <c r="H2908" t="s">
        <v>2441</v>
      </c>
      <c r="I2908" t="s">
        <v>48</v>
      </c>
      <c r="J2908" t="s">
        <v>86</v>
      </c>
      <c r="K2908" t="s">
        <v>92</v>
      </c>
      <c r="L2908">
        <v>1</v>
      </c>
      <c r="M2908" s="2">
        <v>124</v>
      </c>
      <c r="N2908" t="s">
        <v>87</v>
      </c>
      <c r="O2908" s="3">
        <v>10</v>
      </c>
      <c r="P2908" s="3">
        <v>0</v>
      </c>
      <c r="Q2908" s="2">
        <v>134</v>
      </c>
      <c r="R2908" t="s">
        <v>71</v>
      </c>
      <c r="S2908" t="s">
        <v>54</v>
      </c>
      <c r="T2908" t="s">
        <v>29</v>
      </c>
      <c r="U2908" t="s">
        <v>30</v>
      </c>
    </row>
    <row r="2909" spans="1:21" x14ac:dyDescent="0.35">
      <c r="A2909" t="s">
        <v>2989</v>
      </c>
      <c r="B2909" s="1">
        <v>46352</v>
      </c>
      <c r="C2909" t="str">
        <f>TEXT(tblData[[#This Row],[Rental Date]],"mmm")</f>
        <v>Nov</v>
      </c>
      <c r="D2909" t="str">
        <f>TEXT(tblData[[#This Row],[Rental Date]],"mmmm")</f>
        <v>November</v>
      </c>
      <c r="E2909" t="s">
        <v>21</v>
      </c>
      <c r="F2909" t="str">
        <f>TEXT(WEEKNUM(tblData[[#This Row],[Rental Date]]),"00")</f>
        <v>48</v>
      </c>
      <c r="G2909" s="1">
        <f>EOMONTH(tblData[[#This Row],[Rental Date]],0)</f>
        <v>46356</v>
      </c>
      <c r="H2909" t="s">
        <v>2441</v>
      </c>
      <c r="I2909" t="s">
        <v>39</v>
      </c>
      <c r="J2909" t="s">
        <v>111</v>
      </c>
      <c r="K2909" t="s">
        <v>60</v>
      </c>
      <c r="L2909">
        <v>1</v>
      </c>
      <c r="M2909" s="2">
        <v>14</v>
      </c>
      <c r="N2909" t="s">
        <v>87</v>
      </c>
      <c r="O2909" s="3">
        <v>10</v>
      </c>
      <c r="P2909" s="3">
        <v>0</v>
      </c>
      <c r="Q2909" s="2">
        <v>24</v>
      </c>
      <c r="R2909" t="s">
        <v>27</v>
      </c>
      <c r="S2909" t="s">
        <v>35</v>
      </c>
      <c r="T2909" t="s">
        <v>29</v>
      </c>
      <c r="U2909" t="s">
        <v>30</v>
      </c>
    </row>
    <row r="2910" spans="1:21" x14ac:dyDescent="0.35">
      <c r="A2910" t="s">
        <v>2990</v>
      </c>
      <c r="B2910" s="1">
        <v>46352</v>
      </c>
      <c r="C2910" t="str">
        <f>TEXT(tblData[[#This Row],[Rental Date]],"mmm")</f>
        <v>Nov</v>
      </c>
      <c r="D2910" t="str">
        <f>TEXT(tblData[[#This Row],[Rental Date]],"mmmm")</f>
        <v>November</v>
      </c>
      <c r="E2910" t="s">
        <v>21</v>
      </c>
      <c r="F2910" t="str">
        <f>TEXT(WEEKNUM(tblData[[#This Row],[Rental Date]]),"00")</f>
        <v>48</v>
      </c>
      <c r="G2910" s="1">
        <f>EOMONTH(tblData[[#This Row],[Rental Date]],0)</f>
        <v>46356</v>
      </c>
      <c r="H2910" t="s">
        <v>2441</v>
      </c>
      <c r="I2910" t="s">
        <v>39</v>
      </c>
      <c r="J2910" t="s">
        <v>49</v>
      </c>
      <c r="K2910" t="s">
        <v>60</v>
      </c>
      <c r="L2910">
        <v>1</v>
      </c>
      <c r="M2910" s="2">
        <v>22</v>
      </c>
      <c r="N2910" t="s">
        <v>26</v>
      </c>
      <c r="O2910" s="3">
        <v>0</v>
      </c>
      <c r="P2910" s="3">
        <v>0</v>
      </c>
      <c r="Q2910" s="2">
        <v>22</v>
      </c>
      <c r="R2910" t="s">
        <v>34</v>
      </c>
      <c r="S2910" t="s">
        <v>35</v>
      </c>
      <c r="T2910" t="s">
        <v>90</v>
      </c>
      <c r="U2910" t="s">
        <v>30</v>
      </c>
    </row>
    <row r="2911" spans="1:21" x14ac:dyDescent="0.35">
      <c r="A2911" t="s">
        <v>2991</v>
      </c>
      <c r="B2911" s="1">
        <v>46353</v>
      </c>
      <c r="C2911" t="str">
        <f>TEXT(tblData[[#This Row],[Rental Date]],"mmm")</f>
        <v>Nov</v>
      </c>
      <c r="D2911" t="str">
        <f>TEXT(tblData[[#This Row],[Rental Date]],"mmmm")</f>
        <v>November</v>
      </c>
      <c r="E2911" t="s">
        <v>38</v>
      </c>
      <c r="F2911" t="str">
        <f>TEXT(WEEKNUM(tblData[[#This Row],[Rental Date]]),"00")</f>
        <v>48</v>
      </c>
      <c r="G2911" s="1">
        <f>EOMONTH(tblData[[#This Row],[Rental Date]],0)</f>
        <v>46356</v>
      </c>
      <c r="H2911" t="s">
        <v>2441</v>
      </c>
      <c r="I2911" t="s">
        <v>48</v>
      </c>
      <c r="J2911" t="s">
        <v>78</v>
      </c>
      <c r="K2911" t="s">
        <v>40</v>
      </c>
      <c r="L2911">
        <v>1</v>
      </c>
      <c r="M2911" s="2">
        <v>62</v>
      </c>
      <c r="N2911" t="s">
        <v>87</v>
      </c>
      <c r="O2911" s="3">
        <v>10</v>
      </c>
      <c r="P2911" s="3">
        <v>0</v>
      </c>
      <c r="Q2911" s="2">
        <v>72</v>
      </c>
      <c r="R2911" t="s">
        <v>94</v>
      </c>
      <c r="S2911" t="s">
        <v>46</v>
      </c>
      <c r="T2911" t="s">
        <v>29</v>
      </c>
      <c r="U2911" t="s">
        <v>30</v>
      </c>
    </row>
    <row r="2912" spans="1:21" x14ac:dyDescent="0.35">
      <c r="A2912" t="s">
        <v>2992</v>
      </c>
      <c r="B2912" s="1">
        <v>46353</v>
      </c>
      <c r="C2912" t="str">
        <f>TEXT(tblData[[#This Row],[Rental Date]],"mmm")</f>
        <v>Nov</v>
      </c>
      <c r="D2912" t="str">
        <f>TEXT(tblData[[#This Row],[Rental Date]],"mmmm")</f>
        <v>November</v>
      </c>
      <c r="E2912" t="s">
        <v>38</v>
      </c>
      <c r="F2912" t="str">
        <f>TEXT(WEEKNUM(tblData[[#This Row],[Rental Date]]),"00")</f>
        <v>48</v>
      </c>
      <c r="G2912" s="1">
        <f>EOMONTH(tblData[[#This Row],[Rental Date]],0)</f>
        <v>46356</v>
      </c>
      <c r="H2912" t="s">
        <v>2441</v>
      </c>
      <c r="I2912" t="s">
        <v>32</v>
      </c>
      <c r="J2912" t="s">
        <v>86</v>
      </c>
      <c r="K2912" t="s">
        <v>60</v>
      </c>
      <c r="L2912">
        <v>1</v>
      </c>
      <c r="M2912" s="2">
        <v>36</v>
      </c>
      <c r="N2912" t="s">
        <v>26</v>
      </c>
      <c r="O2912" s="3">
        <v>0</v>
      </c>
      <c r="P2912" s="3">
        <v>3.6</v>
      </c>
      <c r="Q2912" s="2">
        <v>32.4</v>
      </c>
      <c r="R2912" t="s">
        <v>76</v>
      </c>
      <c r="S2912" t="s">
        <v>46</v>
      </c>
      <c r="T2912" t="s">
        <v>29</v>
      </c>
      <c r="U2912" t="s">
        <v>30</v>
      </c>
    </row>
    <row r="2913" spans="1:21" x14ac:dyDescent="0.35">
      <c r="A2913" t="s">
        <v>2993</v>
      </c>
      <c r="B2913" s="1">
        <v>46354</v>
      </c>
      <c r="C2913" t="str">
        <f>TEXT(tblData[[#This Row],[Rental Date]],"mmm")</f>
        <v>Nov</v>
      </c>
      <c r="D2913" t="str">
        <f>TEXT(tblData[[#This Row],[Rental Date]],"mmmm")</f>
        <v>November</v>
      </c>
      <c r="E2913" t="s">
        <v>56</v>
      </c>
      <c r="F2913" t="str">
        <f>TEXT(WEEKNUM(tblData[[#This Row],[Rental Date]]),"00")</f>
        <v>48</v>
      </c>
      <c r="G2913" s="1">
        <f>EOMONTH(tblData[[#This Row],[Rental Date]],0)</f>
        <v>46356</v>
      </c>
      <c r="H2913" t="s">
        <v>2441</v>
      </c>
      <c r="I2913" t="s">
        <v>23</v>
      </c>
      <c r="J2913" t="s">
        <v>33</v>
      </c>
      <c r="K2913" t="s">
        <v>25</v>
      </c>
      <c r="L2913">
        <v>1</v>
      </c>
      <c r="M2913" s="2">
        <v>41.04</v>
      </c>
      <c r="N2913" t="s">
        <v>26</v>
      </c>
      <c r="O2913" s="3">
        <v>0</v>
      </c>
      <c r="P2913" s="3">
        <v>0</v>
      </c>
      <c r="Q2913" s="2">
        <v>41.04</v>
      </c>
      <c r="R2913" t="s">
        <v>66</v>
      </c>
      <c r="S2913" t="s">
        <v>28</v>
      </c>
      <c r="T2913" t="s">
        <v>90</v>
      </c>
      <c r="U2913" t="s">
        <v>58</v>
      </c>
    </row>
    <row r="2914" spans="1:21" x14ac:dyDescent="0.35">
      <c r="A2914" t="s">
        <v>2994</v>
      </c>
      <c r="B2914" s="1">
        <v>46354</v>
      </c>
      <c r="C2914" t="str">
        <f>TEXT(tblData[[#This Row],[Rental Date]],"mmm")</f>
        <v>Nov</v>
      </c>
      <c r="D2914" t="str">
        <f>TEXT(tblData[[#This Row],[Rental Date]],"mmmm")</f>
        <v>November</v>
      </c>
      <c r="E2914" t="s">
        <v>56</v>
      </c>
      <c r="F2914" t="str">
        <f>TEXT(WEEKNUM(tblData[[#This Row],[Rental Date]]),"00")</f>
        <v>48</v>
      </c>
      <c r="G2914" s="1">
        <f>EOMONTH(tblData[[#This Row],[Rental Date]],0)</f>
        <v>46356</v>
      </c>
      <c r="H2914" t="s">
        <v>2441</v>
      </c>
      <c r="I2914" t="s">
        <v>39</v>
      </c>
      <c r="J2914" t="s">
        <v>78</v>
      </c>
      <c r="K2914" t="s">
        <v>92</v>
      </c>
      <c r="L2914">
        <v>1</v>
      </c>
      <c r="M2914" s="2">
        <v>95.04</v>
      </c>
      <c r="N2914" t="s">
        <v>61</v>
      </c>
      <c r="O2914" s="3">
        <v>8</v>
      </c>
      <c r="P2914" s="3">
        <v>0</v>
      </c>
      <c r="Q2914" s="2">
        <v>103.04</v>
      </c>
      <c r="R2914" t="s">
        <v>42</v>
      </c>
      <c r="S2914" t="s">
        <v>46</v>
      </c>
      <c r="T2914" t="s">
        <v>83</v>
      </c>
      <c r="U2914" t="s">
        <v>79</v>
      </c>
    </row>
    <row r="2915" spans="1:21" x14ac:dyDescent="0.35">
      <c r="A2915" t="s">
        <v>2995</v>
      </c>
      <c r="B2915" s="1">
        <v>46354</v>
      </c>
      <c r="C2915" t="str">
        <f>TEXT(tblData[[#This Row],[Rental Date]],"mmm")</f>
        <v>Nov</v>
      </c>
      <c r="D2915" t="str">
        <f>TEXT(tblData[[#This Row],[Rental Date]],"mmmm")</f>
        <v>November</v>
      </c>
      <c r="E2915" t="s">
        <v>56</v>
      </c>
      <c r="F2915" t="str">
        <f>TEXT(WEEKNUM(tblData[[#This Row],[Rental Date]]),"00")</f>
        <v>48</v>
      </c>
      <c r="G2915" s="1">
        <f>EOMONTH(tblData[[#This Row],[Rental Date]],0)</f>
        <v>46356</v>
      </c>
      <c r="H2915" t="s">
        <v>2441</v>
      </c>
      <c r="I2915" t="s">
        <v>48</v>
      </c>
      <c r="J2915" t="s">
        <v>127</v>
      </c>
      <c r="K2915" t="s">
        <v>25</v>
      </c>
      <c r="L2915">
        <v>1</v>
      </c>
      <c r="M2915" s="2">
        <v>17.28</v>
      </c>
      <c r="N2915" t="s">
        <v>26</v>
      </c>
      <c r="O2915" s="3">
        <v>0</v>
      </c>
      <c r="P2915" s="3">
        <v>0</v>
      </c>
      <c r="Q2915" s="2">
        <v>17.28</v>
      </c>
      <c r="R2915" t="s">
        <v>76</v>
      </c>
      <c r="S2915" t="s">
        <v>46</v>
      </c>
      <c r="T2915" t="s">
        <v>63</v>
      </c>
      <c r="U2915" t="s">
        <v>30</v>
      </c>
    </row>
    <row r="2916" spans="1:21" x14ac:dyDescent="0.35">
      <c r="A2916" t="s">
        <v>2996</v>
      </c>
      <c r="B2916" s="1">
        <v>46354</v>
      </c>
      <c r="C2916" t="str">
        <f>TEXT(tblData[[#This Row],[Rental Date]],"mmm")</f>
        <v>Nov</v>
      </c>
      <c r="D2916" t="str">
        <f>TEXT(tblData[[#This Row],[Rental Date]],"mmmm")</f>
        <v>November</v>
      </c>
      <c r="E2916" t="s">
        <v>56</v>
      </c>
      <c r="F2916" t="str">
        <f>TEXT(WEEKNUM(tblData[[#This Row],[Rental Date]]),"00")</f>
        <v>48</v>
      </c>
      <c r="G2916" s="1">
        <f>EOMONTH(tblData[[#This Row],[Rental Date]],0)</f>
        <v>46356</v>
      </c>
      <c r="H2916" t="s">
        <v>2441</v>
      </c>
      <c r="I2916" t="s">
        <v>23</v>
      </c>
      <c r="J2916" t="s">
        <v>86</v>
      </c>
      <c r="K2916" t="s">
        <v>25</v>
      </c>
      <c r="L2916">
        <v>1</v>
      </c>
      <c r="M2916" s="2">
        <v>62.64</v>
      </c>
      <c r="N2916" t="s">
        <v>61</v>
      </c>
      <c r="O2916" s="3">
        <v>8</v>
      </c>
      <c r="P2916" s="3">
        <v>0</v>
      </c>
      <c r="Q2916" s="2">
        <v>70.64</v>
      </c>
      <c r="R2916" t="s">
        <v>71</v>
      </c>
      <c r="S2916" t="s">
        <v>35</v>
      </c>
      <c r="T2916" t="s">
        <v>29</v>
      </c>
      <c r="U2916" t="s">
        <v>30</v>
      </c>
    </row>
    <row r="2917" spans="1:21" x14ac:dyDescent="0.35">
      <c r="A2917" t="s">
        <v>2997</v>
      </c>
      <c r="B2917" s="1">
        <v>46354</v>
      </c>
      <c r="C2917" t="str">
        <f>TEXT(tblData[[#This Row],[Rental Date]],"mmm")</f>
        <v>Nov</v>
      </c>
      <c r="D2917" t="str">
        <f>TEXT(tblData[[#This Row],[Rental Date]],"mmmm")</f>
        <v>November</v>
      </c>
      <c r="E2917" t="s">
        <v>56</v>
      </c>
      <c r="F2917" t="str">
        <f>TEXT(WEEKNUM(tblData[[#This Row],[Rental Date]]),"00")</f>
        <v>48</v>
      </c>
      <c r="G2917" s="1">
        <f>EOMONTH(tblData[[#This Row],[Rental Date]],0)</f>
        <v>46356</v>
      </c>
      <c r="H2917" t="s">
        <v>2441</v>
      </c>
      <c r="I2917" t="s">
        <v>48</v>
      </c>
      <c r="J2917" t="s">
        <v>78</v>
      </c>
      <c r="K2917" t="s">
        <v>25</v>
      </c>
      <c r="L2917">
        <v>1</v>
      </c>
      <c r="M2917" s="2">
        <v>45.36</v>
      </c>
      <c r="N2917" t="s">
        <v>61</v>
      </c>
      <c r="O2917" s="3">
        <v>8</v>
      </c>
      <c r="P2917" s="3">
        <v>0</v>
      </c>
      <c r="Q2917" s="2">
        <v>53.36</v>
      </c>
      <c r="R2917" t="s">
        <v>71</v>
      </c>
      <c r="S2917" t="s">
        <v>50</v>
      </c>
      <c r="T2917" t="s">
        <v>29</v>
      </c>
      <c r="U2917" t="s">
        <v>30</v>
      </c>
    </row>
    <row r="2918" spans="1:21" x14ac:dyDescent="0.35">
      <c r="A2918" t="s">
        <v>2998</v>
      </c>
      <c r="B2918" s="1">
        <v>46354</v>
      </c>
      <c r="C2918" t="str">
        <f>TEXT(tblData[[#This Row],[Rental Date]],"mmm")</f>
        <v>Nov</v>
      </c>
      <c r="D2918" t="str">
        <f>TEXT(tblData[[#This Row],[Rental Date]],"mmmm")</f>
        <v>November</v>
      </c>
      <c r="E2918" t="s">
        <v>56</v>
      </c>
      <c r="F2918" t="str">
        <f>TEXT(WEEKNUM(tblData[[#This Row],[Rental Date]]),"00")</f>
        <v>48</v>
      </c>
      <c r="G2918" s="1">
        <f>EOMONTH(tblData[[#This Row],[Rental Date]],0)</f>
        <v>46356</v>
      </c>
      <c r="H2918" t="s">
        <v>2441</v>
      </c>
      <c r="I2918" t="s">
        <v>48</v>
      </c>
      <c r="J2918" t="s">
        <v>49</v>
      </c>
      <c r="K2918" t="s">
        <v>25</v>
      </c>
      <c r="L2918">
        <v>1</v>
      </c>
      <c r="M2918" s="2">
        <v>38.880000000000003</v>
      </c>
      <c r="N2918" t="s">
        <v>26</v>
      </c>
      <c r="O2918" s="3">
        <v>0</v>
      </c>
      <c r="P2918" s="3">
        <v>0</v>
      </c>
      <c r="Q2918" s="2">
        <v>38.880000000000003</v>
      </c>
      <c r="R2918" t="s">
        <v>71</v>
      </c>
      <c r="S2918" t="s">
        <v>35</v>
      </c>
      <c r="T2918" t="s">
        <v>63</v>
      </c>
      <c r="U2918" t="s">
        <v>30</v>
      </c>
    </row>
    <row r="2919" spans="1:21" x14ac:dyDescent="0.35">
      <c r="A2919" t="s">
        <v>2999</v>
      </c>
      <c r="B2919" s="1">
        <v>46354</v>
      </c>
      <c r="C2919" t="str">
        <f>TEXT(tblData[[#This Row],[Rental Date]],"mmm")</f>
        <v>Nov</v>
      </c>
      <c r="D2919" t="str">
        <f>TEXT(tblData[[#This Row],[Rental Date]],"mmmm")</f>
        <v>November</v>
      </c>
      <c r="E2919" t="s">
        <v>56</v>
      </c>
      <c r="F2919" t="str">
        <f>TEXT(WEEKNUM(tblData[[#This Row],[Rental Date]]),"00")</f>
        <v>48</v>
      </c>
      <c r="G2919" s="1">
        <f>EOMONTH(tblData[[#This Row],[Rental Date]],0)</f>
        <v>46356</v>
      </c>
      <c r="H2919" t="s">
        <v>2441</v>
      </c>
      <c r="I2919" t="s">
        <v>39</v>
      </c>
      <c r="J2919" t="s">
        <v>49</v>
      </c>
      <c r="K2919" t="s">
        <v>92</v>
      </c>
      <c r="L2919">
        <v>1</v>
      </c>
      <c r="M2919" s="2">
        <v>82.08</v>
      </c>
      <c r="N2919" t="s">
        <v>26</v>
      </c>
      <c r="O2919" s="3">
        <v>0</v>
      </c>
      <c r="P2919" s="3">
        <v>0</v>
      </c>
      <c r="Q2919" s="2">
        <v>82.08</v>
      </c>
      <c r="R2919" t="s">
        <v>66</v>
      </c>
      <c r="S2919" t="s">
        <v>35</v>
      </c>
      <c r="T2919" t="s">
        <v>29</v>
      </c>
      <c r="U2919" t="s">
        <v>58</v>
      </c>
    </row>
    <row r="2920" spans="1:21" x14ac:dyDescent="0.35">
      <c r="A2920" t="s">
        <v>3000</v>
      </c>
      <c r="B2920" s="1">
        <v>46354</v>
      </c>
      <c r="C2920" t="str">
        <f>TEXT(tblData[[#This Row],[Rental Date]],"mmm")</f>
        <v>Nov</v>
      </c>
      <c r="D2920" t="str">
        <f>TEXT(tblData[[#This Row],[Rental Date]],"mmmm")</f>
        <v>November</v>
      </c>
      <c r="E2920" t="s">
        <v>56</v>
      </c>
      <c r="F2920" t="str">
        <f>TEXT(WEEKNUM(tblData[[#This Row],[Rental Date]]),"00")</f>
        <v>48</v>
      </c>
      <c r="G2920" s="1">
        <f>EOMONTH(tblData[[#This Row],[Rental Date]],0)</f>
        <v>46356</v>
      </c>
      <c r="H2920" t="s">
        <v>2441</v>
      </c>
      <c r="I2920" t="s">
        <v>39</v>
      </c>
      <c r="J2920" t="s">
        <v>44</v>
      </c>
      <c r="K2920" t="s">
        <v>60</v>
      </c>
      <c r="L2920">
        <v>1</v>
      </c>
      <c r="M2920" s="2">
        <v>36.72</v>
      </c>
      <c r="N2920" t="s">
        <v>26</v>
      </c>
      <c r="O2920" s="3">
        <v>0</v>
      </c>
      <c r="P2920" s="3">
        <v>0</v>
      </c>
      <c r="Q2920" s="2">
        <v>36.72</v>
      </c>
      <c r="R2920" t="s">
        <v>71</v>
      </c>
      <c r="S2920" t="s">
        <v>28</v>
      </c>
      <c r="T2920" t="s">
        <v>51</v>
      </c>
      <c r="U2920" t="s">
        <v>30</v>
      </c>
    </row>
    <row r="2921" spans="1:21" x14ac:dyDescent="0.35">
      <c r="A2921" t="s">
        <v>3001</v>
      </c>
      <c r="B2921" s="1">
        <v>46355</v>
      </c>
      <c r="C2921" t="str">
        <f>TEXT(tblData[[#This Row],[Rental Date]],"mmm")</f>
        <v>Nov</v>
      </c>
      <c r="D2921" t="str">
        <f>TEXT(tblData[[#This Row],[Rental Date]],"mmmm")</f>
        <v>November</v>
      </c>
      <c r="E2921" t="s">
        <v>68</v>
      </c>
      <c r="F2921" t="str">
        <f>TEXT(WEEKNUM(tblData[[#This Row],[Rental Date]]),"00")</f>
        <v>49</v>
      </c>
      <c r="G2921" s="1">
        <f>EOMONTH(tblData[[#This Row],[Rental Date]],0)</f>
        <v>46356</v>
      </c>
      <c r="H2921" t="s">
        <v>2441</v>
      </c>
      <c r="I2921" t="s">
        <v>23</v>
      </c>
      <c r="J2921" t="s">
        <v>78</v>
      </c>
      <c r="K2921" t="s">
        <v>60</v>
      </c>
      <c r="L2921">
        <v>1</v>
      </c>
      <c r="M2921" s="2">
        <v>28.08</v>
      </c>
      <c r="N2921" t="s">
        <v>87</v>
      </c>
      <c r="O2921" s="3">
        <v>10</v>
      </c>
      <c r="P2921" s="3">
        <v>0</v>
      </c>
      <c r="Q2921" s="2">
        <v>38.08</v>
      </c>
      <c r="R2921" t="s">
        <v>42</v>
      </c>
      <c r="S2921" t="s">
        <v>35</v>
      </c>
      <c r="T2921" t="s">
        <v>29</v>
      </c>
      <c r="U2921" t="s">
        <v>30</v>
      </c>
    </row>
    <row r="2922" spans="1:21" x14ac:dyDescent="0.35">
      <c r="A2922" t="s">
        <v>3002</v>
      </c>
      <c r="B2922" s="1">
        <v>46355</v>
      </c>
      <c r="C2922" t="str">
        <f>TEXT(tblData[[#This Row],[Rental Date]],"mmm")</f>
        <v>Nov</v>
      </c>
      <c r="D2922" t="str">
        <f>TEXT(tblData[[#This Row],[Rental Date]],"mmmm")</f>
        <v>November</v>
      </c>
      <c r="E2922" t="s">
        <v>68</v>
      </c>
      <c r="F2922" t="str">
        <f>TEXT(WEEKNUM(tblData[[#This Row],[Rental Date]]),"00")</f>
        <v>49</v>
      </c>
      <c r="G2922" s="1">
        <f>EOMONTH(tblData[[#This Row],[Rental Date]],0)</f>
        <v>46356</v>
      </c>
      <c r="H2922" t="s">
        <v>2441</v>
      </c>
      <c r="I2922" t="s">
        <v>39</v>
      </c>
      <c r="J2922" t="s">
        <v>78</v>
      </c>
      <c r="K2922" t="s">
        <v>25</v>
      </c>
      <c r="L2922">
        <v>1</v>
      </c>
      <c r="M2922" s="2">
        <v>45.36</v>
      </c>
      <c r="N2922" t="s">
        <v>26</v>
      </c>
      <c r="O2922" s="3">
        <v>0</v>
      </c>
      <c r="P2922" s="3">
        <v>0</v>
      </c>
      <c r="Q2922" s="2">
        <v>45.36</v>
      </c>
      <c r="R2922" t="s">
        <v>71</v>
      </c>
      <c r="S2922" t="s">
        <v>46</v>
      </c>
      <c r="T2922" t="s">
        <v>63</v>
      </c>
      <c r="U2922" t="s">
        <v>58</v>
      </c>
    </row>
    <row r="2923" spans="1:21" x14ac:dyDescent="0.35">
      <c r="A2923" t="s">
        <v>3003</v>
      </c>
      <c r="B2923" s="1">
        <v>46356</v>
      </c>
      <c r="C2923" t="str">
        <f>TEXT(tblData[[#This Row],[Rental Date]],"mmm")</f>
        <v>Nov</v>
      </c>
      <c r="D2923" t="str">
        <f>TEXT(tblData[[#This Row],[Rental Date]],"mmmm")</f>
        <v>November</v>
      </c>
      <c r="E2923" t="s">
        <v>74</v>
      </c>
      <c r="F2923" t="str">
        <f>TEXT(WEEKNUM(tblData[[#This Row],[Rental Date]]),"00")</f>
        <v>49</v>
      </c>
      <c r="G2923" s="1">
        <f>EOMONTH(tblData[[#This Row],[Rental Date]],0)</f>
        <v>46356</v>
      </c>
      <c r="H2923" t="s">
        <v>2441</v>
      </c>
      <c r="I2923" t="s">
        <v>23</v>
      </c>
      <c r="J2923" t="s">
        <v>33</v>
      </c>
      <c r="K2923" t="s">
        <v>25</v>
      </c>
      <c r="L2923">
        <v>1</v>
      </c>
      <c r="M2923" s="2">
        <v>38</v>
      </c>
      <c r="N2923" t="s">
        <v>61</v>
      </c>
      <c r="O2923" s="3">
        <v>8</v>
      </c>
      <c r="P2923" s="3">
        <v>0</v>
      </c>
      <c r="Q2923" s="2">
        <v>46</v>
      </c>
      <c r="R2923" t="s">
        <v>62</v>
      </c>
      <c r="S2923" t="s">
        <v>46</v>
      </c>
      <c r="T2923" t="s">
        <v>63</v>
      </c>
      <c r="U2923" t="s">
        <v>30</v>
      </c>
    </row>
    <row r="2924" spans="1:21" x14ac:dyDescent="0.35">
      <c r="A2924" t="s">
        <v>3004</v>
      </c>
      <c r="B2924" s="1">
        <v>46357</v>
      </c>
      <c r="C2924" t="str">
        <f>TEXT(tblData[[#This Row],[Rental Date]],"mmm")</f>
        <v>Dec</v>
      </c>
      <c r="D2924" t="str">
        <f>TEXT(tblData[[#This Row],[Rental Date]],"mmmm")</f>
        <v>December</v>
      </c>
      <c r="E2924" t="s">
        <v>102</v>
      </c>
      <c r="F2924" t="str">
        <f>TEXT(WEEKNUM(tblData[[#This Row],[Rental Date]]),"00")</f>
        <v>49</v>
      </c>
      <c r="G2924" s="1">
        <f>EOMONTH(tblData[[#This Row],[Rental Date]],0)</f>
        <v>46387</v>
      </c>
      <c r="H2924" t="s">
        <v>22</v>
      </c>
      <c r="I2924" t="s">
        <v>48</v>
      </c>
      <c r="J2924" t="s">
        <v>65</v>
      </c>
      <c r="K2924" t="s">
        <v>60</v>
      </c>
      <c r="L2924">
        <v>1</v>
      </c>
      <c r="M2924" s="2">
        <v>12</v>
      </c>
      <c r="N2924" t="s">
        <v>26</v>
      </c>
      <c r="O2924" s="3">
        <v>0</v>
      </c>
      <c r="P2924" s="3">
        <v>0</v>
      </c>
      <c r="Q2924" s="2">
        <v>12</v>
      </c>
      <c r="R2924" t="s">
        <v>34</v>
      </c>
      <c r="S2924" t="s">
        <v>46</v>
      </c>
      <c r="T2924" t="s">
        <v>83</v>
      </c>
      <c r="U2924" t="s">
        <v>79</v>
      </c>
    </row>
    <row r="2925" spans="1:21" x14ac:dyDescent="0.35">
      <c r="A2925" t="s">
        <v>3005</v>
      </c>
      <c r="B2925" s="1">
        <v>46357</v>
      </c>
      <c r="C2925" t="str">
        <f>TEXT(tblData[[#This Row],[Rental Date]],"mmm")</f>
        <v>Dec</v>
      </c>
      <c r="D2925" t="str">
        <f>TEXT(tblData[[#This Row],[Rental Date]],"mmmm")</f>
        <v>December</v>
      </c>
      <c r="E2925" t="s">
        <v>102</v>
      </c>
      <c r="F2925" t="str">
        <f>TEXT(WEEKNUM(tblData[[#This Row],[Rental Date]]),"00")</f>
        <v>49</v>
      </c>
      <c r="G2925" s="1">
        <f>EOMONTH(tblData[[#This Row],[Rental Date]],0)</f>
        <v>46387</v>
      </c>
      <c r="H2925" t="s">
        <v>22</v>
      </c>
      <c r="I2925" t="s">
        <v>39</v>
      </c>
      <c r="J2925" t="s">
        <v>24</v>
      </c>
      <c r="K2925" t="s">
        <v>92</v>
      </c>
      <c r="L2925">
        <v>1</v>
      </c>
      <c r="M2925" s="2">
        <v>110</v>
      </c>
      <c r="N2925" t="s">
        <v>26</v>
      </c>
      <c r="O2925" s="3">
        <v>0</v>
      </c>
      <c r="P2925" s="3">
        <v>0</v>
      </c>
      <c r="Q2925" s="2">
        <v>110</v>
      </c>
      <c r="R2925" t="s">
        <v>42</v>
      </c>
      <c r="S2925" t="s">
        <v>50</v>
      </c>
      <c r="T2925" t="s">
        <v>51</v>
      </c>
      <c r="U2925" t="s">
        <v>36</v>
      </c>
    </row>
    <row r="2926" spans="1:21" x14ac:dyDescent="0.35">
      <c r="A2926" t="s">
        <v>3006</v>
      </c>
      <c r="B2926" s="1">
        <v>46357</v>
      </c>
      <c r="C2926" t="str">
        <f>TEXT(tblData[[#This Row],[Rental Date]],"mmm")</f>
        <v>Dec</v>
      </c>
      <c r="D2926" t="str">
        <f>TEXT(tblData[[#This Row],[Rental Date]],"mmmm")</f>
        <v>December</v>
      </c>
      <c r="E2926" t="s">
        <v>102</v>
      </c>
      <c r="F2926" t="str">
        <f>TEXT(WEEKNUM(tblData[[#This Row],[Rental Date]]),"00")</f>
        <v>49</v>
      </c>
      <c r="G2926" s="1">
        <f>EOMONTH(tblData[[#This Row],[Rental Date]],0)</f>
        <v>46387</v>
      </c>
      <c r="H2926" t="s">
        <v>22</v>
      </c>
      <c r="I2926" t="s">
        <v>39</v>
      </c>
      <c r="J2926" t="s">
        <v>78</v>
      </c>
      <c r="K2926" t="s">
        <v>25</v>
      </c>
      <c r="L2926">
        <v>1</v>
      </c>
      <c r="M2926" s="2">
        <v>42</v>
      </c>
      <c r="N2926" t="s">
        <v>87</v>
      </c>
      <c r="O2926" s="3">
        <v>10</v>
      </c>
      <c r="P2926" s="3">
        <v>0</v>
      </c>
      <c r="Q2926" s="2">
        <v>52</v>
      </c>
      <c r="R2926" t="s">
        <v>76</v>
      </c>
      <c r="S2926" t="s">
        <v>46</v>
      </c>
      <c r="T2926" t="s">
        <v>51</v>
      </c>
      <c r="U2926" t="s">
        <v>79</v>
      </c>
    </row>
    <row r="2927" spans="1:21" x14ac:dyDescent="0.35">
      <c r="A2927" t="s">
        <v>3007</v>
      </c>
      <c r="B2927" s="1">
        <v>46358</v>
      </c>
      <c r="C2927" t="str">
        <f>TEXT(tblData[[#This Row],[Rental Date]],"mmm")</f>
        <v>Dec</v>
      </c>
      <c r="D2927" t="str">
        <f>TEXT(tblData[[#This Row],[Rental Date]],"mmmm")</f>
        <v>December</v>
      </c>
      <c r="E2927" t="s">
        <v>109</v>
      </c>
      <c r="F2927" t="str">
        <f>TEXT(WEEKNUM(tblData[[#This Row],[Rental Date]]),"00")</f>
        <v>49</v>
      </c>
      <c r="G2927" s="1">
        <f>EOMONTH(tblData[[#This Row],[Rental Date]],0)</f>
        <v>46387</v>
      </c>
      <c r="H2927" t="s">
        <v>22</v>
      </c>
      <c r="I2927" t="s">
        <v>39</v>
      </c>
      <c r="J2927" t="s">
        <v>127</v>
      </c>
      <c r="K2927" t="s">
        <v>25</v>
      </c>
      <c r="L2927">
        <v>1</v>
      </c>
      <c r="M2927" s="2">
        <v>16</v>
      </c>
      <c r="N2927" t="s">
        <v>26</v>
      </c>
      <c r="O2927" s="3">
        <v>0</v>
      </c>
      <c r="P2927" s="3">
        <v>0</v>
      </c>
      <c r="Q2927" s="2">
        <v>16</v>
      </c>
      <c r="R2927" t="s">
        <v>42</v>
      </c>
      <c r="S2927" t="s">
        <v>28</v>
      </c>
      <c r="T2927" t="s">
        <v>63</v>
      </c>
      <c r="U2927" t="s">
        <v>58</v>
      </c>
    </row>
    <row r="2928" spans="1:21" x14ac:dyDescent="0.35">
      <c r="A2928" t="s">
        <v>3008</v>
      </c>
      <c r="B2928" s="1">
        <v>46358</v>
      </c>
      <c r="C2928" t="str">
        <f>TEXT(tblData[[#This Row],[Rental Date]],"mmm")</f>
        <v>Dec</v>
      </c>
      <c r="D2928" t="str">
        <f>TEXT(tblData[[#This Row],[Rental Date]],"mmmm")</f>
        <v>December</v>
      </c>
      <c r="E2928" t="s">
        <v>109</v>
      </c>
      <c r="F2928" t="str">
        <f>TEXT(WEEKNUM(tblData[[#This Row],[Rental Date]]),"00")</f>
        <v>49</v>
      </c>
      <c r="G2928" s="1">
        <f>EOMONTH(tblData[[#This Row],[Rental Date]],0)</f>
        <v>46387</v>
      </c>
      <c r="H2928" t="s">
        <v>22</v>
      </c>
      <c r="I2928" t="s">
        <v>23</v>
      </c>
      <c r="J2928" t="s">
        <v>65</v>
      </c>
      <c r="K2928" t="s">
        <v>60</v>
      </c>
      <c r="L2928">
        <v>1</v>
      </c>
      <c r="M2928" s="2">
        <v>12</v>
      </c>
      <c r="N2928" t="s">
        <v>41</v>
      </c>
      <c r="O2928" s="3">
        <v>5</v>
      </c>
      <c r="P2928" s="3">
        <v>0</v>
      </c>
      <c r="Q2928" s="2">
        <v>17</v>
      </c>
      <c r="R2928" t="s">
        <v>76</v>
      </c>
      <c r="S2928" t="s">
        <v>28</v>
      </c>
      <c r="T2928" t="s">
        <v>51</v>
      </c>
      <c r="U2928" t="s">
        <v>30</v>
      </c>
    </row>
    <row r="2929" spans="1:21" x14ac:dyDescent="0.35">
      <c r="A2929" t="s">
        <v>3009</v>
      </c>
      <c r="B2929" s="1">
        <v>46360</v>
      </c>
      <c r="C2929" t="str">
        <f>TEXT(tblData[[#This Row],[Rental Date]],"mmm")</f>
        <v>Dec</v>
      </c>
      <c r="D2929" t="str">
        <f>TEXT(tblData[[#This Row],[Rental Date]],"mmmm")</f>
        <v>December</v>
      </c>
      <c r="E2929" t="s">
        <v>38</v>
      </c>
      <c r="F2929" t="str">
        <f>TEXT(WEEKNUM(tblData[[#This Row],[Rental Date]]),"00")</f>
        <v>49</v>
      </c>
      <c r="G2929" s="1">
        <f>EOMONTH(tblData[[#This Row],[Rental Date]],0)</f>
        <v>46387</v>
      </c>
      <c r="H2929" t="s">
        <v>22</v>
      </c>
      <c r="I2929" t="s">
        <v>39</v>
      </c>
      <c r="J2929" t="s">
        <v>49</v>
      </c>
      <c r="K2929" t="s">
        <v>92</v>
      </c>
      <c r="L2929">
        <v>1</v>
      </c>
      <c r="M2929" s="2">
        <v>76</v>
      </c>
      <c r="N2929" t="s">
        <v>26</v>
      </c>
      <c r="O2929" s="3">
        <v>0</v>
      </c>
      <c r="P2929" s="3">
        <v>0</v>
      </c>
      <c r="Q2929" s="2">
        <v>76</v>
      </c>
      <c r="R2929" t="s">
        <v>27</v>
      </c>
      <c r="S2929" t="s">
        <v>46</v>
      </c>
      <c r="T2929" t="s">
        <v>51</v>
      </c>
      <c r="U2929" t="s">
        <v>30</v>
      </c>
    </row>
    <row r="2930" spans="1:21" x14ac:dyDescent="0.35">
      <c r="A2930" t="s">
        <v>3010</v>
      </c>
      <c r="B2930" s="1">
        <v>46360</v>
      </c>
      <c r="C2930" t="str">
        <f>TEXT(tblData[[#This Row],[Rental Date]],"mmm")</f>
        <v>Dec</v>
      </c>
      <c r="D2930" t="str">
        <f>TEXT(tblData[[#This Row],[Rental Date]],"mmmm")</f>
        <v>December</v>
      </c>
      <c r="E2930" t="s">
        <v>38</v>
      </c>
      <c r="F2930" t="str">
        <f>TEXT(WEEKNUM(tblData[[#This Row],[Rental Date]]),"00")</f>
        <v>49</v>
      </c>
      <c r="G2930" s="1">
        <f>EOMONTH(tblData[[#This Row],[Rental Date]],0)</f>
        <v>46387</v>
      </c>
      <c r="H2930" t="s">
        <v>22</v>
      </c>
      <c r="I2930" t="s">
        <v>39</v>
      </c>
      <c r="J2930" t="s">
        <v>78</v>
      </c>
      <c r="K2930" t="s">
        <v>40</v>
      </c>
      <c r="L2930">
        <v>1</v>
      </c>
      <c r="M2930" s="2">
        <v>62</v>
      </c>
      <c r="N2930" t="s">
        <v>26</v>
      </c>
      <c r="O2930" s="3">
        <v>0</v>
      </c>
      <c r="P2930" s="3">
        <v>0</v>
      </c>
      <c r="Q2930" s="2">
        <v>62</v>
      </c>
      <c r="R2930" t="s">
        <v>45</v>
      </c>
      <c r="S2930" t="s">
        <v>54</v>
      </c>
      <c r="T2930" t="s">
        <v>29</v>
      </c>
      <c r="U2930" t="s">
        <v>58</v>
      </c>
    </row>
    <row r="2931" spans="1:21" x14ac:dyDescent="0.35">
      <c r="A2931" t="s">
        <v>3011</v>
      </c>
      <c r="B2931" s="1">
        <v>46360</v>
      </c>
      <c r="C2931" t="str">
        <f>TEXT(tblData[[#This Row],[Rental Date]],"mmm")</f>
        <v>Dec</v>
      </c>
      <c r="D2931" t="str">
        <f>TEXT(tblData[[#This Row],[Rental Date]],"mmmm")</f>
        <v>December</v>
      </c>
      <c r="E2931" t="s">
        <v>38</v>
      </c>
      <c r="F2931" t="str">
        <f>TEXT(WEEKNUM(tblData[[#This Row],[Rental Date]]),"00")</f>
        <v>49</v>
      </c>
      <c r="G2931" s="1">
        <f>EOMONTH(tblData[[#This Row],[Rental Date]],0)</f>
        <v>46387</v>
      </c>
      <c r="H2931" t="s">
        <v>22</v>
      </c>
      <c r="I2931" t="s">
        <v>48</v>
      </c>
      <c r="J2931" t="s">
        <v>49</v>
      </c>
      <c r="K2931" t="s">
        <v>60</v>
      </c>
      <c r="L2931">
        <v>1</v>
      </c>
      <c r="M2931" s="2">
        <v>22</v>
      </c>
      <c r="N2931" t="s">
        <v>70</v>
      </c>
      <c r="O2931" s="3">
        <v>7</v>
      </c>
      <c r="P2931" s="3">
        <v>1.45</v>
      </c>
      <c r="Q2931" s="2">
        <v>27.55</v>
      </c>
      <c r="R2931" t="s">
        <v>27</v>
      </c>
      <c r="S2931" t="s">
        <v>46</v>
      </c>
      <c r="T2931" t="s">
        <v>51</v>
      </c>
      <c r="U2931" t="s">
        <v>30</v>
      </c>
    </row>
    <row r="2932" spans="1:21" x14ac:dyDescent="0.35">
      <c r="A2932" t="s">
        <v>3012</v>
      </c>
      <c r="B2932" s="1">
        <v>46361</v>
      </c>
      <c r="C2932" t="str">
        <f>TEXT(tblData[[#This Row],[Rental Date]],"mmm")</f>
        <v>Dec</v>
      </c>
      <c r="D2932" t="str">
        <f>TEXT(tblData[[#This Row],[Rental Date]],"mmmm")</f>
        <v>December</v>
      </c>
      <c r="E2932" t="s">
        <v>56</v>
      </c>
      <c r="F2932" t="str">
        <f>TEXT(WEEKNUM(tblData[[#This Row],[Rental Date]]),"00")</f>
        <v>49</v>
      </c>
      <c r="G2932" s="1">
        <f>EOMONTH(tblData[[#This Row],[Rental Date]],0)</f>
        <v>46387</v>
      </c>
      <c r="H2932" t="s">
        <v>22</v>
      </c>
      <c r="I2932" t="s">
        <v>39</v>
      </c>
      <c r="J2932" t="s">
        <v>33</v>
      </c>
      <c r="K2932" t="s">
        <v>40</v>
      </c>
      <c r="L2932">
        <v>1</v>
      </c>
      <c r="M2932" s="2">
        <v>62.64</v>
      </c>
      <c r="N2932" t="s">
        <v>26</v>
      </c>
      <c r="O2932" s="3">
        <v>0</v>
      </c>
      <c r="P2932" s="3">
        <v>0</v>
      </c>
      <c r="Q2932" s="2">
        <v>62.64</v>
      </c>
      <c r="R2932" t="s">
        <v>57</v>
      </c>
      <c r="S2932" t="s">
        <v>46</v>
      </c>
      <c r="T2932" t="s">
        <v>29</v>
      </c>
      <c r="U2932" t="s">
        <v>58</v>
      </c>
    </row>
    <row r="2933" spans="1:21" x14ac:dyDescent="0.35">
      <c r="A2933" t="s">
        <v>3013</v>
      </c>
      <c r="B2933" s="1">
        <v>46361</v>
      </c>
      <c r="C2933" t="str">
        <f>TEXT(tblData[[#This Row],[Rental Date]],"mmm")</f>
        <v>Dec</v>
      </c>
      <c r="D2933" t="str">
        <f>TEXT(tblData[[#This Row],[Rental Date]],"mmmm")</f>
        <v>December</v>
      </c>
      <c r="E2933" t="s">
        <v>56</v>
      </c>
      <c r="F2933" t="str">
        <f>TEXT(WEEKNUM(tblData[[#This Row],[Rental Date]]),"00")</f>
        <v>49</v>
      </c>
      <c r="G2933" s="1">
        <f>EOMONTH(tblData[[#This Row],[Rental Date]],0)</f>
        <v>46387</v>
      </c>
      <c r="H2933" t="s">
        <v>22</v>
      </c>
      <c r="I2933" t="s">
        <v>32</v>
      </c>
      <c r="J2933" t="s">
        <v>111</v>
      </c>
      <c r="K2933" t="s">
        <v>60</v>
      </c>
      <c r="L2933">
        <v>1</v>
      </c>
      <c r="M2933" s="2">
        <v>15.12</v>
      </c>
      <c r="N2933" t="s">
        <v>61</v>
      </c>
      <c r="O2933" s="3">
        <v>8</v>
      </c>
      <c r="P2933" s="3">
        <v>0</v>
      </c>
      <c r="Q2933" s="2">
        <v>23.12</v>
      </c>
      <c r="R2933" t="s">
        <v>62</v>
      </c>
      <c r="S2933" t="s">
        <v>35</v>
      </c>
      <c r="T2933" t="s">
        <v>90</v>
      </c>
      <c r="U2933" t="s">
        <v>30</v>
      </c>
    </row>
    <row r="2934" spans="1:21" x14ac:dyDescent="0.35">
      <c r="A2934" t="s">
        <v>3014</v>
      </c>
      <c r="B2934" s="1">
        <v>46361</v>
      </c>
      <c r="C2934" t="str">
        <f>TEXT(tblData[[#This Row],[Rental Date]],"mmm")</f>
        <v>Dec</v>
      </c>
      <c r="D2934" t="str">
        <f>TEXT(tblData[[#This Row],[Rental Date]],"mmmm")</f>
        <v>December</v>
      </c>
      <c r="E2934" t="s">
        <v>56</v>
      </c>
      <c r="F2934" t="str">
        <f>TEXT(WEEKNUM(tblData[[#This Row],[Rental Date]]),"00")</f>
        <v>49</v>
      </c>
      <c r="G2934" s="1">
        <f>EOMONTH(tblData[[#This Row],[Rental Date]],0)</f>
        <v>46387</v>
      </c>
      <c r="H2934" t="s">
        <v>22</v>
      </c>
      <c r="I2934" t="s">
        <v>32</v>
      </c>
      <c r="J2934" t="s">
        <v>44</v>
      </c>
      <c r="K2934" t="s">
        <v>25</v>
      </c>
      <c r="L2934">
        <v>1</v>
      </c>
      <c r="M2934" s="2">
        <v>56.16</v>
      </c>
      <c r="N2934" t="s">
        <v>26</v>
      </c>
      <c r="O2934" s="3">
        <v>0</v>
      </c>
      <c r="P2934" s="3">
        <v>2.81</v>
      </c>
      <c r="Q2934" s="2">
        <v>53.35</v>
      </c>
      <c r="R2934" t="s">
        <v>42</v>
      </c>
      <c r="S2934" t="s">
        <v>46</v>
      </c>
      <c r="T2934" t="s">
        <v>51</v>
      </c>
      <c r="U2934" t="s">
        <v>58</v>
      </c>
    </row>
    <row r="2935" spans="1:21" x14ac:dyDescent="0.35">
      <c r="A2935" t="s">
        <v>3015</v>
      </c>
      <c r="B2935" s="1">
        <v>46361</v>
      </c>
      <c r="C2935" t="str">
        <f>TEXT(tblData[[#This Row],[Rental Date]],"mmm")</f>
        <v>Dec</v>
      </c>
      <c r="D2935" t="str">
        <f>TEXT(tblData[[#This Row],[Rental Date]],"mmmm")</f>
        <v>December</v>
      </c>
      <c r="E2935" t="s">
        <v>56</v>
      </c>
      <c r="F2935" t="str">
        <f>TEXT(WEEKNUM(tblData[[#This Row],[Rental Date]]),"00")</f>
        <v>49</v>
      </c>
      <c r="G2935" s="1">
        <f>EOMONTH(tblData[[#This Row],[Rental Date]],0)</f>
        <v>46387</v>
      </c>
      <c r="H2935" t="s">
        <v>22</v>
      </c>
      <c r="I2935" t="s">
        <v>48</v>
      </c>
      <c r="J2935" t="s">
        <v>33</v>
      </c>
      <c r="K2935" t="s">
        <v>40</v>
      </c>
      <c r="L2935">
        <v>1</v>
      </c>
      <c r="M2935" s="2">
        <v>62.64</v>
      </c>
      <c r="N2935" t="s">
        <v>26</v>
      </c>
      <c r="O2935" s="3">
        <v>0</v>
      </c>
      <c r="P2935" s="3">
        <v>0</v>
      </c>
      <c r="Q2935" s="2">
        <v>62.64</v>
      </c>
      <c r="R2935" t="s">
        <v>34</v>
      </c>
      <c r="S2935" t="s">
        <v>50</v>
      </c>
      <c r="T2935" t="s">
        <v>29</v>
      </c>
      <c r="U2935" t="s">
        <v>58</v>
      </c>
    </row>
    <row r="2936" spans="1:21" x14ac:dyDescent="0.35">
      <c r="A2936" t="s">
        <v>3016</v>
      </c>
      <c r="B2936" s="1">
        <v>46361</v>
      </c>
      <c r="C2936" t="str">
        <f>TEXT(tblData[[#This Row],[Rental Date]],"mmm")</f>
        <v>Dec</v>
      </c>
      <c r="D2936" t="str">
        <f>TEXT(tblData[[#This Row],[Rental Date]],"mmmm")</f>
        <v>December</v>
      </c>
      <c r="E2936" t="s">
        <v>56</v>
      </c>
      <c r="F2936" t="str">
        <f>TEXT(WEEKNUM(tblData[[#This Row],[Rental Date]]),"00")</f>
        <v>49</v>
      </c>
      <c r="G2936" s="1">
        <f>EOMONTH(tblData[[#This Row],[Rental Date]],0)</f>
        <v>46387</v>
      </c>
      <c r="H2936" t="s">
        <v>22</v>
      </c>
      <c r="I2936" t="s">
        <v>48</v>
      </c>
      <c r="J2936" t="s">
        <v>49</v>
      </c>
      <c r="K2936" t="s">
        <v>92</v>
      </c>
      <c r="L2936">
        <v>1</v>
      </c>
      <c r="M2936" s="2">
        <v>82.08</v>
      </c>
      <c r="N2936" t="s">
        <v>89</v>
      </c>
      <c r="O2936" s="3">
        <v>6</v>
      </c>
      <c r="P2936" s="3">
        <v>0</v>
      </c>
      <c r="Q2936" s="2">
        <v>88.08</v>
      </c>
      <c r="R2936" t="s">
        <v>34</v>
      </c>
      <c r="S2936" t="s">
        <v>28</v>
      </c>
      <c r="T2936" t="s">
        <v>83</v>
      </c>
      <c r="U2936" t="s">
        <v>30</v>
      </c>
    </row>
    <row r="2937" spans="1:21" x14ac:dyDescent="0.35">
      <c r="A2937" t="s">
        <v>3017</v>
      </c>
      <c r="B2937" s="1">
        <v>46362</v>
      </c>
      <c r="C2937" t="str">
        <f>TEXT(tblData[[#This Row],[Rental Date]],"mmm")</f>
        <v>Dec</v>
      </c>
      <c r="D2937" t="str">
        <f>TEXT(tblData[[#This Row],[Rental Date]],"mmmm")</f>
        <v>December</v>
      </c>
      <c r="E2937" t="s">
        <v>68</v>
      </c>
      <c r="F2937" t="str">
        <f>TEXT(WEEKNUM(tblData[[#This Row],[Rental Date]]),"00")</f>
        <v>50</v>
      </c>
      <c r="G2937" s="1">
        <f>EOMONTH(tblData[[#This Row],[Rental Date]],0)</f>
        <v>46387</v>
      </c>
      <c r="H2937" t="s">
        <v>22</v>
      </c>
      <c r="I2937" t="s">
        <v>48</v>
      </c>
      <c r="J2937" t="s">
        <v>78</v>
      </c>
      <c r="K2937" t="s">
        <v>92</v>
      </c>
      <c r="L2937">
        <v>1</v>
      </c>
      <c r="M2937" s="2">
        <v>95.04</v>
      </c>
      <c r="N2937" t="s">
        <v>41</v>
      </c>
      <c r="O2937" s="3">
        <v>5</v>
      </c>
      <c r="P2937" s="3">
        <v>0</v>
      </c>
      <c r="Q2937" s="2">
        <v>100.04</v>
      </c>
      <c r="R2937" t="s">
        <v>76</v>
      </c>
      <c r="S2937" t="s">
        <v>35</v>
      </c>
      <c r="T2937" t="s">
        <v>29</v>
      </c>
      <c r="U2937" t="s">
        <v>30</v>
      </c>
    </row>
    <row r="2938" spans="1:21" x14ac:dyDescent="0.35">
      <c r="A2938" t="s">
        <v>3018</v>
      </c>
      <c r="B2938" s="1">
        <v>46362</v>
      </c>
      <c r="C2938" t="str">
        <f>TEXT(tblData[[#This Row],[Rental Date]],"mmm")</f>
        <v>Dec</v>
      </c>
      <c r="D2938" t="str">
        <f>TEXT(tblData[[#This Row],[Rental Date]],"mmmm")</f>
        <v>December</v>
      </c>
      <c r="E2938" t="s">
        <v>68</v>
      </c>
      <c r="F2938" t="str">
        <f>TEXT(WEEKNUM(tblData[[#This Row],[Rental Date]]),"00")</f>
        <v>50</v>
      </c>
      <c r="G2938" s="1">
        <f>EOMONTH(tblData[[#This Row],[Rental Date]],0)</f>
        <v>46387</v>
      </c>
      <c r="H2938" t="s">
        <v>22</v>
      </c>
      <c r="I2938" t="s">
        <v>32</v>
      </c>
      <c r="J2938" t="s">
        <v>78</v>
      </c>
      <c r="K2938" t="s">
        <v>92</v>
      </c>
      <c r="L2938">
        <v>1</v>
      </c>
      <c r="M2938" s="2">
        <v>95.04</v>
      </c>
      <c r="N2938" t="s">
        <v>87</v>
      </c>
      <c r="O2938" s="3">
        <v>10</v>
      </c>
      <c r="P2938" s="3">
        <v>10.5</v>
      </c>
      <c r="Q2938" s="2">
        <v>94.54</v>
      </c>
      <c r="R2938" t="s">
        <v>45</v>
      </c>
      <c r="S2938" t="s">
        <v>28</v>
      </c>
      <c r="T2938" t="s">
        <v>90</v>
      </c>
      <c r="U2938" t="s">
        <v>58</v>
      </c>
    </row>
    <row r="2939" spans="1:21" x14ac:dyDescent="0.35">
      <c r="A2939" t="s">
        <v>3019</v>
      </c>
      <c r="B2939" s="1">
        <v>46363</v>
      </c>
      <c r="C2939" t="str">
        <f>TEXT(tblData[[#This Row],[Rental Date]],"mmm")</f>
        <v>Dec</v>
      </c>
      <c r="D2939" t="str">
        <f>TEXT(tblData[[#This Row],[Rental Date]],"mmmm")</f>
        <v>December</v>
      </c>
      <c r="E2939" t="s">
        <v>74</v>
      </c>
      <c r="F2939" t="str">
        <f>TEXT(WEEKNUM(tblData[[#This Row],[Rental Date]]),"00")</f>
        <v>50</v>
      </c>
      <c r="G2939" s="1">
        <f>EOMONTH(tblData[[#This Row],[Rental Date]],0)</f>
        <v>46387</v>
      </c>
      <c r="H2939" t="s">
        <v>22</v>
      </c>
      <c r="I2939" t="s">
        <v>32</v>
      </c>
      <c r="J2939" t="s">
        <v>33</v>
      </c>
      <c r="K2939" t="s">
        <v>40</v>
      </c>
      <c r="L2939">
        <v>1</v>
      </c>
      <c r="M2939" s="2">
        <v>58</v>
      </c>
      <c r="N2939" t="s">
        <v>26</v>
      </c>
      <c r="O2939" s="3">
        <v>0</v>
      </c>
      <c r="P2939" s="3">
        <v>0</v>
      </c>
      <c r="Q2939" s="2">
        <v>58</v>
      </c>
      <c r="R2939" t="s">
        <v>66</v>
      </c>
      <c r="S2939" t="s">
        <v>50</v>
      </c>
      <c r="T2939" t="s">
        <v>51</v>
      </c>
      <c r="U2939" t="s">
        <v>58</v>
      </c>
    </row>
    <row r="2940" spans="1:21" x14ac:dyDescent="0.35">
      <c r="A2940" t="s">
        <v>3020</v>
      </c>
      <c r="B2940" s="1">
        <v>46363</v>
      </c>
      <c r="C2940" t="str">
        <f>TEXT(tblData[[#This Row],[Rental Date]],"mmm")</f>
        <v>Dec</v>
      </c>
      <c r="D2940" t="str">
        <f>TEXT(tblData[[#This Row],[Rental Date]],"mmmm")</f>
        <v>December</v>
      </c>
      <c r="E2940" t="s">
        <v>74</v>
      </c>
      <c r="F2940" t="str">
        <f>TEXT(WEEKNUM(tblData[[#This Row],[Rental Date]]),"00")</f>
        <v>50</v>
      </c>
      <c r="G2940" s="1">
        <f>EOMONTH(tblData[[#This Row],[Rental Date]],0)</f>
        <v>46387</v>
      </c>
      <c r="H2940" t="s">
        <v>22</v>
      </c>
      <c r="I2940" t="s">
        <v>39</v>
      </c>
      <c r="J2940" t="s">
        <v>138</v>
      </c>
      <c r="K2940" t="s">
        <v>60</v>
      </c>
      <c r="L2940">
        <v>1</v>
      </c>
      <c r="M2940" s="2">
        <v>30</v>
      </c>
      <c r="N2940" t="s">
        <v>26</v>
      </c>
      <c r="O2940" s="3">
        <v>0</v>
      </c>
      <c r="P2940" s="3">
        <v>0</v>
      </c>
      <c r="Q2940" s="2">
        <v>30</v>
      </c>
      <c r="R2940" t="s">
        <v>76</v>
      </c>
      <c r="S2940" t="s">
        <v>46</v>
      </c>
      <c r="T2940" t="s">
        <v>29</v>
      </c>
      <c r="U2940" t="s">
        <v>79</v>
      </c>
    </row>
    <row r="2941" spans="1:21" x14ac:dyDescent="0.35">
      <c r="A2941" t="s">
        <v>3021</v>
      </c>
      <c r="B2941" s="1">
        <v>46364</v>
      </c>
      <c r="C2941" t="str">
        <f>TEXT(tblData[[#This Row],[Rental Date]],"mmm")</f>
        <v>Dec</v>
      </c>
      <c r="D2941" t="str">
        <f>TEXT(tblData[[#This Row],[Rental Date]],"mmmm")</f>
        <v>December</v>
      </c>
      <c r="E2941" t="s">
        <v>102</v>
      </c>
      <c r="F2941" t="str">
        <f>TEXT(WEEKNUM(tblData[[#This Row],[Rental Date]]),"00")</f>
        <v>50</v>
      </c>
      <c r="G2941" s="1">
        <f>EOMONTH(tblData[[#This Row],[Rental Date]],0)</f>
        <v>46387</v>
      </c>
      <c r="H2941" t="s">
        <v>22</v>
      </c>
      <c r="I2941" t="s">
        <v>48</v>
      </c>
      <c r="J2941" t="s">
        <v>78</v>
      </c>
      <c r="K2941" t="s">
        <v>60</v>
      </c>
      <c r="L2941">
        <v>1</v>
      </c>
      <c r="M2941" s="2">
        <v>26</v>
      </c>
      <c r="N2941" t="s">
        <v>26</v>
      </c>
      <c r="O2941" s="3">
        <v>0</v>
      </c>
      <c r="P2941" s="3">
        <v>0</v>
      </c>
      <c r="Q2941" s="2">
        <v>26</v>
      </c>
      <c r="R2941" t="s">
        <v>62</v>
      </c>
      <c r="S2941" t="s">
        <v>46</v>
      </c>
      <c r="T2941" t="s">
        <v>51</v>
      </c>
      <c r="U2941" t="s">
        <v>30</v>
      </c>
    </row>
    <row r="2942" spans="1:21" x14ac:dyDescent="0.35">
      <c r="A2942" t="s">
        <v>3022</v>
      </c>
      <c r="B2942" s="1">
        <v>46365</v>
      </c>
      <c r="C2942" t="str">
        <f>TEXT(tblData[[#This Row],[Rental Date]],"mmm")</f>
        <v>Dec</v>
      </c>
      <c r="D2942" t="str">
        <f>TEXT(tblData[[#This Row],[Rental Date]],"mmmm")</f>
        <v>December</v>
      </c>
      <c r="E2942" t="s">
        <v>109</v>
      </c>
      <c r="F2942" t="str">
        <f>TEXT(WEEKNUM(tblData[[#This Row],[Rental Date]]),"00")</f>
        <v>50</v>
      </c>
      <c r="G2942" s="1">
        <f>EOMONTH(tblData[[#This Row],[Rental Date]],0)</f>
        <v>46387</v>
      </c>
      <c r="H2942" t="s">
        <v>22</v>
      </c>
      <c r="I2942" t="s">
        <v>48</v>
      </c>
      <c r="J2942" t="s">
        <v>111</v>
      </c>
      <c r="K2942" t="s">
        <v>60</v>
      </c>
      <c r="L2942">
        <v>1</v>
      </c>
      <c r="M2942" s="2">
        <v>14</v>
      </c>
      <c r="N2942" t="s">
        <v>89</v>
      </c>
      <c r="O2942" s="3">
        <v>6</v>
      </c>
      <c r="P2942" s="3">
        <v>0</v>
      </c>
      <c r="Q2942" s="2">
        <v>20</v>
      </c>
      <c r="R2942" t="s">
        <v>57</v>
      </c>
      <c r="S2942" t="s">
        <v>35</v>
      </c>
      <c r="T2942" t="s">
        <v>29</v>
      </c>
      <c r="U2942" t="s">
        <v>79</v>
      </c>
    </row>
    <row r="2943" spans="1:21" x14ac:dyDescent="0.35">
      <c r="A2943" t="s">
        <v>3023</v>
      </c>
      <c r="B2943" s="1">
        <v>46365</v>
      </c>
      <c r="C2943" t="str">
        <f>TEXT(tblData[[#This Row],[Rental Date]],"mmm")</f>
        <v>Dec</v>
      </c>
      <c r="D2943" t="str">
        <f>TEXT(tblData[[#This Row],[Rental Date]],"mmmm")</f>
        <v>December</v>
      </c>
      <c r="E2943" t="s">
        <v>109</v>
      </c>
      <c r="F2943" t="str">
        <f>TEXT(WEEKNUM(tblData[[#This Row],[Rental Date]]),"00")</f>
        <v>50</v>
      </c>
      <c r="G2943" s="1">
        <f>EOMONTH(tblData[[#This Row],[Rental Date]],0)</f>
        <v>46387</v>
      </c>
      <c r="H2943" t="s">
        <v>22</v>
      </c>
      <c r="I2943" t="s">
        <v>23</v>
      </c>
      <c r="J2943" t="s">
        <v>65</v>
      </c>
      <c r="K2943" t="s">
        <v>60</v>
      </c>
      <c r="L2943">
        <v>1</v>
      </c>
      <c r="M2943" s="2">
        <v>12</v>
      </c>
      <c r="N2943" t="s">
        <v>26</v>
      </c>
      <c r="O2943" s="3">
        <v>0</v>
      </c>
      <c r="P2943" s="3">
        <v>0</v>
      </c>
      <c r="Q2943" s="2">
        <v>12</v>
      </c>
      <c r="R2943" t="s">
        <v>66</v>
      </c>
      <c r="S2943" t="s">
        <v>28</v>
      </c>
      <c r="T2943" t="s">
        <v>29</v>
      </c>
      <c r="U2943" t="s">
        <v>58</v>
      </c>
    </row>
    <row r="2944" spans="1:21" x14ac:dyDescent="0.35">
      <c r="A2944" t="s">
        <v>3024</v>
      </c>
      <c r="B2944" s="1">
        <v>46366</v>
      </c>
      <c r="C2944" t="str">
        <f>TEXT(tblData[[#This Row],[Rental Date]],"mmm")</f>
        <v>Dec</v>
      </c>
      <c r="D2944" t="str">
        <f>TEXT(tblData[[#This Row],[Rental Date]],"mmmm")</f>
        <v>December</v>
      </c>
      <c r="E2944" t="s">
        <v>21</v>
      </c>
      <c r="F2944" t="str">
        <f>TEXT(WEEKNUM(tblData[[#This Row],[Rental Date]]),"00")</f>
        <v>50</v>
      </c>
      <c r="G2944" s="1">
        <f>EOMONTH(tblData[[#This Row],[Rental Date]],0)</f>
        <v>46387</v>
      </c>
      <c r="H2944" t="s">
        <v>22</v>
      </c>
      <c r="I2944" t="s">
        <v>39</v>
      </c>
      <c r="J2944" t="s">
        <v>49</v>
      </c>
      <c r="K2944" t="s">
        <v>92</v>
      </c>
      <c r="L2944">
        <v>1</v>
      </c>
      <c r="M2944" s="2">
        <v>76</v>
      </c>
      <c r="N2944" t="s">
        <v>26</v>
      </c>
      <c r="O2944" s="3">
        <v>0</v>
      </c>
      <c r="P2944" s="3">
        <v>0</v>
      </c>
      <c r="Q2944" s="2">
        <v>76</v>
      </c>
      <c r="R2944" t="s">
        <v>71</v>
      </c>
      <c r="S2944" t="s">
        <v>50</v>
      </c>
      <c r="T2944" t="s">
        <v>29</v>
      </c>
      <c r="U2944" t="s">
        <v>30</v>
      </c>
    </row>
    <row r="2945" spans="1:21" x14ac:dyDescent="0.35">
      <c r="A2945" t="s">
        <v>3025</v>
      </c>
      <c r="B2945" s="1">
        <v>46366</v>
      </c>
      <c r="C2945" t="str">
        <f>TEXT(tblData[[#This Row],[Rental Date]],"mmm")</f>
        <v>Dec</v>
      </c>
      <c r="D2945" t="str">
        <f>TEXT(tblData[[#This Row],[Rental Date]],"mmmm")</f>
        <v>December</v>
      </c>
      <c r="E2945" t="s">
        <v>21</v>
      </c>
      <c r="F2945" t="str">
        <f>TEXT(WEEKNUM(tblData[[#This Row],[Rental Date]]),"00")</f>
        <v>50</v>
      </c>
      <c r="G2945" s="1">
        <f>EOMONTH(tblData[[#This Row],[Rental Date]],0)</f>
        <v>46387</v>
      </c>
      <c r="H2945" t="s">
        <v>22</v>
      </c>
      <c r="I2945" t="s">
        <v>32</v>
      </c>
      <c r="J2945" t="s">
        <v>65</v>
      </c>
      <c r="K2945" t="s">
        <v>40</v>
      </c>
      <c r="L2945">
        <v>1</v>
      </c>
      <c r="M2945" s="2">
        <v>28</v>
      </c>
      <c r="N2945" t="s">
        <v>26</v>
      </c>
      <c r="O2945" s="3">
        <v>0</v>
      </c>
      <c r="P2945" s="3">
        <v>2.8</v>
      </c>
      <c r="Q2945" s="2">
        <v>25.2</v>
      </c>
      <c r="R2945" t="s">
        <v>57</v>
      </c>
      <c r="S2945" t="s">
        <v>54</v>
      </c>
      <c r="T2945" t="s">
        <v>51</v>
      </c>
      <c r="U2945" t="s">
        <v>58</v>
      </c>
    </row>
    <row r="2946" spans="1:21" x14ac:dyDescent="0.35">
      <c r="A2946" t="s">
        <v>3026</v>
      </c>
      <c r="B2946" s="1">
        <v>46366</v>
      </c>
      <c r="C2946" t="str">
        <f>TEXT(tblData[[#This Row],[Rental Date]],"mmm")</f>
        <v>Dec</v>
      </c>
      <c r="D2946" t="str">
        <f>TEXT(tblData[[#This Row],[Rental Date]],"mmmm")</f>
        <v>December</v>
      </c>
      <c r="E2946" t="s">
        <v>21</v>
      </c>
      <c r="F2946" t="str">
        <f>TEXT(WEEKNUM(tblData[[#This Row],[Rental Date]]),"00")</f>
        <v>50</v>
      </c>
      <c r="G2946" s="1">
        <f>EOMONTH(tblData[[#This Row],[Rental Date]],0)</f>
        <v>46387</v>
      </c>
      <c r="H2946" t="s">
        <v>22</v>
      </c>
      <c r="I2946" t="s">
        <v>32</v>
      </c>
      <c r="J2946" t="s">
        <v>33</v>
      </c>
      <c r="K2946" t="s">
        <v>60</v>
      </c>
      <c r="L2946">
        <v>1</v>
      </c>
      <c r="M2946" s="2">
        <v>24</v>
      </c>
      <c r="N2946" t="s">
        <v>26</v>
      </c>
      <c r="O2946" s="3">
        <v>0</v>
      </c>
      <c r="P2946" s="3">
        <v>1.2</v>
      </c>
      <c r="Q2946" s="2">
        <v>22.8</v>
      </c>
      <c r="R2946" t="s">
        <v>62</v>
      </c>
      <c r="S2946" t="s">
        <v>46</v>
      </c>
      <c r="T2946" t="s">
        <v>90</v>
      </c>
      <c r="U2946" t="s">
        <v>30</v>
      </c>
    </row>
    <row r="2947" spans="1:21" x14ac:dyDescent="0.35">
      <c r="A2947" t="s">
        <v>3027</v>
      </c>
      <c r="B2947" s="1">
        <v>46368</v>
      </c>
      <c r="C2947" t="str">
        <f>TEXT(tblData[[#This Row],[Rental Date]],"mmm")</f>
        <v>Dec</v>
      </c>
      <c r="D2947" t="str">
        <f>TEXT(tblData[[#This Row],[Rental Date]],"mmmm")</f>
        <v>December</v>
      </c>
      <c r="E2947" t="s">
        <v>56</v>
      </c>
      <c r="F2947" t="str">
        <f>TEXT(WEEKNUM(tblData[[#This Row],[Rental Date]]),"00")</f>
        <v>50</v>
      </c>
      <c r="G2947" s="1">
        <f>EOMONTH(tblData[[#This Row],[Rental Date]],0)</f>
        <v>46387</v>
      </c>
      <c r="H2947" t="s">
        <v>22</v>
      </c>
      <c r="I2947" t="s">
        <v>32</v>
      </c>
      <c r="J2947" t="s">
        <v>78</v>
      </c>
      <c r="K2947" t="s">
        <v>60</v>
      </c>
      <c r="L2947">
        <v>1</v>
      </c>
      <c r="M2947" s="2">
        <v>28.08</v>
      </c>
      <c r="N2947" t="s">
        <v>26</v>
      </c>
      <c r="O2947" s="3">
        <v>0</v>
      </c>
      <c r="P2947" s="3">
        <v>0</v>
      </c>
      <c r="Q2947" s="2">
        <v>28.08</v>
      </c>
      <c r="R2947" t="s">
        <v>57</v>
      </c>
      <c r="S2947" t="s">
        <v>28</v>
      </c>
      <c r="T2947" t="s">
        <v>63</v>
      </c>
      <c r="U2947" t="s">
        <v>79</v>
      </c>
    </row>
    <row r="2948" spans="1:21" x14ac:dyDescent="0.35">
      <c r="A2948" t="s">
        <v>3028</v>
      </c>
      <c r="B2948" s="1">
        <v>46368</v>
      </c>
      <c r="C2948" t="str">
        <f>TEXT(tblData[[#This Row],[Rental Date]],"mmm")</f>
        <v>Dec</v>
      </c>
      <c r="D2948" t="str">
        <f>TEXT(tblData[[#This Row],[Rental Date]],"mmmm")</f>
        <v>December</v>
      </c>
      <c r="E2948" t="s">
        <v>56</v>
      </c>
      <c r="F2948" t="str">
        <f>TEXT(WEEKNUM(tblData[[#This Row],[Rental Date]]),"00")</f>
        <v>50</v>
      </c>
      <c r="G2948" s="1">
        <f>EOMONTH(tblData[[#This Row],[Rental Date]],0)</f>
        <v>46387</v>
      </c>
      <c r="H2948" t="s">
        <v>22</v>
      </c>
      <c r="I2948" t="s">
        <v>23</v>
      </c>
      <c r="J2948" t="s">
        <v>44</v>
      </c>
      <c r="K2948" t="s">
        <v>40</v>
      </c>
      <c r="L2948">
        <v>1</v>
      </c>
      <c r="M2948" s="2">
        <v>84.24</v>
      </c>
      <c r="N2948" t="s">
        <v>26</v>
      </c>
      <c r="O2948" s="3">
        <v>0</v>
      </c>
      <c r="P2948" s="3">
        <v>0</v>
      </c>
      <c r="Q2948" s="2">
        <v>84.24</v>
      </c>
      <c r="R2948" t="s">
        <v>34</v>
      </c>
      <c r="S2948" t="s">
        <v>50</v>
      </c>
      <c r="T2948" t="s">
        <v>29</v>
      </c>
      <c r="U2948" t="s">
        <v>30</v>
      </c>
    </row>
    <row r="2949" spans="1:21" x14ac:dyDescent="0.35">
      <c r="A2949" t="s">
        <v>3029</v>
      </c>
      <c r="B2949" s="1">
        <v>46369</v>
      </c>
      <c r="C2949" t="str">
        <f>TEXT(tblData[[#This Row],[Rental Date]],"mmm")</f>
        <v>Dec</v>
      </c>
      <c r="D2949" t="str">
        <f>TEXT(tblData[[#This Row],[Rental Date]],"mmmm")</f>
        <v>December</v>
      </c>
      <c r="E2949" t="s">
        <v>68</v>
      </c>
      <c r="F2949" t="str">
        <f>TEXT(WEEKNUM(tblData[[#This Row],[Rental Date]]),"00")</f>
        <v>51</v>
      </c>
      <c r="G2949" s="1">
        <f>EOMONTH(tblData[[#This Row],[Rental Date]],0)</f>
        <v>46387</v>
      </c>
      <c r="H2949" t="s">
        <v>22</v>
      </c>
      <c r="I2949" t="s">
        <v>48</v>
      </c>
      <c r="J2949" t="s">
        <v>78</v>
      </c>
      <c r="K2949" t="s">
        <v>25</v>
      </c>
      <c r="L2949">
        <v>1</v>
      </c>
      <c r="M2949" s="2">
        <v>45.36</v>
      </c>
      <c r="N2949" t="s">
        <v>89</v>
      </c>
      <c r="O2949" s="3">
        <v>6</v>
      </c>
      <c r="P2949" s="3">
        <v>0</v>
      </c>
      <c r="Q2949" s="2">
        <v>51.36</v>
      </c>
      <c r="R2949" t="s">
        <v>57</v>
      </c>
      <c r="S2949" t="s">
        <v>35</v>
      </c>
      <c r="T2949" t="s">
        <v>29</v>
      </c>
      <c r="U2949" t="s">
        <v>79</v>
      </c>
    </row>
    <row r="2950" spans="1:21" x14ac:dyDescent="0.35">
      <c r="A2950" t="s">
        <v>3030</v>
      </c>
      <c r="B2950" s="1">
        <v>46369</v>
      </c>
      <c r="C2950" t="str">
        <f>TEXT(tblData[[#This Row],[Rental Date]],"mmm")</f>
        <v>Dec</v>
      </c>
      <c r="D2950" t="str">
        <f>TEXT(tblData[[#This Row],[Rental Date]],"mmmm")</f>
        <v>December</v>
      </c>
      <c r="E2950" t="s">
        <v>68</v>
      </c>
      <c r="F2950" t="str">
        <f>TEXT(WEEKNUM(tblData[[#This Row],[Rental Date]]),"00")</f>
        <v>51</v>
      </c>
      <c r="G2950" s="1">
        <f>EOMONTH(tblData[[#This Row],[Rental Date]],0)</f>
        <v>46387</v>
      </c>
      <c r="H2950" t="s">
        <v>22</v>
      </c>
      <c r="I2950" t="s">
        <v>23</v>
      </c>
      <c r="J2950" t="s">
        <v>111</v>
      </c>
      <c r="K2950" t="s">
        <v>40</v>
      </c>
      <c r="L2950">
        <v>1</v>
      </c>
      <c r="M2950" s="2">
        <v>36.72</v>
      </c>
      <c r="N2950" t="s">
        <v>89</v>
      </c>
      <c r="O2950" s="3">
        <v>6</v>
      </c>
      <c r="P2950" s="3">
        <v>0</v>
      </c>
      <c r="Q2950" s="2">
        <v>42.72</v>
      </c>
      <c r="R2950" t="s">
        <v>62</v>
      </c>
      <c r="S2950" t="s">
        <v>28</v>
      </c>
      <c r="T2950" t="s">
        <v>51</v>
      </c>
      <c r="U2950" t="s">
        <v>30</v>
      </c>
    </row>
    <row r="2951" spans="1:21" x14ac:dyDescent="0.35">
      <c r="A2951" t="s">
        <v>3031</v>
      </c>
      <c r="B2951" s="1">
        <v>46370</v>
      </c>
      <c r="C2951" t="str">
        <f>TEXT(tblData[[#This Row],[Rental Date]],"mmm")</f>
        <v>Dec</v>
      </c>
      <c r="D2951" t="str">
        <f>TEXT(tblData[[#This Row],[Rental Date]],"mmmm")</f>
        <v>December</v>
      </c>
      <c r="E2951" t="s">
        <v>74</v>
      </c>
      <c r="F2951" t="str">
        <f>TEXT(WEEKNUM(tblData[[#This Row],[Rental Date]]),"00")</f>
        <v>51</v>
      </c>
      <c r="G2951" s="1">
        <f>EOMONTH(tblData[[#This Row],[Rental Date]],0)</f>
        <v>46387</v>
      </c>
      <c r="H2951" t="s">
        <v>22</v>
      </c>
      <c r="I2951" t="s">
        <v>53</v>
      </c>
      <c r="J2951" t="s">
        <v>33</v>
      </c>
      <c r="K2951" t="s">
        <v>25</v>
      </c>
      <c r="L2951">
        <v>1</v>
      </c>
      <c r="M2951" s="2">
        <v>38</v>
      </c>
      <c r="N2951" t="s">
        <v>26</v>
      </c>
      <c r="O2951" s="3">
        <v>0</v>
      </c>
      <c r="P2951" s="3">
        <v>3.8</v>
      </c>
      <c r="Q2951" s="2">
        <v>34.200000000000003</v>
      </c>
      <c r="R2951" t="s">
        <v>34</v>
      </c>
      <c r="S2951" t="s">
        <v>54</v>
      </c>
      <c r="T2951" t="s">
        <v>29</v>
      </c>
      <c r="U2951" t="s">
        <v>30</v>
      </c>
    </row>
    <row r="2952" spans="1:21" x14ac:dyDescent="0.35">
      <c r="A2952" t="s">
        <v>3032</v>
      </c>
      <c r="B2952" s="1">
        <v>46371</v>
      </c>
      <c r="C2952" t="str">
        <f>TEXT(tblData[[#This Row],[Rental Date]],"mmm")</f>
        <v>Dec</v>
      </c>
      <c r="D2952" t="str">
        <f>TEXT(tblData[[#This Row],[Rental Date]],"mmmm")</f>
        <v>December</v>
      </c>
      <c r="E2952" t="s">
        <v>102</v>
      </c>
      <c r="F2952" t="str">
        <f>TEXT(WEEKNUM(tblData[[#This Row],[Rental Date]]),"00")</f>
        <v>51</v>
      </c>
      <c r="G2952" s="1">
        <f>EOMONTH(tblData[[#This Row],[Rental Date]],0)</f>
        <v>46387</v>
      </c>
      <c r="H2952" t="s">
        <v>22</v>
      </c>
      <c r="I2952" t="s">
        <v>48</v>
      </c>
      <c r="J2952" t="s">
        <v>44</v>
      </c>
      <c r="K2952" t="s">
        <v>40</v>
      </c>
      <c r="L2952">
        <v>1</v>
      </c>
      <c r="M2952" s="2">
        <v>78</v>
      </c>
      <c r="N2952" t="s">
        <v>89</v>
      </c>
      <c r="O2952" s="3">
        <v>6</v>
      </c>
      <c r="P2952" s="3">
        <v>0</v>
      </c>
      <c r="Q2952" s="2">
        <v>84</v>
      </c>
      <c r="R2952" t="s">
        <v>42</v>
      </c>
      <c r="S2952" t="s">
        <v>35</v>
      </c>
      <c r="T2952" t="s">
        <v>51</v>
      </c>
      <c r="U2952" t="s">
        <v>30</v>
      </c>
    </row>
    <row r="2953" spans="1:21" x14ac:dyDescent="0.35">
      <c r="A2953" t="s">
        <v>3033</v>
      </c>
      <c r="B2953" s="1">
        <v>46371</v>
      </c>
      <c r="C2953" t="str">
        <f>TEXT(tblData[[#This Row],[Rental Date]],"mmm")</f>
        <v>Dec</v>
      </c>
      <c r="D2953" t="str">
        <f>TEXT(tblData[[#This Row],[Rental Date]],"mmmm")</f>
        <v>December</v>
      </c>
      <c r="E2953" t="s">
        <v>102</v>
      </c>
      <c r="F2953" t="str">
        <f>TEXT(WEEKNUM(tblData[[#This Row],[Rental Date]]),"00")</f>
        <v>51</v>
      </c>
      <c r="G2953" s="1">
        <f>EOMONTH(tblData[[#This Row],[Rental Date]],0)</f>
        <v>46387</v>
      </c>
      <c r="H2953" t="s">
        <v>22</v>
      </c>
      <c r="I2953" t="s">
        <v>23</v>
      </c>
      <c r="J2953" t="s">
        <v>78</v>
      </c>
      <c r="K2953" t="s">
        <v>25</v>
      </c>
      <c r="L2953">
        <v>1</v>
      </c>
      <c r="M2953" s="2">
        <v>42</v>
      </c>
      <c r="N2953" t="s">
        <v>26</v>
      </c>
      <c r="O2953" s="3">
        <v>0</v>
      </c>
      <c r="P2953" s="3">
        <v>0</v>
      </c>
      <c r="Q2953" s="2">
        <v>42</v>
      </c>
      <c r="R2953" t="s">
        <v>57</v>
      </c>
      <c r="S2953" t="s">
        <v>54</v>
      </c>
      <c r="T2953" t="s">
        <v>90</v>
      </c>
      <c r="U2953" t="s">
        <v>58</v>
      </c>
    </row>
    <row r="2954" spans="1:21" x14ac:dyDescent="0.35">
      <c r="A2954" t="s">
        <v>3034</v>
      </c>
      <c r="B2954" s="1">
        <v>46371</v>
      </c>
      <c r="C2954" t="str">
        <f>TEXT(tblData[[#This Row],[Rental Date]],"mmm")</f>
        <v>Dec</v>
      </c>
      <c r="D2954" t="str">
        <f>TEXT(tblData[[#This Row],[Rental Date]],"mmmm")</f>
        <v>December</v>
      </c>
      <c r="E2954" t="s">
        <v>102</v>
      </c>
      <c r="F2954" t="str">
        <f>TEXT(WEEKNUM(tblData[[#This Row],[Rental Date]]),"00")</f>
        <v>51</v>
      </c>
      <c r="G2954" s="1">
        <f>EOMONTH(tblData[[#This Row],[Rental Date]],0)</f>
        <v>46387</v>
      </c>
      <c r="H2954" t="s">
        <v>22</v>
      </c>
      <c r="I2954" t="s">
        <v>53</v>
      </c>
      <c r="J2954" t="s">
        <v>49</v>
      </c>
      <c r="K2954" t="s">
        <v>92</v>
      </c>
      <c r="L2954">
        <v>1</v>
      </c>
      <c r="M2954" s="2">
        <v>76</v>
      </c>
      <c r="N2954" t="s">
        <v>41</v>
      </c>
      <c r="O2954" s="3">
        <v>5</v>
      </c>
      <c r="P2954" s="3">
        <v>8.1</v>
      </c>
      <c r="Q2954" s="2">
        <v>72.900000000000006</v>
      </c>
      <c r="R2954" t="s">
        <v>66</v>
      </c>
      <c r="S2954" t="s">
        <v>35</v>
      </c>
      <c r="T2954" t="s">
        <v>29</v>
      </c>
      <c r="U2954" t="s">
        <v>58</v>
      </c>
    </row>
    <row r="2955" spans="1:21" x14ac:dyDescent="0.35">
      <c r="A2955" t="s">
        <v>3035</v>
      </c>
      <c r="B2955" s="1">
        <v>46371</v>
      </c>
      <c r="C2955" t="str">
        <f>TEXT(tblData[[#This Row],[Rental Date]],"mmm")</f>
        <v>Dec</v>
      </c>
      <c r="D2955" t="str">
        <f>TEXT(tblData[[#This Row],[Rental Date]],"mmmm")</f>
        <v>December</v>
      </c>
      <c r="E2955" t="s">
        <v>102</v>
      </c>
      <c r="F2955" t="str">
        <f>TEXT(WEEKNUM(tblData[[#This Row],[Rental Date]]),"00")</f>
        <v>51</v>
      </c>
      <c r="G2955" s="1">
        <f>EOMONTH(tblData[[#This Row],[Rental Date]],0)</f>
        <v>46387</v>
      </c>
      <c r="H2955" t="s">
        <v>22</v>
      </c>
      <c r="I2955" t="s">
        <v>48</v>
      </c>
      <c r="J2955" t="s">
        <v>65</v>
      </c>
      <c r="K2955" t="s">
        <v>92</v>
      </c>
      <c r="L2955">
        <v>1</v>
      </c>
      <c r="M2955" s="2">
        <v>40</v>
      </c>
      <c r="N2955" t="s">
        <v>26</v>
      </c>
      <c r="O2955" s="3">
        <v>0</v>
      </c>
      <c r="P2955" s="3">
        <v>0</v>
      </c>
      <c r="Q2955" s="2">
        <v>40</v>
      </c>
      <c r="R2955" t="s">
        <v>71</v>
      </c>
      <c r="S2955" t="s">
        <v>28</v>
      </c>
      <c r="T2955" t="s">
        <v>29</v>
      </c>
      <c r="U2955" t="s">
        <v>79</v>
      </c>
    </row>
    <row r="2956" spans="1:21" x14ac:dyDescent="0.35">
      <c r="A2956" t="s">
        <v>3036</v>
      </c>
      <c r="B2956" s="1">
        <v>46371</v>
      </c>
      <c r="C2956" t="str">
        <f>TEXT(tblData[[#This Row],[Rental Date]],"mmm")</f>
        <v>Dec</v>
      </c>
      <c r="D2956" t="str">
        <f>TEXT(tblData[[#This Row],[Rental Date]],"mmmm")</f>
        <v>December</v>
      </c>
      <c r="E2956" t="s">
        <v>102</v>
      </c>
      <c r="F2956" t="str">
        <f>TEXT(WEEKNUM(tblData[[#This Row],[Rental Date]]),"00")</f>
        <v>51</v>
      </c>
      <c r="G2956" s="1">
        <f>EOMONTH(tblData[[#This Row],[Rental Date]],0)</f>
        <v>46387</v>
      </c>
      <c r="H2956" t="s">
        <v>22</v>
      </c>
      <c r="I2956" t="s">
        <v>48</v>
      </c>
      <c r="J2956" t="s">
        <v>33</v>
      </c>
      <c r="K2956" t="s">
        <v>60</v>
      </c>
      <c r="L2956">
        <v>1</v>
      </c>
      <c r="M2956" s="2">
        <v>24</v>
      </c>
      <c r="N2956" t="s">
        <v>26</v>
      </c>
      <c r="O2956" s="3">
        <v>0</v>
      </c>
      <c r="P2956" s="3">
        <v>0</v>
      </c>
      <c r="Q2956" s="2">
        <v>24</v>
      </c>
      <c r="R2956" t="s">
        <v>66</v>
      </c>
      <c r="S2956" t="s">
        <v>28</v>
      </c>
      <c r="T2956" t="s">
        <v>90</v>
      </c>
      <c r="U2956" t="s">
        <v>30</v>
      </c>
    </row>
    <row r="2957" spans="1:21" x14ac:dyDescent="0.35">
      <c r="A2957" t="s">
        <v>3037</v>
      </c>
      <c r="B2957" s="1">
        <v>46373</v>
      </c>
      <c r="C2957" t="str">
        <f>TEXT(tblData[[#This Row],[Rental Date]],"mmm")</f>
        <v>Dec</v>
      </c>
      <c r="D2957" t="str">
        <f>TEXT(tblData[[#This Row],[Rental Date]],"mmmm")</f>
        <v>December</v>
      </c>
      <c r="E2957" t="s">
        <v>21</v>
      </c>
      <c r="F2957" t="str">
        <f>TEXT(WEEKNUM(tblData[[#This Row],[Rental Date]]),"00")</f>
        <v>51</v>
      </c>
      <c r="G2957" s="1">
        <f>EOMONTH(tblData[[#This Row],[Rental Date]],0)</f>
        <v>46387</v>
      </c>
      <c r="H2957" t="s">
        <v>22</v>
      </c>
      <c r="I2957" t="s">
        <v>39</v>
      </c>
      <c r="J2957" t="s">
        <v>78</v>
      </c>
      <c r="K2957" t="s">
        <v>60</v>
      </c>
      <c r="L2957">
        <v>1</v>
      </c>
      <c r="M2957" s="2">
        <v>26</v>
      </c>
      <c r="N2957" t="s">
        <v>26</v>
      </c>
      <c r="O2957" s="3">
        <v>0</v>
      </c>
      <c r="P2957" s="3">
        <v>0</v>
      </c>
      <c r="Q2957" s="2">
        <v>26</v>
      </c>
      <c r="R2957" t="s">
        <v>71</v>
      </c>
      <c r="S2957" t="s">
        <v>28</v>
      </c>
      <c r="T2957" t="s">
        <v>29</v>
      </c>
      <c r="U2957" t="s">
        <v>79</v>
      </c>
    </row>
    <row r="2958" spans="1:21" x14ac:dyDescent="0.35">
      <c r="A2958" t="s">
        <v>3038</v>
      </c>
      <c r="B2958" s="1">
        <v>46373</v>
      </c>
      <c r="C2958" t="str">
        <f>TEXT(tblData[[#This Row],[Rental Date]],"mmm")</f>
        <v>Dec</v>
      </c>
      <c r="D2958" t="str">
        <f>TEXT(tblData[[#This Row],[Rental Date]],"mmmm")</f>
        <v>December</v>
      </c>
      <c r="E2958" t="s">
        <v>21</v>
      </c>
      <c r="F2958" t="str">
        <f>TEXT(WEEKNUM(tblData[[#This Row],[Rental Date]]),"00")</f>
        <v>51</v>
      </c>
      <c r="G2958" s="1">
        <f>EOMONTH(tblData[[#This Row],[Rental Date]],0)</f>
        <v>46387</v>
      </c>
      <c r="H2958" t="s">
        <v>22</v>
      </c>
      <c r="I2958" t="s">
        <v>48</v>
      </c>
      <c r="J2958" t="s">
        <v>78</v>
      </c>
      <c r="K2958" t="s">
        <v>40</v>
      </c>
      <c r="L2958">
        <v>1</v>
      </c>
      <c r="M2958" s="2">
        <v>62</v>
      </c>
      <c r="N2958" t="s">
        <v>41</v>
      </c>
      <c r="O2958" s="3">
        <v>5</v>
      </c>
      <c r="P2958" s="3">
        <v>0</v>
      </c>
      <c r="Q2958" s="2">
        <v>67</v>
      </c>
      <c r="R2958" t="s">
        <v>57</v>
      </c>
      <c r="S2958" t="s">
        <v>35</v>
      </c>
      <c r="T2958" t="s">
        <v>63</v>
      </c>
      <c r="U2958" t="s">
        <v>79</v>
      </c>
    </row>
    <row r="2959" spans="1:21" x14ac:dyDescent="0.35">
      <c r="A2959" t="s">
        <v>3039</v>
      </c>
      <c r="B2959" s="1">
        <v>46373</v>
      </c>
      <c r="C2959" t="str">
        <f>TEXT(tblData[[#This Row],[Rental Date]],"mmm")</f>
        <v>Dec</v>
      </c>
      <c r="D2959" t="str">
        <f>TEXT(tblData[[#This Row],[Rental Date]],"mmmm")</f>
        <v>December</v>
      </c>
      <c r="E2959" t="s">
        <v>21</v>
      </c>
      <c r="F2959" t="str">
        <f>TEXT(WEEKNUM(tblData[[#This Row],[Rental Date]]),"00")</f>
        <v>51</v>
      </c>
      <c r="G2959" s="1">
        <f>EOMONTH(tblData[[#This Row],[Rental Date]],0)</f>
        <v>46387</v>
      </c>
      <c r="H2959" t="s">
        <v>22</v>
      </c>
      <c r="I2959" t="s">
        <v>23</v>
      </c>
      <c r="J2959" t="s">
        <v>44</v>
      </c>
      <c r="K2959" t="s">
        <v>25</v>
      </c>
      <c r="L2959">
        <v>1</v>
      </c>
      <c r="M2959" s="2">
        <v>52</v>
      </c>
      <c r="N2959" t="s">
        <v>41</v>
      </c>
      <c r="O2959" s="3">
        <v>5</v>
      </c>
      <c r="P2959" s="3">
        <v>0</v>
      </c>
      <c r="Q2959" s="2">
        <v>57</v>
      </c>
      <c r="R2959" t="s">
        <v>42</v>
      </c>
      <c r="S2959" t="s">
        <v>35</v>
      </c>
      <c r="T2959" t="s">
        <v>29</v>
      </c>
      <c r="U2959" t="s">
        <v>36</v>
      </c>
    </row>
    <row r="2960" spans="1:21" x14ac:dyDescent="0.35">
      <c r="A2960" t="s">
        <v>3040</v>
      </c>
      <c r="B2960" s="1">
        <v>46373</v>
      </c>
      <c r="C2960" t="str">
        <f>TEXT(tblData[[#This Row],[Rental Date]],"mmm")</f>
        <v>Dec</v>
      </c>
      <c r="D2960" t="str">
        <f>TEXT(tblData[[#This Row],[Rental Date]],"mmmm")</f>
        <v>December</v>
      </c>
      <c r="E2960" t="s">
        <v>21</v>
      </c>
      <c r="F2960" t="str">
        <f>TEXT(WEEKNUM(tblData[[#This Row],[Rental Date]]),"00")</f>
        <v>51</v>
      </c>
      <c r="G2960" s="1">
        <f>EOMONTH(tblData[[#This Row],[Rental Date]],0)</f>
        <v>46387</v>
      </c>
      <c r="H2960" t="s">
        <v>22</v>
      </c>
      <c r="I2960" t="s">
        <v>48</v>
      </c>
      <c r="J2960" t="s">
        <v>111</v>
      </c>
      <c r="K2960" t="s">
        <v>92</v>
      </c>
      <c r="L2960">
        <v>1</v>
      </c>
      <c r="M2960" s="2">
        <v>48</v>
      </c>
      <c r="N2960" t="s">
        <v>61</v>
      </c>
      <c r="O2960" s="3">
        <v>8</v>
      </c>
      <c r="P2960" s="3">
        <v>0</v>
      </c>
      <c r="Q2960" s="2">
        <v>56</v>
      </c>
      <c r="R2960" t="s">
        <v>42</v>
      </c>
      <c r="S2960" t="s">
        <v>35</v>
      </c>
      <c r="T2960" t="s">
        <v>90</v>
      </c>
      <c r="U2960" t="s">
        <v>79</v>
      </c>
    </row>
    <row r="2961" spans="1:21" x14ac:dyDescent="0.35">
      <c r="A2961" t="s">
        <v>3041</v>
      </c>
      <c r="B2961" s="1">
        <v>46373</v>
      </c>
      <c r="C2961" t="str">
        <f>TEXT(tblData[[#This Row],[Rental Date]],"mmm")</f>
        <v>Dec</v>
      </c>
      <c r="D2961" t="str">
        <f>TEXT(tblData[[#This Row],[Rental Date]],"mmmm")</f>
        <v>December</v>
      </c>
      <c r="E2961" t="s">
        <v>21</v>
      </c>
      <c r="F2961" t="str">
        <f>TEXT(WEEKNUM(tblData[[#This Row],[Rental Date]]),"00")</f>
        <v>51</v>
      </c>
      <c r="G2961" s="1">
        <f>EOMONTH(tblData[[#This Row],[Rental Date]],0)</f>
        <v>46387</v>
      </c>
      <c r="H2961" t="s">
        <v>22</v>
      </c>
      <c r="I2961" t="s">
        <v>23</v>
      </c>
      <c r="J2961" t="s">
        <v>49</v>
      </c>
      <c r="K2961" t="s">
        <v>25</v>
      </c>
      <c r="L2961">
        <v>1</v>
      </c>
      <c r="M2961" s="2">
        <v>36</v>
      </c>
      <c r="N2961" t="s">
        <v>26</v>
      </c>
      <c r="O2961" s="3">
        <v>0</v>
      </c>
      <c r="P2961" s="3">
        <v>0</v>
      </c>
      <c r="Q2961" s="2">
        <v>36</v>
      </c>
      <c r="R2961" t="s">
        <v>42</v>
      </c>
      <c r="S2961" t="s">
        <v>35</v>
      </c>
      <c r="T2961" t="s">
        <v>29</v>
      </c>
      <c r="U2961" t="s">
        <v>58</v>
      </c>
    </row>
    <row r="2962" spans="1:21" x14ac:dyDescent="0.35">
      <c r="A2962" t="s">
        <v>3042</v>
      </c>
      <c r="B2962" s="1">
        <v>46374</v>
      </c>
      <c r="C2962" t="str">
        <f>TEXT(tblData[[#This Row],[Rental Date]],"mmm")</f>
        <v>Dec</v>
      </c>
      <c r="D2962" t="str">
        <f>TEXT(tblData[[#This Row],[Rental Date]],"mmmm")</f>
        <v>December</v>
      </c>
      <c r="E2962" t="s">
        <v>38</v>
      </c>
      <c r="F2962" t="str">
        <f>TEXT(WEEKNUM(tblData[[#This Row],[Rental Date]]),"00")</f>
        <v>51</v>
      </c>
      <c r="G2962" s="1">
        <f>EOMONTH(tblData[[#This Row],[Rental Date]],0)</f>
        <v>46387</v>
      </c>
      <c r="H2962" t="s">
        <v>22</v>
      </c>
      <c r="I2962" t="s">
        <v>23</v>
      </c>
      <c r="J2962" t="s">
        <v>78</v>
      </c>
      <c r="K2962" t="s">
        <v>25</v>
      </c>
      <c r="L2962">
        <v>1</v>
      </c>
      <c r="M2962" s="2">
        <v>42</v>
      </c>
      <c r="N2962" t="s">
        <v>26</v>
      </c>
      <c r="O2962" s="3">
        <v>0</v>
      </c>
      <c r="P2962" s="3">
        <v>0</v>
      </c>
      <c r="Q2962" s="2">
        <v>42</v>
      </c>
      <c r="R2962" t="s">
        <v>45</v>
      </c>
      <c r="S2962" t="s">
        <v>46</v>
      </c>
      <c r="T2962" t="s">
        <v>83</v>
      </c>
      <c r="U2962" t="s">
        <v>30</v>
      </c>
    </row>
    <row r="2963" spans="1:21" x14ac:dyDescent="0.35">
      <c r="A2963" t="s">
        <v>3043</v>
      </c>
      <c r="B2963" s="1">
        <v>46374</v>
      </c>
      <c r="C2963" t="str">
        <f>TEXT(tblData[[#This Row],[Rental Date]],"mmm")</f>
        <v>Dec</v>
      </c>
      <c r="D2963" t="str">
        <f>TEXT(tblData[[#This Row],[Rental Date]],"mmmm")</f>
        <v>December</v>
      </c>
      <c r="E2963" t="s">
        <v>38</v>
      </c>
      <c r="F2963" t="str">
        <f>TEXT(WEEKNUM(tblData[[#This Row],[Rental Date]]),"00")</f>
        <v>51</v>
      </c>
      <c r="G2963" s="1">
        <f>EOMONTH(tblData[[#This Row],[Rental Date]],0)</f>
        <v>46387</v>
      </c>
      <c r="H2963" t="s">
        <v>22</v>
      </c>
      <c r="I2963" t="s">
        <v>39</v>
      </c>
      <c r="J2963" t="s">
        <v>65</v>
      </c>
      <c r="K2963" t="s">
        <v>60</v>
      </c>
      <c r="L2963">
        <v>1</v>
      </c>
      <c r="M2963" s="2">
        <v>12</v>
      </c>
      <c r="N2963" t="s">
        <v>61</v>
      </c>
      <c r="O2963" s="3">
        <v>8</v>
      </c>
      <c r="P2963" s="3">
        <v>0</v>
      </c>
      <c r="Q2963" s="2">
        <v>20</v>
      </c>
      <c r="R2963" t="s">
        <v>27</v>
      </c>
      <c r="S2963" t="s">
        <v>35</v>
      </c>
      <c r="T2963" t="s">
        <v>51</v>
      </c>
      <c r="U2963" t="s">
        <v>79</v>
      </c>
    </row>
    <row r="2964" spans="1:21" x14ac:dyDescent="0.35">
      <c r="A2964" t="s">
        <v>3044</v>
      </c>
      <c r="B2964" s="1">
        <v>46374</v>
      </c>
      <c r="C2964" t="str">
        <f>TEXT(tblData[[#This Row],[Rental Date]],"mmm")</f>
        <v>Dec</v>
      </c>
      <c r="D2964" t="str">
        <f>TEXT(tblData[[#This Row],[Rental Date]],"mmmm")</f>
        <v>December</v>
      </c>
      <c r="E2964" t="s">
        <v>38</v>
      </c>
      <c r="F2964" t="str">
        <f>TEXT(WEEKNUM(tblData[[#This Row],[Rental Date]]),"00")</f>
        <v>51</v>
      </c>
      <c r="G2964" s="1">
        <f>EOMONTH(tblData[[#This Row],[Rental Date]],0)</f>
        <v>46387</v>
      </c>
      <c r="H2964" t="s">
        <v>22</v>
      </c>
      <c r="I2964" t="s">
        <v>39</v>
      </c>
      <c r="J2964" t="s">
        <v>33</v>
      </c>
      <c r="K2964" t="s">
        <v>25</v>
      </c>
      <c r="L2964">
        <v>1</v>
      </c>
      <c r="M2964" s="2">
        <v>38</v>
      </c>
      <c r="N2964" t="s">
        <v>26</v>
      </c>
      <c r="O2964" s="3">
        <v>0</v>
      </c>
      <c r="P2964" s="3">
        <v>0</v>
      </c>
      <c r="Q2964" s="2">
        <v>38</v>
      </c>
      <c r="R2964" t="s">
        <v>45</v>
      </c>
      <c r="S2964" t="s">
        <v>35</v>
      </c>
      <c r="T2964" t="s">
        <v>63</v>
      </c>
      <c r="U2964" t="s">
        <v>30</v>
      </c>
    </row>
    <row r="2965" spans="1:21" x14ac:dyDescent="0.35">
      <c r="A2965" t="s">
        <v>3045</v>
      </c>
      <c r="B2965" s="1">
        <v>46375</v>
      </c>
      <c r="C2965" t="str">
        <f>TEXT(tblData[[#This Row],[Rental Date]],"mmm")</f>
        <v>Dec</v>
      </c>
      <c r="D2965" t="str">
        <f>TEXT(tblData[[#This Row],[Rental Date]],"mmmm")</f>
        <v>December</v>
      </c>
      <c r="E2965" t="s">
        <v>56</v>
      </c>
      <c r="F2965" t="str">
        <f>TEXT(WEEKNUM(tblData[[#This Row],[Rental Date]]),"00")</f>
        <v>51</v>
      </c>
      <c r="G2965" s="1">
        <f>EOMONTH(tblData[[#This Row],[Rental Date]],0)</f>
        <v>46387</v>
      </c>
      <c r="H2965" t="s">
        <v>22</v>
      </c>
      <c r="I2965" t="s">
        <v>48</v>
      </c>
      <c r="J2965" t="s">
        <v>24</v>
      </c>
      <c r="K2965" t="s">
        <v>40</v>
      </c>
      <c r="L2965">
        <v>1</v>
      </c>
      <c r="M2965" s="2">
        <v>82.08</v>
      </c>
      <c r="N2965" t="s">
        <v>87</v>
      </c>
      <c r="O2965" s="3">
        <v>10</v>
      </c>
      <c r="P2965" s="3">
        <v>0</v>
      </c>
      <c r="Q2965" s="2">
        <v>92.08</v>
      </c>
      <c r="R2965" t="s">
        <v>42</v>
      </c>
      <c r="S2965" t="s">
        <v>46</v>
      </c>
      <c r="T2965" t="s">
        <v>51</v>
      </c>
      <c r="U2965" t="s">
        <v>58</v>
      </c>
    </row>
    <row r="2966" spans="1:21" x14ac:dyDescent="0.35">
      <c r="A2966" t="s">
        <v>3046</v>
      </c>
      <c r="B2966" s="1">
        <v>46375</v>
      </c>
      <c r="C2966" t="str">
        <f>TEXT(tblData[[#This Row],[Rental Date]],"mmm")</f>
        <v>Dec</v>
      </c>
      <c r="D2966" t="str">
        <f>TEXT(tblData[[#This Row],[Rental Date]],"mmmm")</f>
        <v>December</v>
      </c>
      <c r="E2966" t="s">
        <v>56</v>
      </c>
      <c r="F2966" t="str">
        <f>TEXT(WEEKNUM(tblData[[#This Row],[Rental Date]]),"00")</f>
        <v>51</v>
      </c>
      <c r="G2966" s="1">
        <f>EOMONTH(tblData[[#This Row],[Rental Date]],0)</f>
        <v>46387</v>
      </c>
      <c r="H2966" t="s">
        <v>22</v>
      </c>
      <c r="I2966" t="s">
        <v>23</v>
      </c>
      <c r="J2966" t="s">
        <v>44</v>
      </c>
      <c r="K2966" t="s">
        <v>25</v>
      </c>
      <c r="L2966">
        <v>1</v>
      </c>
      <c r="M2966" s="2">
        <v>56.16</v>
      </c>
      <c r="N2966" t="s">
        <v>87</v>
      </c>
      <c r="O2966" s="3">
        <v>10</v>
      </c>
      <c r="P2966" s="3">
        <v>0</v>
      </c>
      <c r="Q2966" s="2">
        <v>66.16</v>
      </c>
      <c r="R2966" t="s">
        <v>57</v>
      </c>
      <c r="S2966" t="s">
        <v>28</v>
      </c>
      <c r="T2966" t="s">
        <v>90</v>
      </c>
      <c r="U2966" t="s">
        <v>79</v>
      </c>
    </row>
    <row r="2967" spans="1:21" x14ac:dyDescent="0.35">
      <c r="A2967" t="s">
        <v>3047</v>
      </c>
      <c r="B2967" s="1">
        <v>46375</v>
      </c>
      <c r="C2967" t="str">
        <f>TEXT(tblData[[#This Row],[Rental Date]],"mmm")</f>
        <v>Dec</v>
      </c>
      <c r="D2967" t="str">
        <f>TEXT(tblData[[#This Row],[Rental Date]],"mmmm")</f>
        <v>December</v>
      </c>
      <c r="E2967" t="s">
        <v>56</v>
      </c>
      <c r="F2967" t="str">
        <f>TEXT(WEEKNUM(tblData[[#This Row],[Rental Date]]),"00")</f>
        <v>51</v>
      </c>
      <c r="G2967" s="1">
        <f>EOMONTH(tblData[[#This Row],[Rental Date]],0)</f>
        <v>46387</v>
      </c>
      <c r="H2967" t="s">
        <v>22</v>
      </c>
      <c r="I2967" t="s">
        <v>53</v>
      </c>
      <c r="J2967" t="s">
        <v>33</v>
      </c>
      <c r="K2967" t="s">
        <v>25</v>
      </c>
      <c r="L2967">
        <v>1</v>
      </c>
      <c r="M2967" s="2">
        <v>41.04</v>
      </c>
      <c r="N2967" t="s">
        <v>61</v>
      </c>
      <c r="O2967" s="3">
        <v>8</v>
      </c>
      <c r="P2967" s="3">
        <v>7.36</v>
      </c>
      <c r="Q2967" s="2">
        <v>41.68</v>
      </c>
      <c r="R2967" t="s">
        <v>45</v>
      </c>
      <c r="S2967" t="s">
        <v>35</v>
      </c>
      <c r="T2967" t="s">
        <v>29</v>
      </c>
      <c r="U2967" t="s">
        <v>79</v>
      </c>
    </row>
    <row r="2968" spans="1:21" x14ac:dyDescent="0.35">
      <c r="A2968" t="s">
        <v>3048</v>
      </c>
      <c r="B2968" s="1">
        <v>46375</v>
      </c>
      <c r="C2968" t="str">
        <f>TEXT(tblData[[#This Row],[Rental Date]],"mmm")</f>
        <v>Dec</v>
      </c>
      <c r="D2968" t="str">
        <f>TEXT(tblData[[#This Row],[Rental Date]],"mmmm")</f>
        <v>December</v>
      </c>
      <c r="E2968" t="s">
        <v>56</v>
      </c>
      <c r="F2968" t="str">
        <f>TEXT(WEEKNUM(tblData[[#This Row],[Rental Date]]),"00")</f>
        <v>51</v>
      </c>
      <c r="G2968" s="1">
        <f>EOMONTH(tblData[[#This Row],[Rental Date]],0)</f>
        <v>46387</v>
      </c>
      <c r="H2968" t="s">
        <v>22</v>
      </c>
      <c r="I2968" t="s">
        <v>23</v>
      </c>
      <c r="J2968" t="s">
        <v>24</v>
      </c>
      <c r="K2968" t="s">
        <v>92</v>
      </c>
      <c r="L2968">
        <v>1</v>
      </c>
      <c r="M2968" s="2">
        <v>118.8</v>
      </c>
      <c r="N2968" t="s">
        <v>70</v>
      </c>
      <c r="O2968" s="3">
        <v>7</v>
      </c>
      <c r="P2968" s="3">
        <v>0</v>
      </c>
      <c r="Q2968" s="2">
        <v>125.8</v>
      </c>
      <c r="R2968" t="s">
        <v>42</v>
      </c>
      <c r="S2968" t="s">
        <v>46</v>
      </c>
      <c r="T2968" t="s">
        <v>63</v>
      </c>
      <c r="U2968" t="s">
        <v>30</v>
      </c>
    </row>
    <row r="2969" spans="1:21" x14ac:dyDescent="0.35">
      <c r="A2969" t="s">
        <v>3049</v>
      </c>
      <c r="B2969" s="1">
        <v>46376</v>
      </c>
      <c r="C2969" t="str">
        <f>TEXT(tblData[[#This Row],[Rental Date]],"mmm")</f>
        <v>Dec</v>
      </c>
      <c r="D2969" t="str">
        <f>TEXT(tblData[[#This Row],[Rental Date]],"mmmm")</f>
        <v>December</v>
      </c>
      <c r="E2969" t="s">
        <v>68</v>
      </c>
      <c r="F2969" t="str">
        <f>TEXT(WEEKNUM(tblData[[#This Row],[Rental Date]]),"00")</f>
        <v>52</v>
      </c>
      <c r="G2969" s="1">
        <f>EOMONTH(tblData[[#This Row],[Rental Date]],0)</f>
        <v>46387</v>
      </c>
      <c r="H2969" t="s">
        <v>22</v>
      </c>
      <c r="I2969" t="s">
        <v>48</v>
      </c>
      <c r="J2969" t="s">
        <v>49</v>
      </c>
      <c r="K2969" t="s">
        <v>25</v>
      </c>
      <c r="L2969">
        <v>1</v>
      </c>
      <c r="M2969" s="2">
        <v>38.880000000000003</v>
      </c>
      <c r="N2969" t="s">
        <v>41</v>
      </c>
      <c r="O2969" s="3">
        <v>5</v>
      </c>
      <c r="P2969" s="3">
        <v>0</v>
      </c>
      <c r="Q2969" s="2">
        <v>43.88</v>
      </c>
      <c r="R2969" t="s">
        <v>27</v>
      </c>
      <c r="S2969" t="s">
        <v>46</v>
      </c>
      <c r="T2969" t="s">
        <v>29</v>
      </c>
      <c r="U2969" t="s">
        <v>30</v>
      </c>
    </row>
    <row r="2970" spans="1:21" x14ac:dyDescent="0.35">
      <c r="A2970" t="s">
        <v>3050</v>
      </c>
      <c r="B2970" s="1">
        <v>46376</v>
      </c>
      <c r="C2970" t="str">
        <f>TEXT(tblData[[#This Row],[Rental Date]],"mmm")</f>
        <v>Dec</v>
      </c>
      <c r="D2970" t="str">
        <f>TEXT(tblData[[#This Row],[Rental Date]],"mmmm")</f>
        <v>December</v>
      </c>
      <c r="E2970" t="s">
        <v>68</v>
      </c>
      <c r="F2970" t="str">
        <f>TEXT(WEEKNUM(tblData[[#This Row],[Rental Date]]),"00")</f>
        <v>52</v>
      </c>
      <c r="G2970" s="1">
        <f>EOMONTH(tblData[[#This Row],[Rental Date]],0)</f>
        <v>46387</v>
      </c>
      <c r="H2970" t="s">
        <v>22</v>
      </c>
      <c r="I2970" t="s">
        <v>48</v>
      </c>
      <c r="J2970" t="s">
        <v>33</v>
      </c>
      <c r="K2970" t="s">
        <v>60</v>
      </c>
      <c r="L2970">
        <v>1</v>
      </c>
      <c r="M2970" s="2">
        <v>25.92</v>
      </c>
      <c r="N2970" t="s">
        <v>26</v>
      </c>
      <c r="O2970" s="3">
        <v>0</v>
      </c>
      <c r="P2970" s="3">
        <v>0</v>
      </c>
      <c r="Q2970" s="2">
        <v>25.92</v>
      </c>
      <c r="R2970" t="s">
        <v>45</v>
      </c>
      <c r="S2970" t="s">
        <v>54</v>
      </c>
      <c r="T2970" t="s">
        <v>90</v>
      </c>
      <c r="U2970" t="s">
        <v>30</v>
      </c>
    </row>
    <row r="2971" spans="1:21" x14ac:dyDescent="0.35">
      <c r="A2971" t="s">
        <v>3051</v>
      </c>
      <c r="B2971" s="1">
        <v>46377</v>
      </c>
      <c r="C2971" t="str">
        <f>TEXT(tblData[[#This Row],[Rental Date]],"mmm")</f>
        <v>Dec</v>
      </c>
      <c r="D2971" t="str">
        <f>TEXT(tblData[[#This Row],[Rental Date]],"mmmm")</f>
        <v>December</v>
      </c>
      <c r="E2971" t="s">
        <v>74</v>
      </c>
      <c r="F2971" t="str">
        <f>TEXT(WEEKNUM(tblData[[#This Row],[Rental Date]]),"00")</f>
        <v>52</v>
      </c>
      <c r="G2971" s="1">
        <f>EOMONTH(tblData[[#This Row],[Rental Date]],0)</f>
        <v>46387</v>
      </c>
      <c r="H2971" t="s">
        <v>22</v>
      </c>
      <c r="I2971" t="s">
        <v>23</v>
      </c>
      <c r="J2971" t="s">
        <v>78</v>
      </c>
      <c r="K2971" t="s">
        <v>25</v>
      </c>
      <c r="L2971">
        <v>1</v>
      </c>
      <c r="M2971" s="2">
        <v>42</v>
      </c>
      <c r="N2971" t="s">
        <v>26</v>
      </c>
      <c r="O2971" s="3">
        <v>0</v>
      </c>
      <c r="P2971" s="3">
        <v>0</v>
      </c>
      <c r="Q2971" s="2">
        <v>42</v>
      </c>
      <c r="R2971" t="s">
        <v>71</v>
      </c>
      <c r="S2971" t="s">
        <v>46</v>
      </c>
      <c r="T2971" t="s">
        <v>29</v>
      </c>
      <c r="U2971" t="s">
        <v>30</v>
      </c>
    </row>
    <row r="2972" spans="1:21" x14ac:dyDescent="0.35">
      <c r="A2972" t="s">
        <v>3052</v>
      </c>
      <c r="B2972" s="1">
        <v>46377</v>
      </c>
      <c r="C2972" t="str">
        <f>TEXT(tblData[[#This Row],[Rental Date]],"mmm")</f>
        <v>Dec</v>
      </c>
      <c r="D2972" t="str">
        <f>TEXT(tblData[[#This Row],[Rental Date]],"mmmm")</f>
        <v>December</v>
      </c>
      <c r="E2972" t="s">
        <v>74</v>
      </c>
      <c r="F2972" t="str">
        <f>TEXT(WEEKNUM(tblData[[#This Row],[Rental Date]]),"00")</f>
        <v>52</v>
      </c>
      <c r="G2972" s="1">
        <f>EOMONTH(tblData[[#This Row],[Rental Date]],0)</f>
        <v>46387</v>
      </c>
      <c r="H2972" t="s">
        <v>22</v>
      </c>
      <c r="I2972" t="s">
        <v>48</v>
      </c>
      <c r="J2972" t="s">
        <v>78</v>
      </c>
      <c r="K2972" t="s">
        <v>25</v>
      </c>
      <c r="L2972">
        <v>1</v>
      </c>
      <c r="M2972" s="2">
        <v>42</v>
      </c>
      <c r="N2972" t="s">
        <v>26</v>
      </c>
      <c r="O2972" s="3">
        <v>0</v>
      </c>
      <c r="P2972" s="3">
        <v>0</v>
      </c>
      <c r="Q2972" s="2">
        <v>42</v>
      </c>
      <c r="R2972" t="s">
        <v>57</v>
      </c>
      <c r="S2972" t="s">
        <v>28</v>
      </c>
      <c r="T2972" t="s">
        <v>51</v>
      </c>
      <c r="U2972" t="s">
        <v>30</v>
      </c>
    </row>
    <row r="2973" spans="1:21" x14ac:dyDescent="0.35">
      <c r="A2973" t="s">
        <v>3053</v>
      </c>
      <c r="B2973" s="1">
        <v>46377</v>
      </c>
      <c r="C2973" t="str">
        <f>TEXT(tblData[[#This Row],[Rental Date]],"mmm")</f>
        <v>Dec</v>
      </c>
      <c r="D2973" t="str">
        <f>TEXT(tblData[[#This Row],[Rental Date]],"mmmm")</f>
        <v>December</v>
      </c>
      <c r="E2973" t="s">
        <v>74</v>
      </c>
      <c r="F2973" t="str">
        <f>TEXT(WEEKNUM(tblData[[#This Row],[Rental Date]]),"00")</f>
        <v>52</v>
      </c>
      <c r="G2973" s="1">
        <f>EOMONTH(tblData[[#This Row],[Rental Date]],0)</f>
        <v>46387</v>
      </c>
      <c r="H2973" t="s">
        <v>22</v>
      </c>
      <c r="I2973" t="s">
        <v>48</v>
      </c>
      <c r="J2973" t="s">
        <v>33</v>
      </c>
      <c r="K2973" t="s">
        <v>40</v>
      </c>
      <c r="L2973">
        <v>1</v>
      </c>
      <c r="M2973" s="2">
        <v>58</v>
      </c>
      <c r="N2973" t="s">
        <v>61</v>
      </c>
      <c r="O2973" s="3">
        <v>8</v>
      </c>
      <c r="P2973" s="3">
        <v>0</v>
      </c>
      <c r="Q2973" s="2">
        <v>66</v>
      </c>
      <c r="R2973" t="s">
        <v>57</v>
      </c>
      <c r="S2973" t="s">
        <v>35</v>
      </c>
      <c r="T2973" t="s">
        <v>51</v>
      </c>
      <c r="U2973" t="s">
        <v>79</v>
      </c>
    </row>
    <row r="2974" spans="1:21" x14ac:dyDescent="0.35">
      <c r="A2974" t="s">
        <v>3054</v>
      </c>
      <c r="B2974" s="1">
        <v>46377</v>
      </c>
      <c r="C2974" t="str">
        <f>TEXT(tblData[[#This Row],[Rental Date]],"mmm")</f>
        <v>Dec</v>
      </c>
      <c r="D2974" t="str">
        <f>TEXT(tblData[[#This Row],[Rental Date]],"mmmm")</f>
        <v>December</v>
      </c>
      <c r="E2974" t="s">
        <v>74</v>
      </c>
      <c r="F2974" t="str">
        <f>TEXT(WEEKNUM(tblData[[#This Row],[Rental Date]]),"00")</f>
        <v>52</v>
      </c>
      <c r="G2974" s="1">
        <f>EOMONTH(tblData[[#This Row],[Rental Date]],0)</f>
        <v>46387</v>
      </c>
      <c r="H2974" t="s">
        <v>22</v>
      </c>
      <c r="I2974" t="s">
        <v>48</v>
      </c>
      <c r="J2974" t="s">
        <v>65</v>
      </c>
      <c r="K2974" t="s">
        <v>92</v>
      </c>
      <c r="L2974">
        <v>1</v>
      </c>
      <c r="M2974" s="2">
        <v>40</v>
      </c>
      <c r="N2974" t="s">
        <v>89</v>
      </c>
      <c r="O2974" s="3">
        <v>6</v>
      </c>
      <c r="P2974" s="3">
        <v>0</v>
      </c>
      <c r="Q2974" s="2">
        <v>46</v>
      </c>
      <c r="R2974" t="s">
        <v>45</v>
      </c>
      <c r="S2974" t="s">
        <v>35</v>
      </c>
      <c r="T2974" t="s">
        <v>90</v>
      </c>
      <c r="U2974" t="s">
        <v>36</v>
      </c>
    </row>
    <row r="2975" spans="1:21" x14ac:dyDescent="0.35">
      <c r="A2975" t="s">
        <v>3055</v>
      </c>
      <c r="B2975" s="1">
        <v>46379</v>
      </c>
      <c r="C2975" t="str">
        <f>TEXT(tblData[[#This Row],[Rental Date]],"mmm")</f>
        <v>Dec</v>
      </c>
      <c r="D2975" t="str">
        <f>TEXT(tblData[[#This Row],[Rental Date]],"mmmm")</f>
        <v>December</v>
      </c>
      <c r="E2975" t="s">
        <v>109</v>
      </c>
      <c r="F2975" t="str">
        <f>TEXT(WEEKNUM(tblData[[#This Row],[Rental Date]]),"00")</f>
        <v>52</v>
      </c>
      <c r="G2975" s="1">
        <f>EOMONTH(tblData[[#This Row],[Rental Date]],0)</f>
        <v>46387</v>
      </c>
      <c r="H2975" t="s">
        <v>22</v>
      </c>
      <c r="I2975" t="s">
        <v>48</v>
      </c>
      <c r="J2975" t="s">
        <v>33</v>
      </c>
      <c r="K2975" t="s">
        <v>25</v>
      </c>
      <c r="L2975">
        <v>1</v>
      </c>
      <c r="M2975" s="2">
        <v>38</v>
      </c>
      <c r="N2975" t="s">
        <v>61</v>
      </c>
      <c r="O2975" s="3">
        <v>8</v>
      </c>
      <c r="P2975" s="3">
        <v>2.2999999999999998</v>
      </c>
      <c r="Q2975" s="2">
        <v>43.7</v>
      </c>
      <c r="R2975" t="s">
        <v>45</v>
      </c>
      <c r="S2975" t="s">
        <v>28</v>
      </c>
      <c r="T2975" t="s">
        <v>51</v>
      </c>
      <c r="U2975" t="s">
        <v>30</v>
      </c>
    </row>
    <row r="2976" spans="1:21" x14ac:dyDescent="0.35">
      <c r="A2976" t="s">
        <v>3056</v>
      </c>
      <c r="B2976" s="1">
        <v>46379</v>
      </c>
      <c r="C2976" t="str">
        <f>TEXT(tblData[[#This Row],[Rental Date]],"mmm")</f>
        <v>Dec</v>
      </c>
      <c r="D2976" t="str">
        <f>TEXT(tblData[[#This Row],[Rental Date]],"mmmm")</f>
        <v>December</v>
      </c>
      <c r="E2976" t="s">
        <v>109</v>
      </c>
      <c r="F2976" t="str">
        <f>TEXT(WEEKNUM(tblData[[#This Row],[Rental Date]]),"00")</f>
        <v>52</v>
      </c>
      <c r="G2976" s="1">
        <f>EOMONTH(tblData[[#This Row],[Rental Date]],0)</f>
        <v>46387</v>
      </c>
      <c r="H2976" t="s">
        <v>22</v>
      </c>
      <c r="I2976" t="s">
        <v>48</v>
      </c>
      <c r="J2976" t="s">
        <v>127</v>
      </c>
      <c r="K2976" t="s">
        <v>92</v>
      </c>
      <c r="L2976">
        <v>1</v>
      </c>
      <c r="M2976" s="2">
        <v>34</v>
      </c>
      <c r="N2976" t="s">
        <v>26</v>
      </c>
      <c r="O2976" s="3">
        <v>0</v>
      </c>
      <c r="P2976" s="3">
        <v>0</v>
      </c>
      <c r="Q2976" s="2">
        <v>34</v>
      </c>
      <c r="R2976" t="s">
        <v>94</v>
      </c>
      <c r="S2976" t="s">
        <v>28</v>
      </c>
      <c r="T2976" t="s">
        <v>90</v>
      </c>
      <c r="U2976" t="s">
        <v>36</v>
      </c>
    </row>
    <row r="2977" spans="1:21" x14ac:dyDescent="0.35">
      <c r="A2977" t="s">
        <v>3057</v>
      </c>
      <c r="B2977" s="1">
        <v>46379</v>
      </c>
      <c r="C2977" t="str">
        <f>TEXT(tblData[[#This Row],[Rental Date]],"mmm")</f>
        <v>Dec</v>
      </c>
      <c r="D2977" t="str">
        <f>TEXT(tblData[[#This Row],[Rental Date]],"mmmm")</f>
        <v>December</v>
      </c>
      <c r="E2977" t="s">
        <v>109</v>
      </c>
      <c r="F2977" t="str">
        <f>TEXT(WEEKNUM(tblData[[#This Row],[Rental Date]]),"00")</f>
        <v>52</v>
      </c>
      <c r="G2977" s="1">
        <f>EOMONTH(tblData[[#This Row],[Rental Date]],0)</f>
        <v>46387</v>
      </c>
      <c r="H2977" t="s">
        <v>22</v>
      </c>
      <c r="I2977" t="s">
        <v>39</v>
      </c>
      <c r="J2977" t="s">
        <v>127</v>
      </c>
      <c r="K2977" t="s">
        <v>92</v>
      </c>
      <c r="L2977">
        <v>1</v>
      </c>
      <c r="M2977" s="2">
        <v>34</v>
      </c>
      <c r="N2977" t="s">
        <v>26</v>
      </c>
      <c r="O2977" s="3">
        <v>0</v>
      </c>
      <c r="P2977" s="3">
        <v>0</v>
      </c>
      <c r="Q2977" s="2">
        <v>34</v>
      </c>
      <c r="R2977" t="s">
        <v>62</v>
      </c>
      <c r="S2977" t="s">
        <v>28</v>
      </c>
      <c r="T2977" t="s">
        <v>90</v>
      </c>
      <c r="U2977" t="s">
        <v>58</v>
      </c>
    </row>
    <row r="2978" spans="1:21" x14ac:dyDescent="0.35">
      <c r="A2978" t="s">
        <v>3058</v>
      </c>
      <c r="B2978" s="1">
        <v>46380</v>
      </c>
      <c r="C2978" t="str">
        <f>TEXT(tblData[[#This Row],[Rental Date]],"mmm")</f>
        <v>Dec</v>
      </c>
      <c r="D2978" t="str">
        <f>TEXT(tblData[[#This Row],[Rental Date]],"mmmm")</f>
        <v>December</v>
      </c>
      <c r="E2978" t="s">
        <v>21</v>
      </c>
      <c r="F2978" t="str">
        <f>TEXT(WEEKNUM(tblData[[#This Row],[Rental Date]]),"00")</f>
        <v>52</v>
      </c>
      <c r="G2978" s="1">
        <f>EOMONTH(tblData[[#This Row],[Rental Date]],0)</f>
        <v>46387</v>
      </c>
      <c r="H2978" t="s">
        <v>22</v>
      </c>
      <c r="I2978" t="s">
        <v>53</v>
      </c>
      <c r="J2978" t="s">
        <v>111</v>
      </c>
      <c r="K2978" t="s">
        <v>60</v>
      </c>
      <c r="L2978">
        <v>1</v>
      </c>
      <c r="M2978" s="2">
        <v>14</v>
      </c>
      <c r="N2978" t="s">
        <v>87</v>
      </c>
      <c r="O2978" s="3">
        <v>10</v>
      </c>
      <c r="P2978" s="3">
        <v>3.6</v>
      </c>
      <c r="Q2978" s="2">
        <v>20.399999999999999</v>
      </c>
      <c r="R2978" t="s">
        <v>76</v>
      </c>
      <c r="S2978" t="s">
        <v>54</v>
      </c>
      <c r="T2978" t="s">
        <v>29</v>
      </c>
      <c r="U2978" t="s">
        <v>30</v>
      </c>
    </row>
    <row r="2979" spans="1:21" x14ac:dyDescent="0.35">
      <c r="A2979" t="s">
        <v>3059</v>
      </c>
      <c r="B2979" s="1">
        <v>46380</v>
      </c>
      <c r="C2979" t="str">
        <f>TEXT(tblData[[#This Row],[Rental Date]],"mmm")</f>
        <v>Dec</v>
      </c>
      <c r="D2979" t="str">
        <f>TEXT(tblData[[#This Row],[Rental Date]],"mmmm")</f>
        <v>December</v>
      </c>
      <c r="E2979" t="s">
        <v>21</v>
      </c>
      <c r="F2979" t="str">
        <f>TEXT(WEEKNUM(tblData[[#This Row],[Rental Date]]),"00")</f>
        <v>52</v>
      </c>
      <c r="G2979" s="1">
        <f>EOMONTH(tblData[[#This Row],[Rental Date]],0)</f>
        <v>46387</v>
      </c>
      <c r="H2979" t="s">
        <v>22</v>
      </c>
      <c r="I2979" t="s">
        <v>39</v>
      </c>
      <c r="J2979" t="s">
        <v>33</v>
      </c>
      <c r="K2979" t="s">
        <v>60</v>
      </c>
      <c r="L2979">
        <v>1</v>
      </c>
      <c r="M2979" s="2">
        <v>24</v>
      </c>
      <c r="N2979" t="s">
        <v>26</v>
      </c>
      <c r="O2979" s="3">
        <v>0</v>
      </c>
      <c r="P2979" s="3">
        <v>0</v>
      </c>
      <c r="Q2979" s="2">
        <v>24</v>
      </c>
      <c r="R2979" t="s">
        <v>57</v>
      </c>
      <c r="S2979" t="s">
        <v>46</v>
      </c>
      <c r="T2979" t="s">
        <v>90</v>
      </c>
      <c r="U2979" t="s">
        <v>36</v>
      </c>
    </row>
    <row r="2980" spans="1:21" x14ac:dyDescent="0.35">
      <c r="A2980" t="s">
        <v>3060</v>
      </c>
      <c r="B2980" s="1">
        <v>46380</v>
      </c>
      <c r="C2980" t="str">
        <f>TEXT(tblData[[#This Row],[Rental Date]],"mmm")</f>
        <v>Dec</v>
      </c>
      <c r="D2980" t="str">
        <f>TEXT(tblData[[#This Row],[Rental Date]],"mmmm")</f>
        <v>December</v>
      </c>
      <c r="E2980" t="s">
        <v>21</v>
      </c>
      <c r="F2980" t="str">
        <f>TEXT(WEEKNUM(tblData[[#This Row],[Rental Date]]),"00")</f>
        <v>52</v>
      </c>
      <c r="G2980" s="1">
        <f>EOMONTH(tblData[[#This Row],[Rental Date]],0)</f>
        <v>46387</v>
      </c>
      <c r="H2980" t="s">
        <v>22</v>
      </c>
      <c r="I2980" t="s">
        <v>32</v>
      </c>
      <c r="J2980" t="s">
        <v>78</v>
      </c>
      <c r="K2980" t="s">
        <v>25</v>
      </c>
      <c r="L2980">
        <v>1</v>
      </c>
      <c r="M2980" s="2">
        <v>42</v>
      </c>
      <c r="N2980" t="s">
        <v>41</v>
      </c>
      <c r="O2980" s="3">
        <v>5</v>
      </c>
      <c r="P2980" s="3">
        <v>4.7</v>
      </c>
      <c r="Q2980" s="2">
        <v>42.3</v>
      </c>
      <c r="R2980" t="s">
        <v>62</v>
      </c>
      <c r="S2980" t="s">
        <v>54</v>
      </c>
      <c r="T2980" t="s">
        <v>63</v>
      </c>
      <c r="U2980" t="s">
        <v>79</v>
      </c>
    </row>
    <row r="2981" spans="1:21" x14ac:dyDescent="0.35">
      <c r="A2981" t="s">
        <v>3061</v>
      </c>
      <c r="B2981" s="1">
        <v>46381</v>
      </c>
      <c r="C2981" t="str">
        <f>TEXT(tblData[[#This Row],[Rental Date]],"mmm")</f>
        <v>Dec</v>
      </c>
      <c r="D2981" t="str">
        <f>TEXT(tblData[[#This Row],[Rental Date]],"mmmm")</f>
        <v>December</v>
      </c>
      <c r="E2981" t="s">
        <v>38</v>
      </c>
      <c r="F2981" t="str">
        <f>TEXT(WEEKNUM(tblData[[#This Row],[Rental Date]]),"00")</f>
        <v>52</v>
      </c>
      <c r="G2981" s="1">
        <f>EOMONTH(tblData[[#This Row],[Rental Date]],0)</f>
        <v>46387</v>
      </c>
      <c r="H2981" t="s">
        <v>22</v>
      </c>
      <c r="I2981" t="s">
        <v>39</v>
      </c>
      <c r="J2981" t="s">
        <v>78</v>
      </c>
      <c r="K2981" t="s">
        <v>25</v>
      </c>
      <c r="L2981">
        <v>1</v>
      </c>
      <c r="M2981" s="2">
        <v>42</v>
      </c>
      <c r="N2981" t="s">
        <v>41</v>
      </c>
      <c r="O2981" s="3">
        <v>5</v>
      </c>
      <c r="P2981" s="3">
        <v>0</v>
      </c>
      <c r="Q2981" s="2">
        <v>47</v>
      </c>
      <c r="R2981" t="s">
        <v>66</v>
      </c>
      <c r="S2981" t="s">
        <v>28</v>
      </c>
      <c r="T2981" t="s">
        <v>90</v>
      </c>
      <c r="U2981" t="s">
        <v>58</v>
      </c>
    </row>
    <row r="2982" spans="1:21" x14ac:dyDescent="0.35">
      <c r="A2982" t="s">
        <v>3062</v>
      </c>
      <c r="B2982" s="1">
        <v>46381</v>
      </c>
      <c r="C2982" t="str">
        <f>TEXT(tblData[[#This Row],[Rental Date]],"mmm")</f>
        <v>Dec</v>
      </c>
      <c r="D2982" t="str">
        <f>TEXT(tblData[[#This Row],[Rental Date]],"mmmm")</f>
        <v>December</v>
      </c>
      <c r="E2982" t="s">
        <v>38</v>
      </c>
      <c r="F2982" t="str">
        <f>TEXT(WEEKNUM(tblData[[#This Row],[Rental Date]]),"00")</f>
        <v>52</v>
      </c>
      <c r="G2982" s="1">
        <f>EOMONTH(tblData[[#This Row],[Rental Date]],0)</f>
        <v>46387</v>
      </c>
      <c r="H2982" t="s">
        <v>22</v>
      </c>
      <c r="I2982" t="s">
        <v>48</v>
      </c>
      <c r="J2982" t="s">
        <v>33</v>
      </c>
      <c r="K2982" t="s">
        <v>40</v>
      </c>
      <c r="L2982">
        <v>1</v>
      </c>
      <c r="M2982" s="2">
        <v>58</v>
      </c>
      <c r="N2982" t="s">
        <v>26</v>
      </c>
      <c r="O2982" s="3">
        <v>0</v>
      </c>
      <c r="P2982" s="3">
        <v>0</v>
      </c>
      <c r="Q2982" s="2">
        <v>58</v>
      </c>
      <c r="R2982" t="s">
        <v>34</v>
      </c>
      <c r="S2982" t="s">
        <v>54</v>
      </c>
      <c r="T2982" t="s">
        <v>51</v>
      </c>
      <c r="U2982" t="s">
        <v>36</v>
      </c>
    </row>
    <row r="2983" spans="1:21" x14ac:dyDescent="0.35">
      <c r="A2983" t="s">
        <v>3063</v>
      </c>
      <c r="B2983" s="1">
        <v>46382</v>
      </c>
      <c r="C2983" t="str">
        <f>TEXT(tblData[[#This Row],[Rental Date]],"mmm")</f>
        <v>Dec</v>
      </c>
      <c r="D2983" t="str">
        <f>TEXT(tblData[[#This Row],[Rental Date]],"mmmm")</f>
        <v>December</v>
      </c>
      <c r="E2983" t="s">
        <v>56</v>
      </c>
      <c r="F2983" t="str">
        <f>TEXT(WEEKNUM(tblData[[#This Row],[Rental Date]]),"00")</f>
        <v>52</v>
      </c>
      <c r="G2983" s="1">
        <f>EOMONTH(tblData[[#This Row],[Rental Date]],0)</f>
        <v>46387</v>
      </c>
      <c r="H2983" t="s">
        <v>22</v>
      </c>
      <c r="I2983" t="s">
        <v>48</v>
      </c>
      <c r="J2983" t="s">
        <v>33</v>
      </c>
      <c r="K2983" t="s">
        <v>60</v>
      </c>
      <c r="L2983">
        <v>1</v>
      </c>
      <c r="M2983" s="2">
        <v>25.92</v>
      </c>
      <c r="N2983" t="s">
        <v>61</v>
      </c>
      <c r="O2983" s="3">
        <v>8</v>
      </c>
      <c r="P2983" s="3">
        <v>0</v>
      </c>
      <c r="Q2983" s="2">
        <v>33.92</v>
      </c>
      <c r="R2983" t="s">
        <v>27</v>
      </c>
      <c r="S2983" t="s">
        <v>35</v>
      </c>
      <c r="T2983" t="s">
        <v>29</v>
      </c>
      <c r="U2983" t="s">
        <v>79</v>
      </c>
    </row>
    <row r="2984" spans="1:21" x14ac:dyDescent="0.35">
      <c r="A2984" t="s">
        <v>3064</v>
      </c>
      <c r="B2984" s="1">
        <v>46382</v>
      </c>
      <c r="C2984" t="str">
        <f>TEXT(tblData[[#This Row],[Rental Date]],"mmm")</f>
        <v>Dec</v>
      </c>
      <c r="D2984" t="str">
        <f>TEXT(tblData[[#This Row],[Rental Date]],"mmmm")</f>
        <v>December</v>
      </c>
      <c r="E2984" t="s">
        <v>56</v>
      </c>
      <c r="F2984" t="str">
        <f>TEXT(WEEKNUM(tblData[[#This Row],[Rental Date]]),"00")</f>
        <v>52</v>
      </c>
      <c r="G2984" s="1">
        <f>EOMONTH(tblData[[#This Row],[Rental Date]],0)</f>
        <v>46387</v>
      </c>
      <c r="H2984" t="s">
        <v>22</v>
      </c>
      <c r="I2984" t="s">
        <v>48</v>
      </c>
      <c r="J2984" t="s">
        <v>111</v>
      </c>
      <c r="K2984" t="s">
        <v>25</v>
      </c>
      <c r="L2984">
        <v>1</v>
      </c>
      <c r="M2984" s="2">
        <v>23.76</v>
      </c>
      <c r="N2984" t="s">
        <v>61</v>
      </c>
      <c r="O2984" s="3">
        <v>8</v>
      </c>
      <c r="P2984" s="3">
        <v>0</v>
      </c>
      <c r="Q2984" s="2">
        <v>31.76</v>
      </c>
      <c r="R2984" t="s">
        <v>42</v>
      </c>
      <c r="S2984" t="s">
        <v>35</v>
      </c>
      <c r="T2984" t="s">
        <v>51</v>
      </c>
      <c r="U2984" t="s">
        <v>30</v>
      </c>
    </row>
    <row r="2985" spans="1:21" x14ac:dyDescent="0.35">
      <c r="A2985" t="s">
        <v>3065</v>
      </c>
      <c r="B2985" s="1">
        <v>46382</v>
      </c>
      <c r="C2985" t="str">
        <f>TEXT(tblData[[#This Row],[Rental Date]],"mmm")</f>
        <v>Dec</v>
      </c>
      <c r="D2985" t="str">
        <f>TEXT(tblData[[#This Row],[Rental Date]],"mmmm")</f>
        <v>December</v>
      </c>
      <c r="E2985" t="s">
        <v>56</v>
      </c>
      <c r="F2985" t="str">
        <f>TEXT(WEEKNUM(tblData[[#This Row],[Rental Date]]),"00")</f>
        <v>52</v>
      </c>
      <c r="G2985" s="1">
        <f>EOMONTH(tblData[[#This Row],[Rental Date]],0)</f>
        <v>46387</v>
      </c>
      <c r="H2985" t="s">
        <v>22</v>
      </c>
      <c r="I2985" t="s">
        <v>23</v>
      </c>
      <c r="J2985" t="s">
        <v>49</v>
      </c>
      <c r="K2985" t="s">
        <v>25</v>
      </c>
      <c r="L2985">
        <v>1</v>
      </c>
      <c r="M2985" s="2">
        <v>38.880000000000003</v>
      </c>
      <c r="N2985" t="s">
        <v>89</v>
      </c>
      <c r="O2985" s="3">
        <v>6</v>
      </c>
      <c r="P2985" s="3">
        <v>0</v>
      </c>
      <c r="Q2985" s="2">
        <v>44.88</v>
      </c>
      <c r="R2985" t="s">
        <v>57</v>
      </c>
      <c r="S2985" t="s">
        <v>46</v>
      </c>
      <c r="T2985" t="s">
        <v>51</v>
      </c>
      <c r="U2985" t="s">
        <v>30</v>
      </c>
    </row>
    <row r="2986" spans="1:21" x14ac:dyDescent="0.35">
      <c r="A2986" t="s">
        <v>3066</v>
      </c>
      <c r="B2986" s="1">
        <v>46382</v>
      </c>
      <c r="C2986" t="str">
        <f>TEXT(tblData[[#This Row],[Rental Date]],"mmm")</f>
        <v>Dec</v>
      </c>
      <c r="D2986" t="str">
        <f>TEXT(tblData[[#This Row],[Rental Date]],"mmmm")</f>
        <v>December</v>
      </c>
      <c r="E2986" t="s">
        <v>56</v>
      </c>
      <c r="F2986" t="str">
        <f>TEXT(WEEKNUM(tblData[[#This Row],[Rental Date]]),"00")</f>
        <v>52</v>
      </c>
      <c r="G2986" s="1">
        <f>EOMONTH(tblData[[#This Row],[Rental Date]],0)</f>
        <v>46387</v>
      </c>
      <c r="H2986" t="s">
        <v>22</v>
      </c>
      <c r="I2986" t="s">
        <v>39</v>
      </c>
      <c r="J2986" t="s">
        <v>44</v>
      </c>
      <c r="K2986" t="s">
        <v>40</v>
      </c>
      <c r="L2986">
        <v>1</v>
      </c>
      <c r="M2986" s="2">
        <v>84.24</v>
      </c>
      <c r="N2986" t="s">
        <v>26</v>
      </c>
      <c r="O2986" s="3">
        <v>0</v>
      </c>
      <c r="P2986" s="3">
        <v>0</v>
      </c>
      <c r="Q2986" s="2">
        <v>84.24</v>
      </c>
      <c r="R2986" t="s">
        <v>62</v>
      </c>
      <c r="S2986" t="s">
        <v>54</v>
      </c>
      <c r="T2986" t="s">
        <v>90</v>
      </c>
      <c r="U2986" t="s">
        <v>58</v>
      </c>
    </row>
    <row r="2987" spans="1:21" x14ac:dyDescent="0.35">
      <c r="A2987" t="s">
        <v>3067</v>
      </c>
      <c r="B2987" s="1">
        <v>46383</v>
      </c>
      <c r="C2987" t="str">
        <f>TEXT(tblData[[#This Row],[Rental Date]],"mmm")</f>
        <v>Dec</v>
      </c>
      <c r="D2987" t="str">
        <f>TEXT(tblData[[#This Row],[Rental Date]],"mmmm")</f>
        <v>December</v>
      </c>
      <c r="E2987" t="s">
        <v>68</v>
      </c>
      <c r="F2987" t="str">
        <f>TEXT(WEEKNUM(tblData[[#This Row],[Rental Date]]),"00")</f>
        <v>53</v>
      </c>
      <c r="G2987" s="1">
        <f>EOMONTH(tblData[[#This Row],[Rental Date]],0)</f>
        <v>46387</v>
      </c>
      <c r="H2987" t="s">
        <v>22</v>
      </c>
      <c r="I2987" t="s">
        <v>39</v>
      </c>
      <c r="J2987" t="s">
        <v>78</v>
      </c>
      <c r="K2987" t="s">
        <v>25</v>
      </c>
      <c r="L2987">
        <v>1</v>
      </c>
      <c r="M2987" s="2">
        <v>45.36</v>
      </c>
      <c r="N2987" t="s">
        <v>26</v>
      </c>
      <c r="O2987" s="3">
        <v>0</v>
      </c>
      <c r="P2987" s="3">
        <v>2.27</v>
      </c>
      <c r="Q2987" s="2">
        <v>43.09</v>
      </c>
      <c r="R2987" t="s">
        <v>62</v>
      </c>
      <c r="S2987" t="s">
        <v>54</v>
      </c>
      <c r="T2987" t="s">
        <v>90</v>
      </c>
      <c r="U2987" t="s">
        <v>79</v>
      </c>
    </row>
    <row r="2988" spans="1:21" x14ac:dyDescent="0.35">
      <c r="A2988" t="s">
        <v>3068</v>
      </c>
      <c r="B2988" s="1">
        <v>46383</v>
      </c>
      <c r="C2988" t="str">
        <f>TEXT(tblData[[#This Row],[Rental Date]],"mmm")</f>
        <v>Dec</v>
      </c>
      <c r="D2988" t="str">
        <f>TEXT(tblData[[#This Row],[Rental Date]],"mmmm")</f>
        <v>December</v>
      </c>
      <c r="E2988" t="s">
        <v>68</v>
      </c>
      <c r="F2988" t="str">
        <f>TEXT(WEEKNUM(tblData[[#This Row],[Rental Date]]),"00")</f>
        <v>53</v>
      </c>
      <c r="G2988" s="1">
        <f>EOMONTH(tblData[[#This Row],[Rental Date]],0)</f>
        <v>46387</v>
      </c>
      <c r="H2988" t="s">
        <v>22</v>
      </c>
      <c r="I2988" t="s">
        <v>32</v>
      </c>
      <c r="J2988" t="s">
        <v>127</v>
      </c>
      <c r="K2988" t="s">
        <v>92</v>
      </c>
      <c r="L2988">
        <v>1</v>
      </c>
      <c r="M2988" s="2">
        <v>36.72</v>
      </c>
      <c r="N2988" t="s">
        <v>41</v>
      </c>
      <c r="O2988" s="3">
        <v>5</v>
      </c>
      <c r="P2988" s="3">
        <v>2.09</v>
      </c>
      <c r="Q2988" s="2">
        <v>39.630000000000003</v>
      </c>
      <c r="R2988" t="s">
        <v>57</v>
      </c>
      <c r="S2988" t="s">
        <v>28</v>
      </c>
      <c r="T2988" t="s">
        <v>51</v>
      </c>
      <c r="U2988" t="s">
        <v>58</v>
      </c>
    </row>
    <row r="2989" spans="1:21" x14ac:dyDescent="0.35">
      <c r="A2989" t="s">
        <v>3069</v>
      </c>
      <c r="B2989" s="1">
        <v>46383</v>
      </c>
      <c r="C2989" t="str">
        <f>TEXT(tblData[[#This Row],[Rental Date]],"mmm")</f>
        <v>Dec</v>
      </c>
      <c r="D2989" t="str">
        <f>TEXT(tblData[[#This Row],[Rental Date]],"mmmm")</f>
        <v>December</v>
      </c>
      <c r="E2989" t="s">
        <v>68</v>
      </c>
      <c r="F2989" t="str">
        <f>TEXT(WEEKNUM(tblData[[#This Row],[Rental Date]]),"00")</f>
        <v>53</v>
      </c>
      <c r="G2989" s="1">
        <f>EOMONTH(tblData[[#This Row],[Rental Date]],0)</f>
        <v>46387</v>
      </c>
      <c r="H2989" t="s">
        <v>22</v>
      </c>
      <c r="I2989" t="s">
        <v>39</v>
      </c>
      <c r="J2989" t="s">
        <v>44</v>
      </c>
      <c r="K2989" t="s">
        <v>40</v>
      </c>
      <c r="L2989">
        <v>1</v>
      </c>
      <c r="M2989" s="2">
        <v>84.24</v>
      </c>
      <c r="N2989" t="s">
        <v>26</v>
      </c>
      <c r="O2989" s="3">
        <v>0</v>
      </c>
      <c r="P2989" s="3">
        <v>0</v>
      </c>
      <c r="Q2989" s="2">
        <v>84.24</v>
      </c>
      <c r="R2989" t="s">
        <v>71</v>
      </c>
      <c r="S2989" t="s">
        <v>46</v>
      </c>
      <c r="T2989" t="s">
        <v>51</v>
      </c>
      <c r="U2989" t="s">
        <v>79</v>
      </c>
    </row>
    <row r="2990" spans="1:21" x14ac:dyDescent="0.35">
      <c r="A2990" t="s">
        <v>3070</v>
      </c>
      <c r="B2990" s="1">
        <v>46383</v>
      </c>
      <c r="C2990" t="str">
        <f>TEXT(tblData[[#This Row],[Rental Date]],"mmm")</f>
        <v>Dec</v>
      </c>
      <c r="D2990" t="str">
        <f>TEXT(tblData[[#This Row],[Rental Date]],"mmmm")</f>
        <v>December</v>
      </c>
      <c r="E2990" t="s">
        <v>68</v>
      </c>
      <c r="F2990" t="str">
        <f>TEXT(WEEKNUM(tblData[[#This Row],[Rental Date]]),"00")</f>
        <v>53</v>
      </c>
      <c r="G2990" s="1">
        <f>EOMONTH(tblData[[#This Row],[Rental Date]],0)</f>
        <v>46387</v>
      </c>
      <c r="H2990" t="s">
        <v>22</v>
      </c>
      <c r="I2990" t="s">
        <v>39</v>
      </c>
      <c r="J2990" t="s">
        <v>78</v>
      </c>
      <c r="K2990" t="s">
        <v>92</v>
      </c>
      <c r="L2990">
        <v>1</v>
      </c>
      <c r="M2990" s="2">
        <v>95.04</v>
      </c>
      <c r="N2990" t="s">
        <v>89</v>
      </c>
      <c r="O2990" s="3">
        <v>6</v>
      </c>
      <c r="P2990" s="3">
        <v>0</v>
      </c>
      <c r="Q2990" s="2">
        <v>101.04</v>
      </c>
      <c r="R2990" t="s">
        <v>66</v>
      </c>
      <c r="S2990" t="s">
        <v>35</v>
      </c>
      <c r="T2990" t="s">
        <v>29</v>
      </c>
      <c r="U2990" t="s">
        <v>58</v>
      </c>
    </row>
    <row r="2991" spans="1:21" x14ac:dyDescent="0.35">
      <c r="A2991" t="s">
        <v>3071</v>
      </c>
      <c r="B2991" s="1">
        <v>46384</v>
      </c>
      <c r="C2991" t="str">
        <f>TEXT(tblData[[#This Row],[Rental Date]],"mmm")</f>
        <v>Dec</v>
      </c>
      <c r="D2991" t="str">
        <f>TEXT(tblData[[#This Row],[Rental Date]],"mmmm")</f>
        <v>December</v>
      </c>
      <c r="E2991" t="s">
        <v>74</v>
      </c>
      <c r="F2991" t="str">
        <f>TEXT(WEEKNUM(tblData[[#This Row],[Rental Date]]),"00")</f>
        <v>53</v>
      </c>
      <c r="G2991" s="1">
        <f>EOMONTH(tblData[[#This Row],[Rental Date]],0)</f>
        <v>46387</v>
      </c>
      <c r="H2991" t="s">
        <v>22</v>
      </c>
      <c r="I2991" t="s">
        <v>48</v>
      </c>
      <c r="J2991" t="s">
        <v>78</v>
      </c>
      <c r="K2991" t="s">
        <v>92</v>
      </c>
      <c r="L2991">
        <v>1</v>
      </c>
      <c r="M2991" s="2">
        <v>88</v>
      </c>
      <c r="N2991" t="s">
        <v>41</v>
      </c>
      <c r="O2991" s="3">
        <v>5</v>
      </c>
      <c r="P2991" s="3">
        <v>0</v>
      </c>
      <c r="Q2991" s="2">
        <v>93</v>
      </c>
      <c r="R2991" t="s">
        <v>76</v>
      </c>
      <c r="S2991" t="s">
        <v>28</v>
      </c>
      <c r="T2991" t="s">
        <v>29</v>
      </c>
      <c r="U2991" t="s">
        <v>36</v>
      </c>
    </row>
    <row r="2992" spans="1:21" x14ac:dyDescent="0.35">
      <c r="A2992" t="s">
        <v>3072</v>
      </c>
      <c r="B2992" s="1">
        <v>46385</v>
      </c>
      <c r="C2992" t="str">
        <f>TEXT(tblData[[#This Row],[Rental Date]],"mmm")</f>
        <v>Dec</v>
      </c>
      <c r="D2992" t="str">
        <f>TEXT(tblData[[#This Row],[Rental Date]],"mmmm")</f>
        <v>December</v>
      </c>
      <c r="E2992" t="s">
        <v>102</v>
      </c>
      <c r="F2992" t="str">
        <f>TEXT(WEEKNUM(tblData[[#This Row],[Rental Date]]),"00")</f>
        <v>53</v>
      </c>
      <c r="G2992" s="1">
        <f>EOMONTH(tblData[[#This Row],[Rental Date]],0)</f>
        <v>46387</v>
      </c>
      <c r="H2992" t="s">
        <v>22</v>
      </c>
      <c r="I2992" t="s">
        <v>32</v>
      </c>
      <c r="J2992" t="s">
        <v>65</v>
      </c>
      <c r="K2992" t="s">
        <v>60</v>
      </c>
      <c r="L2992">
        <v>1</v>
      </c>
      <c r="M2992" s="2">
        <v>12</v>
      </c>
      <c r="N2992" t="s">
        <v>87</v>
      </c>
      <c r="O2992" s="3">
        <v>10</v>
      </c>
      <c r="P2992" s="3">
        <v>2.2000000000000002</v>
      </c>
      <c r="Q2992" s="2">
        <v>19.8</v>
      </c>
      <c r="R2992" t="s">
        <v>45</v>
      </c>
      <c r="S2992" t="s">
        <v>28</v>
      </c>
      <c r="T2992" t="s">
        <v>29</v>
      </c>
      <c r="U2992" t="s">
        <v>36</v>
      </c>
    </row>
    <row r="2993" spans="1:21" x14ac:dyDescent="0.35">
      <c r="A2993" t="s">
        <v>3073</v>
      </c>
      <c r="B2993" s="1">
        <v>46386</v>
      </c>
      <c r="C2993" t="str">
        <f>TEXT(tblData[[#This Row],[Rental Date]],"mmm")</f>
        <v>Dec</v>
      </c>
      <c r="D2993" t="str">
        <f>TEXT(tblData[[#This Row],[Rental Date]],"mmmm")</f>
        <v>December</v>
      </c>
      <c r="E2993" t="s">
        <v>109</v>
      </c>
      <c r="F2993" t="str">
        <f>TEXT(WEEKNUM(tblData[[#This Row],[Rental Date]]),"00")</f>
        <v>53</v>
      </c>
      <c r="G2993" s="1">
        <f>EOMONTH(tblData[[#This Row],[Rental Date]],0)</f>
        <v>46387</v>
      </c>
      <c r="H2993" t="s">
        <v>22</v>
      </c>
      <c r="I2993" t="s">
        <v>32</v>
      </c>
      <c r="J2993" t="s">
        <v>78</v>
      </c>
      <c r="K2993" t="s">
        <v>25</v>
      </c>
      <c r="L2993">
        <v>1</v>
      </c>
      <c r="M2993" s="2">
        <v>42</v>
      </c>
      <c r="N2993" t="s">
        <v>87</v>
      </c>
      <c r="O2993" s="3">
        <v>10</v>
      </c>
      <c r="P2993" s="3">
        <v>0</v>
      </c>
      <c r="Q2993" s="2">
        <v>52</v>
      </c>
      <c r="R2993" t="s">
        <v>45</v>
      </c>
      <c r="S2993" t="s">
        <v>28</v>
      </c>
      <c r="T2993" t="s">
        <v>63</v>
      </c>
      <c r="U2993" t="s">
        <v>79</v>
      </c>
    </row>
    <row r="2994" spans="1:21" x14ac:dyDescent="0.35">
      <c r="A2994" t="s">
        <v>3074</v>
      </c>
      <c r="B2994" s="1">
        <v>46386</v>
      </c>
      <c r="C2994" t="str">
        <f>TEXT(tblData[[#This Row],[Rental Date]],"mmm")</f>
        <v>Dec</v>
      </c>
      <c r="D2994" t="str">
        <f>TEXT(tblData[[#This Row],[Rental Date]],"mmmm")</f>
        <v>December</v>
      </c>
      <c r="E2994" t="s">
        <v>109</v>
      </c>
      <c r="F2994" t="str">
        <f>TEXT(WEEKNUM(tblData[[#This Row],[Rental Date]]),"00")</f>
        <v>53</v>
      </c>
      <c r="G2994" s="1">
        <f>EOMONTH(tblData[[#This Row],[Rental Date]],0)</f>
        <v>46387</v>
      </c>
      <c r="H2994" t="s">
        <v>22</v>
      </c>
      <c r="I2994" t="s">
        <v>48</v>
      </c>
      <c r="J2994" t="s">
        <v>24</v>
      </c>
      <c r="K2994" t="s">
        <v>92</v>
      </c>
      <c r="L2994">
        <v>1</v>
      </c>
      <c r="M2994" s="2">
        <v>110</v>
      </c>
      <c r="N2994" t="s">
        <v>26</v>
      </c>
      <c r="O2994" s="3">
        <v>0</v>
      </c>
      <c r="P2994" s="3">
        <v>0</v>
      </c>
      <c r="Q2994" s="2">
        <v>110</v>
      </c>
      <c r="R2994" t="s">
        <v>42</v>
      </c>
      <c r="S2994" t="s">
        <v>54</v>
      </c>
      <c r="T2994" t="s">
        <v>63</v>
      </c>
      <c r="U2994" t="s">
        <v>79</v>
      </c>
    </row>
    <row r="2995" spans="1:21" x14ac:dyDescent="0.35">
      <c r="A2995" t="s">
        <v>3075</v>
      </c>
      <c r="B2995" s="1">
        <v>46386</v>
      </c>
      <c r="C2995" t="str">
        <f>TEXT(tblData[[#This Row],[Rental Date]],"mmm")</f>
        <v>Dec</v>
      </c>
      <c r="D2995" t="str">
        <f>TEXT(tblData[[#This Row],[Rental Date]],"mmmm")</f>
        <v>December</v>
      </c>
      <c r="E2995" t="s">
        <v>109</v>
      </c>
      <c r="F2995" t="str">
        <f>TEXT(WEEKNUM(tblData[[#This Row],[Rental Date]]),"00")</f>
        <v>53</v>
      </c>
      <c r="G2995" s="1">
        <f>EOMONTH(tblData[[#This Row],[Rental Date]],0)</f>
        <v>46387</v>
      </c>
      <c r="H2995" t="s">
        <v>22</v>
      </c>
      <c r="I2995" t="s">
        <v>39</v>
      </c>
      <c r="J2995" t="s">
        <v>111</v>
      </c>
      <c r="K2995" t="s">
        <v>25</v>
      </c>
      <c r="L2995">
        <v>1</v>
      </c>
      <c r="M2995" s="2">
        <v>22</v>
      </c>
      <c r="N2995" t="s">
        <v>41</v>
      </c>
      <c r="O2995" s="3">
        <v>5</v>
      </c>
      <c r="P2995" s="3">
        <v>1.35</v>
      </c>
      <c r="Q2995" s="2">
        <v>25.65</v>
      </c>
      <c r="R2995" t="s">
        <v>57</v>
      </c>
      <c r="S2995" t="s">
        <v>28</v>
      </c>
      <c r="T2995" t="s">
        <v>29</v>
      </c>
      <c r="U2995" t="s">
        <v>58</v>
      </c>
    </row>
    <row r="2996" spans="1:21" x14ac:dyDescent="0.35">
      <c r="A2996" t="s">
        <v>3076</v>
      </c>
      <c r="B2996" s="1">
        <v>46387</v>
      </c>
      <c r="C2996" t="str">
        <f>TEXT(tblData[[#This Row],[Rental Date]],"mmm")</f>
        <v>Dec</v>
      </c>
      <c r="D2996" t="str">
        <f>TEXT(tblData[[#This Row],[Rental Date]],"mmmm")</f>
        <v>December</v>
      </c>
      <c r="E2996" t="s">
        <v>21</v>
      </c>
      <c r="F2996" t="str">
        <f>TEXT(WEEKNUM(tblData[[#This Row],[Rental Date]]),"00")</f>
        <v>53</v>
      </c>
      <c r="G2996" s="1">
        <f>EOMONTH(tblData[[#This Row],[Rental Date]],0)</f>
        <v>46387</v>
      </c>
      <c r="H2996" t="s">
        <v>22</v>
      </c>
      <c r="I2996" t="s">
        <v>23</v>
      </c>
      <c r="J2996" t="s">
        <v>127</v>
      </c>
      <c r="K2996" t="s">
        <v>25</v>
      </c>
      <c r="L2996">
        <v>1</v>
      </c>
      <c r="M2996" s="2">
        <v>16</v>
      </c>
      <c r="N2996" t="s">
        <v>26</v>
      </c>
      <c r="O2996" s="3">
        <v>0</v>
      </c>
      <c r="P2996" s="3">
        <v>0</v>
      </c>
      <c r="Q2996" s="2">
        <v>16</v>
      </c>
      <c r="R2996" t="s">
        <v>27</v>
      </c>
      <c r="S2996" t="s">
        <v>35</v>
      </c>
      <c r="T2996" t="s">
        <v>90</v>
      </c>
      <c r="U2996" t="s">
        <v>79</v>
      </c>
    </row>
    <row r="2997" spans="1:21" x14ac:dyDescent="0.35">
      <c r="A2997" t="s">
        <v>3077</v>
      </c>
      <c r="B2997" s="1">
        <v>46387</v>
      </c>
      <c r="C2997" t="str">
        <f>TEXT(tblData[[#This Row],[Rental Date]],"mmm")</f>
        <v>Dec</v>
      </c>
      <c r="D2997" t="str">
        <f>TEXT(tblData[[#This Row],[Rental Date]],"mmmm")</f>
        <v>December</v>
      </c>
      <c r="E2997" t="s">
        <v>21</v>
      </c>
      <c r="F2997" t="str">
        <f>TEXT(WEEKNUM(tblData[[#This Row],[Rental Date]]),"00")</f>
        <v>53</v>
      </c>
      <c r="G2997" s="1">
        <f>EOMONTH(tblData[[#This Row],[Rental Date]],0)</f>
        <v>46387</v>
      </c>
      <c r="H2997" t="s">
        <v>22</v>
      </c>
      <c r="I2997" t="s">
        <v>39</v>
      </c>
      <c r="J2997" t="s">
        <v>127</v>
      </c>
      <c r="K2997" t="s">
        <v>92</v>
      </c>
      <c r="L2997">
        <v>1</v>
      </c>
      <c r="M2997" s="2">
        <v>34</v>
      </c>
      <c r="N2997" t="s">
        <v>89</v>
      </c>
      <c r="O2997" s="3">
        <v>6</v>
      </c>
      <c r="P2997" s="3">
        <v>0</v>
      </c>
      <c r="Q2997" s="2">
        <v>40</v>
      </c>
      <c r="R2997" t="s">
        <v>62</v>
      </c>
      <c r="S2997" t="s">
        <v>35</v>
      </c>
      <c r="T2997" t="s">
        <v>51</v>
      </c>
      <c r="U2997" t="s">
        <v>58</v>
      </c>
    </row>
    <row r="2998" spans="1:21" x14ac:dyDescent="0.35">
      <c r="A2998" t="s">
        <v>3078</v>
      </c>
      <c r="B2998" s="1">
        <v>46387</v>
      </c>
      <c r="C2998" t="str">
        <f>TEXT(tblData[[#This Row],[Rental Date]],"mmm")</f>
        <v>Dec</v>
      </c>
      <c r="D2998" t="str">
        <f>TEXT(tblData[[#This Row],[Rental Date]],"mmmm")</f>
        <v>December</v>
      </c>
      <c r="E2998" t="s">
        <v>21</v>
      </c>
      <c r="F2998" t="str">
        <f>TEXT(WEEKNUM(tblData[[#This Row],[Rental Date]]),"00")</f>
        <v>53</v>
      </c>
      <c r="G2998" s="1">
        <f>EOMONTH(tblData[[#This Row],[Rental Date]],0)</f>
        <v>46387</v>
      </c>
      <c r="H2998" t="s">
        <v>22</v>
      </c>
      <c r="I2998" t="s">
        <v>48</v>
      </c>
      <c r="J2998" t="s">
        <v>33</v>
      </c>
      <c r="K2998" t="s">
        <v>25</v>
      </c>
      <c r="L2998">
        <v>1</v>
      </c>
      <c r="M2998" s="2">
        <v>38</v>
      </c>
      <c r="N2998" t="s">
        <v>75</v>
      </c>
      <c r="O2998" s="3">
        <v>12</v>
      </c>
      <c r="P2998" s="3">
        <v>0</v>
      </c>
      <c r="Q2998" s="2">
        <v>50</v>
      </c>
      <c r="R2998" t="s">
        <v>94</v>
      </c>
      <c r="S2998" t="s">
        <v>35</v>
      </c>
      <c r="T2998" t="s">
        <v>90</v>
      </c>
      <c r="U2998" t="s">
        <v>36</v>
      </c>
    </row>
    <row r="2999" spans="1:21" x14ac:dyDescent="0.35">
      <c r="A2999" t="s">
        <v>3079</v>
      </c>
      <c r="B2999" s="1">
        <v>46387</v>
      </c>
      <c r="C2999" t="str">
        <f>TEXT(tblData[[#This Row],[Rental Date]],"mmm")</f>
        <v>Dec</v>
      </c>
      <c r="D2999" t="str">
        <f>TEXT(tblData[[#This Row],[Rental Date]],"mmmm")</f>
        <v>December</v>
      </c>
      <c r="E2999" t="s">
        <v>21</v>
      </c>
      <c r="F2999" t="str">
        <f>TEXT(WEEKNUM(tblData[[#This Row],[Rental Date]]),"00")</f>
        <v>53</v>
      </c>
      <c r="G2999" s="1">
        <f>EOMONTH(tblData[[#This Row],[Rental Date]],0)</f>
        <v>46387</v>
      </c>
      <c r="H2999" t="s">
        <v>22</v>
      </c>
      <c r="I2999" t="s">
        <v>23</v>
      </c>
      <c r="J2999" t="s">
        <v>24</v>
      </c>
      <c r="K2999" t="s">
        <v>60</v>
      </c>
      <c r="L2999">
        <v>1</v>
      </c>
      <c r="M2999" s="2">
        <v>32</v>
      </c>
      <c r="N2999" t="s">
        <v>26</v>
      </c>
      <c r="O2999" s="3">
        <v>0</v>
      </c>
      <c r="P2999" s="3">
        <v>0</v>
      </c>
      <c r="Q2999" s="2">
        <v>32</v>
      </c>
      <c r="R2999" t="s">
        <v>57</v>
      </c>
      <c r="S2999" t="s">
        <v>28</v>
      </c>
      <c r="T2999" t="s">
        <v>90</v>
      </c>
      <c r="U2999" t="s">
        <v>58</v>
      </c>
    </row>
    <row r="3000" spans="1:21" x14ac:dyDescent="0.35">
      <c r="A3000" t="s">
        <v>3080</v>
      </c>
      <c r="B3000" s="1">
        <v>46387</v>
      </c>
      <c r="C3000" t="str">
        <f>TEXT(tblData[[#This Row],[Rental Date]],"mmm")</f>
        <v>Dec</v>
      </c>
      <c r="D3000" t="str">
        <f>TEXT(tblData[[#This Row],[Rental Date]],"mmmm")</f>
        <v>December</v>
      </c>
      <c r="E3000" t="s">
        <v>21</v>
      </c>
      <c r="F3000" t="str">
        <f>TEXT(WEEKNUM(tblData[[#This Row],[Rental Date]]),"00")</f>
        <v>53</v>
      </c>
      <c r="G3000" s="1">
        <f>EOMONTH(tblData[[#This Row],[Rental Date]],0)</f>
        <v>46387</v>
      </c>
      <c r="H3000" t="s">
        <v>22</v>
      </c>
      <c r="I3000" t="s">
        <v>39</v>
      </c>
      <c r="J3000" t="s">
        <v>127</v>
      </c>
      <c r="K3000" t="s">
        <v>40</v>
      </c>
      <c r="L3000">
        <v>1</v>
      </c>
      <c r="M3000" s="2">
        <v>24</v>
      </c>
      <c r="N3000" t="s">
        <v>75</v>
      </c>
      <c r="O3000" s="3">
        <v>12</v>
      </c>
      <c r="P3000" s="3">
        <v>0</v>
      </c>
      <c r="Q3000" s="2">
        <v>36</v>
      </c>
      <c r="R3000" t="s">
        <v>71</v>
      </c>
      <c r="S3000" t="s">
        <v>46</v>
      </c>
      <c r="T3000" t="s">
        <v>29</v>
      </c>
      <c r="U3000" t="s">
        <v>36</v>
      </c>
    </row>
    <row r="3001" spans="1:21" x14ac:dyDescent="0.35">
      <c r="A3001" t="s">
        <v>3081</v>
      </c>
      <c r="B3001" s="1">
        <v>46387</v>
      </c>
      <c r="C3001" t="str">
        <f>TEXT(tblData[[#This Row],[Rental Date]],"mmm")</f>
        <v>Dec</v>
      </c>
      <c r="D3001" t="str">
        <f>TEXT(tblData[[#This Row],[Rental Date]],"mmmm")</f>
        <v>December</v>
      </c>
      <c r="E3001" t="s">
        <v>21</v>
      </c>
      <c r="F3001" t="str">
        <f>TEXT(WEEKNUM(tblData[[#This Row],[Rental Date]]),"00")</f>
        <v>53</v>
      </c>
      <c r="G3001" s="1">
        <f>EOMONTH(tblData[[#This Row],[Rental Date]],0)</f>
        <v>46387</v>
      </c>
      <c r="H3001" t="s">
        <v>22</v>
      </c>
      <c r="I3001" t="s">
        <v>39</v>
      </c>
      <c r="J3001" t="s">
        <v>111</v>
      </c>
      <c r="K3001" t="s">
        <v>92</v>
      </c>
      <c r="L3001">
        <v>1</v>
      </c>
      <c r="M3001" s="2">
        <v>48</v>
      </c>
      <c r="N3001" t="s">
        <v>87</v>
      </c>
      <c r="O3001" s="3">
        <v>10</v>
      </c>
      <c r="P3001" s="3">
        <v>0</v>
      </c>
      <c r="Q3001" s="2">
        <v>58</v>
      </c>
      <c r="R3001" t="s">
        <v>42</v>
      </c>
      <c r="S3001" t="s">
        <v>35</v>
      </c>
      <c r="T3001" t="s">
        <v>51</v>
      </c>
      <c r="U3001" t="s">
        <v>58</v>
      </c>
    </row>
  </sheetData>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D27FAC-64AB-4B25-8BE3-1A85D646F740}">
  <dimension ref="A1:U301"/>
  <sheetViews>
    <sheetView tabSelected="1" workbookViewId="0"/>
  </sheetViews>
  <sheetFormatPr defaultRowHeight="14.5" x14ac:dyDescent="0.35"/>
  <cols>
    <col min="1" max="1" width="14.26953125" bestFit="1" customWidth="1"/>
    <col min="2" max="2" width="10.54296875" bestFit="1" customWidth="1"/>
    <col min="3" max="3" width="6.1796875" bestFit="1" customWidth="1"/>
    <col min="4" max="4" width="11.453125" bestFit="1" customWidth="1"/>
    <col min="5" max="5" width="11" bestFit="1" customWidth="1"/>
    <col min="6" max="6" width="12.7265625" bestFit="1" customWidth="1"/>
    <col min="7" max="7" width="10.26953125" bestFit="1" customWidth="1"/>
    <col min="8" max="8" width="7.7265625" bestFit="1" customWidth="1"/>
    <col min="9" max="9" width="13.453125" bestFit="1" customWidth="1"/>
    <col min="10" max="10" width="19.7265625" bestFit="1" customWidth="1"/>
    <col min="11" max="11" width="13.81640625" bestFit="1" customWidth="1"/>
    <col min="12" max="12" width="8.1796875" bestFit="1" customWidth="1"/>
    <col min="13" max="13" width="9.1796875" bestFit="1" customWidth="1"/>
    <col min="14" max="14" width="17.26953125" bestFit="1" customWidth="1"/>
    <col min="15" max="15" width="14.453125" bestFit="1" customWidth="1"/>
    <col min="16" max="16" width="15.26953125" bestFit="1" customWidth="1"/>
    <col min="17" max="17" width="12.453125" bestFit="1" customWidth="1"/>
    <col min="18" max="18" width="12.7265625" bestFit="1" customWidth="1"/>
    <col min="19" max="19" width="10.7265625" bestFit="1" customWidth="1"/>
    <col min="20" max="20" width="15" bestFit="1" customWidth="1"/>
    <col min="21" max="21" width="8" bestFit="1" customWidth="1"/>
  </cols>
  <sheetData>
    <row r="1" spans="1:21" x14ac:dyDescent="0.35">
      <c r="A1" s="9" t="s">
        <v>0</v>
      </c>
      <c r="B1" s="9" t="s">
        <v>1</v>
      </c>
      <c r="C1" s="9" t="s">
        <v>2</v>
      </c>
      <c r="D1" s="9" t="s">
        <v>3099</v>
      </c>
      <c r="E1" s="9" t="s">
        <v>3</v>
      </c>
      <c r="F1" s="9" t="s">
        <v>4</v>
      </c>
      <c r="G1" s="9" t="s">
        <v>5</v>
      </c>
      <c r="H1" s="9" t="s">
        <v>6</v>
      </c>
      <c r="I1" s="9" t="s">
        <v>7</v>
      </c>
      <c r="J1" s="9" t="s">
        <v>8</v>
      </c>
      <c r="K1" s="9" t="s">
        <v>9</v>
      </c>
      <c r="L1" s="9" t="s">
        <v>10</v>
      </c>
      <c r="M1" s="9" t="s">
        <v>11</v>
      </c>
      <c r="N1" s="9" t="s">
        <v>12</v>
      </c>
      <c r="O1" s="9" t="s">
        <v>13</v>
      </c>
      <c r="P1" s="9" t="s">
        <v>14</v>
      </c>
      <c r="Q1" s="9" t="s">
        <v>15</v>
      </c>
      <c r="R1" s="9" t="s">
        <v>16</v>
      </c>
      <c r="S1" s="9" t="s">
        <v>17</v>
      </c>
      <c r="T1" s="9" t="s">
        <v>18</v>
      </c>
      <c r="U1" s="9" t="s">
        <v>19</v>
      </c>
    </row>
    <row r="2" spans="1:21" x14ac:dyDescent="0.35">
      <c r="A2" t="s">
        <v>3101</v>
      </c>
      <c r="B2" s="1">
        <v>46024</v>
      </c>
      <c r="C2" t="s">
        <v>3089</v>
      </c>
      <c r="D2" t="s">
        <v>3102</v>
      </c>
      <c r="E2" t="s">
        <v>38</v>
      </c>
      <c r="F2" t="s">
        <v>3103</v>
      </c>
      <c r="G2" s="1">
        <v>46053</v>
      </c>
      <c r="H2" t="s">
        <v>22</v>
      </c>
      <c r="I2" t="s">
        <v>53</v>
      </c>
      <c r="J2" t="s">
        <v>33</v>
      </c>
      <c r="K2" t="s">
        <v>40</v>
      </c>
      <c r="L2">
        <v>1</v>
      </c>
      <c r="M2">
        <v>57</v>
      </c>
      <c r="N2" t="s">
        <v>75</v>
      </c>
      <c r="O2">
        <v>15</v>
      </c>
      <c r="P2">
        <v>0</v>
      </c>
      <c r="Q2">
        <v>72</v>
      </c>
      <c r="R2" t="s">
        <v>27</v>
      </c>
      <c r="S2" t="s">
        <v>3104</v>
      </c>
      <c r="T2" t="s">
        <v>90</v>
      </c>
      <c r="U2" t="s">
        <v>58</v>
      </c>
    </row>
    <row r="3" spans="1:21" x14ac:dyDescent="0.35">
      <c r="A3" t="s">
        <v>3105</v>
      </c>
      <c r="B3" s="1">
        <v>46024</v>
      </c>
      <c r="C3" t="s">
        <v>3089</v>
      </c>
      <c r="D3" t="s">
        <v>3102</v>
      </c>
      <c r="E3" t="s">
        <v>38</v>
      </c>
      <c r="F3" t="s">
        <v>3103</v>
      </c>
      <c r="G3" s="1">
        <v>46053</v>
      </c>
      <c r="H3" t="s">
        <v>22</v>
      </c>
      <c r="I3" t="s">
        <v>39</v>
      </c>
      <c r="J3" t="s">
        <v>78</v>
      </c>
      <c r="K3" t="s">
        <v>25</v>
      </c>
      <c r="L3">
        <v>1</v>
      </c>
      <c r="M3">
        <v>40</v>
      </c>
      <c r="N3" t="s">
        <v>26</v>
      </c>
      <c r="O3">
        <v>0</v>
      </c>
      <c r="P3">
        <v>0</v>
      </c>
      <c r="Q3">
        <v>40</v>
      </c>
      <c r="R3" t="s">
        <v>62</v>
      </c>
      <c r="S3" t="s">
        <v>3104</v>
      </c>
      <c r="T3" t="s">
        <v>83</v>
      </c>
      <c r="U3" t="s">
        <v>58</v>
      </c>
    </row>
    <row r="4" spans="1:21" x14ac:dyDescent="0.35">
      <c r="A4" t="s">
        <v>3106</v>
      </c>
      <c r="B4" s="1">
        <v>46024</v>
      </c>
      <c r="C4" t="s">
        <v>3089</v>
      </c>
      <c r="D4" t="s">
        <v>3102</v>
      </c>
      <c r="E4" t="s">
        <v>38</v>
      </c>
      <c r="F4" t="s">
        <v>3103</v>
      </c>
      <c r="G4" s="1">
        <v>46053</v>
      </c>
      <c r="H4" t="s">
        <v>22</v>
      </c>
      <c r="I4" t="s">
        <v>39</v>
      </c>
      <c r="J4" t="s">
        <v>86</v>
      </c>
      <c r="K4" t="s">
        <v>40</v>
      </c>
      <c r="L4">
        <v>1</v>
      </c>
      <c r="M4">
        <v>68</v>
      </c>
      <c r="N4" t="s">
        <v>26</v>
      </c>
      <c r="O4">
        <v>0</v>
      </c>
      <c r="P4">
        <v>0</v>
      </c>
      <c r="Q4">
        <v>68</v>
      </c>
      <c r="R4" t="s">
        <v>27</v>
      </c>
      <c r="S4" t="s">
        <v>3104</v>
      </c>
      <c r="T4" t="s">
        <v>90</v>
      </c>
      <c r="U4" t="s">
        <v>30</v>
      </c>
    </row>
    <row r="5" spans="1:21" x14ac:dyDescent="0.35">
      <c r="A5" t="s">
        <v>3107</v>
      </c>
      <c r="B5" s="1">
        <v>46026</v>
      </c>
      <c r="C5" t="s">
        <v>3089</v>
      </c>
      <c r="D5" t="s">
        <v>3102</v>
      </c>
      <c r="E5" t="s">
        <v>68</v>
      </c>
      <c r="F5" t="s">
        <v>3108</v>
      </c>
      <c r="G5" s="1">
        <v>46053</v>
      </c>
      <c r="H5" t="s">
        <v>22</v>
      </c>
      <c r="I5" t="s">
        <v>32</v>
      </c>
      <c r="J5" t="s">
        <v>24</v>
      </c>
      <c r="K5" t="s">
        <v>40</v>
      </c>
      <c r="L5">
        <v>2</v>
      </c>
      <c r="M5">
        <v>75</v>
      </c>
      <c r="N5" t="s">
        <v>26</v>
      </c>
      <c r="O5">
        <v>0</v>
      </c>
      <c r="P5">
        <v>0</v>
      </c>
      <c r="Q5">
        <v>150</v>
      </c>
      <c r="R5" t="s">
        <v>62</v>
      </c>
      <c r="S5" t="s">
        <v>3104</v>
      </c>
      <c r="T5" t="s">
        <v>90</v>
      </c>
      <c r="U5" t="s">
        <v>58</v>
      </c>
    </row>
    <row r="6" spans="1:21" x14ac:dyDescent="0.35">
      <c r="A6" t="s">
        <v>3109</v>
      </c>
      <c r="B6" s="1">
        <v>46027</v>
      </c>
      <c r="C6" t="s">
        <v>3089</v>
      </c>
      <c r="D6" t="s">
        <v>3102</v>
      </c>
      <c r="E6" t="s">
        <v>74</v>
      </c>
      <c r="F6" t="s">
        <v>3108</v>
      </c>
      <c r="G6" s="1">
        <v>46053</v>
      </c>
      <c r="H6" t="s">
        <v>22</v>
      </c>
      <c r="I6" t="s">
        <v>48</v>
      </c>
      <c r="J6" t="s">
        <v>127</v>
      </c>
      <c r="K6" t="s">
        <v>92</v>
      </c>
      <c r="L6">
        <v>2</v>
      </c>
      <c r="M6">
        <v>33</v>
      </c>
      <c r="N6" t="s">
        <v>26</v>
      </c>
      <c r="O6">
        <v>0</v>
      </c>
      <c r="P6">
        <v>0</v>
      </c>
      <c r="Q6">
        <v>66</v>
      </c>
      <c r="R6" t="s">
        <v>76</v>
      </c>
      <c r="S6" t="s">
        <v>3104</v>
      </c>
      <c r="T6" t="s">
        <v>83</v>
      </c>
      <c r="U6" t="s">
        <v>30</v>
      </c>
    </row>
    <row r="7" spans="1:21" x14ac:dyDescent="0.35">
      <c r="A7" t="s">
        <v>3110</v>
      </c>
      <c r="B7" s="1">
        <v>46031</v>
      </c>
      <c r="C7" t="s">
        <v>3089</v>
      </c>
      <c r="D7" t="s">
        <v>3102</v>
      </c>
      <c r="E7" t="s">
        <v>38</v>
      </c>
      <c r="F7" t="s">
        <v>3108</v>
      </c>
      <c r="G7" s="1">
        <v>46053</v>
      </c>
      <c r="H7" t="s">
        <v>22</v>
      </c>
      <c r="I7" t="s">
        <v>39</v>
      </c>
      <c r="J7" t="s">
        <v>24</v>
      </c>
      <c r="K7" t="s">
        <v>92</v>
      </c>
      <c r="L7">
        <v>3</v>
      </c>
      <c r="M7">
        <v>110</v>
      </c>
      <c r="N7" t="s">
        <v>26</v>
      </c>
      <c r="O7">
        <v>0</v>
      </c>
      <c r="P7">
        <v>0</v>
      </c>
      <c r="Q7">
        <v>330</v>
      </c>
      <c r="R7" t="s">
        <v>42</v>
      </c>
      <c r="S7" t="s">
        <v>3104</v>
      </c>
      <c r="T7" t="s">
        <v>51</v>
      </c>
      <c r="U7" t="s">
        <v>30</v>
      </c>
    </row>
    <row r="8" spans="1:21" x14ac:dyDescent="0.35">
      <c r="A8" t="s">
        <v>3111</v>
      </c>
      <c r="B8" s="1">
        <v>46031</v>
      </c>
      <c r="C8" t="s">
        <v>3089</v>
      </c>
      <c r="D8" t="s">
        <v>3102</v>
      </c>
      <c r="E8" t="s">
        <v>38</v>
      </c>
      <c r="F8" t="s">
        <v>3108</v>
      </c>
      <c r="G8" s="1">
        <v>46053</v>
      </c>
      <c r="H8" t="s">
        <v>22</v>
      </c>
      <c r="I8" t="s">
        <v>53</v>
      </c>
      <c r="J8" t="s">
        <v>138</v>
      </c>
      <c r="K8" t="s">
        <v>40</v>
      </c>
      <c r="L8">
        <v>2</v>
      </c>
      <c r="M8">
        <v>72</v>
      </c>
      <c r="N8" t="s">
        <v>26</v>
      </c>
      <c r="O8">
        <v>0</v>
      </c>
      <c r="P8">
        <v>0</v>
      </c>
      <c r="Q8">
        <v>144</v>
      </c>
      <c r="R8" t="s">
        <v>62</v>
      </c>
      <c r="S8" t="s">
        <v>3104</v>
      </c>
      <c r="T8" t="s">
        <v>29</v>
      </c>
      <c r="U8" t="s">
        <v>30</v>
      </c>
    </row>
    <row r="9" spans="1:21" x14ac:dyDescent="0.35">
      <c r="A9" t="s">
        <v>3112</v>
      </c>
      <c r="B9" s="1">
        <v>46033</v>
      </c>
      <c r="C9" t="s">
        <v>3089</v>
      </c>
      <c r="D9" t="s">
        <v>3102</v>
      </c>
      <c r="E9" t="s">
        <v>68</v>
      </c>
      <c r="F9" t="s">
        <v>3113</v>
      </c>
      <c r="G9" s="1">
        <v>46053</v>
      </c>
      <c r="H9" t="s">
        <v>22</v>
      </c>
      <c r="I9" t="s">
        <v>39</v>
      </c>
      <c r="J9" t="s">
        <v>33</v>
      </c>
      <c r="K9" t="s">
        <v>25</v>
      </c>
      <c r="L9">
        <v>1</v>
      </c>
      <c r="M9">
        <v>38</v>
      </c>
      <c r="N9" t="s">
        <v>70</v>
      </c>
      <c r="O9">
        <v>10</v>
      </c>
      <c r="P9">
        <v>5</v>
      </c>
      <c r="Q9">
        <v>43</v>
      </c>
      <c r="R9" t="s">
        <v>94</v>
      </c>
      <c r="S9" t="s">
        <v>3104</v>
      </c>
      <c r="T9" t="s">
        <v>51</v>
      </c>
      <c r="U9" t="s">
        <v>79</v>
      </c>
    </row>
    <row r="10" spans="1:21" x14ac:dyDescent="0.35">
      <c r="A10" t="s">
        <v>3114</v>
      </c>
      <c r="B10" s="1">
        <v>46037</v>
      </c>
      <c r="C10" t="s">
        <v>3089</v>
      </c>
      <c r="D10" t="s">
        <v>3102</v>
      </c>
      <c r="E10" t="s">
        <v>21</v>
      </c>
      <c r="F10" t="s">
        <v>3113</v>
      </c>
      <c r="G10" s="1">
        <v>46053</v>
      </c>
      <c r="H10" t="s">
        <v>22</v>
      </c>
      <c r="I10" t="s">
        <v>23</v>
      </c>
      <c r="J10" t="s">
        <v>138</v>
      </c>
      <c r="K10" t="s">
        <v>60</v>
      </c>
      <c r="L10">
        <v>1</v>
      </c>
      <c r="M10">
        <v>29</v>
      </c>
      <c r="N10" t="s">
        <v>26</v>
      </c>
      <c r="O10">
        <v>0</v>
      </c>
      <c r="P10">
        <v>0</v>
      </c>
      <c r="Q10">
        <v>29</v>
      </c>
      <c r="R10" t="s">
        <v>27</v>
      </c>
      <c r="S10" t="s">
        <v>3104</v>
      </c>
      <c r="T10" t="s">
        <v>83</v>
      </c>
      <c r="U10" t="s">
        <v>30</v>
      </c>
    </row>
    <row r="11" spans="1:21" x14ac:dyDescent="0.35">
      <c r="A11" t="s">
        <v>3115</v>
      </c>
      <c r="B11" s="1">
        <v>46037</v>
      </c>
      <c r="C11" t="s">
        <v>3089</v>
      </c>
      <c r="D11" t="s">
        <v>3102</v>
      </c>
      <c r="E11" t="s">
        <v>21</v>
      </c>
      <c r="F11" t="s">
        <v>3113</v>
      </c>
      <c r="G11" s="1">
        <v>46053</v>
      </c>
      <c r="H11" t="s">
        <v>22</v>
      </c>
      <c r="I11" t="s">
        <v>53</v>
      </c>
      <c r="J11" t="s">
        <v>111</v>
      </c>
      <c r="K11" t="s">
        <v>40</v>
      </c>
      <c r="L11">
        <v>1</v>
      </c>
      <c r="M11">
        <v>27</v>
      </c>
      <c r="N11" t="s">
        <v>61</v>
      </c>
      <c r="O11">
        <v>12</v>
      </c>
      <c r="P11">
        <v>0</v>
      </c>
      <c r="Q11">
        <v>39</v>
      </c>
      <c r="R11" t="s">
        <v>94</v>
      </c>
      <c r="S11" t="s">
        <v>3104</v>
      </c>
      <c r="T11" t="s">
        <v>90</v>
      </c>
      <c r="U11" t="s">
        <v>30</v>
      </c>
    </row>
    <row r="12" spans="1:21" x14ac:dyDescent="0.35">
      <c r="A12" t="s">
        <v>3116</v>
      </c>
      <c r="B12" s="1">
        <v>46040</v>
      </c>
      <c r="C12" t="s">
        <v>3089</v>
      </c>
      <c r="D12" t="s">
        <v>3102</v>
      </c>
      <c r="E12" t="s">
        <v>68</v>
      </c>
      <c r="F12" t="s">
        <v>3117</v>
      </c>
      <c r="G12" s="1">
        <v>46053</v>
      </c>
      <c r="H12" t="s">
        <v>22</v>
      </c>
      <c r="I12" t="s">
        <v>32</v>
      </c>
      <c r="J12" t="s">
        <v>86</v>
      </c>
      <c r="K12" t="s">
        <v>60</v>
      </c>
      <c r="L12">
        <v>2</v>
      </c>
      <c r="M12">
        <v>27</v>
      </c>
      <c r="N12" t="s">
        <v>26</v>
      </c>
      <c r="O12">
        <v>0</v>
      </c>
      <c r="P12">
        <v>0</v>
      </c>
      <c r="Q12">
        <v>54</v>
      </c>
      <c r="R12" t="s">
        <v>42</v>
      </c>
      <c r="S12" t="s">
        <v>3104</v>
      </c>
      <c r="T12" t="s">
        <v>63</v>
      </c>
      <c r="U12" t="s">
        <v>79</v>
      </c>
    </row>
    <row r="13" spans="1:21" x14ac:dyDescent="0.35">
      <c r="A13" t="s">
        <v>3118</v>
      </c>
      <c r="B13" s="1">
        <v>46043</v>
      </c>
      <c r="C13" t="s">
        <v>3089</v>
      </c>
      <c r="D13" t="s">
        <v>3102</v>
      </c>
      <c r="E13" t="s">
        <v>109</v>
      </c>
      <c r="F13" t="s">
        <v>3117</v>
      </c>
      <c r="G13" s="1">
        <v>46053</v>
      </c>
      <c r="H13" t="s">
        <v>22</v>
      </c>
      <c r="I13" t="s">
        <v>32</v>
      </c>
      <c r="J13" t="s">
        <v>33</v>
      </c>
      <c r="K13" t="s">
        <v>60</v>
      </c>
      <c r="L13">
        <v>1</v>
      </c>
      <c r="M13">
        <v>23</v>
      </c>
      <c r="N13" t="s">
        <v>26</v>
      </c>
      <c r="O13">
        <v>0</v>
      </c>
      <c r="P13">
        <v>0</v>
      </c>
      <c r="Q13">
        <v>23</v>
      </c>
      <c r="R13" t="s">
        <v>76</v>
      </c>
      <c r="S13" t="s">
        <v>3104</v>
      </c>
      <c r="T13" t="s">
        <v>29</v>
      </c>
      <c r="U13" t="s">
        <v>79</v>
      </c>
    </row>
    <row r="14" spans="1:21" x14ac:dyDescent="0.35">
      <c r="A14" t="s">
        <v>3119</v>
      </c>
      <c r="B14" s="1">
        <v>46043</v>
      </c>
      <c r="C14" t="s">
        <v>3089</v>
      </c>
      <c r="D14" t="s">
        <v>3102</v>
      </c>
      <c r="E14" t="s">
        <v>109</v>
      </c>
      <c r="F14" t="s">
        <v>3117</v>
      </c>
      <c r="G14" s="1">
        <v>46053</v>
      </c>
      <c r="H14" t="s">
        <v>22</v>
      </c>
      <c r="I14" t="s">
        <v>39</v>
      </c>
      <c r="J14" t="s">
        <v>111</v>
      </c>
      <c r="K14" t="s">
        <v>40</v>
      </c>
      <c r="L14">
        <v>1</v>
      </c>
      <c r="M14">
        <v>27</v>
      </c>
      <c r="N14" t="s">
        <v>26</v>
      </c>
      <c r="O14">
        <v>0</v>
      </c>
      <c r="P14">
        <v>0</v>
      </c>
      <c r="Q14">
        <v>27</v>
      </c>
      <c r="R14" t="s">
        <v>27</v>
      </c>
      <c r="S14" t="s">
        <v>3104</v>
      </c>
      <c r="T14" t="s">
        <v>90</v>
      </c>
      <c r="U14" t="s">
        <v>30</v>
      </c>
    </row>
    <row r="15" spans="1:21" x14ac:dyDescent="0.35">
      <c r="A15" t="s">
        <v>3120</v>
      </c>
      <c r="B15" s="1">
        <v>46043</v>
      </c>
      <c r="C15" t="s">
        <v>3089</v>
      </c>
      <c r="D15" t="s">
        <v>3102</v>
      </c>
      <c r="E15" t="s">
        <v>109</v>
      </c>
      <c r="F15" t="s">
        <v>3117</v>
      </c>
      <c r="G15" s="1">
        <v>46053</v>
      </c>
      <c r="H15" t="s">
        <v>22</v>
      </c>
      <c r="I15" t="s">
        <v>53</v>
      </c>
      <c r="J15" t="s">
        <v>49</v>
      </c>
      <c r="K15" t="s">
        <v>92</v>
      </c>
      <c r="L15">
        <v>2</v>
      </c>
      <c r="M15">
        <v>79</v>
      </c>
      <c r="N15" t="s">
        <v>61</v>
      </c>
      <c r="O15">
        <v>12</v>
      </c>
      <c r="P15">
        <v>15</v>
      </c>
      <c r="Q15">
        <v>155</v>
      </c>
      <c r="R15" t="s">
        <v>62</v>
      </c>
      <c r="S15" t="s">
        <v>3104</v>
      </c>
      <c r="T15" t="s">
        <v>83</v>
      </c>
      <c r="U15" t="s">
        <v>30</v>
      </c>
    </row>
    <row r="16" spans="1:21" x14ac:dyDescent="0.35">
      <c r="A16" t="s">
        <v>3121</v>
      </c>
      <c r="B16" s="1">
        <v>46044</v>
      </c>
      <c r="C16" t="s">
        <v>3089</v>
      </c>
      <c r="D16" t="s">
        <v>3102</v>
      </c>
      <c r="E16" t="s">
        <v>21</v>
      </c>
      <c r="F16" t="s">
        <v>3117</v>
      </c>
      <c r="G16" s="1">
        <v>46053</v>
      </c>
      <c r="H16" t="s">
        <v>22</v>
      </c>
      <c r="I16" t="s">
        <v>53</v>
      </c>
      <c r="J16" t="s">
        <v>33</v>
      </c>
      <c r="K16" t="s">
        <v>25</v>
      </c>
      <c r="L16">
        <v>1</v>
      </c>
      <c r="M16">
        <v>38</v>
      </c>
      <c r="N16" t="s">
        <v>26</v>
      </c>
      <c r="O16">
        <v>0</v>
      </c>
      <c r="P16">
        <v>5</v>
      </c>
      <c r="Q16">
        <v>33</v>
      </c>
      <c r="R16" t="s">
        <v>94</v>
      </c>
      <c r="S16" t="s">
        <v>3104</v>
      </c>
      <c r="T16" t="s">
        <v>83</v>
      </c>
      <c r="U16" t="s">
        <v>36</v>
      </c>
    </row>
    <row r="17" spans="1:21" x14ac:dyDescent="0.35">
      <c r="A17" t="s">
        <v>3122</v>
      </c>
      <c r="B17" s="1">
        <v>46046</v>
      </c>
      <c r="C17" t="s">
        <v>3089</v>
      </c>
      <c r="D17" t="s">
        <v>3102</v>
      </c>
      <c r="E17" t="s">
        <v>56</v>
      </c>
      <c r="F17" t="s">
        <v>3117</v>
      </c>
      <c r="G17" s="1">
        <v>46053</v>
      </c>
      <c r="H17" t="s">
        <v>22</v>
      </c>
      <c r="I17" t="s">
        <v>23</v>
      </c>
      <c r="J17" t="s">
        <v>33</v>
      </c>
      <c r="K17" t="s">
        <v>92</v>
      </c>
      <c r="L17">
        <v>1</v>
      </c>
      <c r="M17">
        <v>84</v>
      </c>
      <c r="N17" t="s">
        <v>75</v>
      </c>
      <c r="O17">
        <v>15</v>
      </c>
      <c r="P17">
        <v>0</v>
      </c>
      <c r="Q17">
        <v>99</v>
      </c>
      <c r="R17" t="s">
        <v>76</v>
      </c>
      <c r="S17" t="s">
        <v>3104</v>
      </c>
      <c r="T17" t="s">
        <v>83</v>
      </c>
      <c r="U17" t="s">
        <v>30</v>
      </c>
    </row>
    <row r="18" spans="1:21" x14ac:dyDescent="0.35">
      <c r="A18" t="s">
        <v>3123</v>
      </c>
      <c r="B18" s="1">
        <v>46046</v>
      </c>
      <c r="C18" t="s">
        <v>3089</v>
      </c>
      <c r="D18" t="s">
        <v>3102</v>
      </c>
      <c r="E18" t="s">
        <v>56</v>
      </c>
      <c r="F18" t="s">
        <v>3117</v>
      </c>
      <c r="G18" s="1">
        <v>46053</v>
      </c>
      <c r="H18" t="s">
        <v>22</v>
      </c>
      <c r="I18" t="s">
        <v>39</v>
      </c>
      <c r="J18" t="s">
        <v>65</v>
      </c>
      <c r="K18" t="s">
        <v>25</v>
      </c>
      <c r="L18">
        <v>3</v>
      </c>
      <c r="M18">
        <v>20</v>
      </c>
      <c r="N18" t="s">
        <v>26</v>
      </c>
      <c r="O18">
        <v>0</v>
      </c>
      <c r="P18">
        <v>10</v>
      </c>
      <c r="Q18">
        <v>50</v>
      </c>
      <c r="R18" t="s">
        <v>27</v>
      </c>
      <c r="S18" t="s">
        <v>3104</v>
      </c>
      <c r="T18" t="s">
        <v>83</v>
      </c>
      <c r="U18" t="s">
        <v>58</v>
      </c>
    </row>
    <row r="19" spans="1:21" x14ac:dyDescent="0.35">
      <c r="A19" t="s">
        <v>3124</v>
      </c>
      <c r="B19" s="1">
        <v>46047</v>
      </c>
      <c r="C19" t="s">
        <v>3089</v>
      </c>
      <c r="D19" t="s">
        <v>3102</v>
      </c>
      <c r="E19" t="s">
        <v>68</v>
      </c>
      <c r="F19" t="s">
        <v>3125</v>
      </c>
      <c r="G19" s="1">
        <v>46053</v>
      </c>
      <c r="H19" t="s">
        <v>22</v>
      </c>
      <c r="I19" t="s">
        <v>48</v>
      </c>
      <c r="J19" t="s">
        <v>44</v>
      </c>
      <c r="K19" t="s">
        <v>25</v>
      </c>
      <c r="L19">
        <v>1</v>
      </c>
      <c r="M19">
        <v>52</v>
      </c>
      <c r="N19" t="s">
        <v>26</v>
      </c>
      <c r="O19">
        <v>0</v>
      </c>
      <c r="P19">
        <v>0</v>
      </c>
      <c r="Q19">
        <v>52</v>
      </c>
      <c r="R19" t="s">
        <v>94</v>
      </c>
      <c r="S19" t="s">
        <v>3104</v>
      </c>
      <c r="T19" t="s">
        <v>29</v>
      </c>
      <c r="U19" t="s">
        <v>30</v>
      </c>
    </row>
    <row r="20" spans="1:21" x14ac:dyDescent="0.35">
      <c r="A20" t="s">
        <v>3126</v>
      </c>
      <c r="B20" s="1">
        <v>46049</v>
      </c>
      <c r="C20" t="s">
        <v>3089</v>
      </c>
      <c r="D20" t="s">
        <v>3102</v>
      </c>
      <c r="E20" t="s">
        <v>102</v>
      </c>
      <c r="F20" t="s">
        <v>3125</v>
      </c>
      <c r="G20" s="1">
        <v>46053</v>
      </c>
      <c r="H20" t="s">
        <v>22</v>
      </c>
      <c r="I20" t="s">
        <v>48</v>
      </c>
      <c r="J20" t="s">
        <v>111</v>
      </c>
      <c r="K20" t="s">
        <v>40</v>
      </c>
      <c r="L20">
        <v>1</v>
      </c>
      <c r="M20">
        <v>27</v>
      </c>
      <c r="N20" t="s">
        <v>26</v>
      </c>
      <c r="O20">
        <v>0</v>
      </c>
      <c r="P20">
        <v>0</v>
      </c>
      <c r="Q20">
        <v>27</v>
      </c>
      <c r="R20" t="s">
        <v>42</v>
      </c>
      <c r="S20" t="s">
        <v>3104</v>
      </c>
      <c r="T20" t="s">
        <v>29</v>
      </c>
      <c r="U20" t="s">
        <v>79</v>
      </c>
    </row>
    <row r="21" spans="1:21" x14ac:dyDescent="0.35">
      <c r="A21" t="s">
        <v>3127</v>
      </c>
      <c r="B21" s="1">
        <v>46050</v>
      </c>
      <c r="C21" t="s">
        <v>3089</v>
      </c>
      <c r="D21" t="s">
        <v>3102</v>
      </c>
      <c r="E21" t="s">
        <v>109</v>
      </c>
      <c r="F21" t="s">
        <v>3125</v>
      </c>
      <c r="G21" s="1">
        <v>46053</v>
      </c>
      <c r="H21" t="s">
        <v>22</v>
      </c>
      <c r="I21" t="s">
        <v>32</v>
      </c>
      <c r="J21" t="s">
        <v>78</v>
      </c>
      <c r="K21" t="s">
        <v>60</v>
      </c>
      <c r="L21">
        <v>1</v>
      </c>
      <c r="M21">
        <v>24</v>
      </c>
      <c r="N21" t="s">
        <v>26</v>
      </c>
      <c r="O21">
        <v>0</v>
      </c>
      <c r="P21">
        <v>0</v>
      </c>
      <c r="Q21">
        <v>24</v>
      </c>
      <c r="R21" t="s">
        <v>42</v>
      </c>
      <c r="S21" t="s">
        <v>3104</v>
      </c>
      <c r="T21" t="s">
        <v>63</v>
      </c>
      <c r="U21" t="s">
        <v>58</v>
      </c>
    </row>
    <row r="22" spans="1:21" x14ac:dyDescent="0.35">
      <c r="A22" t="s">
        <v>3128</v>
      </c>
      <c r="B22" s="1">
        <v>46050</v>
      </c>
      <c r="C22" t="s">
        <v>3089</v>
      </c>
      <c r="D22" t="s">
        <v>3102</v>
      </c>
      <c r="E22" t="s">
        <v>109</v>
      </c>
      <c r="F22" t="s">
        <v>3125</v>
      </c>
      <c r="G22" s="1">
        <v>46053</v>
      </c>
      <c r="H22" t="s">
        <v>22</v>
      </c>
      <c r="I22" t="s">
        <v>23</v>
      </c>
      <c r="J22" t="s">
        <v>138</v>
      </c>
      <c r="K22" t="s">
        <v>92</v>
      </c>
      <c r="L22">
        <v>1</v>
      </c>
      <c r="M22">
        <v>106</v>
      </c>
      <c r="N22" t="s">
        <v>70</v>
      </c>
      <c r="O22">
        <v>10</v>
      </c>
      <c r="P22">
        <v>0</v>
      </c>
      <c r="Q22">
        <v>116</v>
      </c>
      <c r="R22" t="s">
        <v>94</v>
      </c>
      <c r="S22" t="s">
        <v>3104</v>
      </c>
      <c r="T22" t="s">
        <v>83</v>
      </c>
      <c r="U22" t="s">
        <v>36</v>
      </c>
    </row>
    <row r="23" spans="1:21" x14ac:dyDescent="0.35">
      <c r="A23" t="s">
        <v>3129</v>
      </c>
      <c r="B23" s="1">
        <v>46051</v>
      </c>
      <c r="C23" t="s">
        <v>3089</v>
      </c>
      <c r="D23" t="s">
        <v>3102</v>
      </c>
      <c r="E23" t="s">
        <v>21</v>
      </c>
      <c r="F23" t="s">
        <v>3125</v>
      </c>
      <c r="G23" s="1">
        <v>46053</v>
      </c>
      <c r="H23" t="s">
        <v>22</v>
      </c>
      <c r="I23" t="s">
        <v>48</v>
      </c>
      <c r="J23" t="s">
        <v>33</v>
      </c>
      <c r="K23" t="s">
        <v>40</v>
      </c>
      <c r="L23">
        <v>1</v>
      </c>
      <c r="M23">
        <v>57</v>
      </c>
      <c r="N23" t="s">
        <v>26</v>
      </c>
      <c r="O23">
        <v>0</v>
      </c>
      <c r="P23">
        <v>0</v>
      </c>
      <c r="Q23">
        <v>57</v>
      </c>
      <c r="R23" t="s">
        <v>76</v>
      </c>
      <c r="S23" t="s">
        <v>3104</v>
      </c>
      <c r="T23" t="s">
        <v>63</v>
      </c>
      <c r="U23" t="s">
        <v>58</v>
      </c>
    </row>
    <row r="24" spans="1:21" x14ac:dyDescent="0.35">
      <c r="A24" t="s">
        <v>3130</v>
      </c>
      <c r="B24" s="1">
        <v>46051</v>
      </c>
      <c r="C24" t="s">
        <v>3089</v>
      </c>
      <c r="D24" t="s">
        <v>3102</v>
      </c>
      <c r="E24" t="s">
        <v>21</v>
      </c>
      <c r="F24" t="s">
        <v>3125</v>
      </c>
      <c r="G24" s="1">
        <v>46053</v>
      </c>
      <c r="H24" t="s">
        <v>22</v>
      </c>
      <c r="I24" t="s">
        <v>32</v>
      </c>
      <c r="J24" t="s">
        <v>138</v>
      </c>
      <c r="K24" t="s">
        <v>40</v>
      </c>
      <c r="L24">
        <v>1</v>
      </c>
      <c r="M24">
        <v>72</v>
      </c>
      <c r="N24" t="s">
        <v>26</v>
      </c>
      <c r="O24">
        <v>0</v>
      </c>
      <c r="P24">
        <v>5</v>
      </c>
      <c r="Q24">
        <v>67</v>
      </c>
      <c r="R24" t="s">
        <v>42</v>
      </c>
      <c r="S24" t="s">
        <v>3104</v>
      </c>
      <c r="T24" t="s">
        <v>63</v>
      </c>
      <c r="U24" t="s">
        <v>30</v>
      </c>
    </row>
    <row r="25" spans="1:21" x14ac:dyDescent="0.35">
      <c r="A25" t="s">
        <v>3131</v>
      </c>
      <c r="B25" s="1">
        <v>46052</v>
      </c>
      <c r="C25" t="s">
        <v>3089</v>
      </c>
      <c r="D25" t="s">
        <v>3102</v>
      </c>
      <c r="E25" t="s">
        <v>38</v>
      </c>
      <c r="F25" t="s">
        <v>3125</v>
      </c>
      <c r="G25" s="1">
        <v>46053</v>
      </c>
      <c r="H25" t="s">
        <v>22</v>
      </c>
      <c r="I25" t="s">
        <v>23</v>
      </c>
      <c r="J25" t="s">
        <v>24</v>
      </c>
      <c r="K25" t="s">
        <v>40</v>
      </c>
      <c r="L25">
        <v>1</v>
      </c>
      <c r="M25">
        <v>75</v>
      </c>
      <c r="N25" t="s">
        <v>87</v>
      </c>
      <c r="O25">
        <v>18</v>
      </c>
      <c r="P25">
        <v>0</v>
      </c>
      <c r="Q25">
        <v>93</v>
      </c>
      <c r="R25" t="s">
        <v>94</v>
      </c>
      <c r="S25" t="s">
        <v>3104</v>
      </c>
      <c r="T25" t="s">
        <v>29</v>
      </c>
      <c r="U25" t="s">
        <v>30</v>
      </c>
    </row>
    <row r="26" spans="1:21" x14ac:dyDescent="0.35">
      <c r="A26" t="s">
        <v>3132</v>
      </c>
      <c r="B26" s="1">
        <v>46052</v>
      </c>
      <c r="C26" t="s">
        <v>3089</v>
      </c>
      <c r="D26" t="s">
        <v>3102</v>
      </c>
      <c r="E26" t="s">
        <v>38</v>
      </c>
      <c r="F26" t="s">
        <v>3125</v>
      </c>
      <c r="G26" s="1">
        <v>46053</v>
      </c>
      <c r="H26" t="s">
        <v>22</v>
      </c>
      <c r="I26" t="s">
        <v>48</v>
      </c>
      <c r="J26" t="s">
        <v>33</v>
      </c>
      <c r="K26" t="s">
        <v>92</v>
      </c>
      <c r="L26">
        <v>2</v>
      </c>
      <c r="M26">
        <v>84</v>
      </c>
      <c r="N26" t="s">
        <v>26</v>
      </c>
      <c r="O26">
        <v>0</v>
      </c>
      <c r="P26">
        <v>0</v>
      </c>
      <c r="Q26">
        <v>168</v>
      </c>
      <c r="R26" t="s">
        <v>27</v>
      </c>
      <c r="S26" t="s">
        <v>3104</v>
      </c>
      <c r="T26" t="s">
        <v>90</v>
      </c>
      <c r="U26" t="s">
        <v>36</v>
      </c>
    </row>
    <row r="27" spans="1:21" x14ac:dyDescent="0.35">
      <c r="A27" t="s">
        <v>3133</v>
      </c>
      <c r="B27" s="1">
        <v>46053</v>
      </c>
      <c r="C27" t="s">
        <v>3089</v>
      </c>
      <c r="D27" t="s">
        <v>3102</v>
      </c>
      <c r="E27" t="s">
        <v>56</v>
      </c>
      <c r="F27" t="s">
        <v>3125</v>
      </c>
      <c r="G27" s="1">
        <v>46053</v>
      </c>
      <c r="H27" t="s">
        <v>22</v>
      </c>
      <c r="I27" t="s">
        <v>39</v>
      </c>
      <c r="J27" t="s">
        <v>65</v>
      </c>
      <c r="K27" t="s">
        <v>92</v>
      </c>
      <c r="L27">
        <v>1</v>
      </c>
      <c r="M27">
        <v>44</v>
      </c>
      <c r="N27" t="s">
        <v>75</v>
      </c>
      <c r="O27">
        <v>15</v>
      </c>
      <c r="P27">
        <v>0</v>
      </c>
      <c r="Q27">
        <v>59</v>
      </c>
      <c r="R27" t="s">
        <v>76</v>
      </c>
      <c r="S27" t="s">
        <v>3104</v>
      </c>
      <c r="T27" t="s">
        <v>83</v>
      </c>
      <c r="U27" t="s">
        <v>30</v>
      </c>
    </row>
    <row r="28" spans="1:21" x14ac:dyDescent="0.35">
      <c r="A28" t="s">
        <v>3134</v>
      </c>
      <c r="B28" s="1">
        <v>46059</v>
      </c>
      <c r="C28" t="s">
        <v>3090</v>
      </c>
      <c r="D28" t="s">
        <v>3135</v>
      </c>
      <c r="E28" t="s">
        <v>38</v>
      </c>
      <c r="F28" t="s">
        <v>3136</v>
      </c>
      <c r="G28" s="1">
        <v>46081</v>
      </c>
      <c r="H28" t="s">
        <v>22</v>
      </c>
      <c r="I28" t="s">
        <v>48</v>
      </c>
      <c r="J28" t="s">
        <v>138</v>
      </c>
      <c r="K28" t="s">
        <v>92</v>
      </c>
      <c r="L28">
        <v>1</v>
      </c>
      <c r="M28">
        <v>106</v>
      </c>
      <c r="N28" t="s">
        <v>26</v>
      </c>
      <c r="O28">
        <v>0</v>
      </c>
      <c r="P28">
        <v>10</v>
      </c>
      <c r="Q28">
        <v>96</v>
      </c>
      <c r="R28" t="s">
        <v>42</v>
      </c>
      <c r="S28" t="s">
        <v>3104</v>
      </c>
      <c r="T28" t="s">
        <v>29</v>
      </c>
      <c r="U28" t="s">
        <v>30</v>
      </c>
    </row>
    <row r="29" spans="1:21" x14ac:dyDescent="0.35">
      <c r="A29" t="s">
        <v>3137</v>
      </c>
      <c r="B29" s="1">
        <v>46062</v>
      </c>
      <c r="C29" t="s">
        <v>3090</v>
      </c>
      <c r="D29" t="s">
        <v>3135</v>
      </c>
      <c r="E29" t="s">
        <v>74</v>
      </c>
      <c r="F29" t="s">
        <v>3138</v>
      </c>
      <c r="G29" s="1">
        <v>46081</v>
      </c>
      <c r="H29" t="s">
        <v>22</v>
      </c>
      <c r="I29" t="s">
        <v>23</v>
      </c>
      <c r="J29" t="s">
        <v>65</v>
      </c>
      <c r="K29" t="s">
        <v>92</v>
      </c>
      <c r="L29">
        <v>3</v>
      </c>
      <c r="M29">
        <v>44</v>
      </c>
      <c r="N29" t="s">
        <v>26</v>
      </c>
      <c r="O29">
        <v>0</v>
      </c>
      <c r="P29">
        <v>0</v>
      </c>
      <c r="Q29">
        <v>132</v>
      </c>
      <c r="R29" t="s">
        <v>62</v>
      </c>
      <c r="S29" t="s">
        <v>3104</v>
      </c>
      <c r="T29" t="s">
        <v>90</v>
      </c>
      <c r="U29" t="s">
        <v>58</v>
      </c>
    </row>
    <row r="30" spans="1:21" x14ac:dyDescent="0.35">
      <c r="A30" t="s">
        <v>3139</v>
      </c>
      <c r="B30" s="1">
        <v>46062</v>
      </c>
      <c r="C30" t="s">
        <v>3090</v>
      </c>
      <c r="D30" t="s">
        <v>3135</v>
      </c>
      <c r="E30" t="s">
        <v>74</v>
      </c>
      <c r="F30" t="s">
        <v>3138</v>
      </c>
      <c r="G30" s="1">
        <v>46081</v>
      </c>
      <c r="H30" t="s">
        <v>22</v>
      </c>
      <c r="I30" t="s">
        <v>53</v>
      </c>
      <c r="J30" t="s">
        <v>24</v>
      </c>
      <c r="K30" t="s">
        <v>25</v>
      </c>
      <c r="L30">
        <v>2</v>
      </c>
      <c r="M30">
        <v>50</v>
      </c>
      <c r="N30" t="s">
        <v>26</v>
      </c>
      <c r="O30">
        <v>0</v>
      </c>
      <c r="P30">
        <v>0</v>
      </c>
      <c r="Q30">
        <v>100</v>
      </c>
      <c r="R30" t="s">
        <v>94</v>
      </c>
      <c r="S30" t="s">
        <v>3104</v>
      </c>
      <c r="T30" t="s">
        <v>83</v>
      </c>
      <c r="U30" t="s">
        <v>30</v>
      </c>
    </row>
    <row r="31" spans="1:21" x14ac:dyDescent="0.35">
      <c r="A31" t="s">
        <v>3140</v>
      </c>
      <c r="B31" s="1">
        <v>46062</v>
      </c>
      <c r="C31" t="s">
        <v>3090</v>
      </c>
      <c r="D31" t="s">
        <v>3135</v>
      </c>
      <c r="E31" t="s">
        <v>74</v>
      </c>
      <c r="F31" t="s">
        <v>3138</v>
      </c>
      <c r="G31" s="1">
        <v>46081</v>
      </c>
      <c r="H31" t="s">
        <v>22</v>
      </c>
      <c r="I31" t="s">
        <v>32</v>
      </c>
      <c r="J31" t="s">
        <v>33</v>
      </c>
      <c r="K31" t="s">
        <v>25</v>
      </c>
      <c r="L31">
        <v>1</v>
      </c>
      <c r="M31">
        <v>38</v>
      </c>
      <c r="N31" t="s">
        <v>26</v>
      </c>
      <c r="O31">
        <v>0</v>
      </c>
      <c r="P31">
        <v>0</v>
      </c>
      <c r="Q31">
        <v>38</v>
      </c>
      <c r="R31" t="s">
        <v>27</v>
      </c>
      <c r="S31" t="s">
        <v>3104</v>
      </c>
      <c r="T31" t="s">
        <v>51</v>
      </c>
      <c r="U31" t="s">
        <v>58</v>
      </c>
    </row>
    <row r="32" spans="1:21" x14ac:dyDescent="0.35">
      <c r="A32" t="s">
        <v>3141</v>
      </c>
      <c r="B32" s="1">
        <v>46067</v>
      </c>
      <c r="C32" t="s">
        <v>3090</v>
      </c>
      <c r="D32" t="s">
        <v>3135</v>
      </c>
      <c r="E32" t="s">
        <v>56</v>
      </c>
      <c r="F32" t="s">
        <v>3138</v>
      </c>
      <c r="G32" s="1">
        <v>46081</v>
      </c>
      <c r="H32" t="s">
        <v>22</v>
      </c>
      <c r="I32" t="s">
        <v>53</v>
      </c>
      <c r="J32" t="s">
        <v>127</v>
      </c>
      <c r="K32" t="s">
        <v>25</v>
      </c>
      <c r="L32">
        <v>1</v>
      </c>
      <c r="M32">
        <v>15</v>
      </c>
      <c r="N32" t="s">
        <v>26</v>
      </c>
      <c r="O32">
        <v>0</v>
      </c>
      <c r="P32">
        <v>0</v>
      </c>
      <c r="Q32">
        <v>15</v>
      </c>
      <c r="R32" t="s">
        <v>62</v>
      </c>
      <c r="S32" t="s">
        <v>3104</v>
      </c>
      <c r="T32" t="s">
        <v>83</v>
      </c>
      <c r="U32" t="s">
        <v>30</v>
      </c>
    </row>
    <row r="33" spans="1:21" x14ac:dyDescent="0.35">
      <c r="A33" t="s">
        <v>3142</v>
      </c>
      <c r="B33" s="1">
        <v>46068</v>
      </c>
      <c r="C33" t="s">
        <v>3090</v>
      </c>
      <c r="D33" t="s">
        <v>3135</v>
      </c>
      <c r="E33" t="s">
        <v>68</v>
      </c>
      <c r="F33" t="s">
        <v>3143</v>
      </c>
      <c r="G33" s="1">
        <v>46081</v>
      </c>
      <c r="H33" t="s">
        <v>22</v>
      </c>
      <c r="I33" t="s">
        <v>23</v>
      </c>
      <c r="J33" t="s">
        <v>44</v>
      </c>
      <c r="K33" t="s">
        <v>92</v>
      </c>
      <c r="L33">
        <v>1</v>
      </c>
      <c r="M33">
        <v>114</v>
      </c>
      <c r="N33" t="s">
        <v>87</v>
      </c>
      <c r="O33">
        <v>18</v>
      </c>
      <c r="P33">
        <v>5</v>
      </c>
      <c r="Q33">
        <v>127</v>
      </c>
      <c r="R33" t="s">
        <v>62</v>
      </c>
      <c r="S33" t="s">
        <v>3104</v>
      </c>
      <c r="T33" t="s">
        <v>83</v>
      </c>
      <c r="U33" t="s">
        <v>30</v>
      </c>
    </row>
    <row r="34" spans="1:21" x14ac:dyDescent="0.35">
      <c r="A34" t="s">
        <v>3144</v>
      </c>
      <c r="B34" s="1">
        <v>46069</v>
      </c>
      <c r="C34" t="s">
        <v>3090</v>
      </c>
      <c r="D34" t="s">
        <v>3135</v>
      </c>
      <c r="E34" t="s">
        <v>74</v>
      </c>
      <c r="F34" t="s">
        <v>3143</v>
      </c>
      <c r="G34" s="1">
        <v>46081</v>
      </c>
      <c r="H34" t="s">
        <v>22</v>
      </c>
      <c r="I34" t="s">
        <v>39</v>
      </c>
      <c r="J34" t="s">
        <v>44</v>
      </c>
      <c r="K34" t="s">
        <v>25</v>
      </c>
      <c r="L34">
        <v>3</v>
      </c>
      <c r="M34">
        <v>52</v>
      </c>
      <c r="N34" t="s">
        <v>89</v>
      </c>
      <c r="O34">
        <v>7</v>
      </c>
      <c r="P34">
        <v>0</v>
      </c>
      <c r="Q34">
        <v>163</v>
      </c>
      <c r="R34" t="s">
        <v>42</v>
      </c>
      <c r="S34" t="s">
        <v>3104</v>
      </c>
      <c r="T34" t="s">
        <v>51</v>
      </c>
      <c r="U34" t="s">
        <v>30</v>
      </c>
    </row>
    <row r="35" spans="1:21" x14ac:dyDescent="0.35">
      <c r="A35" t="s">
        <v>3145</v>
      </c>
      <c r="B35" s="1">
        <v>46069</v>
      </c>
      <c r="C35" t="s">
        <v>3090</v>
      </c>
      <c r="D35" t="s">
        <v>3135</v>
      </c>
      <c r="E35" t="s">
        <v>74</v>
      </c>
      <c r="F35" t="s">
        <v>3143</v>
      </c>
      <c r="G35" s="1">
        <v>46081</v>
      </c>
      <c r="H35" t="s">
        <v>22</v>
      </c>
      <c r="I35" t="s">
        <v>39</v>
      </c>
      <c r="J35" t="s">
        <v>33</v>
      </c>
      <c r="K35" t="s">
        <v>25</v>
      </c>
      <c r="L35">
        <v>1</v>
      </c>
      <c r="M35">
        <v>38</v>
      </c>
      <c r="N35" t="s">
        <v>89</v>
      </c>
      <c r="O35">
        <v>7</v>
      </c>
      <c r="P35">
        <v>0</v>
      </c>
      <c r="Q35">
        <v>45</v>
      </c>
      <c r="R35" t="s">
        <v>94</v>
      </c>
      <c r="S35" t="s">
        <v>3104</v>
      </c>
      <c r="T35" t="s">
        <v>90</v>
      </c>
      <c r="U35" t="s">
        <v>36</v>
      </c>
    </row>
    <row r="36" spans="1:21" x14ac:dyDescent="0.35">
      <c r="A36" t="s">
        <v>3146</v>
      </c>
      <c r="B36" s="1">
        <v>46072</v>
      </c>
      <c r="C36" t="s">
        <v>3090</v>
      </c>
      <c r="D36" t="s">
        <v>3135</v>
      </c>
      <c r="E36" t="s">
        <v>21</v>
      </c>
      <c r="F36" t="s">
        <v>3143</v>
      </c>
      <c r="G36" s="1">
        <v>46081</v>
      </c>
      <c r="H36" t="s">
        <v>22</v>
      </c>
      <c r="I36" t="s">
        <v>23</v>
      </c>
      <c r="J36" t="s">
        <v>33</v>
      </c>
      <c r="K36" t="s">
        <v>40</v>
      </c>
      <c r="L36">
        <v>1</v>
      </c>
      <c r="M36">
        <v>57</v>
      </c>
      <c r="N36" t="s">
        <v>41</v>
      </c>
      <c r="O36">
        <v>5</v>
      </c>
      <c r="P36">
        <v>5</v>
      </c>
      <c r="Q36">
        <v>57</v>
      </c>
      <c r="R36" t="s">
        <v>62</v>
      </c>
      <c r="S36" t="s">
        <v>3104</v>
      </c>
      <c r="T36" t="s">
        <v>51</v>
      </c>
      <c r="U36" t="s">
        <v>79</v>
      </c>
    </row>
    <row r="37" spans="1:21" x14ac:dyDescent="0.35">
      <c r="A37" t="s">
        <v>3147</v>
      </c>
      <c r="B37" s="1">
        <v>46073</v>
      </c>
      <c r="C37" t="s">
        <v>3090</v>
      </c>
      <c r="D37" t="s">
        <v>3135</v>
      </c>
      <c r="E37" t="s">
        <v>38</v>
      </c>
      <c r="F37" t="s">
        <v>3143</v>
      </c>
      <c r="G37" s="1">
        <v>46081</v>
      </c>
      <c r="H37" t="s">
        <v>22</v>
      </c>
      <c r="I37" t="s">
        <v>53</v>
      </c>
      <c r="J37" t="s">
        <v>44</v>
      </c>
      <c r="K37" t="s">
        <v>40</v>
      </c>
      <c r="L37">
        <v>1</v>
      </c>
      <c r="M37">
        <v>78</v>
      </c>
      <c r="N37" t="s">
        <v>26</v>
      </c>
      <c r="O37">
        <v>0</v>
      </c>
      <c r="P37">
        <v>0</v>
      </c>
      <c r="Q37">
        <v>78</v>
      </c>
      <c r="R37" t="s">
        <v>42</v>
      </c>
      <c r="S37" t="s">
        <v>3104</v>
      </c>
      <c r="T37" t="s">
        <v>51</v>
      </c>
      <c r="U37" t="s">
        <v>30</v>
      </c>
    </row>
    <row r="38" spans="1:21" x14ac:dyDescent="0.35">
      <c r="A38" t="s">
        <v>3148</v>
      </c>
      <c r="B38" s="1">
        <v>46074</v>
      </c>
      <c r="C38" t="s">
        <v>3090</v>
      </c>
      <c r="D38" t="s">
        <v>3135</v>
      </c>
      <c r="E38" t="s">
        <v>56</v>
      </c>
      <c r="F38" t="s">
        <v>3143</v>
      </c>
      <c r="G38" s="1">
        <v>46081</v>
      </c>
      <c r="H38" t="s">
        <v>22</v>
      </c>
      <c r="I38" t="s">
        <v>23</v>
      </c>
      <c r="J38" t="s">
        <v>78</v>
      </c>
      <c r="K38" t="s">
        <v>92</v>
      </c>
      <c r="L38">
        <v>1</v>
      </c>
      <c r="M38">
        <v>88</v>
      </c>
      <c r="N38" t="s">
        <v>26</v>
      </c>
      <c r="O38">
        <v>0</v>
      </c>
      <c r="P38">
        <v>0</v>
      </c>
      <c r="Q38">
        <v>88</v>
      </c>
      <c r="R38" t="s">
        <v>94</v>
      </c>
      <c r="S38" t="s">
        <v>3104</v>
      </c>
      <c r="T38" t="s">
        <v>83</v>
      </c>
      <c r="U38" t="s">
        <v>30</v>
      </c>
    </row>
    <row r="39" spans="1:21" x14ac:dyDescent="0.35">
      <c r="A39" t="s">
        <v>3149</v>
      </c>
      <c r="B39" s="1">
        <v>46074</v>
      </c>
      <c r="C39" t="s">
        <v>3090</v>
      </c>
      <c r="D39" t="s">
        <v>3135</v>
      </c>
      <c r="E39" t="s">
        <v>56</v>
      </c>
      <c r="F39" t="s">
        <v>3143</v>
      </c>
      <c r="G39" s="1">
        <v>46081</v>
      </c>
      <c r="H39" t="s">
        <v>22</v>
      </c>
      <c r="I39" t="s">
        <v>23</v>
      </c>
      <c r="J39" t="s">
        <v>78</v>
      </c>
      <c r="K39" t="s">
        <v>92</v>
      </c>
      <c r="L39">
        <v>1</v>
      </c>
      <c r="M39">
        <v>88</v>
      </c>
      <c r="N39" t="s">
        <v>26</v>
      </c>
      <c r="O39">
        <v>0</v>
      </c>
      <c r="P39">
        <v>0</v>
      </c>
      <c r="Q39">
        <v>88</v>
      </c>
      <c r="R39" t="s">
        <v>94</v>
      </c>
      <c r="S39" t="s">
        <v>3104</v>
      </c>
      <c r="T39" t="s">
        <v>51</v>
      </c>
      <c r="U39" t="s">
        <v>36</v>
      </c>
    </row>
    <row r="40" spans="1:21" x14ac:dyDescent="0.35">
      <c r="A40" t="s">
        <v>3150</v>
      </c>
      <c r="B40" s="1">
        <v>46076</v>
      </c>
      <c r="C40" t="s">
        <v>3090</v>
      </c>
      <c r="D40" t="s">
        <v>3135</v>
      </c>
      <c r="E40" t="s">
        <v>74</v>
      </c>
      <c r="F40" t="s">
        <v>3151</v>
      </c>
      <c r="G40" s="1">
        <v>46081</v>
      </c>
      <c r="H40" t="s">
        <v>22</v>
      </c>
      <c r="I40" t="s">
        <v>53</v>
      </c>
      <c r="J40" t="s">
        <v>24</v>
      </c>
      <c r="K40" t="s">
        <v>40</v>
      </c>
      <c r="L40">
        <v>1</v>
      </c>
      <c r="M40">
        <v>75</v>
      </c>
      <c r="N40" t="s">
        <v>70</v>
      </c>
      <c r="O40">
        <v>10</v>
      </c>
      <c r="P40">
        <v>0</v>
      </c>
      <c r="Q40">
        <v>85</v>
      </c>
      <c r="R40" t="s">
        <v>42</v>
      </c>
      <c r="S40" t="s">
        <v>3104</v>
      </c>
      <c r="T40" t="s">
        <v>29</v>
      </c>
      <c r="U40" t="s">
        <v>30</v>
      </c>
    </row>
    <row r="41" spans="1:21" x14ac:dyDescent="0.35">
      <c r="A41" t="s">
        <v>3152</v>
      </c>
      <c r="B41" s="1">
        <v>46076</v>
      </c>
      <c r="C41" t="s">
        <v>3090</v>
      </c>
      <c r="D41" t="s">
        <v>3135</v>
      </c>
      <c r="E41" t="s">
        <v>74</v>
      </c>
      <c r="F41" t="s">
        <v>3151</v>
      </c>
      <c r="G41" s="1">
        <v>46081</v>
      </c>
      <c r="H41" t="s">
        <v>22</v>
      </c>
      <c r="I41" t="s">
        <v>23</v>
      </c>
      <c r="J41" t="s">
        <v>44</v>
      </c>
      <c r="K41" t="s">
        <v>60</v>
      </c>
      <c r="L41">
        <v>1</v>
      </c>
      <c r="M41">
        <v>31</v>
      </c>
      <c r="N41" t="s">
        <v>26</v>
      </c>
      <c r="O41">
        <v>0</v>
      </c>
      <c r="P41">
        <v>15</v>
      </c>
      <c r="Q41">
        <v>16</v>
      </c>
      <c r="R41" t="s">
        <v>42</v>
      </c>
      <c r="S41" t="s">
        <v>3104</v>
      </c>
      <c r="T41" t="s">
        <v>83</v>
      </c>
      <c r="U41" t="s">
        <v>58</v>
      </c>
    </row>
    <row r="42" spans="1:21" x14ac:dyDescent="0.35">
      <c r="A42" t="s">
        <v>3153</v>
      </c>
      <c r="B42" s="1">
        <v>46077</v>
      </c>
      <c r="C42" t="s">
        <v>3090</v>
      </c>
      <c r="D42" t="s">
        <v>3135</v>
      </c>
      <c r="E42" t="s">
        <v>102</v>
      </c>
      <c r="F42" t="s">
        <v>3151</v>
      </c>
      <c r="G42" s="1">
        <v>46081</v>
      </c>
      <c r="H42" t="s">
        <v>22</v>
      </c>
      <c r="I42" t="s">
        <v>39</v>
      </c>
      <c r="J42" t="s">
        <v>78</v>
      </c>
      <c r="K42" t="s">
        <v>25</v>
      </c>
      <c r="L42">
        <v>2</v>
      </c>
      <c r="M42">
        <v>40</v>
      </c>
      <c r="N42" t="s">
        <v>87</v>
      </c>
      <c r="O42">
        <v>18</v>
      </c>
      <c r="P42">
        <v>0</v>
      </c>
      <c r="Q42">
        <v>98</v>
      </c>
      <c r="R42" t="s">
        <v>42</v>
      </c>
      <c r="S42" t="s">
        <v>3104</v>
      </c>
      <c r="T42" t="s">
        <v>51</v>
      </c>
      <c r="U42" t="s">
        <v>30</v>
      </c>
    </row>
    <row r="43" spans="1:21" x14ac:dyDescent="0.35">
      <c r="A43" t="s">
        <v>3154</v>
      </c>
      <c r="B43" s="1">
        <v>46077</v>
      </c>
      <c r="C43" t="s">
        <v>3090</v>
      </c>
      <c r="D43" t="s">
        <v>3135</v>
      </c>
      <c r="E43" t="s">
        <v>102</v>
      </c>
      <c r="F43" t="s">
        <v>3151</v>
      </c>
      <c r="G43" s="1">
        <v>46081</v>
      </c>
      <c r="H43" t="s">
        <v>22</v>
      </c>
      <c r="I43" t="s">
        <v>39</v>
      </c>
      <c r="J43" t="s">
        <v>44</v>
      </c>
      <c r="K43" t="s">
        <v>60</v>
      </c>
      <c r="L43">
        <v>1</v>
      </c>
      <c r="M43">
        <v>31</v>
      </c>
      <c r="N43" t="s">
        <v>26</v>
      </c>
      <c r="O43">
        <v>0</v>
      </c>
      <c r="P43">
        <v>15</v>
      </c>
      <c r="Q43">
        <v>16</v>
      </c>
      <c r="R43" t="s">
        <v>42</v>
      </c>
      <c r="S43" t="s">
        <v>3104</v>
      </c>
      <c r="T43" t="s">
        <v>63</v>
      </c>
      <c r="U43" t="s">
        <v>30</v>
      </c>
    </row>
    <row r="44" spans="1:21" x14ac:dyDescent="0.35">
      <c r="A44" t="s">
        <v>3155</v>
      </c>
      <c r="B44" s="1">
        <v>46078</v>
      </c>
      <c r="C44" t="s">
        <v>3090</v>
      </c>
      <c r="D44" t="s">
        <v>3135</v>
      </c>
      <c r="E44" t="s">
        <v>109</v>
      </c>
      <c r="F44" t="s">
        <v>3151</v>
      </c>
      <c r="G44" s="1">
        <v>46081</v>
      </c>
      <c r="H44" t="s">
        <v>22</v>
      </c>
      <c r="I44" t="s">
        <v>48</v>
      </c>
      <c r="J44" t="s">
        <v>78</v>
      </c>
      <c r="K44" t="s">
        <v>40</v>
      </c>
      <c r="L44">
        <v>1</v>
      </c>
      <c r="M44">
        <v>60</v>
      </c>
      <c r="N44" t="s">
        <v>89</v>
      </c>
      <c r="O44">
        <v>7</v>
      </c>
      <c r="P44">
        <v>0</v>
      </c>
      <c r="Q44">
        <v>67</v>
      </c>
      <c r="R44" t="s">
        <v>62</v>
      </c>
      <c r="S44" t="s">
        <v>3104</v>
      </c>
      <c r="T44" t="s">
        <v>83</v>
      </c>
      <c r="U44" t="s">
        <v>30</v>
      </c>
    </row>
    <row r="45" spans="1:21" x14ac:dyDescent="0.35">
      <c r="A45" t="s">
        <v>3156</v>
      </c>
      <c r="B45" s="1">
        <v>46078</v>
      </c>
      <c r="C45" t="s">
        <v>3090</v>
      </c>
      <c r="D45" t="s">
        <v>3135</v>
      </c>
      <c r="E45" t="s">
        <v>109</v>
      </c>
      <c r="F45" t="s">
        <v>3151</v>
      </c>
      <c r="G45" s="1">
        <v>46081</v>
      </c>
      <c r="H45" t="s">
        <v>22</v>
      </c>
      <c r="I45" t="s">
        <v>39</v>
      </c>
      <c r="J45" t="s">
        <v>78</v>
      </c>
      <c r="K45" t="s">
        <v>92</v>
      </c>
      <c r="L45">
        <v>1</v>
      </c>
      <c r="M45">
        <v>88</v>
      </c>
      <c r="N45" t="s">
        <v>61</v>
      </c>
      <c r="O45">
        <v>12</v>
      </c>
      <c r="P45">
        <v>0</v>
      </c>
      <c r="Q45">
        <v>100</v>
      </c>
      <c r="R45" t="s">
        <v>94</v>
      </c>
      <c r="S45" t="s">
        <v>3104</v>
      </c>
      <c r="T45" t="s">
        <v>63</v>
      </c>
      <c r="U45" t="s">
        <v>58</v>
      </c>
    </row>
    <row r="46" spans="1:21" x14ac:dyDescent="0.35">
      <c r="A46" t="s">
        <v>3157</v>
      </c>
      <c r="B46" s="1">
        <v>46079</v>
      </c>
      <c r="C46" t="s">
        <v>3090</v>
      </c>
      <c r="D46" t="s">
        <v>3135</v>
      </c>
      <c r="E46" t="s">
        <v>21</v>
      </c>
      <c r="F46" t="s">
        <v>3151</v>
      </c>
      <c r="G46" s="1">
        <v>46081</v>
      </c>
      <c r="H46" t="s">
        <v>22</v>
      </c>
      <c r="I46" t="s">
        <v>48</v>
      </c>
      <c r="J46" t="s">
        <v>86</v>
      </c>
      <c r="K46" t="s">
        <v>60</v>
      </c>
      <c r="L46">
        <v>1</v>
      </c>
      <c r="M46">
        <v>27</v>
      </c>
      <c r="N46" t="s">
        <v>26</v>
      </c>
      <c r="O46">
        <v>0</v>
      </c>
      <c r="P46">
        <v>15</v>
      </c>
      <c r="Q46">
        <v>12</v>
      </c>
      <c r="R46" t="s">
        <v>94</v>
      </c>
      <c r="S46" t="s">
        <v>3104</v>
      </c>
      <c r="T46" t="s">
        <v>63</v>
      </c>
      <c r="U46" t="s">
        <v>30</v>
      </c>
    </row>
    <row r="47" spans="1:21" x14ac:dyDescent="0.35">
      <c r="A47" t="s">
        <v>3158</v>
      </c>
      <c r="B47" s="1">
        <v>46079</v>
      </c>
      <c r="C47" t="s">
        <v>3090</v>
      </c>
      <c r="D47" t="s">
        <v>3135</v>
      </c>
      <c r="E47" t="s">
        <v>21</v>
      </c>
      <c r="F47" t="s">
        <v>3151</v>
      </c>
      <c r="G47" s="1">
        <v>46081</v>
      </c>
      <c r="H47" t="s">
        <v>22</v>
      </c>
      <c r="I47" t="s">
        <v>48</v>
      </c>
      <c r="J47" t="s">
        <v>86</v>
      </c>
      <c r="K47" t="s">
        <v>40</v>
      </c>
      <c r="L47">
        <v>1</v>
      </c>
      <c r="M47">
        <v>68</v>
      </c>
      <c r="N47" t="s">
        <v>89</v>
      </c>
      <c r="O47">
        <v>7</v>
      </c>
      <c r="P47">
        <v>10</v>
      </c>
      <c r="Q47">
        <v>65</v>
      </c>
      <c r="R47" t="s">
        <v>62</v>
      </c>
      <c r="S47" t="s">
        <v>3104</v>
      </c>
      <c r="T47" t="s">
        <v>83</v>
      </c>
      <c r="U47" t="s">
        <v>36</v>
      </c>
    </row>
    <row r="48" spans="1:21" x14ac:dyDescent="0.35">
      <c r="A48" t="s">
        <v>3159</v>
      </c>
      <c r="B48" s="1">
        <v>46080</v>
      </c>
      <c r="C48" t="s">
        <v>3090</v>
      </c>
      <c r="D48" t="s">
        <v>3135</v>
      </c>
      <c r="E48" t="s">
        <v>38</v>
      </c>
      <c r="F48" t="s">
        <v>3151</v>
      </c>
      <c r="G48" s="1">
        <v>46081</v>
      </c>
      <c r="H48" t="s">
        <v>22</v>
      </c>
      <c r="I48" t="s">
        <v>53</v>
      </c>
      <c r="J48" t="s">
        <v>138</v>
      </c>
      <c r="K48" t="s">
        <v>25</v>
      </c>
      <c r="L48">
        <v>2</v>
      </c>
      <c r="M48">
        <v>48</v>
      </c>
      <c r="N48" t="s">
        <v>26</v>
      </c>
      <c r="O48">
        <v>0</v>
      </c>
      <c r="P48">
        <v>0</v>
      </c>
      <c r="Q48">
        <v>96</v>
      </c>
      <c r="R48" t="s">
        <v>94</v>
      </c>
      <c r="S48" t="s">
        <v>3104</v>
      </c>
      <c r="T48" t="s">
        <v>83</v>
      </c>
      <c r="U48" t="s">
        <v>58</v>
      </c>
    </row>
    <row r="49" spans="1:21" x14ac:dyDescent="0.35">
      <c r="A49" t="s">
        <v>3160</v>
      </c>
      <c r="B49" s="1">
        <v>46083</v>
      </c>
      <c r="C49" t="s">
        <v>3091</v>
      </c>
      <c r="D49" t="s">
        <v>3161</v>
      </c>
      <c r="E49" t="s">
        <v>74</v>
      </c>
      <c r="F49" t="s">
        <v>3162</v>
      </c>
      <c r="G49" s="1">
        <v>46112</v>
      </c>
      <c r="H49" t="s">
        <v>204</v>
      </c>
      <c r="I49" t="s">
        <v>48</v>
      </c>
      <c r="J49" t="s">
        <v>65</v>
      </c>
      <c r="K49" t="s">
        <v>40</v>
      </c>
      <c r="L49">
        <v>1</v>
      </c>
      <c r="M49">
        <v>30</v>
      </c>
      <c r="N49" t="s">
        <v>26</v>
      </c>
      <c r="O49">
        <v>0</v>
      </c>
      <c r="P49">
        <v>10</v>
      </c>
      <c r="Q49">
        <v>20</v>
      </c>
      <c r="R49" t="s">
        <v>27</v>
      </c>
      <c r="S49" t="s">
        <v>3104</v>
      </c>
      <c r="T49" t="s">
        <v>90</v>
      </c>
      <c r="U49" t="s">
        <v>30</v>
      </c>
    </row>
    <row r="50" spans="1:21" x14ac:dyDescent="0.35">
      <c r="A50" t="s">
        <v>3163</v>
      </c>
      <c r="B50" s="1">
        <v>46084</v>
      </c>
      <c r="C50" t="s">
        <v>3091</v>
      </c>
      <c r="D50" t="s">
        <v>3161</v>
      </c>
      <c r="E50" t="s">
        <v>102</v>
      </c>
      <c r="F50" t="s">
        <v>3162</v>
      </c>
      <c r="G50" s="1">
        <v>46112</v>
      </c>
      <c r="H50" t="s">
        <v>204</v>
      </c>
      <c r="I50" t="s">
        <v>32</v>
      </c>
      <c r="J50" t="s">
        <v>33</v>
      </c>
      <c r="K50" t="s">
        <v>40</v>
      </c>
      <c r="L50">
        <v>1</v>
      </c>
      <c r="M50">
        <v>57</v>
      </c>
      <c r="N50" t="s">
        <v>41</v>
      </c>
      <c r="O50">
        <v>5</v>
      </c>
      <c r="P50">
        <v>0</v>
      </c>
      <c r="Q50">
        <v>62</v>
      </c>
      <c r="R50" t="s">
        <v>76</v>
      </c>
      <c r="S50" t="s">
        <v>3104</v>
      </c>
      <c r="T50" t="s">
        <v>90</v>
      </c>
      <c r="U50" t="s">
        <v>30</v>
      </c>
    </row>
    <row r="51" spans="1:21" x14ac:dyDescent="0.35">
      <c r="A51" t="s">
        <v>3164</v>
      </c>
      <c r="B51" s="1">
        <v>46085</v>
      </c>
      <c r="C51" t="s">
        <v>3091</v>
      </c>
      <c r="D51" t="s">
        <v>3161</v>
      </c>
      <c r="E51" t="s">
        <v>109</v>
      </c>
      <c r="F51" t="s">
        <v>3162</v>
      </c>
      <c r="G51" s="1">
        <v>46112</v>
      </c>
      <c r="H51" t="s">
        <v>204</v>
      </c>
      <c r="I51" t="s">
        <v>53</v>
      </c>
      <c r="J51" t="s">
        <v>138</v>
      </c>
      <c r="K51" t="s">
        <v>92</v>
      </c>
      <c r="L51">
        <v>1</v>
      </c>
      <c r="M51">
        <v>106</v>
      </c>
      <c r="N51" t="s">
        <v>89</v>
      </c>
      <c r="O51">
        <v>7</v>
      </c>
      <c r="P51">
        <v>0</v>
      </c>
      <c r="Q51">
        <v>113</v>
      </c>
      <c r="R51" t="s">
        <v>42</v>
      </c>
      <c r="S51" t="s">
        <v>3104</v>
      </c>
      <c r="T51" t="s">
        <v>51</v>
      </c>
      <c r="U51" t="s">
        <v>36</v>
      </c>
    </row>
    <row r="52" spans="1:21" x14ac:dyDescent="0.35">
      <c r="A52" t="s">
        <v>3165</v>
      </c>
      <c r="B52" s="1">
        <v>46086</v>
      </c>
      <c r="C52" t="s">
        <v>3091</v>
      </c>
      <c r="D52" t="s">
        <v>3161</v>
      </c>
      <c r="E52" t="s">
        <v>21</v>
      </c>
      <c r="F52" t="s">
        <v>3162</v>
      </c>
      <c r="G52" s="1">
        <v>46112</v>
      </c>
      <c r="H52" t="s">
        <v>204</v>
      </c>
      <c r="I52" t="s">
        <v>23</v>
      </c>
      <c r="J52" t="s">
        <v>49</v>
      </c>
      <c r="K52" t="s">
        <v>40</v>
      </c>
      <c r="L52">
        <v>1</v>
      </c>
      <c r="M52">
        <v>54</v>
      </c>
      <c r="N52" t="s">
        <v>41</v>
      </c>
      <c r="O52">
        <v>5</v>
      </c>
      <c r="P52">
        <v>0</v>
      </c>
      <c r="Q52">
        <v>59</v>
      </c>
      <c r="R52" t="s">
        <v>27</v>
      </c>
      <c r="S52" t="s">
        <v>3104</v>
      </c>
      <c r="T52" t="s">
        <v>29</v>
      </c>
      <c r="U52" t="s">
        <v>30</v>
      </c>
    </row>
    <row r="53" spans="1:21" x14ac:dyDescent="0.35">
      <c r="A53" t="s">
        <v>3166</v>
      </c>
      <c r="B53" s="1">
        <v>46086</v>
      </c>
      <c r="C53" t="s">
        <v>3091</v>
      </c>
      <c r="D53" t="s">
        <v>3161</v>
      </c>
      <c r="E53" t="s">
        <v>21</v>
      </c>
      <c r="F53" t="s">
        <v>3162</v>
      </c>
      <c r="G53" s="1">
        <v>46112</v>
      </c>
      <c r="H53" t="s">
        <v>204</v>
      </c>
      <c r="I53" t="s">
        <v>48</v>
      </c>
      <c r="J53" t="s">
        <v>78</v>
      </c>
      <c r="K53" t="s">
        <v>40</v>
      </c>
      <c r="L53">
        <v>1</v>
      </c>
      <c r="M53">
        <v>60</v>
      </c>
      <c r="N53" t="s">
        <v>26</v>
      </c>
      <c r="O53">
        <v>0</v>
      </c>
      <c r="P53">
        <v>0</v>
      </c>
      <c r="Q53">
        <v>60</v>
      </c>
      <c r="R53" t="s">
        <v>62</v>
      </c>
      <c r="S53" t="s">
        <v>3104</v>
      </c>
      <c r="T53" t="s">
        <v>83</v>
      </c>
      <c r="U53" t="s">
        <v>30</v>
      </c>
    </row>
    <row r="54" spans="1:21" x14ac:dyDescent="0.35">
      <c r="A54" t="s">
        <v>3167</v>
      </c>
      <c r="B54" s="1">
        <v>46089</v>
      </c>
      <c r="C54" t="s">
        <v>3091</v>
      </c>
      <c r="D54" t="s">
        <v>3161</v>
      </c>
      <c r="E54" t="s">
        <v>68</v>
      </c>
      <c r="F54" t="s">
        <v>3168</v>
      </c>
      <c r="G54" s="1">
        <v>46112</v>
      </c>
      <c r="H54" t="s">
        <v>204</v>
      </c>
      <c r="I54" t="s">
        <v>48</v>
      </c>
      <c r="J54" t="s">
        <v>49</v>
      </c>
      <c r="K54" t="s">
        <v>92</v>
      </c>
      <c r="L54">
        <v>1</v>
      </c>
      <c r="M54">
        <v>79</v>
      </c>
      <c r="N54" t="s">
        <v>41</v>
      </c>
      <c r="O54">
        <v>5</v>
      </c>
      <c r="P54">
        <v>10</v>
      </c>
      <c r="Q54">
        <v>74</v>
      </c>
      <c r="R54" t="s">
        <v>42</v>
      </c>
      <c r="S54" t="s">
        <v>3104</v>
      </c>
      <c r="T54" t="s">
        <v>90</v>
      </c>
      <c r="U54" t="s">
        <v>30</v>
      </c>
    </row>
    <row r="55" spans="1:21" x14ac:dyDescent="0.35">
      <c r="A55" t="s">
        <v>3169</v>
      </c>
      <c r="B55" s="1">
        <v>46089</v>
      </c>
      <c r="C55" t="s">
        <v>3091</v>
      </c>
      <c r="D55" t="s">
        <v>3161</v>
      </c>
      <c r="E55" t="s">
        <v>68</v>
      </c>
      <c r="F55" t="s">
        <v>3168</v>
      </c>
      <c r="G55" s="1">
        <v>46112</v>
      </c>
      <c r="H55" t="s">
        <v>204</v>
      </c>
      <c r="I55" t="s">
        <v>32</v>
      </c>
      <c r="J55" t="s">
        <v>65</v>
      </c>
      <c r="K55" t="s">
        <v>60</v>
      </c>
      <c r="L55">
        <v>2</v>
      </c>
      <c r="M55">
        <v>12</v>
      </c>
      <c r="N55" t="s">
        <v>26</v>
      </c>
      <c r="O55">
        <v>0</v>
      </c>
      <c r="P55">
        <v>0</v>
      </c>
      <c r="Q55">
        <v>24</v>
      </c>
      <c r="R55" t="s">
        <v>62</v>
      </c>
      <c r="S55" t="s">
        <v>3104</v>
      </c>
      <c r="T55" t="s">
        <v>29</v>
      </c>
      <c r="U55" t="s">
        <v>58</v>
      </c>
    </row>
    <row r="56" spans="1:21" x14ac:dyDescent="0.35">
      <c r="A56" t="s">
        <v>3170</v>
      </c>
      <c r="B56" s="1">
        <v>46090</v>
      </c>
      <c r="C56" t="s">
        <v>3091</v>
      </c>
      <c r="D56" t="s">
        <v>3161</v>
      </c>
      <c r="E56" t="s">
        <v>74</v>
      </c>
      <c r="F56" t="s">
        <v>3168</v>
      </c>
      <c r="G56" s="1">
        <v>46112</v>
      </c>
      <c r="H56" t="s">
        <v>204</v>
      </c>
      <c r="I56" t="s">
        <v>39</v>
      </c>
      <c r="J56" t="s">
        <v>44</v>
      </c>
      <c r="K56" t="s">
        <v>92</v>
      </c>
      <c r="L56">
        <v>1</v>
      </c>
      <c r="M56">
        <v>114</v>
      </c>
      <c r="N56" t="s">
        <v>26</v>
      </c>
      <c r="O56">
        <v>0</v>
      </c>
      <c r="P56">
        <v>0</v>
      </c>
      <c r="Q56">
        <v>114</v>
      </c>
      <c r="R56" t="s">
        <v>94</v>
      </c>
      <c r="S56" t="s">
        <v>3104</v>
      </c>
      <c r="T56" t="s">
        <v>63</v>
      </c>
      <c r="U56" t="s">
        <v>79</v>
      </c>
    </row>
    <row r="57" spans="1:21" x14ac:dyDescent="0.35">
      <c r="A57" t="s">
        <v>3171</v>
      </c>
      <c r="B57" s="1">
        <v>46090</v>
      </c>
      <c r="C57" t="s">
        <v>3091</v>
      </c>
      <c r="D57" t="s">
        <v>3161</v>
      </c>
      <c r="E57" t="s">
        <v>74</v>
      </c>
      <c r="F57" t="s">
        <v>3168</v>
      </c>
      <c r="G57" s="1">
        <v>46112</v>
      </c>
      <c r="H57" t="s">
        <v>204</v>
      </c>
      <c r="I57" t="s">
        <v>23</v>
      </c>
      <c r="J57" t="s">
        <v>127</v>
      </c>
      <c r="K57" t="s">
        <v>40</v>
      </c>
      <c r="L57">
        <v>1</v>
      </c>
      <c r="M57">
        <v>23</v>
      </c>
      <c r="N57" t="s">
        <v>26</v>
      </c>
      <c r="O57">
        <v>0</v>
      </c>
      <c r="P57">
        <v>0</v>
      </c>
      <c r="Q57">
        <v>23</v>
      </c>
      <c r="R57" t="s">
        <v>27</v>
      </c>
      <c r="S57" t="s">
        <v>3104</v>
      </c>
      <c r="T57" t="s">
        <v>63</v>
      </c>
      <c r="U57" t="s">
        <v>30</v>
      </c>
    </row>
    <row r="58" spans="1:21" x14ac:dyDescent="0.35">
      <c r="A58" t="s">
        <v>3172</v>
      </c>
      <c r="B58" s="1">
        <v>46091</v>
      </c>
      <c r="C58" t="s">
        <v>3091</v>
      </c>
      <c r="D58" t="s">
        <v>3161</v>
      </c>
      <c r="E58" t="s">
        <v>102</v>
      </c>
      <c r="F58" t="s">
        <v>3168</v>
      </c>
      <c r="G58" s="1">
        <v>46112</v>
      </c>
      <c r="H58" t="s">
        <v>204</v>
      </c>
      <c r="I58" t="s">
        <v>23</v>
      </c>
      <c r="J58" t="s">
        <v>24</v>
      </c>
      <c r="K58" t="s">
        <v>60</v>
      </c>
      <c r="L58">
        <v>1</v>
      </c>
      <c r="M58">
        <v>30</v>
      </c>
      <c r="N58" t="s">
        <v>75</v>
      </c>
      <c r="O58">
        <v>15</v>
      </c>
      <c r="P58">
        <v>0</v>
      </c>
      <c r="Q58">
        <v>45</v>
      </c>
      <c r="R58" t="s">
        <v>27</v>
      </c>
      <c r="S58" t="s">
        <v>3104</v>
      </c>
      <c r="T58" t="s">
        <v>83</v>
      </c>
      <c r="U58" t="s">
        <v>30</v>
      </c>
    </row>
    <row r="59" spans="1:21" x14ac:dyDescent="0.35">
      <c r="A59" t="s">
        <v>3173</v>
      </c>
      <c r="B59" s="1">
        <v>46091</v>
      </c>
      <c r="C59" t="s">
        <v>3091</v>
      </c>
      <c r="D59" t="s">
        <v>3161</v>
      </c>
      <c r="E59" t="s">
        <v>102</v>
      </c>
      <c r="F59" t="s">
        <v>3168</v>
      </c>
      <c r="G59" s="1">
        <v>46112</v>
      </c>
      <c r="H59" t="s">
        <v>204</v>
      </c>
      <c r="I59" t="s">
        <v>48</v>
      </c>
      <c r="J59" t="s">
        <v>78</v>
      </c>
      <c r="K59" t="s">
        <v>92</v>
      </c>
      <c r="L59">
        <v>1</v>
      </c>
      <c r="M59">
        <v>88</v>
      </c>
      <c r="N59" t="s">
        <v>70</v>
      </c>
      <c r="O59">
        <v>10</v>
      </c>
      <c r="P59">
        <v>0</v>
      </c>
      <c r="Q59">
        <v>98</v>
      </c>
      <c r="R59" t="s">
        <v>94</v>
      </c>
      <c r="S59" t="s">
        <v>3104</v>
      </c>
      <c r="T59" t="s">
        <v>63</v>
      </c>
      <c r="U59" t="s">
        <v>30</v>
      </c>
    </row>
    <row r="60" spans="1:21" x14ac:dyDescent="0.35">
      <c r="A60" t="s">
        <v>3174</v>
      </c>
      <c r="B60" s="1">
        <v>46092</v>
      </c>
      <c r="C60" t="s">
        <v>3091</v>
      </c>
      <c r="D60" t="s">
        <v>3161</v>
      </c>
      <c r="E60" t="s">
        <v>109</v>
      </c>
      <c r="F60" t="s">
        <v>3168</v>
      </c>
      <c r="G60" s="1">
        <v>46112</v>
      </c>
      <c r="H60" t="s">
        <v>204</v>
      </c>
      <c r="I60" t="s">
        <v>23</v>
      </c>
      <c r="J60" t="s">
        <v>24</v>
      </c>
      <c r="K60" t="s">
        <v>92</v>
      </c>
      <c r="L60">
        <v>1</v>
      </c>
      <c r="M60">
        <v>110</v>
      </c>
      <c r="N60" t="s">
        <v>75</v>
      </c>
      <c r="O60">
        <v>15</v>
      </c>
      <c r="P60">
        <v>10</v>
      </c>
      <c r="Q60">
        <v>115</v>
      </c>
      <c r="R60" t="s">
        <v>42</v>
      </c>
      <c r="S60" t="s">
        <v>3104</v>
      </c>
      <c r="T60" t="s">
        <v>83</v>
      </c>
      <c r="U60" t="s">
        <v>36</v>
      </c>
    </row>
    <row r="61" spans="1:21" x14ac:dyDescent="0.35">
      <c r="A61" t="s">
        <v>3175</v>
      </c>
      <c r="B61" s="1">
        <v>46093</v>
      </c>
      <c r="C61" t="s">
        <v>3091</v>
      </c>
      <c r="D61" t="s">
        <v>3161</v>
      </c>
      <c r="E61" t="s">
        <v>21</v>
      </c>
      <c r="F61" t="s">
        <v>3168</v>
      </c>
      <c r="G61" s="1">
        <v>46112</v>
      </c>
      <c r="H61" t="s">
        <v>204</v>
      </c>
      <c r="I61" t="s">
        <v>53</v>
      </c>
      <c r="J61" t="s">
        <v>111</v>
      </c>
      <c r="K61" t="s">
        <v>25</v>
      </c>
      <c r="L61">
        <v>1</v>
      </c>
      <c r="M61">
        <v>18</v>
      </c>
      <c r="N61" t="s">
        <v>41</v>
      </c>
      <c r="O61">
        <v>5</v>
      </c>
      <c r="P61">
        <v>0</v>
      </c>
      <c r="Q61">
        <v>23</v>
      </c>
      <c r="R61" t="s">
        <v>42</v>
      </c>
      <c r="S61" t="s">
        <v>3104</v>
      </c>
      <c r="T61" t="s">
        <v>63</v>
      </c>
      <c r="U61" t="s">
        <v>30</v>
      </c>
    </row>
    <row r="62" spans="1:21" x14ac:dyDescent="0.35">
      <c r="A62" t="s">
        <v>3176</v>
      </c>
      <c r="B62" s="1">
        <v>46093</v>
      </c>
      <c r="C62" t="s">
        <v>3091</v>
      </c>
      <c r="D62" t="s">
        <v>3161</v>
      </c>
      <c r="E62" t="s">
        <v>21</v>
      </c>
      <c r="F62" t="s">
        <v>3168</v>
      </c>
      <c r="G62" s="1">
        <v>46112</v>
      </c>
      <c r="H62" t="s">
        <v>204</v>
      </c>
      <c r="I62" t="s">
        <v>53</v>
      </c>
      <c r="J62" t="s">
        <v>24</v>
      </c>
      <c r="K62" t="s">
        <v>25</v>
      </c>
      <c r="L62">
        <v>1</v>
      </c>
      <c r="M62">
        <v>50</v>
      </c>
      <c r="N62" t="s">
        <v>75</v>
      </c>
      <c r="O62">
        <v>15</v>
      </c>
      <c r="P62">
        <v>0</v>
      </c>
      <c r="Q62">
        <v>65</v>
      </c>
      <c r="R62" t="s">
        <v>62</v>
      </c>
      <c r="S62" t="s">
        <v>3104</v>
      </c>
      <c r="T62" t="s">
        <v>63</v>
      </c>
      <c r="U62" t="s">
        <v>79</v>
      </c>
    </row>
    <row r="63" spans="1:21" x14ac:dyDescent="0.35">
      <c r="A63" t="s">
        <v>3177</v>
      </c>
      <c r="B63" s="1">
        <v>46093</v>
      </c>
      <c r="C63" t="s">
        <v>3091</v>
      </c>
      <c r="D63" t="s">
        <v>3161</v>
      </c>
      <c r="E63" t="s">
        <v>21</v>
      </c>
      <c r="F63" t="s">
        <v>3168</v>
      </c>
      <c r="G63" s="1">
        <v>46112</v>
      </c>
      <c r="H63" t="s">
        <v>204</v>
      </c>
      <c r="I63" t="s">
        <v>32</v>
      </c>
      <c r="J63" t="s">
        <v>127</v>
      </c>
      <c r="K63" t="s">
        <v>40</v>
      </c>
      <c r="L63">
        <v>1</v>
      </c>
      <c r="M63">
        <v>23</v>
      </c>
      <c r="N63" t="s">
        <v>26</v>
      </c>
      <c r="O63">
        <v>0</v>
      </c>
      <c r="P63">
        <v>0</v>
      </c>
      <c r="Q63">
        <v>23</v>
      </c>
      <c r="R63" t="s">
        <v>62</v>
      </c>
      <c r="S63" t="s">
        <v>3104</v>
      </c>
      <c r="T63" t="s">
        <v>29</v>
      </c>
      <c r="U63" t="s">
        <v>58</v>
      </c>
    </row>
    <row r="64" spans="1:21" x14ac:dyDescent="0.35">
      <c r="A64" t="s">
        <v>3178</v>
      </c>
      <c r="B64" s="1">
        <v>46094</v>
      </c>
      <c r="C64" t="s">
        <v>3091</v>
      </c>
      <c r="D64" t="s">
        <v>3161</v>
      </c>
      <c r="E64" t="s">
        <v>38</v>
      </c>
      <c r="F64" t="s">
        <v>3168</v>
      </c>
      <c r="G64" s="1">
        <v>46112</v>
      </c>
      <c r="H64" t="s">
        <v>204</v>
      </c>
      <c r="I64" t="s">
        <v>53</v>
      </c>
      <c r="J64" t="s">
        <v>24</v>
      </c>
      <c r="K64" t="s">
        <v>25</v>
      </c>
      <c r="L64">
        <v>1</v>
      </c>
      <c r="M64">
        <v>50</v>
      </c>
      <c r="N64" t="s">
        <v>26</v>
      </c>
      <c r="O64">
        <v>0</v>
      </c>
      <c r="P64">
        <v>5</v>
      </c>
      <c r="Q64">
        <v>45</v>
      </c>
      <c r="R64" t="s">
        <v>62</v>
      </c>
      <c r="S64" t="s">
        <v>3104</v>
      </c>
      <c r="T64" t="s">
        <v>29</v>
      </c>
      <c r="U64" t="s">
        <v>30</v>
      </c>
    </row>
    <row r="65" spans="1:21" x14ac:dyDescent="0.35">
      <c r="A65" t="s">
        <v>3179</v>
      </c>
      <c r="B65" s="1">
        <v>46095</v>
      </c>
      <c r="C65" t="s">
        <v>3091</v>
      </c>
      <c r="D65" t="s">
        <v>3161</v>
      </c>
      <c r="E65" t="s">
        <v>56</v>
      </c>
      <c r="F65" t="s">
        <v>3168</v>
      </c>
      <c r="G65" s="1">
        <v>46112</v>
      </c>
      <c r="H65" t="s">
        <v>204</v>
      </c>
      <c r="I65" t="s">
        <v>23</v>
      </c>
      <c r="J65" t="s">
        <v>86</v>
      </c>
      <c r="K65" t="s">
        <v>60</v>
      </c>
      <c r="L65">
        <v>1</v>
      </c>
      <c r="M65">
        <v>27</v>
      </c>
      <c r="N65" t="s">
        <v>26</v>
      </c>
      <c r="O65">
        <v>0</v>
      </c>
      <c r="P65">
        <v>0</v>
      </c>
      <c r="Q65">
        <v>27</v>
      </c>
      <c r="R65" t="s">
        <v>27</v>
      </c>
      <c r="S65" t="s">
        <v>3104</v>
      </c>
      <c r="T65" t="s">
        <v>83</v>
      </c>
      <c r="U65" t="s">
        <v>58</v>
      </c>
    </row>
    <row r="66" spans="1:21" x14ac:dyDescent="0.35">
      <c r="A66" t="s">
        <v>3180</v>
      </c>
      <c r="B66" s="1">
        <v>46095</v>
      </c>
      <c r="C66" t="s">
        <v>3091</v>
      </c>
      <c r="D66" t="s">
        <v>3161</v>
      </c>
      <c r="E66" t="s">
        <v>56</v>
      </c>
      <c r="F66" t="s">
        <v>3168</v>
      </c>
      <c r="G66" s="1">
        <v>46112</v>
      </c>
      <c r="H66" t="s">
        <v>204</v>
      </c>
      <c r="I66" t="s">
        <v>23</v>
      </c>
      <c r="J66" t="s">
        <v>33</v>
      </c>
      <c r="K66" t="s">
        <v>25</v>
      </c>
      <c r="L66">
        <v>1</v>
      </c>
      <c r="M66">
        <v>38</v>
      </c>
      <c r="N66" t="s">
        <v>89</v>
      </c>
      <c r="O66">
        <v>7</v>
      </c>
      <c r="P66">
        <v>0</v>
      </c>
      <c r="Q66">
        <v>45</v>
      </c>
      <c r="R66" t="s">
        <v>42</v>
      </c>
      <c r="S66" t="s">
        <v>3104</v>
      </c>
      <c r="T66" t="s">
        <v>51</v>
      </c>
      <c r="U66" t="s">
        <v>36</v>
      </c>
    </row>
    <row r="67" spans="1:21" x14ac:dyDescent="0.35">
      <c r="A67" t="s">
        <v>3181</v>
      </c>
      <c r="B67" s="1">
        <v>46095</v>
      </c>
      <c r="C67" t="s">
        <v>3091</v>
      </c>
      <c r="D67" t="s">
        <v>3161</v>
      </c>
      <c r="E67" t="s">
        <v>56</v>
      </c>
      <c r="F67" t="s">
        <v>3168</v>
      </c>
      <c r="G67" s="1">
        <v>46112</v>
      </c>
      <c r="H67" t="s">
        <v>204</v>
      </c>
      <c r="I67" t="s">
        <v>23</v>
      </c>
      <c r="J67" t="s">
        <v>111</v>
      </c>
      <c r="K67" t="s">
        <v>92</v>
      </c>
      <c r="L67">
        <v>1</v>
      </c>
      <c r="M67">
        <v>40</v>
      </c>
      <c r="N67" t="s">
        <v>26</v>
      </c>
      <c r="O67">
        <v>0</v>
      </c>
      <c r="P67">
        <v>0</v>
      </c>
      <c r="Q67">
        <v>40</v>
      </c>
      <c r="R67" t="s">
        <v>94</v>
      </c>
      <c r="S67" t="s">
        <v>3104</v>
      </c>
      <c r="T67" t="s">
        <v>51</v>
      </c>
      <c r="U67" t="s">
        <v>30</v>
      </c>
    </row>
    <row r="68" spans="1:21" x14ac:dyDescent="0.35">
      <c r="A68" t="s">
        <v>3182</v>
      </c>
      <c r="B68" s="1">
        <v>46096</v>
      </c>
      <c r="C68" t="s">
        <v>3091</v>
      </c>
      <c r="D68" t="s">
        <v>3161</v>
      </c>
      <c r="E68" t="s">
        <v>68</v>
      </c>
      <c r="F68" t="s">
        <v>3183</v>
      </c>
      <c r="G68" s="1">
        <v>46112</v>
      </c>
      <c r="H68" t="s">
        <v>204</v>
      </c>
      <c r="I68" t="s">
        <v>23</v>
      </c>
      <c r="J68" t="s">
        <v>24</v>
      </c>
      <c r="K68" t="s">
        <v>40</v>
      </c>
      <c r="L68">
        <v>1</v>
      </c>
      <c r="M68">
        <v>75</v>
      </c>
      <c r="N68" t="s">
        <v>26</v>
      </c>
      <c r="O68">
        <v>0</v>
      </c>
      <c r="P68">
        <v>0</v>
      </c>
      <c r="Q68">
        <v>75</v>
      </c>
      <c r="R68" t="s">
        <v>27</v>
      </c>
      <c r="S68" t="s">
        <v>3104</v>
      </c>
      <c r="T68" t="s">
        <v>90</v>
      </c>
      <c r="U68" t="s">
        <v>30</v>
      </c>
    </row>
    <row r="69" spans="1:21" x14ac:dyDescent="0.35">
      <c r="A69" t="s">
        <v>3184</v>
      </c>
      <c r="B69" s="1">
        <v>46097</v>
      </c>
      <c r="C69" t="s">
        <v>3091</v>
      </c>
      <c r="D69" t="s">
        <v>3161</v>
      </c>
      <c r="E69" t="s">
        <v>74</v>
      </c>
      <c r="F69" t="s">
        <v>3183</v>
      </c>
      <c r="G69" s="1">
        <v>46112</v>
      </c>
      <c r="H69" t="s">
        <v>204</v>
      </c>
      <c r="I69" t="s">
        <v>39</v>
      </c>
      <c r="J69" t="s">
        <v>138</v>
      </c>
      <c r="K69" t="s">
        <v>40</v>
      </c>
      <c r="L69">
        <v>2</v>
      </c>
      <c r="M69">
        <v>72</v>
      </c>
      <c r="N69" t="s">
        <v>26</v>
      </c>
      <c r="O69">
        <v>0</v>
      </c>
      <c r="P69">
        <v>0</v>
      </c>
      <c r="Q69">
        <v>144</v>
      </c>
      <c r="R69" t="s">
        <v>42</v>
      </c>
      <c r="S69" t="s">
        <v>3104</v>
      </c>
      <c r="T69" t="s">
        <v>90</v>
      </c>
      <c r="U69" t="s">
        <v>58</v>
      </c>
    </row>
    <row r="70" spans="1:21" x14ac:dyDescent="0.35">
      <c r="A70" t="s">
        <v>3185</v>
      </c>
      <c r="B70" s="1">
        <v>46098</v>
      </c>
      <c r="C70" t="s">
        <v>3091</v>
      </c>
      <c r="D70" t="s">
        <v>3161</v>
      </c>
      <c r="E70" t="s">
        <v>102</v>
      </c>
      <c r="F70" t="s">
        <v>3183</v>
      </c>
      <c r="G70" s="1">
        <v>46112</v>
      </c>
      <c r="H70" t="s">
        <v>204</v>
      </c>
      <c r="I70" t="s">
        <v>48</v>
      </c>
      <c r="J70" t="s">
        <v>65</v>
      </c>
      <c r="K70" t="s">
        <v>25</v>
      </c>
      <c r="L70">
        <v>1</v>
      </c>
      <c r="M70">
        <v>20</v>
      </c>
      <c r="N70" t="s">
        <v>87</v>
      </c>
      <c r="O70">
        <v>18</v>
      </c>
      <c r="P70">
        <v>0</v>
      </c>
      <c r="Q70">
        <v>38</v>
      </c>
      <c r="R70" t="s">
        <v>62</v>
      </c>
      <c r="S70" t="s">
        <v>3104</v>
      </c>
      <c r="T70" t="s">
        <v>29</v>
      </c>
      <c r="U70" t="s">
        <v>79</v>
      </c>
    </row>
    <row r="71" spans="1:21" x14ac:dyDescent="0.35">
      <c r="A71" t="s">
        <v>3186</v>
      </c>
      <c r="B71" s="1">
        <v>46100</v>
      </c>
      <c r="C71" t="s">
        <v>3091</v>
      </c>
      <c r="D71" t="s">
        <v>3161</v>
      </c>
      <c r="E71" t="s">
        <v>21</v>
      </c>
      <c r="F71" t="s">
        <v>3183</v>
      </c>
      <c r="G71" s="1">
        <v>46112</v>
      </c>
      <c r="H71" t="s">
        <v>204</v>
      </c>
      <c r="I71" t="s">
        <v>32</v>
      </c>
      <c r="J71" t="s">
        <v>33</v>
      </c>
      <c r="K71" t="s">
        <v>40</v>
      </c>
      <c r="L71">
        <v>1</v>
      </c>
      <c r="M71">
        <v>57</v>
      </c>
      <c r="N71" t="s">
        <v>41</v>
      </c>
      <c r="O71">
        <v>5</v>
      </c>
      <c r="P71">
        <v>0</v>
      </c>
      <c r="Q71">
        <v>62</v>
      </c>
      <c r="R71" t="s">
        <v>42</v>
      </c>
      <c r="S71" t="s">
        <v>3104</v>
      </c>
      <c r="T71" t="s">
        <v>90</v>
      </c>
      <c r="U71" t="s">
        <v>79</v>
      </c>
    </row>
    <row r="72" spans="1:21" x14ac:dyDescent="0.35">
      <c r="A72" t="s">
        <v>3187</v>
      </c>
      <c r="B72" s="1">
        <v>46100</v>
      </c>
      <c r="C72" t="s">
        <v>3091</v>
      </c>
      <c r="D72" t="s">
        <v>3161</v>
      </c>
      <c r="E72" t="s">
        <v>21</v>
      </c>
      <c r="F72" t="s">
        <v>3183</v>
      </c>
      <c r="G72" s="1">
        <v>46112</v>
      </c>
      <c r="H72" t="s">
        <v>204</v>
      </c>
      <c r="I72" t="s">
        <v>39</v>
      </c>
      <c r="J72" t="s">
        <v>127</v>
      </c>
      <c r="K72" t="s">
        <v>92</v>
      </c>
      <c r="L72">
        <v>3</v>
      </c>
      <c r="M72">
        <v>33</v>
      </c>
      <c r="N72" t="s">
        <v>41</v>
      </c>
      <c r="O72">
        <v>5</v>
      </c>
      <c r="P72">
        <v>0</v>
      </c>
      <c r="Q72">
        <v>104</v>
      </c>
      <c r="R72" t="s">
        <v>62</v>
      </c>
      <c r="S72" t="s">
        <v>3104</v>
      </c>
      <c r="T72" t="s">
        <v>63</v>
      </c>
      <c r="U72" t="s">
        <v>58</v>
      </c>
    </row>
    <row r="73" spans="1:21" x14ac:dyDescent="0.35">
      <c r="A73" t="s">
        <v>3188</v>
      </c>
      <c r="B73" s="1">
        <v>46100</v>
      </c>
      <c r="C73" t="s">
        <v>3091</v>
      </c>
      <c r="D73" t="s">
        <v>3161</v>
      </c>
      <c r="E73" t="s">
        <v>21</v>
      </c>
      <c r="F73" t="s">
        <v>3183</v>
      </c>
      <c r="G73" s="1">
        <v>46112</v>
      </c>
      <c r="H73" t="s">
        <v>204</v>
      </c>
      <c r="I73" t="s">
        <v>48</v>
      </c>
      <c r="J73" t="s">
        <v>78</v>
      </c>
      <c r="K73" t="s">
        <v>40</v>
      </c>
      <c r="L73">
        <v>1</v>
      </c>
      <c r="M73">
        <v>60</v>
      </c>
      <c r="N73" t="s">
        <v>41</v>
      </c>
      <c r="O73">
        <v>5</v>
      </c>
      <c r="P73">
        <v>0</v>
      </c>
      <c r="Q73">
        <v>65</v>
      </c>
      <c r="R73" t="s">
        <v>62</v>
      </c>
      <c r="S73" t="s">
        <v>3104</v>
      </c>
      <c r="T73" t="s">
        <v>51</v>
      </c>
      <c r="U73" t="s">
        <v>58</v>
      </c>
    </row>
    <row r="74" spans="1:21" x14ac:dyDescent="0.35">
      <c r="A74" t="s">
        <v>3189</v>
      </c>
      <c r="B74" s="1">
        <v>46101</v>
      </c>
      <c r="C74" t="s">
        <v>3091</v>
      </c>
      <c r="D74" t="s">
        <v>3161</v>
      </c>
      <c r="E74" t="s">
        <v>38</v>
      </c>
      <c r="F74" t="s">
        <v>3183</v>
      </c>
      <c r="G74" s="1">
        <v>46112</v>
      </c>
      <c r="H74" t="s">
        <v>204</v>
      </c>
      <c r="I74" t="s">
        <v>32</v>
      </c>
      <c r="J74" t="s">
        <v>138</v>
      </c>
      <c r="K74" t="s">
        <v>60</v>
      </c>
      <c r="L74">
        <v>1</v>
      </c>
      <c r="M74">
        <v>29</v>
      </c>
      <c r="N74" t="s">
        <v>26</v>
      </c>
      <c r="O74">
        <v>0</v>
      </c>
      <c r="P74">
        <v>0</v>
      </c>
      <c r="Q74">
        <v>29</v>
      </c>
      <c r="R74" t="s">
        <v>62</v>
      </c>
      <c r="S74" t="s">
        <v>3104</v>
      </c>
      <c r="T74" t="s">
        <v>83</v>
      </c>
      <c r="U74" t="s">
        <v>79</v>
      </c>
    </row>
    <row r="75" spans="1:21" x14ac:dyDescent="0.35">
      <c r="A75" t="s">
        <v>3190</v>
      </c>
      <c r="B75" s="1">
        <v>46102</v>
      </c>
      <c r="C75" t="s">
        <v>3091</v>
      </c>
      <c r="D75" t="s">
        <v>3161</v>
      </c>
      <c r="E75" t="s">
        <v>56</v>
      </c>
      <c r="F75" t="s">
        <v>3183</v>
      </c>
      <c r="G75" s="1">
        <v>46112</v>
      </c>
      <c r="H75" t="s">
        <v>204</v>
      </c>
      <c r="I75" t="s">
        <v>48</v>
      </c>
      <c r="J75" t="s">
        <v>78</v>
      </c>
      <c r="K75" t="s">
        <v>40</v>
      </c>
      <c r="L75">
        <v>1</v>
      </c>
      <c r="M75">
        <v>60</v>
      </c>
      <c r="N75" t="s">
        <v>26</v>
      </c>
      <c r="O75">
        <v>0</v>
      </c>
      <c r="P75">
        <v>0</v>
      </c>
      <c r="Q75">
        <v>60</v>
      </c>
      <c r="R75" t="s">
        <v>76</v>
      </c>
      <c r="S75" t="s">
        <v>3104</v>
      </c>
      <c r="T75" t="s">
        <v>29</v>
      </c>
      <c r="U75" t="s">
        <v>79</v>
      </c>
    </row>
    <row r="76" spans="1:21" x14ac:dyDescent="0.35">
      <c r="A76" t="s">
        <v>3191</v>
      </c>
      <c r="B76" s="1">
        <v>46103</v>
      </c>
      <c r="C76" t="s">
        <v>3091</v>
      </c>
      <c r="D76" t="s">
        <v>3161</v>
      </c>
      <c r="E76" t="s">
        <v>68</v>
      </c>
      <c r="F76" t="s">
        <v>3192</v>
      </c>
      <c r="G76" s="1">
        <v>46112</v>
      </c>
      <c r="H76" t="s">
        <v>204</v>
      </c>
      <c r="I76" t="s">
        <v>23</v>
      </c>
      <c r="J76" t="s">
        <v>127</v>
      </c>
      <c r="K76" t="s">
        <v>92</v>
      </c>
      <c r="L76">
        <v>1</v>
      </c>
      <c r="M76">
        <v>33</v>
      </c>
      <c r="N76" t="s">
        <v>41</v>
      </c>
      <c r="O76">
        <v>5</v>
      </c>
      <c r="P76">
        <v>0</v>
      </c>
      <c r="Q76">
        <v>38</v>
      </c>
      <c r="R76" t="s">
        <v>76</v>
      </c>
      <c r="S76" t="s">
        <v>3104</v>
      </c>
      <c r="T76" t="s">
        <v>63</v>
      </c>
      <c r="U76" t="s">
        <v>58</v>
      </c>
    </row>
    <row r="77" spans="1:21" x14ac:dyDescent="0.35">
      <c r="A77" t="s">
        <v>3193</v>
      </c>
      <c r="B77" s="1">
        <v>46103</v>
      </c>
      <c r="C77" t="s">
        <v>3091</v>
      </c>
      <c r="D77" t="s">
        <v>3161</v>
      </c>
      <c r="E77" t="s">
        <v>68</v>
      </c>
      <c r="F77" t="s">
        <v>3192</v>
      </c>
      <c r="G77" s="1">
        <v>46112</v>
      </c>
      <c r="H77" t="s">
        <v>204</v>
      </c>
      <c r="I77" t="s">
        <v>23</v>
      </c>
      <c r="J77" t="s">
        <v>24</v>
      </c>
      <c r="K77" t="s">
        <v>92</v>
      </c>
      <c r="L77">
        <v>1</v>
      </c>
      <c r="M77">
        <v>110</v>
      </c>
      <c r="N77" t="s">
        <v>26</v>
      </c>
      <c r="O77">
        <v>0</v>
      </c>
      <c r="P77">
        <v>0</v>
      </c>
      <c r="Q77">
        <v>110</v>
      </c>
      <c r="R77" t="s">
        <v>76</v>
      </c>
      <c r="S77" t="s">
        <v>3104</v>
      </c>
      <c r="T77" t="s">
        <v>29</v>
      </c>
      <c r="U77" t="s">
        <v>58</v>
      </c>
    </row>
    <row r="78" spans="1:21" x14ac:dyDescent="0.35">
      <c r="A78" t="s">
        <v>3194</v>
      </c>
      <c r="B78" s="1">
        <v>46104</v>
      </c>
      <c r="C78" t="s">
        <v>3091</v>
      </c>
      <c r="D78" t="s">
        <v>3161</v>
      </c>
      <c r="E78" t="s">
        <v>74</v>
      </c>
      <c r="F78" t="s">
        <v>3192</v>
      </c>
      <c r="G78" s="1">
        <v>46112</v>
      </c>
      <c r="H78" t="s">
        <v>204</v>
      </c>
      <c r="I78" t="s">
        <v>32</v>
      </c>
      <c r="J78" t="s">
        <v>111</v>
      </c>
      <c r="K78" t="s">
        <v>40</v>
      </c>
      <c r="L78">
        <v>3</v>
      </c>
      <c r="M78">
        <v>27</v>
      </c>
      <c r="N78" t="s">
        <v>70</v>
      </c>
      <c r="O78">
        <v>10</v>
      </c>
      <c r="P78">
        <v>5</v>
      </c>
      <c r="Q78">
        <v>86</v>
      </c>
      <c r="R78" t="s">
        <v>42</v>
      </c>
      <c r="S78" t="s">
        <v>3104</v>
      </c>
      <c r="T78" t="s">
        <v>83</v>
      </c>
      <c r="U78" t="s">
        <v>30</v>
      </c>
    </row>
    <row r="79" spans="1:21" x14ac:dyDescent="0.35">
      <c r="A79" t="s">
        <v>3195</v>
      </c>
      <c r="B79" s="1">
        <v>46104</v>
      </c>
      <c r="C79" t="s">
        <v>3091</v>
      </c>
      <c r="D79" t="s">
        <v>3161</v>
      </c>
      <c r="E79" t="s">
        <v>74</v>
      </c>
      <c r="F79" t="s">
        <v>3192</v>
      </c>
      <c r="G79" s="1">
        <v>46112</v>
      </c>
      <c r="H79" t="s">
        <v>204</v>
      </c>
      <c r="I79" t="s">
        <v>39</v>
      </c>
      <c r="J79" t="s">
        <v>49</v>
      </c>
      <c r="K79" t="s">
        <v>40</v>
      </c>
      <c r="L79">
        <v>1</v>
      </c>
      <c r="M79">
        <v>54</v>
      </c>
      <c r="N79" t="s">
        <v>75</v>
      </c>
      <c r="O79">
        <v>15</v>
      </c>
      <c r="P79">
        <v>0</v>
      </c>
      <c r="Q79">
        <v>69</v>
      </c>
      <c r="R79" t="s">
        <v>62</v>
      </c>
      <c r="S79" t="s">
        <v>3104</v>
      </c>
      <c r="T79" t="s">
        <v>83</v>
      </c>
      <c r="U79" t="s">
        <v>79</v>
      </c>
    </row>
    <row r="80" spans="1:21" x14ac:dyDescent="0.35">
      <c r="A80" t="s">
        <v>3196</v>
      </c>
      <c r="B80" s="1">
        <v>46105</v>
      </c>
      <c r="C80" t="s">
        <v>3091</v>
      </c>
      <c r="D80" t="s">
        <v>3161</v>
      </c>
      <c r="E80" t="s">
        <v>102</v>
      </c>
      <c r="F80" t="s">
        <v>3192</v>
      </c>
      <c r="G80" s="1">
        <v>46112</v>
      </c>
      <c r="H80" t="s">
        <v>204</v>
      </c>
      <c r="I80" t="s">
        <v>48</v>
      </c>
      <c r="J80" t="s">
        <v>127</v>
      </c>
      <c r="K80" t="s">
        <v>40</v>
      </c>
      <c r="L80">
        <v>3</v>
      </c>
      <c r="M80">
        <v>23</v>
      </c>
      <c r="N80" t="s">
        <v>26</v>
      </c>
      <c r="O80">
        <v>0</v>
      </c>
      <c r="P80">
        <v>0</v>
      </c>
      <c r="Q80">
        <v>69</v>
      </c>
      <c r="R80" t="s">
        <v>76</v>
      </c>
      <c r="S80" t="s">
        <v>3104</v>
      </c>
      <c r="T80" t="s">
        <v>29</v>
      </c>
      <c r="U80" t="s">
        <v>30</v>
      </c>
    </row>
    <row r="81" spans="1:21" x14ac:dyDescent="0.35">
      <c r="A81" t="s">
        <v>3197</v>
      </c>
      <c r="B81" s="1">
        <v>46106</v>
      </c>
      <c r="C81" t="s">
        <v>3091</v>
      </c>
      <c r="D81" t="s">
        <v>3161</v>
      </c>
      <c r="E81" t="s">
        <v>109</v>
      </c>
      <c r="F81" t="s">
        <v>3192</v>
      </c>
      <c r="G81" s="1">
        <v>46112</v>
      </c>
      <c r="H81" t="s">
        <v>204</v>
      </c>
      <c r="I81" t="s">
        <v>48</v>
      </c>
      <c r="J81" t="s">
        <v>44</v>
      </c>
      <c r="K81" t="s">
        <v>60</v>
      </c>
      <c r="L81">
        <v>1</v>
      </c>
      <c r="M81">
        <v>31</v>
      </c>
      <c r="N81" t="s">
        <v>26</v>
      </c>
      <c r="O81">
        <v>0</v>
      </c>
      <c r="P81">
        <v>15</v>
      </c>
      <c r="Q81">
        <v>16</v>
      </c>
      <c r="R81" t="s">
        <v>42</v>
      </c>
      <c r="S81" t="s">
        <v>3104</v>
      </c>
      <c r="T81" t="s">
        <v>29</v>
      </c>
      <c r="U81" t="s">
        <v>58</v>
      </c>
    </row>
    <row r="82" spans="1:21" x14ac:dyDescent="0.35">
      <c r="A82" t="s">
        <v>3198</v>
      </c>
      <c r="B82" s="1">
        <v>46106</v>
      </c>
      <c r="C82" t="s">
        <v>3091</v>
      </c>
      <c r="D82" t="s">
        <v>3161</v>
      </c>
      <c r="E82" t="s">
        <v>109</v>
      </c>
      <c r="F82" t="s">
        <v>3192</v>
      </c>
      <c r="G82" s="1">
        <v>46112</v>
      </c>
      <c r="H82" t="s">
        <v>204</v>
      </c>
      <c r="I82" t="s">
        <v>53</v>
      </c>
      <c r="J82" t="s">
        <v>111</v>
      </c>
      <c r="K82" t="s">
        <v>40</v>
      </c>
      <c r="L82">
        <v>2</v>
      </c>
      <c r="M82">
        <v>27</v>
      </c>
      <c r="N82" t="s">
        <v>26</v>
      </c>
      <c r="O82">
        <v>0</v>
      </c>
      <c r="P82">
        <v>0</v>
      </c>
      <c r="Q82">
        <v>54</v>
      </c>
      <c r="R82" t="s">
        <v>62</v>
      </c>
      <c r="S82" t="s">
        <v>3104</v>
      </c>
      <c r="T82" t="s">
        <v>63</v>
      </c>
      <c r="U82" t="s">
        <v>79</v>
      </c>
    </row>
    <row r="83" spans="1:21" x14ac:dyDescent="0.35">
      <c r="A83" t="s">
        <v>3199</v>
      </c>
      <c r="B83" s="1">
        <v>46107</v>
      </c>
      <c r="C83" t="s">
        <v>3091</v>
      </c>
      <c r="D83" t="s">
        <v>3161</v>
      </c>
      <c r="E83" t="s">
        <v>21</v>
      </c>
      <c r="F83" t="s">
        <v>3192</v>
      </c>
      <c r="G83" s="1">
        <v>46112</v>
      </c>
      <c r="H83" t="s">
        <v>204</v>
      </c>
      <c r="I83" t="s">
        <v>23</v>
      </c>
      <c r="J83" t="s">
        <v>127</v>
      </c>
      <c r="K83" t="s">
        <v>25</v>
      </c>
      <c r="L83">
        <v>1</v>
      </c>
      <c r="M83">
        <v>15</v>
      </c>
      <c r="N83" t="s">
        <v>89</v>
      </c>
      <c r="O83">
        <v>7</v>
      </c>
      <c r="P83">
        <v>0</v>
      </c>
      <c r="Q83">
        <v>22</v>
      </c>
      <c r="R83" t="s">
        <v>42</v>
      </c>
      <c r="S83" t="s">
        <v>3104</v>
      </c>
      <c r="T83" t="s">
        <v>90</v>
      </c>
      <c r="U83" t="s">
        <v>79</v>
      </c>
    </row>
    <row r="84" spans="1:21" x14ac:dyDescent="0.35">
      <c r="A84" t="s">
        <v>3200</v>
      </c>
      <c r="B84" s="1">
        <v>46109</v>
      </c>
      <c r="C84" t="s">
        <v>3091</v>
      </c>
      <c r="D84" t="s">
        <v>3161</v>
      </c>
      <c r="E84" t="s">
        <v>56</v>
      </c>
      <c r="F84" t="s">
        <v>3192</v>
      </c>
      <c r="G84" s="1">
        <v>46112</v>
      </c>
      <c r="H84" t="s">
        <v>204</v>
      </c>
      <c r="I84" t="s">
        <v>53</v>
      </c>
      <c r="J84" t="s">
        <v>24</v>
      </c>
      <c r="K84" t="s">
        <v>60</v>
      </c>
      <c r="L84">
        <v>1</v>
      </c>
      <c r="M84">
        <v>30</v>
      </c>
      <c r="N84" t="s">
        <v>26</v>
      </c>
      <c r="O84">
        <v>0</v>
      </c>
      <c r="P84">
        <v>0</v>
      </c>
      <c r="Q84">
        <v>30</v>
      </c>
      <c r="R84" t="s">
        <v>42</v>
      </c>
      <c r="S84" t="s">
        <v>3104</v>
      </c>
      <c r="T84" t="s">
        <v>90</v>
      </c>
      <c r="U84" t="s">
        <v>58</v>
      </c>
    </row>
    <row r="85" spans="1:21" x14ac:dyDescent="0.35">
      <c r="A85" t="s">
        <v>3201</v>
      </c>
      <c r="B85" s="1">
        <v>46109</v>
      </c>
      <c r="C85" t="s">
        <v>3091</v>
      </c>
      <c r="D85" t="s">
        <v>3161</v>
      </c>
      <c r="E85" t="s">
        <v>56</v>
      </c>
      <c r="F85" t="s">
        <v>3192</v>
      </c>
      <c r="G85" s="1">
        <v>46112</v>
      </c>
      <c r="H85" t="s">
        <v>204</v>
      </c>
      <c r="I85" t="s">
        <v>32</v>
      </c>
      <c r="J85" t="s">
        <v>49</v>
      </c>
      <c r="K85" t="s">
        <v>60</v>
      </c>
      <c r="L85">
        <v>1</v>
      </c>
      <c r="M85">
        <v>22</v>
      </c>
      <c r="N85" t="s">
        <v>26</v>
      </c>
      <c r="O85">
        <v>0</v>
      </c>
      <c r="P85">
        <v>0</v>
      </c>
      <c r="Q85">
        <v>22</v>
      </c>
      <c r="R85" t="s">
        <v>62</v>
      </c>
      <c r="S85" t="s">
        <v>3104</v>
      </c>
      <c r="T85" t="s">
        <v>90</v>
      </c>
      <c r="U85" t="s">
        <v>36</v>
      </c>
    </row>
    <row r="86" spans="1:21" x14ac:dyDescent="0.35">
      <c r="A86" t="s">
        <v>3202</v>
      </c>
      <c r="B86" s="1">
        <v>46110</v>
      </c>
      <c r="C86" t="s">
        <v>3091</v>
      </c>
      <c r="D86" t="s">
        <v>3161</v>
      </c>
      <c r="E86" t="s">
        <v>68</v>
      </c>
      <c r="F86" t="s">
        <v>3203</v>
      </c>
      <c r="G86" s="1">
        <v>46112</v>
      </c>
      <c r="H86" t="s">
        <v>204</v>
      </c>
      <c r="I86" t="s">
        <v>48</v>
      </c>
      <c r="J86" t="s">
        <v>138</v>
      </c>
      <c r="K86" t="s">
        <v>92</v>
      </c>
      <c r="L86">
        <v>1</v>
      </c>
      <c r="M86">
        <v>106</v>
      </c>
      <c r="N86" t="s">
        <v>26</v>
      </c>
      <c r="O86">
        <v>0</v>
      </c>
      <c r="P86">
        <v>0</v>
      </c>
      <c r="Q86">
        <v>106</v>
      </c>
      <c r="R86" t="s">
        <v>62</v>
      </c>
      <c r="S86" t="s">
        <v>3104</v>
      </c>
      <c r="T86" t="s">
        <v>83</v>
      </c>
      <c r="U86" t="s">
        <v>30</v>
      </c>
    </row>
    <row r="87" spans="1:21" x14ac:dyDescent="0.35">
      <c r="A87" t="s">
        <v>3204</v>
      </c>
      <c r="B87" s="1">
        <v>46111</v>
      </c>
      <c r="C87" t="s">
        <v>3091</v>
      </c>
      <c r="D87" t="s">
        <v>3161</v>
      </c>
      <c r="E87" t="s">
        <v>74</v>
      </c>
      <c r="F87" t="s">
        <v>3203</v>
      </c>
      <c r="G87" s="1">
        <v>46112</v>
      </c>
      <c r="H87" t="s">
        <v>204</v>
      </c>
      <c r="I87" t="s">
        <v>39</v>
      </c>
      <c r="J87" t="s">
        <v>138</v>
      </c>
      <c r="K87" t="s">
        <v>25</v>
      </c>
      <c r="L87">
        <v>1</v>
      </c>
      <c r="M87">
        <v>48</v>
      </c>
      <c r="N87" t="s">
        <v>61</v>
      </c>
      <c r="O87">
        <v>12</v>
      </c>
      <c r="P87">
        <v>0</v>
      </c>
      <c r="Q87">
        <v>60</v>
      </c>
      <c r="R87" t="s">
        <v>42</v>
      </c>
      <c r="S87" t="s">
        <v>3104</v>
      </c>
      <c r="T87" t="s">
        <v>83</v>
      </c>
      <c r="U87" t="s">
        <v>36</v>
      </c>
    </row>
    <row r="88" spans="1:21" x14ac:dyDescent="0.35">
      <c r="A88" t="s">
        <v>3205</v>
      </c>
      <c r="B88" s="1">
        <v>46113</v>
      </c>
      <c r="C88" t="s">
        <v>3092</v>
      </c>
      <c r="D88" t="s">
        <v>3206</v>
      </c>
      <c r="E88" t="s">
        <v>109</v>
      </c>
      <c r="F88" t="s">
        <v>3203</v>
      </c>
      <c r="G88" s="1">
        <v>46142</v>
      </c>
      <c r="H88" t="s">
        <v>204</v>
      </c>
      <c r="I88" t="s">
        <v>53</v>
      </c>
      <c r="J88" t="s">
        <v>127</v>
      </c>
      <c r="K88" t="s">
        <v>60</v>
      </c>
      <c r="L88">
        <v>1</v>
      </c>
      <c r="M88">
        <v>9</v>
      </c>
      <c r="N88" t="s">
        <v>26</v>
      </c>
      <c r="O88">
        <v>0</v>
      </c>
      <c r="P88">
        <v>0</v>
      </c>
      <c r="Q88">
        <v>9</v>
      </c>
      <c r="R88" t="s">
        <v>27</v>
      </c>
      <c r="S88" t="s">
        <v>3104</v>
      </c>
      <c r="T88" t="s">
        <v>63</v>
      </c>
      <c r="U88" t="s">
        <v>58</v>
      </c>
    </row>
    <row r="89" spans="1:21" x14ac:dyDescent="0.35">
      <c r="A89" t="s">
        <v>3207</v>
      </c>
      <c r="B89" s="1">
        <v>46113</v>
      </c>
      <c r="C89" t="s">
        <v>3092</v>
      </c>
      <c r="D89" t="s">
        <v>3206</v>
      </c>
      <c r="E89" t="s">
        <v>109</v>
      </c>
      <c r="F89" t="s">
        <v>3203</v>
      </c>
      <c r="G89" s="1">
        <v>46142</v>
      </c>
      <c r="H89" t="s">
        <v>204</v>
      </c>
      <c r="I89" t="s">
        <v>23</v>
      </c>
      <c r="J89" t="s">
        <v>111</v>
      </c>
      <c r="K89" t="s">
        <v>60</v>
      </c>
      <c r="L89">
        <v>1</v>
      </c>
      <c r="M89">
        <v>11</v>
      </c>
      <c r="N89" t="s">
        <v>61</v>
      </c>
      <c r="O89">
        <v>12</v>
      </c>
      <c r="P89">
        <v>0</v>
      </c>
      <c r="Q89">
        <v>23</v>
      </c>
      <c r="R89" t="s">
        <v>76</v>
      </c>
      <c r="S89" t="s">
        <v>3104</v>
      </c>
      <c r="T89" t="s">
        <v>63</v>
      </c>
      <c r="U89" t="s">
        <v>79</v>
      </c>
    </row>
    <row r="90" spans="1:21" x14ac:dyDescent="0.35">
      <c r="A90" t="s">
        <v>3208</v>
      </c>
      <c r="B90" s="1">
        <v>46115</v>
      </c>
      <c r="C90" t="s">
        <v>3092</v>
      </c>
      <c r="D90" t="s">
        <v>3206</v>
      </c>
      <c r="E90" t="s">
        <v>38</v>
      </c>
      <c r="F90" t="s">
        <v>3203</v>
      </c>
      <c r="G90" s="1">
        <v>46142</v>
      </c>
      <c r="H90" t="s">
        <v>204</v>
      </c>
      <c r="I90" t="s">
        <v>23</v>
      </c>
      <c r="J90" t="s">
        <v>111</v>
      </c>
      <c r="K90" t="s">
        <v>60</v>
      </c>
      <c r="L90">
        <v>1</v>
      </c>
      <c r="M90">
        <v>11</v>
      </c>
      <c r="N90" t="s">
        <v>89</v>
      </c>
      <c r="O90">
        <v>7</v>
      </c>
      <c r="P90">
        <v>0</v>
      </c>
      <c r="Q90">
        <v>18</v>
      </c>
      <c r="R90" t="s">
        <v>76</v>
      </c>
      <c r="S90" t="s">
        <v>3104</v>
      </c>
      <c r="T90" t="s">
        <v>51</v>
      </c>
      <c r="U90" t="s">
        <v>79</v>
      </c>
    </row>
    <row r="91" spans="1:21" x14ac:dyDescent="0.35">
      <c r="A91" t="s">
        <v>3209</v>
      </c>
      <c r="B91" s="1">
        <v>46120</v>
      </c>
      <c r="C91" t="s">
        <v>3092</v>
      </c>
      <c r="D91" t="s">
        <v>3206</v>
      </c>
      <c r="E91" t="s">
        <v>109</v>
      </c>
      <c r="F91" t="s">
        <v>3210</v>
      </c>
      <c r="G91" s="1">
        <v>46142</v>
      </c>
      <c r="H91" t="s">
        <v>204</v>
      </c>
      <c r="I91" t="s">
        <v>53</v>
      </c>
      <c r="J91" t="s">
        <v>127</v>
      </c>
      <c r="K91" t="s">
        <v>25</v>
      </c>
      <c r="L91">
        <v>2</v>
      </c>
      <c r="M91">
        <v>15</v>
      </c>
      <c r="N91" t="s">
        <v>26</v>
      </c>
      <c r="O91">
        <v>0</v>
      </c>
      <c r="P91">
        <v>0</v>
      </c>
      <c r="Q91">
        <v>30</v>
      </c>
      <c r="R91" t="s">
        <v>27</v>
      </c>
      <c r="S91" t="s">
        <v>3104</v>
      </c>
      <c r="T91" t="s">
        <v>29</v>
      </c>
      <c r="U91" t="s">
        <v>58</v>
      </c>
    </row>
    <row r="92" spans="1:21" x14ac:dyDescent="0.35">
      <c r="A92" t="s">
        <v>3211</v>
      </c>
      <c r="B92" s="1">
        <v>46121</v>
      </c>
      <c r="C92" t="s">
        <v>3092</v>
      </c>
      <c r="D92" t="s">
        <v>3206</v>
      </c>
      <c r="E92" t="s">
        <v>21</v>
      </c>
      <c r="F92" t="s">
        <v>3210</v>
      </c>
      <c r="G92" s="1">
        <v>46142</v>
      </c>
      <c r="H92" t="s">
        <v>204</v>
      </c>
      <c r="I92" t="s">
        <v>23</v>
      </c>
      <c r="J92" t="s">
        <v>33</v>
      </c>
      <c r="K92" t="s">
        <v>92</v>
      </c>
      <c r="L92">
        <v>1</v>
      </c>
      <c r="M92">
        <v>84</v>
      </c>
      <c r="N92" t="s">
        <v>26</v>
      </c>
      <c r="O92">
        <v>0</v>
      </c>
      <c r="P92">
        <v>0</v>
      </c>
      <c r="Q92">
        <v>84</v>
      </c>
      <c r="R92" t="s">
        <v>62</v>
      </c>
      <c r="S92" t="s">
        <v>3104</v>
      </c>
      <c r="T92" t="s">
        <v>90</v>
      </c>
      <c r="U92" t="s">
        <v>30</v>
      </c>
    </row>
    <row r="93" spans="1:21" x14ac:dyDescent="0.35">
      <c r="A93" t="s">
        <v>3212</v>
      </c>
      <c r="B93" s="1">
        <v>46122</v>
      </c>
      <c r="C93" t="s">
        <v>3092</v>
      </c>
      <c r="D93" t="s">
        <v>3206</v>
      </c>
      <c r="E93" t="s">
        <v>38</v>
      </c>
      <c r="F93" t="s">
        <v>3210</v>
      </c>
      <c r="G93" s="1">
        <v>46142</v>
      </c>
      <c r="H93" t="s">
        <v>204</v>
      </c>
      <c r="I93" t="s">
        <v>53</v>
      </c>
      <c r="J93" t="s">
        <v>65</v>
      </c>
      <c r="K93" t="s">
        <v>92</v>
      </c>
      <c r="L93">
        <v>1</v>
      </c>
      <c r="M93">
        <v>44</v>
      </c>
      <c r="N93" t="s">
        <v>26</v>
      </c>
      <c r="O93">
        <v>0</v>
      </c>
      <c r="P93">
        <v>0</v>
      </c>
      <c r="Q93">
        <v>44</v>
      </c>
      <c r="R93" t="s">
        <v>76</v>
      </c>
      <c r="S93" t="s">
        <v>3104</v>
      </c>
      <c r="T93" t="s">
        <v>51</v>
      </c>
      <c r="U93" t="s">
        <v>30</v>
      </c>
    </row>
    <row r="94" spans="1:21" x14ac:dyDescent="0.35">
      <c r="A94" t="s">
        <v>3213</v>
      </c>
      <c r="B94" s="1">
        <v>46122</v>
      </c>
      <c r="C94" t="s">
        <v>3092</v>
      </c>
      <c r="D94" t="s">
        <v>3206</v>
      </c>
      <c r="E94" t="s">
        <v>38</v>
      </c>
      <c r="F94" t="s">
        <v>3210</v>
      </c>
      <c r="G94" s="1">
        <v>46142</v>
      </c>
      <c r="H94" t="s">
        <v>204</v>
      </c>
      <c r="I94" t="s">
        <v>32</v>
      </c>
      <c r="J94" t="s">
        <v>111</v>
      </c>
      <c r="K94" t="s">
        <v>40</v>
      </c>
      <c r="L94">
        <v>1</v>
      </c>
      <c r="M94">
        <v>27</v>
      </c>
      <c r="N94" t="s">
        <v>26</v>
      </c>
      <c r="O94">
        <v>0</v>
      </c>
      <c r="P94">
        <v>0</v>
      </c>
      <c r="Q94">
        <v>27</v>
      </c>
      <c r="R94" t="s">
        <v>62</v>
      </c>
      <c r="S94" t="s">
        <v>3104</v>
      </c>
      <c r="T94" t="s">
        <v>83</v>
      </c>
      <c r="U94" t="s">
        <v>30</v>
      </c>
    </row>
    <row r="95" spans="1:21" x14ac:dyDescent="0.35">
      <c r="A95" t="s">
        <v>3214</v>
      </c>
      <c r="B95" s="1">
        <v>46124</v>
      </c>
      <c r="C95" t="s">
        <v>3092</v>
      </c>
      <c r="D95" t="s">
        <v>3206</v>
      </c>
      <c r="E95" t="s">
        <v>68</v>
      </c>
      <c r="F95" t="s">
        <v>3215</v>
      </c>
      <c r="G95" s="1">
        <v>46142</v>
      </c>
      <c r="H95" t="s">
        <v>204</v>
      </c>
      <c r="I95" t="s">
        <v>23</v>
      </c>
      <c r="J95" t="s">
        <v>86</v>
      </c>
      <c r="K95" t="s">
        <v>60</v>
      </c>
      <c r="L95">
        <v>1</v>
      </c>
      <c r="M95">
        <v>27</v>
      </c>
      <c r="N95" t="s">
        <v>26</v>
      </c>
      <c r="O95">
        <v>0</v>
      </c>
      <c r="P95">
        <v>0</v>
      </c>
      <c r="Q95">
        <v>27</v>
      </c>
      <c r="R95" t="s">
        <v>94</v>
      </c>
      <c r="S95" t="s">
        <v>3104</v>
      </c>
      <c r="T95" t="s">
        <v>29</v>
      </c>
      <c r="U95" t="s">
        <v>30</v>
      </c>
    </row>
    <row r="96" spans="1:21" x14ac:dyDescent="0.35">
      <c r="A96" t="s">
        <v>3216</v>
      </c>
      <c r="B96" s="1">
        <v>46124</v>
      </c>
      <c r="C96" t="s">
        <v>3092</v>
      </c>
      <c r="D96" t="s">
        <v>3206</v>
      </c>
      <c r="E96" t="s">
        <v>68</v>
      </c>
      <c r="F96" t="s">
        <v>3215</v>
      </c>
      <c r="G96" s="1">
        <v>46142</v>
      </c>
      <c r="H96" t="s">
        <v>204</v>
      </c>
      <c r="I96" t="s">
        <v>39</v>
      </c>
      <c r="J96" t="s">
        <v>127</v>
      </c>
      <c r="K96" t="s">
        <v>92</v>
      </c>
      <c r="L96">
        <v>1</v>
      </c>
      <c r="M96">
        <v>33</v>
      </c>
      <c r="N96" t="s">
        <v>26</v>
      </c>
      <c r="O96">
        <v>0</v>
      </c>
      <c r="P96">
        <v>0</v>
      </c>
      <c r="Q96">
        <v>33</v>
      </c>
      <c r="R96" t="s">
        <v>76</v>
      </c>
      <c r="S96" t="s">
        <v>3104</v>
      </c>
      <c r="T96" t="s">
        <v>83</v>
      </c>
      <c r="U96" t="s">
        <v>30</v>
      </c>
    </row>
    <row r="97" spans="1:21" x14ac:dyDescent="0.35">
      <c r="A97" t="s">
        <v>3217</v>
      </c>
      <c r="B97" s="1">
        <v>46127</v>
      </c>
      <c r="C97" t="s">
        <v>3092</v>
      </c>
      <c r="D97" t="s">
        <v>3206</v>
      </c>
      <c r="E97" t="s">
        <v>109</v>
      </c>
      <c r="F97" t="s">
        <v>3215</v>
      </c>
      <c r="G97" s="1">
        <v>46142</v>
      </c>
      <c r="H97" t="s">
        <v>204</v>
      </c>
      <c r="I97" t="s">
        <v>48</v>
      </c>
      <c r="J97" t="s">
        <v>138</v>
      </c>
      <c r="K97" t="s">
        <v>60</v>
      </c>
      <c r="L97">
        <v>1</v>
      </c>
      <c r="M97">
        <v>29</v>
      </c>
      <c r="N97" t="s">
        <v>26</v>
      </c>
      <c r="O97">
        <v>0</v>
      </c>
      <c r="P97">
        <v>0</v>
      </c>
      <c r="Q97">
        <v>29</v>
      </c>
      <c r="R97" t="s">
        <v>27</v>
      </c>
      <c r="S97" t="s">
        <v>3104</v>
      </c>
      <c r="T97" t="s">
        <v>90</v>
      </c>
      <c r="U97" t="s">
        <v>58</v>
      </c>
    </row>
    <row r="98" spans="1:21" x14ac:dyDescent="0.35">
      <c r="A98" t="s">
        <v>3218</v>
      </c>
      <c r="B98" s="1">
        <v>46129</v>
      </c>
      <c r="C98" t="s">
        <v>3092</v>
      </c>
      <c r="D98" t="s">
        <v>3206</v>
      </c>
      <c r="E98" t="s">
        <v>38</v>
      </c>
      <c r="F98" t="s">
        <v>3215</v>
      </c>
      <c r="G98" s="1">
        <v>46142</v>
      </c>
      <c r="H98" t="s">
        <v>204</v>
      </c>
      <c r="I98" t="s">
        <v>48</v>
      </c>
      <c r="J98" t="s">
        <v>49</v>
      </c>
      <c r="K98" t="s">
        <v>92</v>
      </c>
      <c r="L98">
        <v>2</v>
      </c>
      <c r="M98">
        <v>79</v>
      </c>
      <c r="N98" t="s">
        <v>26</v>
      </c>
      <c r="O98">
        <v>0</v>
      </c>
      <c r="P98">
        <v>0</v>
      </c>
      <c r="Q98">
        <v>158</v>
      </c>
      <c r="R98" t="s">
        <v>42</v>
      </c>
      <c r="S98" t="s">
        <v>3104</v>
      </c>
      <c r="T98" t="s">
        <v>83</v>
      </c>
      <c r="U98" t="s">
        <v>58</v>
      </c>
    </row>
    <row r="99" spans="1:21" x14ac:dyDescent="0.35">
      <c r="A99" t="s">
        <v>3219</v>
      </c>
      <c r="B99" s="1">
        <v>46135</v>
      </c>
      <c r="C99" t="s">
        <v>3092</v>
      </c>
      <c r="D99" t="s">
        <v>3206</v>
      </c>
      <c r="E99" t="s">
        <v>21</v>
      </c>
      <c r="F99" t="s">
        <v>3220</v>
      </c>
      <c r="G99" s="1">
        <v>46142</v>
      </c>
      <c r="H99" t="s">
        <v>204</v>
      </c>
      <c r="I99" t="s">
        <v>23</v>
      </c>
      <c r="J99" t="s">
        <v>65</v>
      </c>
      <c r="K99" t="s">
        <v>25</v>
      </c>
      <c r="L99">
        <v>2</v>
      </c>
      <c r="M99">
        <v>20</v>
      </c>
      <c r="N99" t="s">
        <v>41</v>
      </c>
      <c r="O99">
        <v>5</v>
      </c>
      <c r="P99">
        <v>0</v>
      </c>
      <c r="Q99">
        <v>45</v>
      </c>
      <c r="R99" t="s">
        <v>62</v>
      </c>
      <c r="S99" t="s">
        <v>3104</v>
      </c>
      <c r="T99" t="s">
        <v>51</v>
      </c>
      <c r="U99" t="s">
        <v>30</v>
      </c>
    </row>
    <row r="100" spans="1:21" x14ac:dyDescent="0.35">
      <c r="A100" t="s">
        <v>3221</v>
      </c>
      <c r="B100" s="1">
        <v>46135</v>
      </c>
      <c r="C100" t="s">
        <v>3092</v>
      </c>
      <c r="D100" t="s">
        <v>3206</v>
      </c>
      <c r="E100" t="s">
        <v>21</v>
      </c>
      <c r="F100" t="s">
        <v>3220</v>
      </c>
      <c r="G100" s="1">
        <v>46142</v>
      </c>
      <c r="H100" t="s">
        <v>204</v>
      </c>
      <c r="I100" t="s">
        <v>23</v>
      </c>
      <c r="J100" t="s">
        <v>49</v>
      </c>
      <c r="K100" t="s">
        <v>25</v>
      </c>
      <c r="L100">
        <v>1</v>
      </c>
      <c r="M100">
        <v>36</v>
      </c>
      <c r="N100" t="s">
        <v>70</v>
      </c>
      <c r="O100">
        <v>10</v>
      </c>
      <c r="P100">
        <v>0</v>
      </c>
      <c r="Q100">
        <v>46</v>
      </c>
      <c r="R100" t="s">
        <v>94</v>
      </c>
      <c r="S100" t="s">
        <v>3104</v>
      </c>
      <c r="T100" t="s">
        <v>29</v>
      </c>
      <c r="U100" t="s">
        <v>58</v>
      </c>
    </row>
    <row r="101" spans="1:21" x14ac:dyDescent="0.35">
      <c r="A101" t="s">
        <v>3222</v>
      </c>
      <c r="B101" s="1">
        <v>46135</v>
      </c>
      <c r="C101" t="s">
        <v>3092</v>
      </c>
      <c r="D101" t="s">
        <v>3206</v>
      </c>
      <c r="E101" t="s">
        <v>21</v>
      </c>
      <c r="F101" t="s">
        <v>3220</v>
      </c>
      <c r="G101" s="1">
        <v>46142</v>
      </c>
      <c r="H101" t="s">
        <v>204</v>
      </c>
      <c r="I101" t="s">
        <v>32</v>
      </c>
      <c r="J101" t="s">
        <v>44</v>
      </c>
      <c r="K101" t="s">
        <v>60</v>
      </c>
      <c r="L101">
        <v>1</v>
      </c>
      <c r="M101">
        <v>31</v>
      </c>
      <c r="N101" t="s">
        <v>87</v>
      </c>
      <c r="O101">
        <v>18</v>
      </c>
      <c r="P101">
        <v>5</v>
      </c>
      <c r="Q101">
        <v>44</v>
      </c>
      <c r="R101" t="s">
        <v>42</v>
      </c>
      <c r="S101" t="s">
        <v>3104</v>
      </c>
      <c r="T101" t="s">
        <v>63</v>
      </c>
      <c r="U101" t="s">
        <v>58</v>
      </c>
    </row>
    <row r="102" spans="1:21" x14ac:dyDescent="0.35">
      <c r="A102" t="s">
        <v>3223</v>
      </c>
      <c r="B102" s="1">
        <v>46135</v>
      </c>
      <c r="C102" t="s">
        <v>3092</v>
      </c>
      <c r="D102" t="s">
        <v>3206</v>
      </c>
      <c r="E102" t="s">
        <v>21</v>
      </c>
      <c r="F102" t="s">
        <v>3220</v>
      </c>
      <c r="G102" s="1">
        <v>46142</v>
      </c>
      <c r="H102" t="s">
        <v>204</v>
      </c>
      <c r="I102" t="s">
        <v>39</v>
      </c>
      <c r="J102" t="s">
        <v>127</v>
      </c>
      <c r="K102" t="s">
        <v>60</v>
      </c>
      <c r="L102">
        <v>1</v>
      </c>
      <c r="M102">
        <v>9</v>
      </c>
      <c r="N102" t="s">
        <v>26</v>
      </c>
      <c r="O102">
        <v>0</v>
      </c>
      <c r="P102">
        <v>0</v>
      </c>
      <c r="Q102">
        <v>9</v>
      </c>
      <c r="R102" t="s">
        <v>42</v>
      </c>
      <c r="S102" t="s">
        <v>3104</v>
      </c>
      <c r="T102" t="s">
        <v>90</v>
      </c>
      <c r="U102" t="s">
        <v>79</v>
      </c>
    </row>
    <row r="103" spans="1:21" x14ac:dyDescent="0.35">
      <c r="A103" t="s">
        <v>3224</v>
      </c>
      <c r="B103" s="1">
        <v>46138</v>
      </c>
      <c r="C103" t="s">
        <v>3092</v>
      </c>
      <c r="D103" t="s">
        <v>3206</v>
      </c>
      <c r="E103" t="s">
        <v>68</v>
      </c>
      <c r="F103" t="s">
        <v>3225</v>
      </c>
      <c r="G103" s="1">
        <v>46142</v>
      </c>
      <c r="H103" t="s">
        <v>204</v>
      </c>
      <c r="I103" t="s">
        <v>53</v>
      </c>
      <c r="J103" t="s">
        <v>65</v>
      </c>
      <c r="K103" t="s">
        <v>25</v>
      </c>
      <c r="L103">
        <v>1</v>
      </c>
      <c r="M103">
        <v>20</v>
      </c>
      <c r="N103" t="s">
        <v>26</v>
      </c>
      <c r="O103">
        <v>0</v>
      </c>
      <c r="P103">
        <v>5</v>
      </c>
      <c r="Q103">
        <v>15</v>
      </c>
      <c r="R103" t="s">
        <v>94</v>
      </c>
      <c r="S103" t="s">
        <v>3104</v>
      </c>
      <c r="T103" t="s">
        <v>51</v>
      </c>
      <c r="U103" t="s">
        <v>30</v>
      </c>
    </row>
    <row r="104" spans="1:21" x14ac:dyDescent="0.35">
      <c r="A104" t="s">
        <v>3226</v>
      </c>
      <c r="B104" s="1">
        <v>46138</v>
      </c>
      <c r="C104" t="s">
        <v>3092</v>
      </c>
      <c r="D104" t="s">
        <v>3206</v>
      </c>
      <c r="E104" t="s">
        <v>68</v>
      </c>
      <c r="F104" t="s">
        <v>3225</v>
      </c>
      <c r="G104" s="1">
        <v>46142</v>
      </c>
      <c r="H104" t="s">
        <v>204</v>
      </c>
      <c r="I104" t="s">
        <v>53</v>
      </c>
      <c r="J104" t="s">
        <v>86</v>
      </c>
      <c r="K104" t="s">
        <v>92</v>
      </c>
      <c r="L104">
        <v>1</v>
      </c>
      <c r="M104">
        <v>99</v>
      </c>
      <c r="N104" t="s">
        <v>26</v>
      </c>
      <c r="O104">
        <v>0</v>
      </c>
      <c r="P104">
        <v>0</v>
      </c>
      <c r="Q104">
        <v>99</v>
      </c>
      <c r="R104" t="s">
        <v>76</v>
      </c>
      <c r="S104" t="s">
        <v>3104</v>
      </c>
      <c r="T104" t="s">
        <v>83</v>
      </c>
      <c r="U104" t="s">
        <v>58</v>
      </c>
    </row>
    <row r="105" spans="1:21" x14ac:dyDescent="0.35">
      <c r="A105" t="s">
        <v>3227</v>
      </c>
      <c r="B105" s="1">
        <v>46138</v>
      </c>
      <c r="C105" t="s">
        <v>3092</v>
      </c>
      <c r="D105" t="s">
        <v>3206</v>
      </c>
      <c r="E105" t="s">
        <v>68</v>
      </c>
      <c r="F105" t="s">
        <v>3225</v>
      </c>
      <c r="G105" s="1">
        <v>46142</v>
      </c>
      <c r="H105" t="s">
        <v>204</v>
      </c>
      <c r="I105" t="s">
        <v>39</v>
      </c>
      <c r="J105" t="s">
        <v>86</v>
      </c>
      <c r="K105" t="s">
        <v>60</v>
      </c>
      <c r="L105">
        <v>1</v>
      </c>
      <c r="M105">
        <v>27</v>
      </c>
      <c r="N105" t="s">
        <v>26</v>
      </c>
      <c r="O105">
        <v>0</v>
      </c>
      <c r="P105">
        <v>5</v>
      </c>
      <c r="Q105">
        <v>22</v>
      </c>
      <c r="R105" t="s">
        <v>76</v>
      </c>
      <c r="S105" t="s">
        <v>3104</v>
      </c>
      <c r="T105" t="s">
        <v>51</v>
      </c>
      <c r="U105" t="s">
        <v>58</v>
      </c>
    </row>
    <row r="106" spans="1:21" x14ac:dyDescent="0.35">
      <c r="A106" t="s">
        <v>3228</v>
      </c>
      <c r="B106" s="1">
        <v>46139</v>
      </c>
      <c r="C106" t="s">
        <v>3092</v>
      </c>
      <c r="D106" t="s">
        <v>3206</v>
      </c>
      <c r="E106" t="s">
        <v>74</v>
      </c>
      <c r="F106" t="s">
        <v>3225</v>
      </c>
      <c r="G106" s="1">
        <v>46142</v>
      </c>
      <c r="H106" t="s">
        <v>204</v>
      </c>
      <c r="I106" t="s">
        <v>23</v>
      </c>
      <c r="J106" t="s">
        <v>86</v>
      </c>
      <c r="K106" t="s">
        <v>40</v>
      </c>
      <c r="L106">
        <v>1</v>
      </c>
      <c r="M106">
        <v>68</v>
      </c>
      <c r="N106" t="s">
        <v>87</v>
      </c>
      <c r="O106">
        <v>18</v>
      </c>
      <c r="P106">
        <v>0</v>
      </c>
      <c r="Q106">
        <v>86</v>
      </c>
      <c r="R106" t="s">
        <v>94</v>
      </c>
      <c r="S106" t="s">
        <v>3104</v>
      </c>
      <c r="T106" t="s">
        <v>63</v>
      </c>
      <c r="U106" t="s">
        <v>30</v>
      </c>
    </row>
    <row r="107" spans="1:21" x14ac:dyDescent="0.35">
      <c r="A107" t="s">
        <v>3229</v>
      </c>
      <c r="B107" s="1">
        <v>46139</v>
      </c>
      <c r="C107" t="s">
        <v>3092</v>
      </c>
      <c r="D107" t="s">
        <v>3206</v>
      </c>
      <c r="E107" t="s">
        <v>74</v>
      </c>
      <c r="F107" t="s">
        <v>3225</v>
      </c>
      <c r="G107" s="1">
        <v>46142</v>
      </c>
      <c r="H107" t="s">
        <v>204</v>
      </c>
      <c r="I107" t="s">
        <v>23</v>
      </c>
      <c r="J107" t="s">
        <v>111</v>
      </c>
      <c r="K107" t="s">
        <v>25</v>
      </c>
      <c r="L107">
        <v>1</v>
      </c>
      <c r="M107">
        <v>18</v>
      </c>
      <c r="N107" t="s">
        <v>26</v>
      </c>
      <c r="O107">
        <v>0</v>
      </c>
      <c r="P107">
        <v>0</v>
      </c>
      <c r="Q107">
        <v>18</v>
      </c>
      <c r="R107" t="s">
        <v>42</v>
      </c>
      <c r="S107" t="s">
        <v>3104</v>
      </c>
      <c r="T107" t="s">
        <v>83</v>
      </c>
      <c r="U107" t="s">
        <v>30</v>
      </c>
    </row>
    <row r="108" spans="1:21" x14ac:dyDescent="0.35">
      <c r="A108" t="s">
        <v>3230</v>
      </c>
      <c r="B108" s="1">
        <v>46140</v>
      </c>
      <c r="C108" t="s">
        <v>3092</v>
      </c>
      <c r="D108" t="s">
        <v>3206</v>
      </c>
      <c r="E108" t="s">
        <v>102</v>
      </c>
      <c r="F108" t="s">
        <v>3225</v>
      </c>
      <c r="G108" s="1">
        <v>46142</v>
      </c>
      <c r="H108" t="s">
        <v>204</v>
      </c>
      <c r="I108" t="s">
        <v>32</v>
      </c>
      <c r="J108" t="s">
        <v>44</v>
      </c>
      <c r="K108" t="s">
        <v>25</v>
      </c>
      <c r="L108">
        <v>1</v>
      </c>
      <c r="M108">
        <v>52</v>
      </c>
      <c r="N108" t="s">
        <v>26</v>
      </c>
      <c r="O108">
        <v>0</v>
      </c>
      <c r="P108">
        <v>0</v>
      </c>
      <c r="Q108">
        <v>52</v>
      </c>
      <c r="R108" t="s">
        <v>94</v>
      </c>
      <c r="S108" t="s">
        <v>3104</v>
      </c>
      <c r="T108" t="s">
        <v>51</v>
      </c>
      <c r="U108" t="s">
        <v>30</v>
      </c>
    </row>
    <row r="109" spans="1:21" x14ac:dyDescent="0.35">
      <c r="A109" t="s">
        <v>3231</v>
      </c>
      <c r="B109" s="1">
        <v>46142</v>
      </c>
      <c r="C109" t="s">
        <v>3092</v>
      </c>
      <c r="D109" t="s">
        <v>3206</v>
      </c>
      <c r="E109" t="s">
        <v>21</v>
      </c>
      <c r="F109" t="s">
        <v>3225</v>
      </c>
      <c r="G109" s="1">
        <v>46142</v>
      </c>
      <c r="H109" t="s">
        <v>204</v>
      </c>
      <c r="I109" t="s">
        <v>32</v>
      </c>
      <c r="J109" t="s">
        <v>138</v>
      </c>
      <c r="K109" t="s">
        <v>92</v>
      </c>
      <c r="L109">
        <v>1</v>
      </c>
      <c r="M109">
        <v>106</v>
      </c>
      <c r="N109" t="s">
        <v>89</v>
      </c>
      <c r="O109">
        <v>7</v>
      </c>
      <c r="P109">
        <v>0</v>
      </c>
      <c r="Q109">
        <v>113</v>
      </c>
      <c r="R109" t="s">
        <v>27</v>
      </c>
      <c r="S109" t="s">
        <v>3104</v>
      </c>
      <c r="T109" t="s">
        <v>51</v>
      </c>
      <c r="U109" t="s">
        <v>79</v>
      </c>
    </row>
    <row r="110" spans="1:21" x14ac:dyDescent="0.35">
      <c r="A110" t="s">
        <v>3232</v>
      </c>
      <c r="B110" s="1">
        <v>46147</v>
      </c>
      <c r="C110" t="s">
        <v>517</v>
      </c>
      <c r="D110" t="s">
        <v>517</v>
      </c>
      <c r="E110" t="s">
        <v>102</v>
      </c>
      <c r="F110" t="s">
        <v>3233</v>
      </c>
      <c r="G110" s="1">
        <v>46173</v>
      </c>
      <c r="H110" t="s">
        <v>204</v>
      </c>
      <c r="I110" t="s">
        <v>23</v>
      </c>
      <c r="J110" t="s">
        <v>49</v>
      </c>
      <c r="K110" t="s">
        <v>60</v>
      </c>
      <c r="L110">
        <v>3</v>
      </c>
      <c r="M110">
        <v>22</v>
      </c>
      <c r="N110" t="s">
        <v>26</v>
      </c>
      <c r="O110">
        <v>0</v>
      </c>
      <c r="P110">
        <v>0</v>
      </c>
      <c r="Q110">
        <v>66</v>
      </c>
      <c r="R110" t="s">
        <v>27</v>
      </c>
      <c r="S110" t="s">
        <v>3104</v>
      </c>
      <c r="T110" t="s">
        <v>63</v>
      </c>
      <c r="U110" t="s">
        <v>36</v>
      </c>
    </row>
    <row r="111" spans="1:21" x14ac:dyDescent="0.35">
      <c r="A111" t="s">
        <v>3234</v>
      </c>
      <c r="B111" s="1">
        <v>46148</v>
      </c>
      <c r="C111" t="s">
        <v>517</v>
      </c>
      <c r="D111" t="s">
        <v>517</v>
      </c>
      <c r="E111" t="s">
        <v>109</v>
      </c>
      <c r="F111" t="s">
        <v>3233</v>
      </c>
      <c r="G111" s="1">
        <v>46173</v>
      </c>
      <c r="H111" t="s">
        <v>204</v>
      </c>
      <c r="I111" t="s">
        <v>32</v>
      </c>
      <c r="J111" t="s">
        <v>49</v>
      </c>
      <c r="K111" t="s">
        <v>40</v>
      </c>
      <c r="L111">
        <v>1</v>
      </c>
      <c r="M111">
        <v>54</v>
      </c>
      <c r="N111" t="s">
        <v>41</v>
      </c>
      <c r="O111">
        <v>5</v>
      </c>
      <c r="P111">
        <v>0</v>
      </c>
      <c r="Q111">
        <v>59</v>
      </c>
      <c r="R111" t="s">
        <v>94</v>
      </c>
      <c r="S111" t="s">
        <v>3104</v>
      </c>
      <c r="T111" t="s">
        <v>83</v>
      </c>
      <c r="U111" t="s">
        <v>36</v>
      </c>
    </row>
    <row r="112" spans="1:21" x14ac:dyDescent="0.35">
      <c r="A112" t="s">
        <v>3235</v>
      </c>
      <c r="B112" s="1">
        <v>46148</v>
      </c>
      <c r="C112" t="s">
        <v>517</v>
      </c>
      <c r="D112" t="s">
        <v>517</v>
      </c>
      <c r="E112" t="s">
        <v>109</v>
      </c>
      <c r="F112" t="s">
        <v>3233</v>
      </c>
      <c r="G112" s="1">
        <v>46173</v>
      </c>
      <c r="H112" t="s">
        <v>204</v>
      </c>
      <c r="I112" t="s">
        <v>53</v>
      </c>
      <c r="J112" t="s">
        <v>127</v>
      </c>
      <c r="K112" t="s">
        <v>92</v>
      </c>
      <c r="L112">
        <v>1</v>
      </c>
      <c r="M112">
        <v>33</v>
      </c>
      <c r="N112" t="s">
        <v>26</v>
      </c>
      <c r="O112">
        <v>0</v>
      </c>
      <c r="P112">
        <v>0</v>
      </c>
      <c r="Q112">
        <v>33</v>
      </c>
      <c r="R112" t="s">
        <v>94</v>
      </c>
      <c r="S112" t="s">
        <v>3104</v>
      </c>
      <c r="T112" t="s">
        <v>63</v>
      </c>
      <c r="U112" t="s">
        <v>30</v>
      </c>
    </row>
    <row r="113" spans="1:21" x14ac:dyDescent="0.35">
      <c r="A113" t="s">
        <v>3236</v>
      </c>
      <c r="B113" s="1">
        <v>46151</v>
      </c>
      <c r="C113" t="s">
        <v>517</v>
      </c>
      <c r="D113" t="s">
        <v>517</v>
      </c>
      <c r="E113" t="s">
        <v>56</v>
      </c>
      <c r="F113" t="s">
        <v>3233</v>
      </c>
      <c r="G113" s="1">
        <v>46173</v>
      </c>
      <c r="H113" t="s">
        <v>204</v>
      </c>
      <c r="I113" t="s">
        <v>48</v>
      </c>
      <c r="J113" t="s">
        <v>24</v>
      </c>
      <c r="K113" t="s">
        <v>92</v>
      </c>
      <c r="L113">
        <v>1</v>
      </c>
      <c r="M113">
        <v>110</v>
      </c>
      <c r="N113" t="s">
        <v>26</v>
      </c>
      <c r="O113">
        <v>0</v>
      </c>
      <c r="P113">
        <v>0</v>
      </c>
      <c r="Q113">
        <v>110</v>
      </c>
      <c r="R113" t="s">
        <v>94</v>
      </c>
      <c r="S113" t="s">
        <v>3104</v>
      </c>
      <c r="T113" t="s">
        <v>83</v>
      </c>
      <c r="U113" t="s">
        <v>79</v>
      </c>
    </row>
    <row r="114" spans="1:21" x14ac:dyDescent="0.35">
      <c r="A114" t="s">
        <v>3237</v>
      </c>
      <c r="B114" s="1">
        <v>46151</v>
      </c>
      <c r="C114" t="s">
        <v>517</v>
      </c>
      <c r="D114" t="s">
        <v>517</v>
      </c>
      <c r="E114" t="s">
        <v>56</v>
      </c>
      <c r="F114" t="s">
        <v>3233</v>
      </c>
      <c r="G114" s="1">
        <v>46173</v>
      </c>
      <c r="H114" t="s">
        <v>204</v>
      </c>
      <c r="I114" t="s">
        <v>48</v>
      </c>
      <c r="J114" t="s">
        <v>24</v>
      </c>
      <c r="K114" t="s">
        <v>40</v>
      </c>
      <c r="L114">
        <v>3</v>
      </c>
      <c r="M114">
        <v>75</v>
      </c>
      <c r="N114" t="s">
        <v>26</v>
      </c>
      <c r="O114">
        <v>0</v>
      </c>
      <c r="P114">
        <v>0</v>
      </c>
      <c r="Q114">
        <v>225</v>
      </c>
      <c r="R114" t="s">
        <v>42</v>
      </c>
      <c r="S114" t="s">
        <v>3104</v>
      </c>
      <c r="T114" t="s">
        <v>51</v>
      </c>
      <c r="U114" t="s">
        <v>36</v>
      </c>
    </row>
    <row r="115" spans="1:21" x14ac:dyDescent="0.35">
      <c r="A115" t="s">
        <v>3238</v>
      </c>
      <c r="B115" s="1">
        <v>46151</v>
      </c>
      <c r="C115" t="s">
        <v>517</v>
      </c>
      <c r="D115" t="s">
        <v>517</v>
      </c>
      <c r="E115" t="s">
        <v>56</v>
      </c>
      <c r="F115" t="s">
        <v>3233</v>
      </c>
      <c r="G115" s="1">
        <v>46173</v>
      </c>
      <c r="H115" t="s">
        <v>204</v>
      </c>
      <c r="I115" t="s">
        <v>32</v>
      </c>
      <c r="J115" t="s">
        <v>127</v>
      </c>
      <c r="K115" t="s">
        <v>25</v>
      </c>
      <c r="L115">
        <v>3</v>
      </c>
      <c r="M115">
        <v>15</v>
      </c>
      <c r="N115" t="s">
        <v>87</v>
      </c>
      <c r="O115">
        <v>18</v>
      </c>
      <c r="P115">
        <v>0</v>
      </c>
      <c r="Q115">
        <v>63</v>
      </c>
      <c r="R115" t="s">
        <v>94</v>
      </c>
      <c r="S115" t="s">
        <v>3104</v>
      </c>
      <c r="T115" t="s">
        <v>83</v>
      </c>
      <c r="U115" t="s">
        <v>79</v>
      </c>
    </row>
    <row r="116" spans="1:21" x14ac:dyDescent="0.35">
      <c r="A116" t="s">
        <v>3239</v>
      </c>
      <c r="B116" s="1">
        <v>46153</v>
      </c>
      <c r="C116" t="s">
        <v>517</v>
      </c>
      <c r="D116" t="s">
        <v>517</v>
      </c>
      <c r="E116" t="s">
        <v>74</v>
      </c>
      <c r="F116" t="s">
        <v>3240</v>
      </c>
      <c r="G116" s="1">
        <v>46173</v>
      </c>
      <c r="H116" t="s">
        <v>204</v>
      </c>
      <c r="I116" t="s">
        <v>53</v>
      </c>
      <c r="J116" t="s">
        <v>138</v>
      </c>
      <c r="K116" t="s">
        <v>40</v>
      </c>
      <c r="L116">
        <v>1</v>
      </c>
      <c r="M116">
        <v>72</v>
      </c>
      <c r="N116" t="s">
        <v>26</v>
      </c>
      <c r="O116">
        <v>0</v>
      </c>
      <c r="P116">
        <v>0</v>
      </c>
      <c r="Q116">
        <v>72</v>
      </c>
      <c r="R116" t="s">
        <v>42</v>
      </c>
      <c r="S116" t="s">
        <v>3104</v>
      </c>
      <c r="T116" t="s">
        <v>29</v>
      </c>
      <c r="U116" t="s">
        <v>58</v>
      </c>
    </row>
    <row r="117" spans="1:21" x14ac:dyDescent="0.35">
      <c r="A117" t="s">
        <v>3241</v>
      </c>
      <c r="B117" s="1">
        <v>46154</v>
      </c>
      <c r="C117" t="s">
        <v>517</v>
      </c>
      <c r="D117" t="s">
        <v>517</v>
      </c>
      <c r="E117" t="s">
        <v>102</v>
      </c>
      <c r="F117" t="s">
        <v>3240</v>
      </c>
      <c r="G117" s="1">
        <v>46173</v>
      </c>
      <c r="H117" t="s">
        <v>204</v>
      </c>
      <c r="I117" t="s">
        <v>32</v>
      </c>
      <c r="J117" t="s">
        <v>86</v>
      </c>
      <c r="K117" t="s">
        <v>25</v>
      </c>
      <c r="L117">
        <v>1</v>
      </c>
      <c r="M117">
        <v>45</v>
      </c>
      <c r="N117" t="s">
        <v>26</v>
      </c>
      <c r="O117">
        <v>0</v>
      </c>
      <c r="P117">
        <v>5</v>
      </c>
      <c r="Q117">
        <v>40</v>
      </c>
      <c r="R117" t="s">
        <v>94</v>
      </c>
      <c r="S117" t="s">
        <v>3104</v>
      </c>
      <c r="T117" t="s">
        <v>90</v>
      </c>
      <c r="U117" t="s">
        <v>30</v>
      </c>
    </row>
    <row r="118" spans="1:21" x14ac:dyDescent="0.35">
      <c r="A118" t="s">
        <v>3242</v>
      </c>
      <c r="B118" s="1">
        <v>46154</v>
      </c>
      <c r="C118" t="s">
        <v>517</v>
      </c>
      <c r="D118" t="s">
        <v>517</v>
      </c>
      <c r="E118" t="s">
        <v>102</v>
      </c>
      <c r="F118" t="s">
        <v>3240</v>
      </c>
      <c r="G118" s="1">
        <v>46173</v>
      </c>
      <c r="H118" t="s">
        <v>204</v>
      </c>
      <c r="I118" t="s">
        <v>39</v>
      </c>
      <c r="J118" t="s">
        <v>78</v>
      </c>
      <c r="K118" t="s">
        <v>92</v>
      </c>
      <c r="L118">
        <v>1</v>
      </c>
      <c r="M118">
        <v>88</v>
      </c>
      <c r="N118" t="s">
        <v>26</v>
      </c>
      <c r="O118">
        <v>0</v>
      </c>
      <c r="P118">
        <v>0</v>
      </c>
      <c r="Q118">
        <v>88</v>
      </c>
      <c r="R118" t="s">
        <v>62</v>
      </c>
      <c r="S118" t="s">
        <v>3104</v>
      </c>
      <c r="T118" t="s">
        <v>63</v>
      </c>
      <c r="U118" t="s">
        <v>30</v>
      </c>
    </row>
    <row r="119" spans="1:21" x14ac:dyDescent="0.35">
      <c r="A119" t="s">
        <v>3243</v>
      </c>
      <c r="B119" s="1">
        <v>46155</v>
      </c>
      <c r="C119" t="s">
        <v>517</v>
      </c>
      <c r="D119" t="s">
        <v>517</v>
      </c>
      <c r="E119" t="s">
        <v>109</v>
      </c>
      <c r="F119" t="s">
        <v>3240</v>
      </c>
      <c r="G119" s="1">
        <v>46173</v>
      </c>
      <c r="H119" t="s">
        <v>204</v>
      </c>
      <c r="I119" t="s">
        <v>48</v>
      </c>
      <c r="J119" t="s">
        <v>78</v>
      </c>
      <c r="K119" t="s">
        <v>40</v>
      </c>
      <c r="L119">
        <v>1</v>
      </c>
      <c r="M119">
        <v>60</v>
      </c>
      <c r="N119" t="s">
        <v>26</v>
      </c>
      <c r="O119">
        <v>0</v>
      </c>
      <c r="P119">
        <v>0</v>
      </c>
      <c r="Q119">
        <v>60</v>
      </c>
      <c r="R119" t="s">
        <v>76</v>
      </c>
      <c r="S119" t="s">
        <v>3104</v>
      </c>
      <c r="T119" t="s">
        <v>90</v>
      </c>
      <c r="U119" t="s">
        <v>30</v>
      </c>
    </row>
    <row r="120" spans="1:21" x14ac:dyDescent="0.35">
      <c r="A120" t="s">
        <v>3244</v>
      </c>
      <c r="B120" s="1">
        <v>46155</v>
      </c>
      <c r="C120" t="s">
        <v>517</v>
      </c>
      <c r="D120" t="s">
        <v>517</v>
      </c>
      <c r="E120" t="s">
        <v>109</v>
      </c>
      <c r="F120" t="s">
        <v>3240</v>
      </c>
      <c r="G120" s="1">
        <v>46173</v>
      </c>
      <c r="H120" t="s">
        <v>204</v>
      </c>
      <c r="I120" t="s">
        <v>53</v>
      </c>
      <c r="J120" t="s">
        <v>78</v>
      </c>
      <c r="K120" t="s">
        <v>92</v>
      </c>
      <c r="L120">
        <v>1</v>
      </c>
      <c r="M120">
        <v>88</v>
      </c>
      <c r="N120" t="s">
        <v>41</v>
      </c>
      <c r="O120">
        <v>5</v>
      </c>
      <c r="P120">
        <v>0</v>
      </c>
      <c r="Q120">
        <v>93</v>
      </c>
      <c r="R120" t="s">
        <v>76</v>
      </c>
      <c r="S120" t="s">
        <v>3104</v>
      </c>
      <c r="T120" t="s">
        <v>90</v>
      </c>
      <c r="U120" t="s">
        <v>30</v>
      </c>
    </row>
    <row r="121" spans="1:21" x14ac:dyDescent="0.35">
      <c r="A121" t="s">
        <v>3245</v>
      </c>
      <c r="B121" s="1">
        <v>46157</v>
      </c>
      <c r="C121" t="s">
        <v>517</v>
      </c>
      <c r="D121" t="s">
        <v>517</v>
      </c>
      <c r="E121" t="s">
        <v>38</v>
      </c>
      <c r="F121" t="s">
        <v>3240</v>
      </c>
      <c r="G121" s="1">
        <v>46173</v>
      </c>
      <c r="H121" t="s">
        <v>204</v>
      </c>
      <c r="I121" t="s">
        <v>39</v>
      </c>
      <c r="J121" t="s">
        <v>86</v>
      </c>
      <c r="K121" t="s">
        <v>40</v>
      </c>
      <c r="L121">
        <v>1</v>
      </c>
      <c r="M121">
        <v>68</v>
      </c>
      <c r="N121" t="s">
        <v>26</v>
      </c>
      <c r="O121">
        <v>0</v>
      </c>
      <c r="P121">
        <v>0</v>
      </c>
      <c r="Q121">
        <v>68</v>
      </c>
      <c r="R121" t="s">
        <v>76</v>
      </c>
      <c r="S121" t="s">
        <v>3104</v>
      </c>
      <c r="T121" t="s">
        <v>29</v>
      </c>
      <c r="U121" t="s">
        <v>79</v>
      </c>
    </row>
    <row r="122" spans="1:21" x14ac:dyDescent="0.35">
      <c r="A122" t="s">
        <v>3246</v>
      </c>
      <c r="B122" s="1">
        <v>46158</v>
      </c>
      <c r="C122" t="s">
        <v>517</v>
      </c>
      <c r="D122" t="s">
        <v>517</v>
      </c>
      <c r="E122" t="s">
        <v>56</v>
      </c>
      <c r="F122" t="s">
        <v>3240</v>
      </c>
      <c r="G122" s="1">
        <v>46173</v>
      </c>
      <c r="H122" t="s">
        <v>204</v>
      </c>
      <c r="I122" t="s">
        <v>23</v>
      </c>
      <c r="J122" t="s">
        <v>44</v>
      </c>
      <c r="K122" t="s">
        <v>40</v>
      </c>
      <c r="L122">
        <v>2</v>
      </c>
      <c r="M122">
        <v>78</v>
      </c>
      <c r="N122" t="s">
        <v>41</v>
      </c>
      <c r="O122">
        <v>5</v>
      </c>
      <c r="P122">
        <v>0</v>
      </c>
      <c r="Q122">
        <v>161</v>
      </c>
      <c r="R122" t="s">
        <v>62</v>
      </c>
      <c r="S122" t="s">
        <v>3104</v>
      </c>
      <c r="T122" t="s">
        <v>29</v>
      </c>
      <c r="U122" t="s">
        <v>79</v>
      </c>
    </row>
    <row r="123" spans="1:21" x14ac:dyDescent="0.35">
      <c r="A123" t="s">
        <v>3247</v>
      </c>
      <c r="B123" s="1">
        <v>46160</v>
      </c>
      <c r="C123" t="s">
        <v>517</v>
      </c>
      <c r="D123" t="s">
        <v>517</v>
      </c>
      <c r="E123" t="s">
        <v>74</v>
      </c>
      <c r="F123" t="s">
        <v>3248</v>
      </c>
      <c r="G123" s="1">
        <v>46173</v>
      </c>
      <c r="H123" t="s">
        <v>204</v>
      </c>
      <c r="I123" t="s">
        <v>48</v>
      </c>
      <c r="J123" t="s">
        <v>24</v>
      </c>
      <c r="K123" t="s">
        <v>25</v>
      </c>
      <c r="L123">
        <v>2</v>
      </c>
      <c r="M123">
        <v>50</v>
      </c>
      <c r="N123" t="s">
        <v>26</v>
      </c>
      <c r="O123">
        <v>0</v>
      </c>
      <c r="P123">
        <v>10</v>
      </c>
      <c r="Q123">
        <v>90</v>
      </c>
      <c r="R123" t="s">
        <v>94</v>
      </c>
      <c r="S123" t="s">
        <v>3104</v>
      </c>
      <c r="T123" t="s">
        <v>29</v>
      </c>
      <c r="U123" t="s">
        <v>30</v>
      </c>
    </row>
    <row r="124" spans="1:21" x14ac:dyDescent="0.35">
      <c r="A124" t="s">
        <v>3249</v>
      </c>
      <c r="B124" s="1">
        <v>46160</v>
      </c>
      <c r="C124" t="s">
        <v>517</v>
      </c>
      <c r="D124" t="s">
        <v>517</v>
      </c>
      <c r="E124" t="s">
        <v>74</v>
      </c>
      <c r="F124" t="s">
        <v>3248</v>
      </c>
      <c r="G124" s="1">
        <v>46173</v>
      </c>
      <c r="H124" t="s">
        <v>204</v>
      </c>
      <c r="I124" t="s">
        <v>39</v>
      </c>
      <c r="J124" t="s">
        <v>86</v>
      </c>
      <c r="K124" t="s">
        <v>25</v>
      </c>
      <c r="L124">
        <v>3</v>
      </c>
      <c r="M124">
        <v>45</v>
      </c>
      <c r="N124" t="s">
        <v>26</v>
      </c>
      <c r="O124">
        <v>0</v>
      </c>
      <c r="P124">
        <v>0</v>
      </c>
      <c r="Q124">
        <v>135</v>
      </c>
      <c r="R124" t="s">
        <v>94</v>
      </c>
      <c r="S124" t="s">
        <v>3104</v>
      </c>
      <c r="T124" t="s">
        <v>29</v>
      </c>
      <c r="U124" t="s">
        <v>30</v>
      </c>
    </row>
    <row r="125" spans="1:21" x14ac:dyDescent="0.35">
      <c r="A125" t="s">
        <v>3250</v>
      </c>
      <c r="B125" s="1">
        <v>46162</v>
      </c>
      <c r="C125" t="s">
        <v>517</v>
      </c>
      <c r="D125" t="s">
        <v>517</v>
      </c>
      <c r="E125" t="s">
        <v>109</v>
      </c>
      <c r="F125" t="s">
        <v>3248</v>
      </c>
      <c r="G125" s="1">
        <v>46173</v>
      </c>
      <c r="H125" t="s">
        <v>204</v>
      </c>
      <c r="I125" t="s">
        <v>23</v>
      </c>
      <c r="J125" t="s">
        <v>138</v>
      </c>
      <c r="K125" t="s">
        <v>60</v>
      </c>
      <c r="L125">
        <v>2</v>
      </c>
      <c r="M125">
        <v>29</v>
      </c>
      <c r="N125" t="s">
        <v>26</v>
      </c>
      <c r="O125">
        <v>0</v>
      </c>
      <c r="P125">
        <v>0</v>
      </c>
      <c r="Q125">
        <v>58</v>
      </c>
      <c r="R125" t="s">
        <v>62</v>
      </c>
      <c r="S125" t="s">
        <v>3104</v>
      </c>
      <c r="T125" t="s">
        <v>51</v>
      </c>
      <c r="U125" t="s">
        <v>30</v>
      </c>
    </row>
    <row r="126" spans="1:21" x14ac:dyDescent="0.35">
      <c r="A126" t="s">
        <v>3251</v>
      </c>
      <c r="B126" s="1">
        <v>46162</v>
      </c>
      <c r="C126" t="s">
        <v>517</v>
      </c>
      <c r="D126" t="s">
        <v>517</v>
      </c>
      <c r="E126" t="s">
        <v>109</v>
      </c>
      <c r="F126" t="s">
        <v>3248</v>
      </c>
      <c r="G126" s="1">
        <v>46173</v>
      </c>
      <c r="H126" t="s">
        <v>204</v>
      </c>
      <c r="I126" t="s">
        <v>53</v>
      </c>
      <c r="J126" t="s">
        <v>33</v>
      </c>
      <c r="K126" t="s">
        <v>60</v>
      </c>
      <c r="L126">
        <v>1</v>
      </c>
      <c r="M126">
        <v>23</v>
      </c>
      <c r="N126" t="s">
        <v>26</v>
      </c>
      <c r="O126">
        <v>0</v>
      </c>
      <c r="P126">
        <v>5</v>
      </c>
      <c r="Q126">
        <v>18</v>
      </c>
      <c r="R126" t="s">
        <v>94</v>
      </c>
      <c r="S126" t="s">
        <v>3104</v>
      </c>
      <c r="T126" t="s">
        <v>29</v>
      </c>
      <c r="U126" t="s">
        <v>30</v>
      </c>
    </row>
    <row r="127" spans="1:21" x14ac:dyDescent="0.35">
      <c r="A127" t="s">
        <v>3252</v>
      </c>
      <c r="B127" s="1">
        <v>46163</v>
      </c>
      <c r="C127" t="s">
        <v>517</v>
      </c>
      <c r="D127" t="s">
        <v>517</v>
      </c>
      <c r="E127" t="s">
        <v>21</v>
      </c>
      <c r="F127" t="s">
        <v>3248</v>
      </c>
      <c r="G127" s="1">
        <v>46173</v>
      </c>
      <c r="H127" t="s">
        <v>204</v>
      </c>
      <c r="I127" t="s">
        <v>32</v>
      </c>
      <c r="J127" t="s">
        <v>111</v>
      </c>
      <c r="K127" t="s">
        <v>40</v>
      </c>
      <c r="L127">
        <v>1</v>
      </c>
      <c r="M127">
        <v>27</v>
      </c>
      <c r="N127" t="s">
        <v>26</v>
      </c>
      <c r="O127">
        <v>0</v>
      </c>
      <c r="P127">
        <v>0</v>
      </c>
      <c r="Q127">
        <v>27</v>
      </c>
      <c r="R127" t="s">
        <v>62</v>
      </c>
      <c r="S127" t="s">
        <v>3104</v>
      </c>
      <c r="T127" t="s">
        <v>90</v>
      </c>
      <c r="U127" t="s">
        <v>79</v>
      </c>
    </row>
    <row r="128" spans="1:21" x14ac:dyDescent="0.35">
      <c r="A128" t="s">
        <v>3253</v>
      </c>
      <c r="B128" s="1">
        <v>46163</v>
      </c>
      <c r="C128" t="s">
        <v>517</v>
      </c>
      <c r="D128" t="s">
        <v>517</v>
      </c>
      <c r="E128" t="s">
        <v>21</v>
      </c>
      <c r="F128" t="s">
        <v>3248</v>
      </c>
      <c r="G128" s="1">
        <v>46173</v>
      </c>
      <c r="H128" t="s">
        <v>204</v>
      </c>
      <c r="I128" t="s">
        <v>48</v>
      </c>
      <c r="J128" t="s">
        <v>138</v>
      </c>
      <c r="K128" t="s">
        <v>60</v>
      </c>
      <c r="L128">
        <v>1</v>
      </c>
      <c r="M128">
        <v>29</v>
      </c>
      <c r="N128" t="s">
        <v>89</v>
      </c>
      <c r="O128">
        <v>7</v>
      </c>
      <c r="P128">
        <v>0</v>
      </c>
      <c r="Q128">
        <v>36</v>
      </c>
      <c r="R128" t="s">
        <v>62</v>
      </c>
      <c r="S128" t="s">
        <v>3104</v>
      </c>
      <c r="T128" t="s">
        <v>51</v>
      </c>
      <c r="U128" t="s">
        <v>58</v>
      </c>
    </row>
    <row r="129" spans="1:21" x14ac:dyDescent="0.35">
      <c r="A129" t="s">
        <v>3254</v>
      </c>
      <c r="B129" s="1">
        <v>46163</v>
      </c>
      <c r="C129" t="s">
        <v>517</v>
      </c>
      <c r="D129" t="s">
        <v>517</v>
      </c>
      <c r="E129" t="s">
        <v>21</v>
      </c>
      <c r="F129" t="s">
        <v>3248</v>
      </c>
      <c r="G129" s="1">
        <v>46173</v>
      </c>
      <c r="H129" t="s">
        <v>204</v>
      </c>
      <c r="I129" t="s">
        <v>23</v>
      </c>
      <c r="J129" t="s">
        <v>24</v>
      </c>
      <c r="K129" t="s">
        <v>40</v>
      </c>
      <c r="L129">
        <v>1</v>
      </c>
      <c r="M129">
        <v>75</v>
      </c>
      <c r="N129" t="s">
        <v>26</v>
      </c>
      <c r="O129">
        <v>0</v>
      </c>
      <c r="P129">
        <v>10</v>
      </c>
      <c r="Q129">
        <v>65</v>
      </c>
      <c r="R129" t="s">
        <v>27</v>
      </c>
      <c r="S129" t="s">
        <v>3104</v>
      </c>
      <c r="T129" t="s">
        <v>29</v>
      </c>
      <c r="U129" t="s">
        <v>30</v>
      </c>
    </row>
    <row r="130" spans="1:21" x14ac:dyDescent="0.35">
      <c r="A130" t="s">
        <v>3255</v>
      </c>
      <c r="B130" s="1">
        <v>46164</v>
      </c>
      <c r="C130" t="s">
        <v>517</v>
      </c>
      <c r="D130" t="s">
        <v>517</v>
      </c>
      <c r="E130" t="s">
        <v>38</v>
      </c>
      <c r="F130" t="s">
        <v>3248</v>
      </c>
      <c r="G130" s="1">
        <v>46173</v>
      </c>
      <c r="H130" t="s">
        <v>204</v>
      </c>
      <c r="I130" t="s">
        <v>53</v>
      </c>
      <c r="J130" t="s">
        <v>44</v>
      </c>
      <c r="K130" t="s">
        <v>25</v>
      </c>
      <c r="L130">
        <v>1</v>
      </c>
      <c r="M130">
        <v>52</v>
      </c>
      <c r="N130" t="s">
        <v>26</v>
      </c>
      <c r="O130">
        <v>0</v>
      </c>
      <c r="P130">
        <v>0</v>
      </c>
      <c r="Q130">
        <v>52</v>
      </c>
      <c r="R130" t="s">
        <v>62</v>
      </c>
      <c r="S130" t="s">
        <v>3104</v>
      </c>
      <c r="T130" t="s">
        <v>90</v>
      </c>
      <c r="U130" t="s">
        <v>30</v>
      </c>
    </row>
    <row r="131" spans="1:21" x14ac:dyDescent="0.35">
      <c r="A131" t="s">
        <v>3256</v>
      </c>
      <c r="B131" s="1">
        <v>46165</v>
      </c>
      <c r="C131" t="s">
        <v>517</v>
      </c>
      <c r="D131" t="s">
        <v>517</v>
      </c>
      <c r="E131" t="s">
        <v>56</v>
      </c>
      <c r="F131" t="s">
        <v>3248</v>
      </c>
      <c r="G131" s="1">
        <v>46173</v>
      </c>
      <c r="H131" t="s">
        <v>204</v>
      </c>
      <c r="I131" t="s">
        <v>39</v>
      </c>
      <c r="J131" t="s">
        <v>24</v>
      </c>
      <c r="K131" t="s">
        <v>92</v>
      </c>
      <c r="L131">
        <v>1</v>
      </c>
      <c r="M131">
        <v>110</v>
      </c>
      <c r="N131" t="s">
        <v>26</v>
      </c>
      <c r="O131">
        <v>0</v>
      </c>
      <c r="P131">
        <v>0</v>
      </c>
      <c r="Q131">
        <v>110</v>
      </c>
      <c r="R131" t="s">
        <v>94</v>
      </c>
      <c r="S131" t="s">
        <v>3104</v>
      </c>
      <c r="T131" t="s">
        <v>63</v>
      </c>
      <c r="U131" t="s">
        <v>58</v>
      </c>
    </row>
    <row r="132" spans="1:21" x14ac:dyDescent="0.35">
      <c r="A132" t="s">
        <v>3257</v>
      </c>
      <c r="B132" s="1">
        <v>46165</v>
      </c>
      <c r="C132" t="s">
        <v>517</v>
      </c>
      <c r="D132" t="s">
        <v>517</v>
      </c>
      <c r="E132" t="s">
        <v>56</v>
      </c>
      <c r="F132" t="s">
        <v>3248</v>
      </c>
      <c r="G132" s="1">
        <v>46173</v>
      </c>
      <c r="H132" t="s">
        <v>204</v>
      </c>
      <c r="I132" t="s">
        <v>53</v>
      </c>
      <c r="J132" t="s">
        <v>127</v>
      </c>
      <c r="K132" t="s">
        <v>92</v>
      </c>
      <c r="L132">
        <v>3</v>
      </c>
      <c r="M132">
        <v>33</v>
      </c>
      <c r="N132" t="s">
        <v>89</v>
      </c>
      <c r="O132">
        <v>7</v>
      </c>
      <c r="P132">
        <v>0</v>
      </c>
      <c r="Q132">
        <v>106</v>
      </c>
      <c r="R132" t="s">
        <v>94</v>
      </c>
      <c r="S132" t="s">
        <v>3104</v>
      </c>
      <c r="T132" t="s">
        <v>29</v>
      </c>
      <c r="U132" t="s">
        <v>30</v>
      </c>
    </row>
    <row r="133" spans="1:21" x14ac:dyDescent="0.35">
      <c r="A133" t="s">
        <v>3258</v>
      </c>
      <c r="B133" s="1">
        <v>46169</v>
      </c>
      <c r="C133" t="s">
        <v>517</v>
      </c>
      <c r="D133" t="s">
        <v>517</v>
      </c>
      <c r="E133" t="s">
        <v>109</v>
      </c>
      <c r="F133" t="s">
        <v>3259</v>
      </c>
      <c r="G133" s="1">
        <v>46173</v>
      </c>
      <c r="H133" t="s">
        <v>204</v>
      </c>
      <c r="I133" t="s">
        <v>48</v>
      </c>
      <c r="J133" t="s">
        <v>138</v>
      </c>
      <c r="K133" t="s">
        <v>92</v>
      </c>
      <c r="L133">
        <v>1</v>
      </c>
      <c r="M133">
        <v>106</v>
      </c>
      <c r="N133" t="s">
        <v>87</v>
      </c>
      <c r="O133">
        <v>18</v>
      </c>
      <c r="P133">
        <v>0</v>
      </c>
      <c r="Q133">
        <v>124</v>
      </c>
      <c r="R133" t="s">
        <v>27</v>
      </c>
      <c r="S133" t="s">
        <v>3104</v>
      </c>
      <c r="T133" t="s">
        <v>63</v>
      </c>
      <c r="U133" t="s">
        <v>79</v>
      </c>
    </row>
    <row r="134" spans="1:21" x14ac:dyDescent="0.35">
      <c r="A134" t="s">
        <v>3260</v>
      </c>
      <c r="B134" s="1">
        <v>46173</v>
      </c>
      <c r="C134" t="s">
        <v>517</v>
      </c>
      <c r="D134" t="s">
        <v>517</v>
      </c>
      <c r="E134" t="s">
        <v>68</v>
      </c>
      <c r="F134" t="s">
        <v>3261</v>
      </c>
      <c r="G134" s="1">
        <v>46173</v>
      </c>
      <c r="H134" t="s">
        <v>204</v>
      </c>
      <c r="I134" t="s">
        <v>53</v>
      </c>
      <c r="J134" t="s">
        <v>65</v>
      </c>
      <c r="K134" t="s">
        <v>25</v>
      </c>
      <c r="L134">
        <v>1</v>
      </c>
      <c r="M134">
        <v>20</v>
      </c>
      <c r="N134" t="s">
        <v>26</v>
      </c>
      <c r="O134">
        <v>0</v>
      </c>
      <c r="P134">
        <v>0</v>
      </c>
      <c r="Q134">
        <v>20</v>
      </c>
      <c r="R134" t="s">
        <v>62</v>
      </c>
      <c r="S134" t="s">
        <v>3104</v>
      </c>
      <c r="T134" t="s">
        <v>29</v>
      </c>
      <c r="U134" t="s">
        <v>30</v>
      </c>
    </row>
    <row r="135" spans="1:21" x14ac:dyDescent="0.35">
      <c r="A135" t="s">
        <v>3262</v>
      </c>
      <c r="B135" s="1">
        <v>46173</v>
      </c>
      <c r="C135" t="s">
        <v>517</v>
      </c>
      <c r="D135" t="s">
        <v>517</v>
      </c>
      <c r="E135" t="s">
        <v>68</v>
      </c>
      <c r="F135" t="s">
        <v>3261</v>
      </c>
      <c r="G135" s="1">
        <v>46173</v>
      </c>
      <c r="H135" t="s">
        <v>204</v>
      </c>
      <c r="I135" t="s">
        <v>23</v>
      </c>
      <c r="J135" t="s">
        <v>111</v>
      </c>
      <c r="K135" t="s">
        <v>25</v>
      </c>
      <c r="L135">
        <v>1</v>
      </c>
      <c r="M135">
        <v>18</v>
      </c>
      <c r="N135" t="s">
        <v>70</v>
      </c>
      <c r="O135">
        <v>10</v>
      </c>
      <c r="P135">
        <v>10</v>
      </c>
      <c r="Q135">
        <v>18</v>
      </c>
      <c r="R135" t="s">
        <v>27</v>
      </c>
      <c r="S135" t="s">
        <v>3104</v>
      </c>
      <c r="T135" t="s">
        <v>83</v>
      </c>
      <c r="U135" t="s">
        <v>30</v>
      </c>
    </row>
    <row r="136" spans="1:21" x14ac:dyDescent="0.35">
      <c r="A136" t="s">
        <v>3263</v>
      </c>
      <c r="B136" s="1">
        <v>46176</v>
      </c>
      <c r="C136" t="s">
        <v>3093</v>
      </c>
      <c r="D136" t="s">
        <v>3264</v>
      </c>
      <c r="E136" t="s">
        <v>109</v>
      </c>
      <c r="F136" t="s">
        <v>3261</v>
      </c>
      <c r="G136" s="1">
        <v>46203</v>
      </c>
      <c r="H136" t="s">
        <v>749</v>
      </c>
      <c r="I136" t="s">
        <v>53</v>
      </c>
      <c r="J136" t="s">
        <v>127</v>
      </c>
      <c r="K136" t="s">
        <v>25</v>
      </c>
      <c r="L136">
        <v>2</v>
      </c>
      <c r="M136">
        <v>15</v>
      </c>
      <c r="N136" t="s">
        <v>26</v>
      </c>
      <c r="O136">
        <v>0</v>
      </c>
      <c r="P136">
        <v>0</v>
      </c>
      <c r="Q136">
        <v>30</v>
      </c>
      <c r="R136" t="s">
        <v>27</v>
      </c>
      <c r="S136" t="s">
        <v>3104</v>
      </c>
      <c r="T136" t="s">
        <v>83</v>
      </c>
      <c r="U136" t="s">
        <v>58</v>
      </c>
    </row>
    <row r="137" spans="1:21" x14ac:dyDescent="0.35">
      <c r="A137" t="s">
        <v>3265</v>
      </c>
      <c r="B137" s="1">
        <v>46179</v>
      </c>
      <c r="C137" t="s">
        <v>3093</v>
      </c>
      <c r="D137" t="s">
        <v>3264</v>
      </c>
      <c r="E137" t="s">
        <v>56</v>
      </c>
      <c r="F137" t="s">
        <v>3261</v>
      </c>
      <c r="G137" s="1">
        <v>46203</v>
      </c>
      <c r="H137" t="s">
        <v>749</v>
      </c>
      <c r="I137" t="s">
        <v>32</v>
      </c>
      <c r="J137" t="s">
        <v>49</v>
      </c>
      <c r="K137" t="s">
        <v>92</v>
      </c>
      <c r="L137">
        <v>1</v>
      </c>
      <c r="M137">
        <v>79</v>
      </c>
      <c r="N137" t="s">
        <v>87</v>
      </c>
      <c r="O137">
        <v>18</v>
      </c>
      <c r="P137">
        <v>0</v>
      </c>
      <c r="Q137">
        <v>97</v>
      </c>
      <c r="R137" t="s">
        <v>62</v>
      </c>
      <c r="S137" t="s">
        <v>3104</v>
      </c>
      <c r="T137" t="s">
        <v>83</v>
      </c>
      <c r="U137" t="s">
        <v>30</v>
      </c>
    </row>
    <row r="138" spans="1:21" x14ac:dyDescent="0.35">
      <c r="A138" t="s">
        <v>3266</v>
      </c>
      <c r="B138" s="1">
        <v>46179</v>
      </c>
      <c r="C138" t="s">
        <v>3093</v>
      </c>
      <c r="D138" t="s">
        <v>3264</v>
      </c>
      <c r="E138" t="s">
        <v>56</v>
      </c>
      <c r="F138" t="s">
        <v>3261</v>
      </c>
      <c r="G138" s="1">
        <v>46203</v>
      </c>
      <c r="H138" t="s">
        <v>749</v>
      </c>
      <c r="I138" t="s">
        <v>32</v>
      </c>
      <c r="J138" t="s">
        <v>33</v>
      </c>
      <c r="K138" t="s">
        <v>25</v>
      </c>
      <c r="L138">
        <v>1</v>
      </c>
      <c r="M138">
        <v>38</v>
      </c>
      <c r="N138" t="s">
        <v>26</v>
      </c>
      <c r="O138">
        <v>0</v>
      </c>
      <c r="P138">
        <v>0</v>
      </c>
      <c r="Q138">
        <v>38</v>
      </c>
      <c r="R138" t="s">
        <v>76</v>
      </c>
      <c r="S138" t="s">
        <v>3104</v>
      </c>
      <c r="T138" t="s">
        <v>29</v>
      </c>
      <c r="U138" t="s">
        <v>58</v>
      </c>
    </row>
    <row r="139" spans="1:21" x14ac:dyDescent="0.35">
      <c r="A139" t="s">
        <v>3267</v>
      </c>
      <c r="B139" s="1">
        <v>46180</v>
      </c>
      <c r="C139" t="s">
        <v>3093</v>
      </c>
      <c r="D139" t="s">
        <v>3264</v>
      </c>
      <c r="E139" t="s">
        <v>68</v>
      </c>
      <c r="F139" t="s">
        <v>3268</v>
      </c>
      <c r="G139" s="1">
        <v>46203</v>
      </c>
      <c r="H139" t="s">
        <v>749</v>
      </c>
      <c r="I139" t="s">
        <v>23</v>
      </c>
      <c r="J139" t="s">
        <v>86</v>
      </c>
      <c r="K139" t="s">
        <v>40</v>
      </c>
      <c r="L139">
        <v>1</v>
      </c>
      <c r="M139">
        <v>68</v>
      </c>
      <c r="N139" t="s">
        <v>26</v>
      </c>
      <c r="O139">
        <v>0</v>
      </c>
      <c r="P139">
        <v>5</v>
      </c>
      <c r="Q139">
        <v>63</v>
      </c>
      <c r="R139" t="s">
        <v>27</v>
      </c>
      <c r="S139" t="s">
        <v>3104</v>
      </c>
      <c r="T139" t="s">
        <v>83</v>
      </c>
      <c r="U139" t="s">
        <v>58</v>
      </c>
    </row>
    <row r="140" spans="1:21" x14ac:dyDescent="0.35">
      <c r="A140" t="s">
        <v>3269</v>
      </c>
      <c r="B140" s="1">
        <v>46181</v>
      </c>
      <c r="C140" t="s">
        <v>3093</v>
      </c>
      <c r="D140" t="s">
        <v>3264</v>
      </c>
      <c r="E140" t="s">
        <v>74</v>
      </c>
      <c r="F140" t="s">
        <v>3268</v>
      </c>
      <c r="G140" s="1">
        <v>46203</v>
      </c>
      <c r="H140" t="s">
        <v>749</v>
      </c>
      <c r="I140" t="s">
        <v>32</v>
      </c>
      <c r="J140" t="s">
        <v>24</v>
      </c>
      <c r="K140" t="s">
        <v>60</v>
      </c>
      <c r="L140">
        <v>2</v>
      </c>
      <c r="M140">
        <v>30</v>
      </c>
      <c r="N140" t="s">
        <v>41</v>
      </c>
      <c r="O140">
        <v>5</v>
      </c>
      <c r="P140">
        <v>0</v>
      </c>
      <c r="Q140">
        <v>65</v>
      </c>
      <c r="R140" t="s">
        <v>76</v>
      </c>
      <c r="S140" t="s">
        <v>3104</v>
      </c>
      <c r="T140" t="s">
        <v>51</v>
      </c>
      <c r="U140" t="s">
        <v>30</v>
      </c>
    </row>
    <row r="141" spans="1:21" x14ac:dyDescent="0.35">
      <c r="A141" t="s">
        <v>3270</v>
      </c>
      <c r="B141" s="1">
        <v>46182</v>
      </c>
      <c r="C141" t="s">
        <v>3093</v>
      </c>
      <c r="D141" t="s">
        <v>3264</v>
      </c>
      <c r="E141" t="s">
        <v>102</v>
      </c>
      <c r="F141" t="s">
        <v>3268</v>
      </c>
      <c r="G141" s="1">
        <v>46203</v>
      </c>
      <c r="H141" t="s">
        <v>749</v>
      </c>
      <c r="I141" t="s">
        <v>53</v>
      </c>
      <c r="J141" t="s">
        <v>78</v>
      </c>
      <c r="K141" t="s">
        <v>25</v>
      </c>
      <c r="L141">
        <v>1</v>
      </c>
      <c r="M141">
        <v>40</v>
      </c>
      <c r="N141" t="s">
        <v>75</v>
      </c>
      <c r="O141">
        <v>15</v>
      </c>
      <c r="P141">
        <v>0</v>
      </c>
      <c r="Q141">
        <v>55</v>
      </c>
      <c r="R141" t="s">
        <v>94</v>
      </c>
      <c r="S141" t="s">
        <v>3104</v>
      </c>
      <c r="T141" t="s">
        <v>83</v>
      </c>
      <c r="U141" t="s">
        <v>36</v>
      </c>
    </row>
    <row r="142" spans="1:21" x14ac:dyDescent="0.35">
      <c r="A142" t="s">
        <v>3271</v>
      </c>
      <c r="B142" s="1">
        <v>46185</v>
      </c>
      <c r="C142" t="s">
        <v>3093</v>
      </c>
      <c r="D142" t="s">
        <v>3264</v>
      </c>
      <c r="E142" t="s">
        <v>38</v>
      </c>
      <c r="F142" t="s">
        <v>3268</v>
      </c>
      <c r="G142" s="1">
        <v>46203</v>
      </c>
      <c r="H142" t="s">
        <v>749</v>
      </c>
      <c r="I142" t="s">
        <v>39</v>
      </c>
      <c r="J142" t="s">
        <v>65</v>
      </c>
      <c r="K142" t="s">
        <v>25</v>
      </c>
      <c r="L142">
        <v>1</v>
      </c>
      <c r="M142">
        <v>20</v>
      </c>
      <c r="N142" t="s">
        <v>89</v>
      </c>
      <c r="O142">
        <v>7</v>
      </c>
      <c r="P142">
        <v>0</v>
      </c>
      <c r="Q142">
        <v>27</v>
      </c>
      <c r="R142" t="s">
        <v>62</v>
      </c>
      <c r="S142" t="s">
        <v>3104</v>
      </c>
      <c r="T142" t="s">
        <v>29</v>
      </c>
      <c r="U142" t="s">
        <v>30</v>
      </c>
    </row>
    <row r="143" spans="1:21" x14ac:dyDescent="0.35">
      <c r="A143" t="s">
        <v>3272</v>
      </c>
      <c r="B143" s="1">
        <v>46188</v>
      </c>
      <c r="C143" t="s">
        <v>3093</v>
      </c>
      <c r="D143" t="s">
        <v>3264</v>
      </c>
      <c r="E143" t="s">
        <v>74</v>
      </c>
      <c r="F143" t="s">
        <v>3273</v>
      </c>
      <c r="G143" s="1">
        <v>46203</v>
      </c>
      <c r="H143" t="s">
        <v>749</v>
      </c>
      <c r="I143" t="s">
        <v>39</v>
      </c>
      <c r="J143" t="s">
        <v>127</v>
      </c>
      <c r="K143" t="s">
        <v>60</v>
      </c>
      <c r="L143">
        <v>2</v>
      </c>
      <c r="M143">
        <v>9</v>
      </c>
      <c r="N143" t="s">
        <v>26</v>
      </c>
      <c r="O143">
        <v>0</v>
      </c>
      <c r="P143">
        <v>0</v>
      </c>
      <c r="Q143">
        <v>18</v>
      </c>
      <c r="R143" t="s">
        <v>76</v>
      </c>
      <c r="S143" t="s">
        <v>3104</v>
      </c>
      <c r="T143" t="s">
        <v>90</v>
      </c>
      <c r="U143" t="s">
        <v>58</v>
      </c>
    </row>
    <row r="144" spans="1:21" x14ac:dyDescent="0.35">
      <c r="A144" t="s">
        <v>3274</v>
      </c>
      <c r="B144" s="1">
        <v>46189</v>
      </c>
      <c r="C144" t="s">
        <v>3093</v>
      </c>
      <c r="D144" t="s">
        <v>3264</v>
      </c>
      <c r="E144" t="s">
        <v>102</v>
      </c>
      <c r="F144" t="s">
        <v>3273</v>
      </c>
      <c r="G144" s="1">
        <v>46203</v>
      </c>
      <c r="H144" t="s">
        <v>749</v>
      </c>
      <c r="I144" t="s">
        <v>39</v>
      </c>
      <c r="J144" t="s">
        <v>65</v>
      </c>
      <c r="K144" t="s">
        <v>40</v>
      </c>
      <c r="L144">
        <v>1</v>
      </c>
      <c r="M144">
        <v>30</v>
      </c>
      <c r="N144" t="s">
        <v>26</v>
      </c>
      <c r="O144">
        <v>0</v>
      </c>
      <c r="P144">
        <v>0</v>
      </c>
      <c r="Q144">
        <v>30</v>
      </c>
      <c r="R144" t="s">
        <v>42</v>
      </c>
      <c r="S144" t="s">
        <v>3104</v>
      </c>
      <c r="T144" t="s">
        <v>90</v>
      </c>
      <c r="U144" t="s">
        <v>30</v>
      </c>
    </row>
    <row r="145" spans="1:21" x14ac:dyDescent="0.35">
      <c r="A145" t="s">
        <v>3275</v>
      </c>
      <c r="B145" s="1">
        <v>46190</v>
      </c>
      <c r="C145" t="s">
        <v>3093</v>
      </c>
      <c r="D145" t="s">
        <v>3264</v>
      </c>
      <c r="E145" t="s">
        <v>109</v>
      </c>
      <c r="F145" t="s">
        <v>3273</v>
      </c>
      <c r="G145" s="1">
        <v>46203</v>
      </c>
      <c r="H145" t="s">
        <v>749</v>
      </c>
      <c r="I145" t="s">
        <v>32</v>
      </c>
      <c r="J145" t="s">
        <v>111</v>
      </c>
      <c r="K145" t="s">
        <v>92</v>
      </c>
      <c r="L145">
        <v>1</v>
      </c>
      <c r="M145">
        <v>40</v>
      </c>
      <c r="N145" t="s">
        <v>70</v>
      </c>
      <c r="O145">
        <v>10</v>
      </c>
      <c r="P145">
        <v>0</v>
      </c>
      <c r="Q145">
        <v>50</v>
      </c>
      <c r="R145" t="s">
        <v>62</v>
      </c>
      <c r="S145" t="s">
        <v>3104</v>
      </c>
      <c r="T145" t="s">
        <v>90</v>
      </c>
      <c r="U145" t="s">
        <v>30</v>
      </c>
    </row>
    <row r="146" spans="1:21" x14ac:dyDescent="0.35">
      <c r="A146" t="s">
        <v>3276</v>
      </c>
      <c r="B146" s="1">
        <v>46194</v>
      </c>
      <c r="C146" t="s">
        <v>3093</v>
      </c>
      <c r="D146" t="s">
        <v>3264</v>
      </c>
      <c r="E146" t="s">
        <v>68</v>
      </c>
      <c r="F146" t="s">
        <v>3277</v>
      </c>
      <c r="G146" s="1">
        <v>46203</v>
      </c>
      <c r="H146" t="s">
        <v>749</v>
      </c>
      <c r="I146" t="s">
        <v>39</v>
      </c>
      <c r="J146" t="s">
        <v>33</v>
      </c>
      <c r="K146" t="s">
        <v>92</v>
      </c>
      <c r="L146">
        <v>1</v>
      </c>
      <c r="M146">
        <v>84</v>
      </c>
      <c r="N146" t="s">
        <v>75</v>
      </c>
      <c r="O146">
        <v>15</v>
      </c>
      <c r="P146">
        <v>0</v>
      </c>
      <c r="Q146">
        <v>99</v>
      </c>
      <c r="R146" t="s">
        <v>94</v>
      </c>
      <c r="S146" t="s">
        <v>3104</v>
      </c>
      <c r="T146" t="s">
        <v>29</v>
      </c>
      <c r="U146" t="s">
        <v>58</v>
      </c>
    </row>
    <row r="147" spans="1:21" x14ac:dyDescent="0.35">
      <c r="A147" t="s">
        <v>3278</v>
      </c>
      <c r="B147" s="1">
        <v>46194</v>
      </c>
      <c r="C147" t="s">
        <v>3093</v>
      </c>
      <c r="D147" t="s">
        <v>3264</v>
      </c>
      <c r="E147" t="s">
        <v>68</v>
      </c>
      <c r="F147" t="s">
        <v>3277</v>
      </c>
      <c r="G147" s="1">
        <v>46203</v>
      </c>
      <c r="H147" t="s">
        <v>749</v>
      </c>
      <c r="I147" t="s">
        <v>23</v>
      </c>
      <c r="J147" t="s">
        <v>24</v>
      </c>
      <c r="K147" t="s">
        <v>40</v>
      </c>
      <c r="L147">
        <v>2</v>
      </c>
      <c r="M147">
        <v>75</v>
      </c>
      <c r="N147" t="s">
        <v>26</v>
      </c>
      <c r="O147">
        <v>0</v>
      </c>
      <c r="P147">
        <v>0</v>
      </c>
      <c r="Q147">
        <v>150</v>
      </c>
      <c r="R147" t="s">
        <v>27</v>
      </c>
      <c r="S147" t="s">
        <v>3104</v>
      </c>
      <c r="T147" t="s">
        <v>29</v>
      </c>
      <c r="U147" t="s">
        <v>30</v>
      </c>
    </row>
    <row r="148" spans="1:21" x14ac:dyDescent="0.35">
      <c r="A148" t="s">
        <v>3279</v>
      </c>
      <c r="B148" s="1">
        <v>46196</v>
      </c>
      <c r="C148" t="s">
        <v>3093</v>
      </c>
      <c r="D148" t="s">
        <v>3264</v>
      </c>
      <c r="E148" t="s">
        <v>102</v>
      </c>
      <c r="F148" t="s">
        <v>3277</v>
      </c>
      <c r="G148" s="1">
        <v>46203</v>
      </c>
      <c r="H148" t="s">
        <v>749</v>
      </c>
      <c r="I148" t="s">
        <v>48</v>
      </c>
      <c r="J148" t="s">
        <v>24</v>
      </c>
      <c r="K148" t="s">
        <v>25</v>
      </c>
      <c r="L148">
        <v>1</v>
      </c>
      <c r="M148">
        <v>50</v>
      </c>
      <c r="N148" t="s">
        <v>26</v>
      </c>
      <c r="O148">
        <v>0</v>
      </c>
      <c r="P148">
        <v>0</v>
      </c>
      <c r="Q148">
        <v>50</v>
      </c>
      <c r="R148" t="s">
        <v>27</v>
      </c>
      <c r="S148" t="s">
        <v>3104</v>
      </c>
      <c r="T148" t="s">
        <v>29</v>
      </c>
      <c r="U148" t="s">
        <v>30</v>
      </c>
    </row>
    <row r="149" spans="1:21" x14ac:dyDescent="0.35">
      <c r="A149" t="s">
        <v>3280</v>
      </c>
      <c r="B149" s="1">
        <v>46196</v>
      </c>
      <c r="C149" t="s">
        <v>3093</v>
      </c>
      <c r="D149" t="s">
        <v>3264</v>
      </c>
      <c r="E149" t="s">
        <v>102</v>
      </c>
      <c r="F149" t="s">
        <v>3277</v>
      </c>
      <c r="G149" s="1">
        <v>46203</v>
      </c>
      <c r="H149" t="s">
        <v>749</v>
      </c>
      <c r="I149" t="s">
        <v>23</v>
      </c>
      <c r="J149" t="s">
        <v>65</v>
      </c>
      <c r="K149" t="s">
        <v>60</v>
      </c>
      <c r="L149">
        <v>2</v>
      </c>
      <c r="M149">
        <v>12</v>
      </c>
      <c r="N149" t="s">
        <v>26</v>
      </c>
      <c r="O149">
        <v>0</v>
      </c>
      <c r="P149">
        <v>0</v>
      </c>
      <c r="Q149">
        <v>24</v>
      </c>
      <c r="R149" t="s">
        <v>76</v>
      </c>
      <c r="S149" t="s">
        <v>3104</v>
      </c>
      <c r="T149" t="s">
        <v>90</v>
      </c>
      <c r="U149" t="s">
        <v>58</v>
      </c>
    </row>
    <row r="150" spans="1:21" x14ac:dyDescent="0.35">
      <c r="A150" t="s">
        <v>3281</v>
      </c>
      <c r="B150" s="1">
        <v>46197</v>
      </c>
      <c r="C150" t="s">
        <v>3093</v>
      </c>
      <c r="D150" t="s">
        <v>3264</v>
      </c>
      <c r="E150" t="s">
        <v>109</v>
      </c>
      <c r="F150" t="s">
        <v>3277</v>
      </c>
      <c r="G150" s="1">
        <v>46203</v>
      </c>
      <c r="H150" t="s">
        <v>749</v>
      </c>
      <c r="I150" t="s">
        <v>23</v>
      </c>
      <c r="J150" t="s">
        <v>44</v>
      </c>
      <c r="K150" t="s">
        <v>60</v>
      </c>
      <c r="L150">
        <v>1</v>
      </c>
      <c r="M150">
        <v>31</v>
      </c>
      <c r="N150" t="s">
        <v>26</v>
      </c>
      <c r="O150">
        <v>0</v>
      </c>
      <c r="P150">
        <v>0</v>
      </c>
      <c r="Q150">
        <v>31</v>
      </c>
      <c r="R150" t="s">
        <v>76</v>
      </c>
      <c r="S150" t="s">
        <v>3104</v>
      </c>
      <c r="T150" t="s">
        <v>51</v>
      </c>
      <c r="U150" t="s">
        <v>79</v>
      </c>
    </row>
    <row r="151" spans="1:21" x14ac:dyDescent="0.35">
      <c r="A151" t="s">
        <v>3282</v>
      </c>
      <c r="B151" s="1">
        <v>46197</v>
      </c>
      <c r="C151" t="s">
        <v>3093</v>
      </c>
      <c r="D151" t="s">
        <v>3264</v>
      </c>
      <c r="E151" t="s">
        <v>109</v>
      </c>
      <c r="F151" t="s">
        <v>3277</v>
      </c>
      <c r="G151" s="1">
        <v>46203</v>
      </c>
      <c r="H151" t="s">
        <v>749</v>
      </c>
      <c r="I151" t="s">
        <v>53</v>
      </c>
      <c r="J151" t="s">
        <v>33</v>
      </c>
      <c r="K151" t="s">
        <v>40</v>
      </c>
      <c r="L151">
        <v>1</v>
      </c>
      <c r="M151">
        <v>57</v>
      </c>
      <c r="N151" t="s">
        <v>26</v>
      </c>
      <c r="O151">
        <v>0</v>
      </c>
      <c r="P151">
        <v>0</v>
      </c>
      <c r="Q151">
        <v>57</v>
      </c>
      <c r="R151" t="s">
        <v>42</v>
      </c>
      <c r="S151" t="s">
        <v>3104</v>
      </c>
      <c r="T151" t="s">
        <v>51</v>
      </c>
      <c r="U151" t="s">
        <v>58</v>
      </c>
    </row>
    <row r="152" spans="1:21" x14ac:dyDescent="0.35">
      <c r="A152" t="s">
        <v>3283</v>
      </c>
      <c r="B152" s="1">
        <v>46198</v>
      </c>
      <c r="C152" t="s">
        <v>3093</v>
      </c>
      <c r="D152" t="s">
        <v>3264</v>
      </c>
      <c r="E152" t="s">
        <v>21</v>
      </c>
      <c r="F152" t="s">
        <v>3277</v>
      </c>
      <c r="G152" s="1">
        <v>46203</v>
      </c>
      <c r="H152" t="s">
        <v>749</v>
      </c>
      <c r="I152" t="s">
        <v>23</v>
      </c>
      <c r="J152" t="s">
        <v>65</v>
      </c>
      <c r="K152" t="s">
        <v>92</v>
      </c>
      <c r="L152">
        <v>1</v>
      </c>
      <c r="M152">
        <v>44</v>
      </c>
      <c r="N152" t="s">
        <v>26</v>
      </c>
      <c r="O152">
        <v>0</v>
      </c>
      <c r="P152">
        <v>0</v>
      </c>
      <c r="Q152">
        <v>44</v>
      </c>
      <c r="R152" t="s">
        <v>62</v>
      </c>
      <c r="S152" t="s">
        <v>3104</v>
      </c>
      <c r="T152" t="s">
        <v>83</v>
      </c>
      <c r="U152" t="s">
        <v>58</v>
      </c>
    </row>
    <row r="153" spans="1:21" x14ac:dyDescent="0.35">
      <c r="A153" t="s">
        <v>3284</v>
      </c>
      <c r="B153" s="1">
        <v>46199</v>
      </c>
      <c r="C153" t="s">
        <v>3093</v>
      </c>
      <c r="D153" t="s">
        <v>3264</v>
      </c>
      <c r="E153" t="s">
        <v>38</v>
      </c>
      <c r="F153" t="s">
        <v>3277</v>
      </c>
      <c r="G153" s="1">
        <v>46203</v>
      </c>
      <c r="H153" t="s">
        <v>749</v>
      </c>
      <c r="I153" t="s">
        <v>48</v>
      </c>
      <c r="J153" t="s">
        <v>127</v>
      </c>
      <c r="K153" t="s">
        <v>40</v>
      </c>
      <c r="L153">
        <v>1</v>
      </c>
      <c r="M153">
        <v>23</v>
      </c>
      <c r="N153" t="s">
        <v>41</v>
      </c>
      <c r="O153">
        <v>5</v>
      </c>
      <c r="P153">
        <v>0</v>
      </c>
      <c r="Q153">
        <v>28</v>
      </c>
      <c r="R153" t="s">
        <v>62</v>
      </c>
      <c r="S153" t="s">
        <v>3104</v>
      </c>
      <c r="T153" t="s">
        <v>29</v>
      </c>
      <c r="U153" t="s">
        <v>79</v>
      </c>
    </row>
    <row r="154" spans="1:21" x14ac:dyDescent="0.35">
      <c r="A154" t="s">
        <v>3285</v>
      </c>
      <c r="B154" s="1">
        <v>46201</v>
      </c>
      <c r="C154" t="s">
        <v>3093</v>
      </c>
      <c r="D154" t="s">
        <v>3264</v>
      </c>
      <c r="E154" t="s">
        <v>68</v>
      </c>
      <c r="F154" t="s">
        <v>3286</v>
      </c>
      <c r="G154" s="1">
        <v>46203</v>
      </c>
      <c r="H154" t="s">
        <v>749</v>
      </c>
      <c r="I154" t="s">
        <v>23</v>
      </c>
      <c r="J154" t="s">
        <v>44</v>
      </c>
      <c r="K154" t="s">
        <v>92</v>
      </c>
      <c r="L154">
        <v>2</v>
      </c>
      <c r="M154">
        <v>114</v>
      </c>
      <c r="N154" t="s">
        <v>26</v>
      </c>
      <c r="O154">
        <v>0</v>
      </c>
      <c r="P154">
        <v>0</v>
      </c>
      <c r="Q154">
        <v>228</v>
      </c>
      <c r="R154" t="s">
        <v>62</v>
      </c>
      <c r="S154" t="s">
        <v>3104</v>
      </c>
      <c r="T154" t="s">
        <v>51</v>
      </c>
      <c r="U154" t="s">
        <v>79</v>
      </c>
    </row>
    <row r="155" spans="1:21" x14ac:dyDescent="0.35">
      <c r="A155" t="s">
        <v>3287</v>
      </c>
      <c r="B155" s="1">
        <v>46201</v>
      </c>
      <c r="C155" t="s">
        <v>3093</v>
      </c>
      <c r="D155" t="s">
        <v>3264</v>
      </c>
      <c r="E155" t="s">
        <v>68</v>
      </c>
      <c r="F155" t="s">
        <v>3286</v>
      </c>
      <c r="G155" s="1">
        <v>46203</v>
      </c>
      <c r="H155" t="s">
        <v>749</v>
      </c>
      <c r="I155" t="s">
        <v>32</v>
      </c>
      <c r="J155" t="s">
        <v>86</v>
      </c>
      <c r="K155" t="s">
        <v>25</v>
      </c>
      <c r="L155">
        <v>1</v>
      </c>
      <c r="M155">
        <v>45</v>
      </c>
      <c r="N155" t="s">
        <v>26</v>
      </c>
      <c r="O155">
        <v>0</v>
      </c>
      <c r="P155">
        <v>0</v>
      </c>
      <c r="Q155">
        <v>45</v>
      </c>
      <c r="R155" t="s">
        <v>62</v>
      </c>
      <c r="S155" t="s">
        <v>3104</v>
      </c>
      <c r="T155" t="s">
        <v>51</v>
      </c>
      <c r="U155" t="s">
        <v>30</v>
      </c>
    </row>
    <row r="156" spans="1:21" x14ac:dyDescent="0.35">
      <c r="A156" t="s">
        <v>3288</v>
      </c>
      <c r="B156" s="1">
        <v>46202</v>
      </c>
      <c r="C156" t="s">
        <v>3093</v>
      </c>
      <c r="D156" t="s">
        <v>3264</v>
      </c>
      <c r="E156" t="s">
        <v>74</v>
      </c>
      <c r="F156" t="s">
        <v>3286</v>
      </c>
      <c r="G156" s="1">
        <v>46203</v>
      </c>
      <c r="H156" t="s">
        <v>749</v>
      </c>
      <c r="I156" t="s">
        <v>32</v>
      </c>
      <c r="J156" t="s">
        <v>111</v>
      </c>
      <c r="K156" t="s">
        <v>60</v>
      </c>
      <c r="L156">
        <v>1</v>
      </c>
      <c r="M156">
        <v>11</v>
      </c>
      <c r="N156" t="s">
        <v>26</v>
      </c>
      <c r="O156">
        <v>0</v>
      </c>
      <c r="P156">
        <v>0</v>
      </c>
      <c r="Q156">
        <v>11</v>
      </c>
      <c r="R156" t="s">
        <v>76</v>
      </c>
      <c r="S156" t="s">
        <v>3104</v>
      </c>
      <c r="T156" t="s">
        <v>51</v>
      </c>
      <c r="U156" t="s">
        <v>30</v>
      </c>
    </row>
    <row r="157" spans="1:21" x14ac:dyDescent="0.35">
      <c r="A157" t="s">
        <v>3289</v>
      </c>
      <c r="B157" s="1">
        <v>46202</v>
      </c>
      <c r="C157" t="s">
        <v>3093</v>
      </c>
      <c r="D157" t="s">
        <v>3264</v>
      </c>
      <c r="E157" t="s">
        <v>74</v>
      </c>
      <c r="F157" t="s">
        <v>3286</v>
      </c>
      <c r="G157" s="1">
        <v>46203</v>
      </c>
      <c r="H157" t="s">
        <v>749</v>
      </c>
      <c r="I157" t="s">
        <v>48</v>
      </c>
      <c r="J157" t="s">
        <v>44</v>
      </c>
      <c r="K157" t="s">
        <v>40</v>
      </c>
      <c r="L157">
        <v>1</v>
      </c>
      <c r="M157">
        <v>78</v>
      </c>
      <c r="N157" t="s">
        <v>26</v>
      </c>
      <c r="O157">
        <v>0</v>
      </c>
      <c r="P157">
        <v>0</v>
      </c>
      <c r="Q157">
        <v>78</v>
      </c>
      <c r="R157" t="s">
        <v>42</v>
      </c>
      <c r="S157" t="s">
        <v>3104</v>
      </c>
      <c r="T157" t="s">
        <v>83</v>
      </c>
      <c r="U157" t="s">
        <v>58</v>
      </c>
    </row>
    <row r="158" spans="1:21" x14ac:dyDescent="0.35">
      <c r="A158" t="s">
        <v>3290</v>
      </c>
      <c r="B158" s="1">
        <v>46204</v>
      </c>
      <c r="C158" t="s">
        <v>3088</v>
      </c>
      <c r="D158" t="s">
        <v>3100</v>
      </c>
      <c r="E158" t="s">
        <v>109</v>
      </c>
      <c r="F158" t="s">
        <v>3286</v>
      </c>
      <c r="G158" s="1">
        <v>46234</v>
      </c>
      <c r="H158" t="s">
        <v>749</v>
      </c>
      <c r="I158" t="s">
        <v>39</v>
      </c>
      <c r="J158" t="s">
        <v>44</v>
      </c>
      <c r="K158" t="s">
        <v>92</v>
      </c>
      <c r="L158">
        <v>1</v>
      </c>
      <c r="M158">
        <v>114</v>
      </c>
      <c r="N158" t="s">
        <v>26</v>
      </c>
      <c r="O158">
        <v>0</v>
      </c>
      <c r="P158">
        <v>0</v>
      </c>
      <c r="Q158">
        <v>114</v>
      </c>
      <c r="R158" t="s">
        <v>62</v>
      </c>
      <c r="S158" t="s">
        <v>3104</v>
      </c>
      <c r="T158" t="s">
        <v>90</v>
      </c>
      <c r="U158" t="s">
        <v>30</v>
      </c>
    </row>
    <row r="159" spans="1:21" x14ac:dyDescent="0.35">
      <c r="A159" t="s">
        <v>3291</v>
      </c>
      <c r="B159" s="1">
        <v>46205</v>
      </c>
      <c r="C159" t="s">
        <v>3088</v>
      </c>
      <c r="D159" t="s">
        <v>3100</v>
      </c>
      <c r="E159" t="s">
        <v>21</v>
      </c>
      <c r="F159" t="s">
        <v>3286</v>
      </c>
      <c r="G159" s="1">
        <v>46234</v>
      </c>
      <c r="H159" t="s">
        <v>749</v>
      </c>
      <c r="I159" t="s">
        <v>23</v>
      </c>
      <c r="J159" t="s">
        <v>127</v>
      </c>
      <c r="K159" t="s">
        <v>40</v>
      </c>
      <c r="L159">
        <v>2</v>
      </c>
      <c r="M159">
        <v>23</v>
      </c>
      <c r="N159" t="s">
        <v>75</v>
      </c>
      <c r="O159">
        <v>15</v>
      </c>
      <c r="P159">
        <v>0</v>
      </c>
      <c r="Q159">
        <v>61</v>
      </c>
      <c r="R159" t="s">
        <v>27</v>
      </c>
      <c r="S159" t="s">
        <v>3104</v>
      </c>
      <c r="T159" t="s">
        <v>90</v>
      </c>
      <c r="U159" t="s">
        <v>79</v>
      </c>
    </row>
    <row r="160" spans="1:21" x14ac:dyDescent="0.35">
      <c r="A160" t="s">
        <v>3292</v>
      </c>
      <c r="B160" s="1">
        <v>46206</v>
      </c>
      <c r="C160" t="s">
        <v>3088</v>
      </c>
      <c r="D160" t="s">
        <v>3100</v>
      </c>
      <c r="E160" t="s">
        <v>38</v>
      </c>
      <c r="F160" t="s">
        <v>3286</v>
      </c>
      <c r="G160" s="1">
        <v>46234</v>
      </c>
      <c r="H160" t="s">
        <v>749</v>
      </c>
      <c r="I160" t="s">
        <v>32</v>
      </c>
      <c r="J160" t="s">
        <v>33</v>
      </c>
      <c r="K160" t="s">
        <v>25</v>
      </c>
      <c r="L160">
        <v>1</v>
      </c>
      <c r="M160">
        <v>38</v>
      </c>
      <c r="N160" t="s">
        <v>26</v>
      </c>
      <c r="O160">
        <v>0</v>
      </c>
      <c r="P160">
        <v>0</v>
      </c>
      <c r="Q160">
        <v>38</v>
      </c>
      <c r="R160" t="s">
        <v>76</v>
      </c>
      <c r="S160" t="s">
        <v>3104</v>
      </c>
      <c r="T160" t="s">
        <v>51</v>
      </c>
      <c r="U160" t="s">
        <v>30</v>
      </c>
    </row>
    <row r="161" spans="1:21" x14ac:dyDescent="0.35">
      <c r="A161" t="s">
        <v>3293</v>
      </c>
      <c r="B161" s="1">
        <v>46207</v>
      </c>
      <c r="C161" t="s">
        <v>3088</v>
      </c>
      <c r="D161" t="s">
        <v>3100</v>
      </c>
      <c r="E161" t="s">
        <v>56</v>
      </c>
      <c r="F161" t="s">
        <v>3286</v>
      </c>
      <c r="G161" s="1">
        <v>46234</v>
      </c>
      <c r="H161" t="s">
        <v>749</v>
      </c>
      <c r="I161" t="s">
        <v>39</v>
      </c>
      <c r="J161" t="s">
        <v>49</v>
      </c>
      <c r="K161" t="s">
        <v>25</v>
      </c>
      <c r="L161">
        <v>1</v>
      </c>
      <c r="M161">
        <v>36</v>
      </c>
      <c r="N161" t="s">
        <v>26</v>
      </c>
      <c r="O161">
        <v>0</v>
      </c>
      <c r="P161">
        <v>10</v>
      </c>
      <c r="Q161">
        <v>26</v>
      </c>
      <c r="R161" t="s">
        <v>27</v>
      </c>
      <c r="S161" t="s">
        <v>3104</v>
      </c>
      <c r="T161" t="s">
        <v>90</v>
      </c>
      <c r="U161" t="s">
        <v>30</v>
      </c>
    </row>
    <row r="162" spans="1:21" x14ac:dyDescent="0.35">
      <c r="A162" t="s">
        <v>3294</v>
      </c>
      <c r="B162" s="1">
        <v>46207</v>
      </c>
      <c r="C162" t="s">
        <v>3088</v>
      </c>
      <c r="D162" t="s">
        <v>3100</v>
      </c>
      <c r="E162" t="s">
        <v>56</v>
      </c>
      <c r="F162" t="s">
        <v>3286</v>
      </c>
      <c r="G162" s="1">
        <v>46234</v>
      </c>
      <c r="H162" t="s">
        <v>749</v>
      </c>
      <c r="I162" t="s">
        <v>23</v>
      </c>
      <c r="J162" t="s">
        <v>65</v>
      </c>
      <c r="K162" t="s">
        <v>40</v>
      </c>
      <c r="L162">
        <v>1</v>
      </c>
      <c r="M162">
        <v>30</v>
      </c>
      <c r="N162" t="s">
        <v>26</v>
      </c>
      <c r="O162">
        <v>0</v>
      </c>
      <c r="P162">
        <v>0</v>
      </c>
      <c r="Q162">
        <v>30</v>
      </c>
      <c r="R162" t="s">
        <v>76</v>
      </c>
      <c r="S162" t="s">
        <v>3104</v>
      </c>
      <c r="T162" t="s">
        <v>63</v>
      </c>
      <c r="U162" t="s">
        <v>58</v>
      </c>
    </row>
    <row r="163" spans="1:21" x14ac:dyDescent="0.35">
      <c r="A163" t="s">
        <v>3295</v>
      </c>
      <c r="B163" s="1">
        <v>46209</v>
      </c>
      <c r="C163" t="s">
        <v>3088</v>
      </c>
      <c r="D163" t="s">
        <v>3100</v>
      </c>
      <c r="E163" t="s">
        <v>74</v>
      </c>
      <c r="F163" t="s">
        <v>3296</v>
      </c>
      <c r="G163" s="1">
        <v>46234</v>
      </c>
      <c r="H163" t="s">
        <v>749</v>
      </c>
      <c r="I163" t="s">
        <v>32</v>
      </c>
      <c r="J163" t="s">
        <v>33</v>
      </c>
      <c r="K163" t="s">
        <v>92</v>
      </c>
      <c r="L163">
        <v>1</v>
      </c>
      <c r="M163">
        <v>84</v>
      </c>
      <c r="N163" t="s">
        <v>41</v>
      </c>
      <c r="O163">
        <v>5</v>
      </c>
      <c r="P163">
        <v>0</v>
      </c>
      <c r="Q163">
        <v>89</v>
      </c>
      <c r="R163" t="s">
        <v>62</v>
      </c>
      <c r="S163" t="s">
        <v>3104</v>
      </c>
      <c r="T163" t="s">
        <v>83</v>
      </c>
      <c r="U163" t="s">
        <v>30</v>
      </c>
    </row>
    <row r="164" spans="1:21" x14ac:dyDescent="0.35">
      <c r="A164" t="s">
        <v>3297</v>
      </c>
      <c r="B164" s="1">
        <v>46212</v>
      </c>
      <c r="C164" t="s">
        <v>3088</v>
      </c>
      <c r="D164" t="s">
        <v>3100</v>
      </c>
      <c r="E164" t="s">
        <v>21</v>
      </c>
      <c r="F164" t="s">
        <v>3296</v>
      </c>
      <c r="G164" s="1">
        <v>46234</v>
      </c>
      <c r="H164" t="s">
        <v>749</v>
      </c>
      <c r="I164" t="s">
        <v>39</v>
      </c>
      <c r="J164" t="s">
        <v>44</v>
      </c>
      <c r="K164" t="s">
        <v>60</v>
      </c>
      <c r="L164">
        <v>3</v>
      </c>
      <c r="M164">
        <v>31</v>
      </c>
      <c r="N164" t="s">
        <v>87</v>
      </c>
      <c r="O164">
        <v>18</v>
      </c>
      <c r="P164">
        <v>10</v>
      </c>
      <c r="Q164">
        <v>101</v>
      </c>
      <c r="R164" t="s">
        <v>76</v>
      </c>
      <c r="S164" t="s">
        <v>3104</v>
      </c>
      <c r="T164" t="s">
        <v>83</v>
      </c>
      <c r="U164" t="s">
        <v>36</v>
      </c>
    </row>
    <row r="165" spans="1:21" x14ac:dyDescent="0.35">
      <c r="A165" t="s">
        <v>3298</v>
      </c>
      <c r="B165" s="1">
        <v>46212</v>
      </c>
      <c r="C165" t="s">
        <v>3088</v>
      </c>
      <c r="D165" t="s">
        <v>3100</v>
      </c>
      <c r="E165" t="s">
        <v>21</v>
      </c>
      <c r="F165" t="s">
        <v>3296</v>
      </c>
      <c r="G165" s="1">
        <v>46234</v>
      </c>
      <c r="H165" t="s">
        <v>749</v>
      </c>
      <c r="I165" t="s">
        <v>23</v>
      </c>
      <c r="J165" t="s">
        <v>138</v>
      </c>
      <c r="K165" t="s">
        <v>25</v>
      </c>
      <c r="L165">
        <v>1</v>
      </c>
      <c r="M165">
        <v>48</v>
      </c>
      <c r="N165" t="s">
        <v>75</v>
      </c>
      <c r="O165">
        <v>15</v>
      </c>
      <c r="P165">
        <v>0</v>
      </c>
      <c r="Q165">
        <v>63</v>
      </c>
      <c r="R165" t="s">
        <v>27</v>
      </c>
      <c r="S165" t="s">
        <v>3104</v>
      </c>
      <c r="T165" t="s">
        <v>83</v>
      </c>
      <c r="U165" t="s">
        <v>30</v>
      </c>
    </row>
    <row r="166" spans="1:21" x14ac:dyDescent="0.35">
      <c r="A166" t="s">
        <v>3299</v>
      </c>
      <c r="B166" s="1">
        <v>46215</v>
      </c>
      <c r="C166" t="s">
        <v>3088</v>
      </c>
      <c r="D166" t="s">
        <v>3100</v>
      </c>
      <c r="E166" t="s">
        <v>68</v>
      </c>
      <c r="F166" t="s">
        <v>3300</v>
      </c>
      <c r="G166" s="1">
        <v>46234</v>
      </c>
      <c r="H166" t="s">
        <v>749</v>
      </c>
      <c r="I166" t="s">
        <v>53</v>
      </c>
      <c r="J166" t="s">
        <v>33</v>
      </c>
      <c r="K166" t="s">
        <v>92</v>
      </c>
      <c r="L166">
        <v>1</v>
      </c>
      <c r="M166">
        <v>84</v>
      </c>
      <c r="N166" t="s">
        <v>26</v>
      </c>
      <c r="O166">
        <v>0</v>
      </c>
      <c r="P166">
        <v>0</v>
      </c>
      <c r="Q166">
        <v>84</v>
      </c>
      <c r="R166" t="s">
        <v>76</v>
      </c>
      <c r="S166" t="s">
        <v>3104</v>
      </c>
      <c r="T166" t="s">
        <v>63</v>
      </c>
      <c r="U166" t="s">
        <v>79</v>
      </c>
    </row>
    <row r="167" spans="1:21" x14ac:dyDescent="0.35">
      <c r="A167" t="s">
        <v>3301</v>
      </c>
      <c r="B167" s="1">
        <v>46216</v>
      </c>
      <c r="C167" t="s">
        <v>3088</v>
      </c>
      <c r="D167" t="s">
        <v>3100</v>
      </c>
      <c r="E167" t="s">
        <v>74</v>
      </c>
      <c r="F167" t="s">
        <v>3300</v>
      </c>
      <c r="G167" s="1">
        <v>46234</v>
      </c>
      <c r="H167" t="s">
        <v>749</v>
      </c>
      <c r="I167" t="s">
        <v>48</v>
      </c>
      <c r="J167" t="s">
        <v>33</v>
      </c>
      <c r="K167" t="s">
        <v>60</v>
      </c>
      <c r="L167">
        <v>1</v>
      </c>
      <c r="M167">
        <v>23</v>
      </c>
      <c r="N167" t="s">
        <v>26</v>
      </c>
      <c r="O167">
        <v>0</v>
      </c>
      <c r="P167">
        <v>0</v>
      </c>
      <c r="Q167">
        <v>23</v>
      </c>
      <c r="R167" t="s">
        <v>27</v>
      </c>
      <c r="S167" t="s">
        <v>3104</v>
      </c>
      <c r="T167" t="s">
        <v>29</v>
      </c>
      <c r="U167" t="s">
        <v>58</v>
      </c>
    </row>
    <row r="168" spans="1:21" x14ac:dyDescent="0.35">
      <c r="A168" t="s">
        <v>3302</v>
      </c>
      <c r="B168" s="1">
        <v>46217</v>
      </c>
      <c r="C168" t="s">
        <v>3088</v>
      </c>
      <c r="D168" t="s">
        <v>3100</v>
      </c>
      <c r="E168" t="s">
        <v>102</v>
      </c>
      <c r="F168" t="s">
        <v>3300</v>
      </c>
      <c r="G168" s="1">
        <v>46234</v>
      </c>
      <c r="H168" t="s">
        <v>749</v>
      </c>
      <c r="I168" t="s">
        <v>53</v>
      </c>
      <c r="J168" t="s">
        <v>33</v>
      </c>
      <c r="K168" t="s">
        <v>40</v>
      </c>
      <c r="L168">
        <v>1</v>
      </c>
      <c r="M168">
        <v>57</v>
      </c>
      <c r="N168" t="s">
        <v>89</v>
      </c>
      <c r="O168">
        <v>7</v>
      </c>
      <c r="P168">
        <v>0</v>
      </c>
      <c r="Q168">
        <v>64</v>
      </c>
      <c r="R168" t="s">
        <v>94</v>
      </c>
      <c r="S168" t="s">
        <v>3104</v>
      </c>
      <c r="T168" t="s">
        <v>29</v>
      </c>
      <c r="U168" t="s">
        <v>30</v>
      </c>
    </row>
    <row r="169" spans="1:21" x14ac:dyDescent="0.35">
      <c r="A169" t="s">
        <v>3303</v>
      </c>
      <c r="B169" s="1">
        <v>46219</v>
      </c>
      <c r="C169" t="s">
        <v>3088</v>
      </c>
      <c r="D169" t="s">
        <v>3100</v>
      </c>
      <c r="E169" t="s">
        <v>21</v>
      </c>
      <c r="F169" t="s">
        <v>3300</v>
      </c>
      <c r="G169" s="1">
        <v>46234</v>
      </c>
      <c r="H169" t="s">
        <v>749</v>
      </c>
      <c r="I169" t="s">
        <v>48</v>
      </c>
      <c r="J169" t="s">
        <v>33</v>
      </c>
      <c r="K169" t="s">
        <v>92</v>
      </c>
      <c r="L169">
        <v>1</v>
      </c>
      <c r="M169">
        <v>84</v>
      </c>
      <c r="N169" t="s">
        <v>26</v>
      </c>
      <c r="O169">
        <v>0</v>
      </c>
      <c r="P169">
        <v>5</v>
      </c>
      <c r="Q169">
        <v>79</v>
      </c>
      <c r="R169" t="s">
        <v>42</v>
      </c>
      <c r="S169" t="s">
        <v>3104</v>
      </c>
      <c r="T169" t="s">
        <v>51</v>
      </c>
      <c r="U169" t="s">
        <v>30</v>
      </c>
    </row>
    <row r="170" spans="1:21" x14ac:dyDescent="0.35">
      <c r="A170" t="s">
        <v>3304</v>
      </c>
      <c r="B170" s="1">
        <v>46221</v>
      </c>
      <c r="C170" t="s">
        <v>3088</v>
      </c>
      <c r="D170" t="s">
        <v>3100</v>
      </c>
      <c r="E170" t="s">
        <v>56</v>
      </c>
      <c r="F170" t="s">
        <v>3300</v>
      </c>
      <c r="G170" s="1">
        <v>46234</v>
      </c>
      <c r="H170" t="s">
        <v>749</v>
      </c>
      <c r="I170" t="s">
        <v>48</v>
      </c>
      <c r="J170" t="s">
        <v>138</v>
      </c>
      <c r="K170" t="s">
        <v>92</v>
      </c>
      <c r="L170">
        <v>1</v>
      </c>
      <c r="M170">
        <v>106</v>
      </c>
      <c r="N170" t="s">
        <v>75</v>
      </c>
      <c r="O170">
        <v>15</v>
      </c>
      <c r="P170">
        <v>10</v>
      </c>
      <c r="Q170">
        <v>111</v>
      </c>
      <c r="R170" t="s">
        <v>62</v>
      </c>
      <c r="S170" t="s">
        <v>3104</v>
      </c>
      <c r="T170" t="s">
        <v>29</v>
      </c>
      <c r="U170" t="s">
        <v>30</v>
      </c>
    </row>
    <row r="171" spans="1:21" x14ac:dyDescent="0.35">
      <c r="A171" t="s">
        <v>3305</v>
      </c>
      <c r="B171" s="1">
        <v>46224</v>
      </c>
      <c r="C171" t="s">
        <v>3088</v>
      </c>
      <c r="D171" t="s">
        <v>3100</v>
      </c>
      <c r="E171" t="s">
        <v>102</v>
      </c>
      <c r="F171" t="s">
        <v>3306</v>
      </c>
      <c r="G171" s="1">
        <v>46234</v>
      </c>
      <c r="H171" t="s">
        <v>749</v>
      </c>
      <c r="I171" t="s">
        <v>53</v>
      </c>
      <c r="J171" t="s">
        <v>78</v>
      </c>
      <c r="K171" t="s">
        <v>25</v>
      </c>
      <c r="L171">
        <v>1</v>
      </c>
      <c r="M171">
        <v>40</v>
      </c>
      <c r="N171" t="s">
        <v>89</v>
      </c>
      <c r="O171">
        <v>7</v>
      </c>
      <c r="P171">
        <v>0</v>
      </c>
      <c r="Q171">
        <v>47</v>
      </c>
      <c r="R171" t="s">
        <v>76</v>
      </c>
      <c r="S171" t="s">
        <v>3104</v>
      </c>
      <c r="T171" t="s">
        <v>63</v>
      </c>
      <c r="U171" t="s">
        <v>79</v>
      </c>
    </row>
    <row r="172" spans="1:21" x14ac:dyDescent="0.35">
      <c r="A172" t="s">
        <v>3307</v>
      </c>
      <c r="B172" s="1">
        <v>46225</v>
      </c>
      <c r="C172" t="s">
        <v>3088</v>
      </c>
      <c r="D172" t="s">
        <v>3100</v>
      </c>
      <c r="E172" t="s">
        <v>109</v>
      </c>
      <c r="F172" t="s">
        <v>3306</v>
      </c>
      <c r="G172" s="1">
        <v>46234</v>
      </c>
      <c r="H172" t="s">
        <v>749</v>
      </c>
      <c r="I172" t="s">
        <v>32</v>
      </c>
      <c r="J172" t="s">
        <v>65</v>
      </c>
      <c r="K172" t="s">
        <v>92</v>
      </c>
      <c r="L172">
        <v>1</v>
      </c>
      <c r="M172">
        <v>44</v>
      </c>
      <c r="N172" t="s">
        <v>26</v>
      </c>
      <c r="O172">
        <v>0</v>
      </c>
      <c r="P172">
        <v>0</v>
      </c>
      <c r="Q172">
        <v>44</v>
      </c>
      <c r="R172" t="s">
        <v>27</v>
      </c>
      <c r="S172" t="s">
        <v>3104</v>
      </c>
      <c r="T172" t="s">
        <v>51</v>
      </c>
      <c r="U172" t="s">
        <v>58</v>
      </c>
    </row>
    <row r="173" spans="1:21" x14ac:dyDescent="0.35">
      <c r="A173" t="s">
        <v>3308</v>
      </c>
      <c r="B173" s="1">
        <v>46225</v>
      </c>
      <c r="C173" t="s">
        <v>3088</v>
      </c>
      <c r="D173" t="s">
        <v>3100</v>
      </c>
      <c r="E173" t="s">
        <v>109</v>
      </c>
      <c r="F173" t="s">
        <v>3306</v>
      </c>
      <c r="G173" s="1">
        <v>46234</v>
      </c>
      <c r="H173" t="s">
        <v>749</v>
      </c>
      <c r="I173" t="s">
        <v>48</v>
      </c>
      <c r="J173" t="s">
        <v>78</v>
      </c>
      <c r="K173" t="s">
        <v>40</v>
      </c>
      <c r="L173">
        <v>1</v>
      </c>
      <c r="M173">
        <v>60</v>
      </c>
      <c r="N173" t="s">
        <v>75</v>
      </c>
      <c r="O173">
        <v>15</v>
      </c>
      <c r="P173">
        <v>0</v>
      </c>
      <c r="Q173">
        <v>75</v>
      </c>
      <c r="R173" t="s">
        <v>42</v>
      </c>
      <c r="S173" t="s">
        <v>3104</v>
      </c>
      <c r="T173" t="s">
        <v>29</v>
      </c>
      <c r="U173" t="s">
        <v>58</v>
      </c>
    </row>
    <row r="174" spans="1:21" x14ac:dyDescent="0.35">
      <c r="A174" t="s">
        <v>3309</v>
      </c>
      <c r="B174" s="1">
        <v>46229</v>
      </c>
      <c r="C174" t="s">
        <v>3088</v>
      </c>
      <c r="D174" t="s">
        <v>3100</v>
      </c>
      <c r="E174" t="s">
        <v>68</v>
      </c>
      <c r="F174" t="s">
        <v>3310</v>
      </c>
      <c r="G174" s="1">
        <v>46234</v>
      </c>
      <c r="H174" t="s">
        <v>749</v>
      </c>
      <c r="I174" t="s">
        <v>23</v>
      </c>
      <c r="J174" t="s">
        <v>65</v>
      </c>
      <c r="K174" t="s">
        <v>25</v>
      </c>
      <c r="L174">
        <v>1</v>
      </c>
      <c r="M174">
        <v>20</v>
      </c>
      <c r="N174" t="s">
        <v>26</v>
      </c>
      <c r="O174">
        <v>0</v>
      </c>
      <c r="P174">
        <v>0</v>
      </c>
      <c r="Q174">
        <v>20</v>
      </c>
      <c r="R174" t="s">
        <v>76</v>
      </c>
      <c r="S174" t="s">
        <v>3104</v>
      </c>
      <c r="T174" t="s">
        <v>51</v>
      </c>
      <c r="U174" t="s">
        <v>58</v>
      </c>
    </row>
    <row r="175" spans="1:21" x14ac:dyDescent="0.35">
      <c r="A175" t="s">
        <v>3311</v>
      </c>
      <c r="B175" s="1">
        <v>46229</v>
      </c>
      <c r="C175" t="s">
        <v>3088</v>
      </c>
      <c r="D175" t="s">
        <v>3100</v>
      </c>
      <c r="E175" t="s">
        <v>68</v>
      </c>
      <c r="F175" t="s">
        <v>3310</v>
      </c>
      <c r="G175" s="1">
        <v>46234</v>
      </c>
      <c r="H175" t="s">
        <v>749</v>
      </c>
      <c r="I175" t="s">
        <v>39</v>
      </c>
      <c r="J175" t="s">
        <v>111</v>
      </c>
      <c r="K175" t="s">
        <v>25</v>
      </c>
      <c r="L175">
        <v>1</v>
      </c>
      <c r="M175">
        <v>18</v>
      </c>
      <c r="N175" t="s">
        <v>41</v>
      </c>
      <c r="O175">
        <v>5</v>
      </c>
      <c r="P175">
        <v>0</v>
      </c>
      <c r="Q175">
        <v>23</v>
      </c>
      <c r="R175" t="s">
        <v>76</v>
      </c>
      <c r="S175" t="s">
        <v>3104</v>
      </c>
      <c r="T175" t="s">
        <v>63</v>
      </c>
      <c r="U175" t="s">
        <v>30</v>
      </c>
    </row>
    <row r="176" spans="1:21" x14ac:dyDescent="0.35">
      <c r="A176" t="s">
        <v>3312</v>
      </c>
      <c r="B176" s="1">
        <v>46230</v>
      </c>
      <c r="C176" t="s">
        <v>3088</v>
      </c>
      <c r="D176" t="s">
        <v>3100</v>
      </c>
      <c r="E176" t="s">
        <v>74</v>
      </c>
      <c r="F176" t="s">
        <v>3310</v>
      </c>
      <c r="G176" s="1">
        <v>46234</v>
      </c>
      <c r="H176" t="s">
        <v>749</v>
      </c>
      <c r="I176" t="s">
        <v>53</v>
      </c>
      <c r="J176" t="s">
        <v>65</v>
      </c>
      <c r="K176" t="s">
        <v>40</v>
      </c>
      <c r="L176">
        <v>2</v>
      </c>
      <c r="M176">
        <v>30</v>
      </c>
      <c r="N176" t="s">
        <v>70</v>
      </c>
      <c r="O176">
        <v>10</v>
      </c>
      <c r="P176">
        <v>5</v>
      </c>
      <c r="Q176">
        <v>65</v>
      </c>
      <c r="R176" t="s">
        <v>94</v>
      </c>
      <c r="S176" t="s">
        <v>3104</v>
      </c>
      <c r="T176" t="s">
        <v>63</v>
      </c>
      <c r="U176" t="s">
        <v>36</v>
      </c>
    </row>
    <row r="177" spans="1:21" x14ac:dyDescent="0.35">
      <c r="A177" t="s">
        <v>3313</v>
      </c>
      <c r="B177" s="1">
        <v>46232</v>
      </c>
      <c r="C177" t="s">
        <v>3088</v>
      </c>
      <c r="D177" t="s">
        <v>3100</v>
      </c>
      <c r="E177" t="s">
        <v>109</v>
      </c>
      <c r="F177" t="s">
        <v>3310</v>
      </c>
      <c r="G177" s="1">
        <v>46234</v>
      </c>
      <c r="H177" t="s">
        <v>749</v>
      </c>
      <c r="I177" t="s">
        <v>48</v>
      </c>
      <c r="J177" t="s">
        <v>24</v>
      </c>
      <c r="K177" t="s">
        <v>92</v>
      </c>
      <c r="L177">
        <v>2</v>
      </c>
      <c r="M177">
        <v>110</v>
      </c>
      <c r="N177" t="s">
        <v>26</v>
      </c>
      <c r="O177">
        <v>0</v>
      </c>
      <c r="P177">
        <v>0</v>
      </c>
      <c r="Q177">
        <v>220</v>
      </c>
      <c r="R177" t="s">
        <v>76</v>
      </c>
      <c r="S177" t="s">
        <v>3104</v>
      </c>
      <c r="T177" t="s">
        <v>83</v>
      </c>
      <c r="U177" t="s">
        <v>30</v>
      </c>
    </row>
    <row r="178" spans="1:21" x14ac:dyDescent="0.35">
      <c r="A178" t="s">
        <v>3314</v>
      </c>
      <c r="B178" s="1">
        <v>46234</v>
      </c>
      <c r="C178" t="s">
        <v>3088</v>
      </c>
      <c r="D178" t="s">
        <v>3100</v>
      </c>
      <c r="E178" t="s">
        <v>38</v>
      </c>
      <c r="F178" t="s">
        <v>3310</v>
      </c>
      <c r="G178" s="1">
        <v>46234</v>
      </c>
      <c r="H178" t="s">
        <v>749</v>
      </c>
      <c r="I178" t="s">
        <v>39</v>
      </c>
      <c r="J178" t="s">
        <v>65</v>
      </c>
      <c r="K178" t="s">
        <v>25</v>
      </c>
      <c r="L178">
        <v>1</v>
      </c>
      <c r="M178">
        <v>20</v>
      </c>
      <c r="N178" t="s">
        <v>26</v>
      </c>
      <c r="O178">
        <v>0</v>
      </c>
      <c r="P178">
        <v>0</v>
      </c>
      <c r="Q178">
        <v>20</v>
      </c>
      <c r="R178" t="s">
        <v>42</v>
      </c>
      <c r="S178" t="s">
        <v>3104</v>
      </c>
      <c r="T178" t="s">
        <v>90</v>
      </c>
      <c r="U178" t="s">
        <v>30</v>
      </c>
    </row>
    <row r="179" spans="1:21" x14ac:dyDescent="0.35">
      <c r="A179" t="s">
        <v>3315</v>
      </c>
      <c r="B179" s="1">
        <v>46235</v>
      </c>
      <c r="C179" t="s">
        <v>3094</v>
      </c>
      <c r="D179" t="s">
        <v>3316</v>
      </c>
      <c r="E179" t="s">
        <v>56</v>
      </c>
      <c r="F179" t="s">
        <v>3310</v>
      </c>
      <c r="G179" s="1">
        <v>46265</v>
      </c>
      <c r="H179" t="s">
        <v>749</v>
      </c>
      <c r="I179" t="s">
        <v>48</v>
      </c>
      <c r="J179" t="s">
        <v>138</v>
      </c>
      <c r="K179" t="s">
        <v>60</v>
      </c>
      <c r="L179">
        <v>3</v>
      </c>
      <c r="M179">
        <v>29</v>
      </c>
      <c r="N179" t="s">
        <v>26</v>
      </c>
      <c r="O179">
        <v>0</v>
      </c>
      <c r="P179">
        <v>5</v>
      </c>
      <c r="Q179">
        <v>82</v>
      </c>
      <c r="R179" t="s">
        <v>76</v>
      </c>
      <c r="S179" t="s">
        <v>3104</v>
      </c>
      <c r="T179" t="s">
        <v>83</v>
      </c>
      <c r="U179" t="s">
        <v>30</v>
      </c>
    </row>
    <row r="180" spans="1:21" x14ac:dyDescent="0.35">
      <c r="A180" t="s">
        <v>3317</v>
      </c>
      <c r="B180" s="1">
        <v>46238</v>
      </c>
      <c r="C180" t="s">
        <v>3094</v>
      </c>
      <c r="D180" t="s">
        <v>3316</v>
      </c>
      <c r="E180" t="s">
        <v>102</v>
      </c>
      <c r="F180" t="s">
        <v>3318</v>
      </c>
      <c r="G180" s="1">
        <v>46265</v>
      </c>
      <c r="H180" t="s">
        <v>749</v>
      </c>
      <c r="I180" t="s">
        <v>48</v>
      </c>
      <c r="J180" t="s">
        <v>138</v>
      </c>
      <c r="K180" t="s">
        <v>25</v>
      </c>
      <c r="L180">
        <v>1</v>
      </c>
      <c r="M180">
        <v>48</v>
      </c>
      <c r="N180" t="s">
        <v>75</v>
      </c>
      <c r="O180">
        <v>15</v>
      </c>
      <c r="P180">
        <v>0</v>
      </c>
      <c r="Q180">
        <v>63</v>
      </c>
      <c r="R180" t="s">
        <v>62</v>
      </c>
      <c r="S180" t="s">
        <v>3104</v>
      </c>
      <c r="T180" t="s">
        <v>63</v>
      </c>
      <c r="U180" t="s">
        <v>30</v>
      </c>
    </row>
    <row r="181" spans="1:21" x14ac:dyDescent="0.35">
      <c r="A181" t="s">
        <v>3319</v>
      </c>
      <c r="B181" s="1">
        <v>46238</v>
      </c>
      <c r="C181" t="s">
        <v>3094</v>
      </c>
      <c r="D181" t="s">
        <v>3316</v>
      </c>
      <c r="E181" t="s">
        <v>102</v>
      </c>
      <c r="F181" t="s">
        <v>3318</v>
      </c>
      <c r="G181" s="1">
        <v>46265</v>
      </c>
      <c r="H181" t="s">
        <v>749</v>
      </c>
      <c r="I181" t="s">
        <v>48</v>
      </c>
      <c r="J181" t="s">
        <v>138</v>
      </c>
      <c r="K181" t="s">
        <v>92</v>
      </c>
      <c r="L181">
        <v>1</v>
      </c>
      <c r="M181">
        <v>106</v>
      </c>
      <c r="N181" t="s">
        <v>61</v>
      </c>
      <c r="O181">
        <v>12</v>
      </c>
      <c r="P181">
        <v>0</v>
      </c>
      <c r="Q181">
        <v>118</v>
      </c>
      <c r="R181" t="s">
        <v>94</v>
      </c>
      <c r="S181" t="s">
        <v>3104</v>
      </c>
      <c r="T181" t="s">
        <v>83</v>
      </c>
      <c r="U181" t="s">
        <v>30</v>
      </c>
    </row>
    <row r="182" spans="1:21" x14ac:dyDescent="0.35">
      <c r="A182" t="s">
        <v>3320</v>
      </c>
      <c r="B182" s="1">
        <v>46244</v>
      </c>
      <c r="C182" t="s">
        <v>3094</v>
      </c>
      <c r="D182" t="s">
        <v>3316</v>
      </c>
      <c r="E182" t="s">
        <v>74</v>
      </c>
      <c r="F182" t="s">
        <v>3321</v>
      </c>
      <c r="G182" s="1">
        <v>46265</v>
      </c>
      <c r="H182" t="s">
        <v>749</v>
      </c>
      <c r="I182" t="s">
        <v>23</v>
      </c>
      <c r="J182" t="s">
        <v>86</v>
      </c>
      <c r="K182" t="s">
        <v>40</v>
      </c>
      <c r="L182">
        <v>1</v>
      </c>
      <c r="M182">
        <v>68</v>
      </c>
      <c r="N182" t="s">
        <v>26</v>
      </c>
      <c r="O182">
        <v>0</v>
      </c>
      <c r="P182">
        <v>0</v>
      </c>
      <c r="Q182">
        <v>68</v>
      </c>
      <c r="R182" t="s">
        <v>42</v>
      </c>
      <c r="S182" t="s">
        <v>3104</v>
      </c>
      <c r="T182" t="s">
        <v>90</v>
      </c>
      <c r="U182" t="s">
        <v>36</v>
      </c>
    </row>
    <row r="183" spans="1:21" x14ac:dyDescent="0.35">
      <c r="A183" t="s">
        <v>3322</v>
      </c>
      <c r="B183" s="1">
        <v>46244</v>
      </c>
      <c r="C183" t="s">
        <v>3094</v>
      </c>
      <c r="D183" t="s">
        <v>3316</v>
      </c>
      <c r="E183" t="s">
        <v>74</v>
      </c>
      <c r="F183" t="s">
        <v>3321</v>
      </c>
      <c r="G183" s="1">
        <v>46265</v>
      </c>
      <c r="H183" t="s">
        <v>749</v>
      </c>
      <c r="I183" t="s">
        <v>32</v>
      </c>
      <c r="J183" t="s">
        <v>49</v>
      </c>
      <c r="K183" t="s">
        <v>40</v>
      </c>
      <c r="L183">
        <v>1</v>
      </c>
      <c r="M183">
        <v>54</v>
      </c>
      <c r="N183" t="s">
        <v>26</v>
      </c>
      <c r="O183">
        <v>0</v>
      </c>
      <c r="P183">
        <v>0</v>
      </c>
      <c r="Q183">
        <v>54</v>
      </c>
      <c r="R183" t="s">
        <v>94</v>
      </c>
      <c r="S183" t="s">
        <v>3104</v>
      </c>
      <c r="T183" t="s">
        <v>29</v>
      </c>
      <c r="U183" t="s">
        <v>58</v>
      </c>
    </row>
    <row r="184" spans="1:21" x14ac:dyDescent="0.35">
      <c r="A184" t="s">
        <v>3323</v>
      </c>
      <c r="B184" s="1">
        <v>46246</v>
      </c>
      <c r="C184" t="s">
        <v>3094</v>
      </c>
      <c r="D184" t="s">
        <v>3316</v>
      </c>
      <c r="E184" t="s">
        <v>109</v>
      </c>
      <c r="F184" t="s">
        <v>3321</v>
      </c>
      <c r="G184" s="1">
        <v>46265</v>
      </c>
      <c r="H184" t="s">
        <v>749</v>
      </c>
      <c r="I184" t="s">
        <v>32</v>
      </c>
      <c r="J184" t="s">
        <v>49</v>
      </c>
      <c r="K184" t="s">
        <v>25</v>
      </c>
      <c r="L184">
        <v>1</v>
      </c>
      <c r="M184">
        <v>36</v>
      </c>
      <c r="N184" t="s">
        <v>26</v>
      </c>
      <c r="O184">
        <v>0</v>
      </c>
      <c r="P184">
        <v>0</v>
      </c>
      <c r="Q184">
        <v>36</v>
      </c>
      <c r="R184" t="s">
        <v>62</v>
      </c>
      <c r="S184" t="s">
        <v>3104</v>
      </c>
      <c r="T184" t="s">
        <v>90</v>
      </c>
      <c r="U184" t="s">
        <v>36</v>
      </c>
    </row>
    <row r="185" spans="1:21" x14ac:dyDescent="0.35">
      <c r="A185" t="s">
        <v>3324</v>
      </c>
      <c r="B185" s="1">
        <v>46247</v>
      </c>
      <c r="C185" t="s">
        <v>3094</v>
      </c>
      <c r="D185" t="s">
        <v>3316</v>
      </c>
      <c r="E185" t="s">
        <v>21</v>
      </c>
      <c r="F185" t="s">
        <v>3321</v>
      </c>
      <c r="G185" s="1">
        <v>46265</v>
      </c>
      <c r="H185" t="s">
        <v>749</v>
      </c>
      <c r="I185" t="s">
        <v>53</v>
      </c>
      <c r="J185" t="s">
        <v>65</v>
      </c>
      <c r="K185" t="s">
        <v>92</v>
      </c>
      <c r="L185">
        <v>1</v>
      </c>
      <c r="M185">
        <v>44</v>
      </c>
      <c r="N185" t="s">
        <v>26</v>
      </c>
      <c r="O185">
        <v>0</v>
      </c>
      <c r="P185">
        <v>0</v>
      </c>
      <c r="Q185">
        <v>44</v>
      </c>
      <c r="R185" t="s">
        <v>27</v>
      </c>
      <c r="S185" t="s">
        <v>3104</v>
      </c>
      <c r="T185" t="s">
        <v>83</v>
      </c>
      <c r="U185" t="s">
        <v>36</v>
      </c>
    </row>
    <row r="186" spans="1:21" x14ac:dyDescent="0.35">
      <c r="A186" t="s">
        <v>3325</v>
      </c>
      <c r="B186" s="1">
        <v>46248</v>
      </c>
      <c r="C186" t="s">
        <v>3094</v>
      </c>
      <c r="D186" t="s">
        <v>3316</v>
      </c>
      <c r="E186" t="s">
        <v>38</v>
      </c>
      <c r="F186" t="s">
        <v>3321</v>
      </c>
      <c r="G186" s="1">
        <v>46265</v>
      </c>
      <c r="H186" t="s">
        <v>749</v>
      </c>
      <c r="I186" t="s">
        <v>53</v>
      </c>
      <c r="J186" t="s">
        <v>111</v>
      </c>
      <c r="K186" t="s">
        <v>60</v>
      </c>
      <c r="L186">
        <v>2</v>
      </c>
      <c r="M186">
        <v>11</v>
      </c>
      <c r="N186" t="s">
        <v>41</v>
      </c>
      <c r="O186">
        <v>5</v>
      </c>
      <c r="P186">
        <v>15</v>
      </c>
      <c r="Q186">
        <v>12</v>
      </c>
      <c r="R186" t="s">
        <v>94</v>
      </c>
      <c r="S186" t="s">
        <v>3104</v>
      </c>
      <c r="T186" t="s">
        <v>83</v>
      </c>
      <c r="U186" t="s">
        <v>30</v>
      </c>
    </row>
    <row r="187" spans="1:21" x14ac:dyDescent="0.35">
      <c r="A187" t="s">
        <v>3326</v>
      </c>
      <c r="B187" s="1">
        <v>46255</v>
      </c>
      <c r="C187" t="s">
        <v>3094</v>
      </c>
      <c r="D187" t="s">
        <v>3316</v>
      </c>
      <c r="E187" t="s">
        <v>38</v>
      </c>
      <c r="F187" t="s">
        <v>3327</v>
      </c>
      <c r="G187" s="1">
        <v>46265</v>
      </c>
      <c r="H187" t="s">
        <v>749</v>
      </c>
      <c r="I187" t="s">
        <v>48</v>
      </c>
      <c r="J187" t="s">
        <v>111</v>
      </c>
      <c r="K187" t="s">
        <v>25</v>
      </c>
      <c r="L187">
        <v>1</v>
      </c>
      <c r="M187">
        <v>18</v>
      </c>
      <c r="N187" t="s">
        <v>26</v>
      </c>
      <c r="O187">
        <v>0</v>
      </c>
      <c r="P187">
        <v>0</v>
      </c>
      <c r="Q187">
        <v>18</v>
      </c>
      <c r="R187" t="s">
        <v>42</v>
      </c>
      <c r="S187" t="s">
        <v>3104</v>
      </c>
      <c r="T187" t="s">
        <v>90</v>
      </c>
      <c r="U187" t="s">
        <v>79</v>
      </c>
    </row>
    <row r="188" spans="1:21" x14ac:dyDescent="0.35">
      <c r="A188" t="s">
        <v>3328</v>
      </c>
      <c r="B188" s="1">
        <v>46257</v>
      </c>
      <c r="C188" t="s">
        <v>3094</v>
      </c>
      <c r="D188" t="s">
        <v>3316</v>
      </c>
      <c r="E188" t="s">
        <v>68</v>
      </c>
      <c r="F188" t="s">
        <v>3329</v>
      </c>
      <c r="G188" s="1">
        <v>46265</v>
      </c>
      <c r="H188" t="s">
        <v>749</v>
      </c>
      <c r="I188" t="s">
        <v>48</v>
      </c>
      <c r="J188" t="s">
        <v>33</v>
      </c>
      <c r="K188" t="s">
        <v>60</v>
      </c>
      <c r="L188">
        <v>2</v>
      </c>
      <c r="M188">
        <v>23</v>
      </c>
      <c r="N188" t="s">
        <v>26</v>
      </c>
      <c r="O188">
        <v>0</v>
      </c>
      <c r="P188">
        <v>0</v>
      </c>
      <c r="Q188">
        <v>46</v>
      </c>
      <c r="R188" t="s">
        <v>62</v>
      </c>
      <c r="S188" t="s">
        <v>3104</v>
      </c>
      <c r="T188" t="s">
        <v>83</v>
      </c>
      <c r="U188" t="s">
        <v>58</v>
      </c>
    </row>
    <row r="189" spans="1:21" x14ac:dyDescent="0.35">
      <c r="A189" t="s">
        <v>3330</v>
      </c>
      <c r="B189" s="1">
        <v>46258</v>
      </c>
      <c r="C189" t="s">
        <v>3094</v>
      </c>
      <c r="D189" t="s">
        <v>3316</v>
      </c>
      <c r="E189" t="s">
        <v>74</v>
      </c>
      <c r="F189" t="s">
        <v>3329</v>
      </c>
      <c r="G189" s="1">
        <v>46265</v>
      </c>
      <c r="H189" t="s">
        <v>749</v>
      </c>
      <c r="I189" t="s">
        <v>23</v>
      </c>
      <c r="J189" t="s">
        <v>111</v>
      </c>
      <c r="K189" t="s">
        <v>92</v>
      </c>
      <c r="L189">
        <v>2</v>
      </c>
      <c r="M189">
        <v>40</v>
      </c>
      <c r="N189" t="s">
        <v>26</v>
      </c>
      <c r="O189">
        <v>0</v>
      </c>
      <c r="P189">
        <v>0</v>
      </c>
      <c r="Q189">
        <v>80</v>
      </c>
      <c r="R189" t="s">
        <v>76</v>
      </c>
      <c r="S189" t="s">
        <v>3104</v>
      </c>
      <c r="T189" t="s">
        <v>83</v>
      </c>
      <c r="U189" t="s">
        <v>30</v>
      </c>
    </row>
    <row r="190" spans="1:21" x14ac:dyDescent="0.35">
      <c r="A190" t="s">
        <v>3331</v>
      </c>
      <c r="B190" s="1">
        <v>46259</v>
      </c>
      <c r="C190" t="s">
        <v>3094</v>
      </c>
      <c r="D190" t="s">
        <v>3316</v>
      </c>
      <c r="E190" t="s">
        <v>102</v>
      </c>
      <c r="F190" t="s">
        <v>3329</v>
      </c>
      <c r="G190" s="1">
        <v>46265</v>
      </c>
      <c r="H190" t="s">
        <v>749</v>
      </c>
      <c r="I190" t="s">
        <v>39</v>
      </c>
      <c r="J190" t="s">
        <v>24</v>
      </c>
      <c r="K190" t="s">
        <v>40</v>
      </c>
      <c r="L190">
        <v>1</v>
      </c>
      <c r="M190">
        <v>75</v>
      </c>
      <c r="N190" t="s">
        <v>26</v>
      </c>
      <c r="O190">
        <v>0</v>
      </c>
      <c r="P190">
        <v>0</v>
      </c>
      <c r="Q190">
        <v>75</v>
      </c>
      <c r="R190" t="s">
        <v>94</v>
      </c>
      <c r="S190" t="s">
        <v>3104</v>
      </c>
      <c r="T190" t="s">
        <v>51</v>
      </c>
      <c r="U190" t="s">
        <v>30</v>
      </c>
    </row>
    <row r="191" spans="1:21" x14ac:dyDescent="0.35">
      <c r="A191" t="s">
        <v>3332</v>
      </c>
      <c r="B191" s="1">
        <v>46261</v>
      </c>
      <c r="C191" t="s">
        <v>3094</v>
      </c>
      <c r="D191" t="s">
        <v>3316</v>
      </c>
      <c r="E191" t="s">
        <v>21</v>
      </c>
      <c r="F191" t="s">
        <v>3329</v>
      </c>
      <c r="G191" s="1">
        <v>46265</v>
      </c>
      <c r="H191" t="s">
        <v>749</v>
      </c>
      <c r="I191" t="s">
        <v>53</v>
      </c>
      <c r="J191" t="s">
        <v>33</v>
      </c>
      <c r="K191" t="s">
        <v>60</v>
      </c>
      <c r="L191">
        <v>1</v>
      </c>
      <c r="M191">
        <v>23</v>
      </c>
      <c r="N191" t="s">
        <v>26</v>
      </c>
      <c r="O191">
        <v>0</v>
      </c>
      <c r="P191">
        <v>0</v>
      </c>
      <c r="Q191">
        <v>23</v>
      </c>
      <c r="R191" t="s">
        <v>27</v>
      </c>
      <c r="S191" t="s">
        <v>3104</v>
      </c>
      <c r="T191" t="s">
        <v>63</v>
      </c>
      <c r="U191" t="s">
        <v>30</v>
      </c>
    </row>
    <row r="192" spans="1:21" x14ac:dyDescent="0.35">
      <c r="A192" t="s">
        <v>3333</v>
      </c>
      <c r="B192" s="1">
        <v>46263</v>
      </c>
      <c r="C192" t="s">
        <v>3094</v>
      </c>
      <c r="D192" t="s">
        <v>3316</v>
      </c>
      <c r="E192" t="s">
        <v>56</v>
      </c>
      <c r="F192" t="s">
        <v>3329</v>
      </c>
      <c r="G192" s="1">
        <v>46265</v>
      </c>
      <c r="H192" t="s">
        <v>749</v>
      </c>
      <c r="I192" t="s">
        <v>32</v>
      </c>
      <c r="J192" t="s">
        <v>49</v>
      </c>
      <c r="K192" t="s">
        <v>40</v>
      </c>
      <c r="L192">
        <v>2</v>
      </c>
      <c r="M192">
        <v>54</v>
      </c>
      <c r="N192" t="s">
        <v>70</v>
      </c>
      <c r="O192">
        <v>10</v>
      </c>
      <c r="P192">
        <v>0</v>
      </c>
      <c r="Q192">
        <v>118</v>
      </c>
      <c r="R192" t="s">
        <v>94</v>
      </c>
      <c r="S192" t="s">
        <v>3104</v>
      </c>
      <c r="T192" t="s">
        <v>51</v>
      </c>
      <c r="U192" t="s">
        <v>30</v>
      </c>
    </row>
    <row r="193" spans="1:21" x14ac:dyDescent="0.35">
      <c r="A193" t="s">
        <v>3334</v>
      </c>
      <c r="B193" s="1">
        <v>46263</v>
      </c>
      <c r="C193" t="s">
        <v>3094</v>
      </c>
      <c r="D193" t="s">
        <v>3316</v>
      </c>
      <c r="E193" t="s">
        <v>56</v>
      </c>
      <c r="F193" t="s">
        <v>3329</v>
      </c>
      <c r="G193" s="1">
        <v>46265</v>
      </c>
      <c r="H193" t="s">
        <v>749</v>
      </c>
      <c r="I193" t="s">
        <v>53</v>
      </c>
      <c r="J193" t="s">
        <v>86</v>
      </c>
      <c r="K193" t="s">
        <v>92</v>
      </c>
      <c r="L193">
        <v>1</v>
      </c>
      <c r="M193">
        <v>99</v>
      </c>
      <c r="N193" t="s">
        <v>26</v>
      </c>
      <c r="O193">
        <v>0</v>
      </c>
      <c r="P193">
        <v>0</v>
      </c>
      <c r="Q193">
        <v>99</v>
      </c>
      <c r="R193" t="s">
        <v>42</v>
      </c>
      <c r="S193" t="s">
        <v>3104</v>
      </c>
      <c r="T193" t="s">
        <v>29</v>
      </c>
      <c r="U193" t="s">
        <v>30</v>
      </c>
    </row>
    <row r="194" spans="1:21" x14ac:dyDescent="0.35">
      <c r="A194" t="s">
        <v>3335</v>
      </c>
      <c r="B194" s="1">
        <v>46263</v>
      </c>
      <c r="C194" t="s">
        <v>3094</v>
      </c>
      <c r="D194" t="s">
        <v>3316</v>
      </c>
      <c r="E194" t="s">
        <v>56</v>
      </c>
      <c r="F194" t="s">
        <v>3329</v>
      </c>
      <c r="G194" s="1">
        <v>46265</v>
      </c>
      <c r="H194" t="s">
        <v>749</v>
      </c>
      <c r="I194" t="s">
        <v>53</v>
      </c>
      <c r="J194" t="s">
        <v>65</v>
      </c>
      <c r="K194" t="s">
        <v>40</v>
      </c>
      <c r="L194">
        <v>2</v>
      </c>
      <c r="M194">
        <v>30</v>
      </c>
      <c r="N194" t="s">
        <v>41</v>
      </c>
      <c r="O194">
        <v>5</v>
      </c>
      <c r="P194">
        <v>0</v>
      </c>
      <c r="Q194">
        <v>65</v>
      </c>
      <c r="R194" t="s">
        <v>94</v>
      </c>
      <c r="S194" t="s">
        <v>3104</v>
      </c>
      <c r="T194" t="s">
        <v>90</v>
      </c>
      <c r="U194" t="s">
        <v>58</v>
      </c>
    </row>
    <row r="195" spans="1:21" x14ac:dyDescent="0.35">
      <c r="A195" t="s">
        <v>3336</v>
      </c>
      <c r="B195" s="1">
        <v>46264</v>
      </c>
      <c r="C195" t="s">
        <v>3094</v>
      </c>
      <c r="D195" t="s">
        <v>3316</v>
      </c>
      <c r="E195" t="s">
        <v>68</v>
      </c>
      <c r="F195" t="s">
        <v>3337</v>
      </c>
      <c r="G195" s="1">
        <v>46265</v>
      </c>
      <c r="H195" t="s">
        <v>749</v>
      </c>
      <c r="I195" t="s">
        <v>53</v>
      </c>
      <c r="J195" t="s">
        <v>44</v>
      </c>
      <c r="K195" t="s">
        <v>60</v>
      </c>
      <c r="L195">
        <v>1</v>
      </c>
      <c r="M195">
        <v>31</v>
      </c>
      <c r="N195" t="s">
        <v>26</v>
      </c>
      <c r="O195">
        <v>0</v>
      </c>
      <c r="P195">
        <v>10</v>
      </c>
      <c r="Q195">
        <v>21</v>
      </c>
      <c r="R195" t="s">
        <v>62</v>
      </c>
      <c r="S195" t="s">
        <v>3104</v>
      </c>
      <c r="T195" t="s">
        <v>63</v>
      </c>
      <c r="U195" t="s">
        <v>79</v>
      </c>
    </row>
    <row r="196" spans="1:21" x14ac:dyDescent="0.35">
      <c r="A196" t="s">
        <v>3338</v>
      </c>
      <c r="B196" s="1">
        <v>46265</v>
      </c>
      <c r="C196" t="s">
        <v>3094</v>
      </c>
      <c r="D196" t="s">
        <v>3316</v>
      </c>
      <c r="E196" t="s">
        <v>74</v>
      </c>
      <c r="F196" t="s">
        <v>3337</v>
      </c>
      <c r="G196" s="1">
        <v>46265</v>
      </c>
      <c r="H196" t="s">
        <v>749</v>
      </c>
      <c r="I196" t="s">
        <v>53</v>
      </c>
      <c r="J196" t="s">
        <v>49</v>
      </c>
      <c r="K196" t="s">
        <v>40</v>
      </c>
      <c r="L196">
        <v>2</v>
      </c>
      <c r="M196">
        <v>54</v>
      </c>
      <c r="N196" t="s">
        <v>26</v>
      </c>
      <c r="O196">
        <v>0</v>
      </c>
      <c r="P196">
        <v>5</v>
      </c>
      <c r="Q196">
        <v>103</v>
      </c>
      <c r="R196" t="s">
        <v>94</v>
      </c>
      <c r="S196" t="s">
        <v>3104</v>
      </c>
      <c r="T196" t="s">
        <v>83</v>
      </c>
      <c r="U196" t="s">
        <v>30</v>
      </c>
    </row>
    <row r="197" spans="1:21" x14ac:dyDescent="0.35">
      <c r="A197" t="s">
        <v>3339</v>
      </c>
      <c r="B197" s="1">
        <v>46266</v>
      </c>
      <c r="C197" t="s">
        <v>3095</v>
      </c>
      <c r="D197" t="s">
        <v>3340</v>
      </c>
      <c r="E197" t="s">
        <v>102</v>
      </c>
      <c r="F197" t="s">
        <v>3337</v>
      </c>
      <c r="G197" s="1">
        <v>46295</v>
      </c>
      <c r="H197" t="s">
        <v>2441</v>
      </c>
      <c r="I197" t="s">
        <v>53</v>
      </c>
      <c r="J197" t="s">
        <v>111</v>
      </c>
      <c r="K197" t="s">
        <v>60</v>
      </c>
      <c r="L197">
        <v>1</v>
      </c>
      <c r="M197">
        <v>11</v>
      </c>
      <c r="N197" t="s">
        <v>70</v>
      </c>
      <c r="O197">
        <v>10</v>
      </c>
      <c r="P197">
        <v>0</v>
      </c>
      <c r="Q197">
        <v>21</v>
      </c>
      <c r="R197" t="s">
        <v>94</v>
      </c>
      <c r="S197" t="s">
        <v>3104</v>
      </c>
      <c r="T197" t="s">
        <v>63</v>
      </c>
      <c r="U197" t="s">
        <v>30</v>
      </c>
    </row>
    <row r="198" spans="1:21" x14ac:dyDescent="0.35">
      <c r="A198" t="s">
        <v>3341</v>
      </c>
      <c r="B198" s="1">
        <v>46266</v>
      </c>
      <c r="C198" t="s">
        <v>3095</v>
      </c>
      <c r="D198" t="s">
        <v>3340</v>
      </c>
      <c r="E198" t="s">
        <v>102</v>
      </c>
      <c r="F198" t="s">
        <v>3337</v>
      </c>
      <c r="G198" s="1">
        <v>46295</v>
      </c>
      <c r="H198" t="s">
        <v>2441</v>
      </c>
      <c r="I198" t="s">
        <v>48</v>
      </c>
      <c r="J198" t="s">
        <v>65</v>
      </c>
      <c r="K198" t="s">
        <v>25</v>
      </c>
      <c r="L198">
        <v>1</v>
      </c>
      <c r="M198">
        <v>20</v>
      </c>
      <c r="N198" t="s">
        <v>26</v>
      </c>
      <c r="O198">
        <v>0</v>
      </c>
      <c r="P198">
        <v>10</v>
      </c>
      <c r="Q198">
        <v>10</v>
      </c>
      <c r="R198" t="s">
        <v>76</v>
      </c>
      <c r="S198" t="s">
        <v>3104</v>
      </c>
      <c r="T198" t="s">
        <v>63</v>
      </c>
      <c r="U198" t="s">
        <v>30</v>
      </c>
    </row>
    <row r="199" spans="1:21" x14ac:dyDescent="0.35">
      <c r="A199" t="s">
        <v>3342</v>
      </c>
      <c r="B199" s="1">
        <v>46267</v>
      </c>
      <c r="C199" t="s">
        <v>3095</v>
      </c>
      <c r="D199" t="s">
        <v>3340</v>
      </c>
      <c r="E199" t="s">
        <v>109</v>
      </c>
      <c r="F199" t="s">
        <v>3337</v>
      </c>
      <c r="G199" s="1">
        <v>46295</v>
      </c>
      <c r="H199" t="s">
        <v>2441</v>
      </c>
      <c r="I199" t="s">
        <v>53</v>
      </c>
      <c r="J199" t="s">
        <v>49</v>
      </c>
      <c r="K199" t="s">
        <v>60</v>
      </c>
      <c r="L199">
        <v>1</v>
      </c>
      <c r="M199">
        <v>22</v>
      </c>
      <c r="N199" t="s">
        <v>26</v>
      </c>
      <c r="O199">
        <v>0</v>
      </c>
      <c r="P199">
        <v>15</v>
      </c>
      <c r="Q199">
        <v>7</v>
      </c>
      <c r="R199" t="s">
        <v>27</v>
      </c>
      <c r="S199" t="s">
        <v>3104</v>
      </c>
      <c r="T199" t="s">
        <v>63</v>
      </c>
      <c r="U199" t="s">
        <v>58</v>
      </c>
    </row>
    <row r="200" spans="1:21" x14ac:dyDescent="0.35">
      <c r="A200" t="s">
        <v>3343</v>
      </c>
      <c r="B200" s="1">
        <v>46268</v>
      </c>
      <c r="C200" t="s">
        <v>3095</v>
      </c>
      <c r="D200" t="s">
        <v>3340</v>
      </c>
      <c r="E200" t="s">
        <v>21</v>
      </c>
      <c r="F200" t="s">
        <v>3337</v>
      </c>
      <c r="G200" s="1">
        <v>46295</v>
      </c>
      <c r="H200" t="s">
        <v>2441</v>
      </c>
      <c r="I200" t="s">
        <v>39</v>
      </c>
      <c r="J200" t="s">
        <v>49</v>
      </c>
      <c r="K200" t="s">
        <v>60</v>
      </c>
      <c r="L200">
        <v>1</v>
      </c>
      <c r="M200">
        <v>22</v>
      </c>
      <c r="N200" t="s">
        <v>70</v>
      </c>
      <c r="O200">
        <v>10</v>
      </c>
      <c r="P200">
        <v>0</v>
      </c>
      <c r="Q200">
        <v>32</v>
      </c>
      <c r="R200" t="s">
        <v>94</v>
      </c>
      <c r="S200" t="s">
        <v>3104</v>
      </c>
      <c r="T200" t="s">
        <v>90</v>
      </c>
      <c r="U200" t="s">
        <v>30</v>
      </c>
    </row>
    <row r="201" spans="1:21" x14ac:dyDescent="0.35">
      <c r="A201" t="s">
        <v>3344</v>
      </c>
      <c r="B201" s="1">
        <v>46271</v>
      </c>
      <c r="C201" t="s">
        <v>3095</v>
      </c>
      <c r="D201" t="s">
        <v>3340</v>
      </c>
      <c r="E201" t="s">
        <v>68</v>
      </c>
      <c r="F201" t="s">
        <v>3345</v>
      </c>
      <c r="G201" s="1">
        <v>46295</v>
      </c>
      <c r="H201" t="s">
        <v>2441</v>
      </c>
      <c r="I201" t="s">
        <v>32</v>
      </c>
      <c r="J201" t="s">
        <v>86</v>
      </c>
      <c r="K201" t="s">
        <v>40</v>
      </c>
      <c r="L201">
        <v>1</v>
      </c>
      <c r="M201">
        <v>68</v>
      </c>
      <c r="N201" t="s">
        <v>70</v>
      </c>
      <c r="O201">
        <v>10</v>
      </c>
      <c r="P201">
        <v>0</v>
      </c>
      <c r="Q201">
        <v>78</v>
      </c>
      <c r="R201" t="s">
        <v>42</v>
      </c>
      <c r="S201" t="s">
        <v>3104</v>
      </c>
      <c r="T201" t="s">
        <v>63</v>
      </c>
      <c r="U201" t="s">
        <v>58</v>
      </c>
    </row>
    <row r="202" spans="1:21" x14ac:dyDescent="0.35">
      <c r="A202" t="s">
        <v>3346</v>
      </c>
      <c r="B202" s="1">
        <v>46272</v>
      </c>
      <c r="C202" t="s">
        <v>3095</v>
      </c>
      <c r="D202" t="s">
        <v>3340</v>
      </c>
      <c r="E202" t="s">
        <v>74</v>
      </c>
      <c r="F202" t="s">
        <v>3345</v>
      </c>
      <c r="G202" s="1">
        <v>46295</v>
      </c>
      <c r="H202" t="s">
        <v>2441</v>
      </c>
      <c r="I202" t="s">
        <v>23</v>
      </c>
      <c r="J202" t="s">
        <v>65</v>
      </c>
      <c r="K202" t="s">
        <v>60</v>
      </c>
      <c r="L202">
        <v>1</v>
      </c>
      <c r="M202">
        <v>12</v>
      </c>
      <c r="N202" t="s">
        <v>75</v>
      </c>
      <c r="O202">
        <v>15</v>
      </c>
      <c r="P202">
        <v>5</v>
      </c>
      <c r="Q202">
        <v>22</v>
      </c>
      <c r="R202" t="s">
        <v>94</v>
      </c>
      <c r="S202" t="s">
        <v>3104</v>
      </c>
      <c r="T202" t="s">
        <v>83</v>
      </c>
      <c r="U202" t="s">
        <v>58</v>
      </c>
    </row>
    <row r="203" spans="1:21" x14ac:dyDescent="0.35">
      <c r="A203" t="s">
        <v>3347</v>
      </c>
      <c r="B203" s="1">
        <v>46275</v>
      </c>
      <c r="C203" t="s">
        <v>3095</v>
      </c>
      <c r="D203" t="s">
        <v>3340</v>
      </c>
      <c r="E203" t="s">
        <v>21</v>
      </c>
      <c r="F203" t="s">
        <v>3345</v>
      </c>
      <c r="G203" s="1">
        <v>46295</v>
      </c>
      <c r="H203" t="s">
        <v>2441</v>
      </c>
      <c r="I203" t="s">
        <v>32</v>
      </c>
      <c r="J203" t="s">
        <v>127</v>
      </c>
      <c r="K203" t="s">
        <v>60</v>
      </c>
      <c r="L203">
        <v>1</v>
      </c>
      <c r="M203">
        <v>9</v>
      </c>
      <c r="N203" t="s">
        <v>26</v>
      </c>
      <c r="O203">
        <v>0</v>
      </c>
      <c r="P203">
        <v>0</v>
      </c>
      <c r="Q203">
        <v>9</v>
      </c>
      <c r="R203" t="s">
        <v>94</v>
      </c>
      <c r="S203" t="s">
        <v>3104</v>
      </c>
      <c r="T203" t="s">
        <v>63</v>
      </c>
      <c r="U203" t="s">
        <v>30</v>
      </c>
    </row>
    <row r="204" spans="1:21" x14ac:dyDescent="0.35">
      <c r="A204" t="s">
        <v>3348</v>
      </c>
      <c r="B204" s="1">
        <v>46278</v>
      </c>
      <c r="C204" t="s">
        <v>3095</v>
      </c>
      <c r="D204" t="s">
        <v>3340</v>
      </c>
      <c r="E204" t="s">
        <v>68</v>
      </c>
      <c r="F204" t="s">
        <v>3349</v>
      </c>
      <c r="G204" s="1">
        <v>46295</v>
      </c>
      <c r="H204" t="s">
        <v>2441</v>
      </c>
      <c r="I204" t="s">
        <v>32</v>
      </c>
      <c r="J204" t="s">
        <v>33</v>
      </c>
      <c r="K204" t="s">
        <v>25</v>
      </c>
      <c r="L204">
        <v>1</v>
      </c>
      <c r="M204">
        <v>38</v>
      </c>
      <c r="N204" t="s">
        <v>26</v>
      </c>
      <c r="O204">
        <v>0</v>
      </c>
      <c r="P204">
        <v>0</v>
      </c>
      <c r="Q204">
        <v>38</v>
      </c>
      <c r="R204" t="s">
        <v>42</v>
      </c>
      <c r="S204" t="s">
        <v>3104</v>
      </c>
      <c r="T204" t="s">
        <v>29</v>
      </c>
      <c r="U204" t="s">
        <v>30</v>
      </c>
    </row>
    <row r="205" spans="1:21" x14ac:dyDescent="0.35">
      <c r="A205" t="s">
        <v>3350</v>
      </c>
      <c r="B205" s="1">
        <v>46279</v>
      </c>
      <c r="C205" t="s">
        <v>3095</v>
      </c>
      <c r="D205" t="s">
        <v>3340</v>
      </c>
      <c r="E205" t="s">
        <v>74</v>
      </c>
      <c r="F205" t="s">
        <v>3349</v>
      </c>
      <c r="G205" s="1">
        <v>46295</v>
      </c>
      <c r="H205" t="s">
        <v>2441</v>
      </c>
      <c r="I205" t="s">
        <v>53</v>
      </c>
      <c r="J205" t="s">
        <v>86</v>
      </c>
      <c r="K205" t="s">
        <v>92</v>
      </c>
      <c r="L205">
        <v>1</v>
      </c>
      <c r="M205">
        <v>99</v>
      </c>
      <c r="N205" t="s">
        <v>70</v>
      </c>
      <c r="O205">
        <v>10</v>
      </c>
      <c r="P205">
        <v>0</v>
      </c>
      <c r="Q205">
        <v>109</v>
      </c>
      <c r="R205" t="s">
        <v>62</v>
      </c>
      <c r="S205" t="s">
        <v>3104</v>
      </c>
      <c r="T205" t="s">
        <v>90</v>
      </c>
      <c r="U205" t="s">
        <v>30</v>
      </c>
    </row>
    <row r="206" spans="1:21" x14ac:dyDescent="0.35">
      <c r="A206" t="s">
        <v>3351</v>
      </c>
      <c r="B206" s="1">
        <v>46280</v>
      </c>
      <c r="C206" t="s">
        <v>3095</v>
      </c>
      <c r="D206" t="s">
        <v>3340</v>
      </c>
      <c r="E206" t="s">
        <v>102</v>
      </c>
      <c r="F206" t="s">
        <v>3349</v>
      </c>
      <c r="G206" s="1">
        <v>46295</v>
      </c>
      <c r="H206" t="s">
        <v>2441</v>
      </c>
      <c r="I206" t="s">
        <v>48</v>
      </c>
      <c r="J206" t="s">
        <v>127</v>
      </c>
      <c r="K206" t="s">
        <v>25</v>
      </c>
      <c r="L206">
        <v>1</v>
      </c>
      <c r="M206">
        <v>15</v>
      </c>
      <c r="N206" t="s">
        <v>89</v>
      </c>
      <c r="O206">
        <v>7</v>
      </c>
      <c r="P206">
        <v>0</v>
      </c>
      <c r="Q206">
        <v>22</v>
      </c>
      <c r="R206" t="s">
        <v>62</v>
      </c>
      <c r="S206" t="s">
        <v>3104</v>
      </c>
      <c r="T206" t="s">
        <v>83</v>
      </c>
      <c r="U206" t="s">
        <v>58</v>
      </c>
    </row>
    <row r="207" spans="1:21" x14ac:dyDescent="0.35">
      <c r="A207" t="s">
        <v>3352</v>
      </c>
      <c r="B207" s="1">
        <v>46283</v>
      </c>
      <c r="C207" t="s">
        <v>3095</v>
      </c>
      <c r="D207" t="s">
        <v>3340</v>
      </c>
      <c r="E207" t="s">
        <v>38</v>
      </c>
      <c r="F207" t="s">
        <v>3349</v>
      </c>
      <c r="G207" s="1">
        <v>46295</v>
      </c>
      <c r="H207" t="s">
        <v>2441</v>
      </c>
      <c r="I207" t="s">
        <v>23</v>
      </c>
      <c r="J207" t="s">
        <v>24</v>
      </c>
      <c r="K207" t="s">
        <v>92</v>
      </c>
      <c r="L207">
        <v>1</v>
      </c>
      <c r="M207">
        <v>110</v>
      </c>
      <c r="N207" t="s">
        <v>26</v>
      </c>
      <c r="O207">
        <v>0</v>
      </c>
      <c r="P207">
        <v>0</v>
      </c>
      <c r="Q207">
        <v>110</v>
      </c>
      <c r="R207" t="s">
        <v>42</v>
      </c>
      <c r="S207" t="s">
        <v>3104</v>
      </c>
      <c r="T207" t="s">
        <v>51</v>
      </c>
      <c r="U207" t="s">
        <v>30</v>
      </c>
    </row>
    <row r="208" spans="1:21" x14ac:dyDescent="0.35">
      <c r="A208" t="s">
        <v>3353</v>
      </c>
      <c r="B208" s="1">
        <v>46286</v>
      </c>
      <c r="C208" t="s">
        <v>3095</v>
      </c>
      <c r="D208" t="s">
        <v>3340</v>
      </c>
      <c r="E208" t="s">
        <v>74</v>
      </c>
      <c r="F208" t="s">
        <v>3354</v>
      </c>
      <c r="G208" s="1">
        <v>46295</v>
      </c>
      <c r="H208" t="s">
        <v>2441</v>
      </c>
      <c r="I208" t="s">
        <v>48</v>
      </c>
      <c r="J208" t="s">
        <v>33</v>
      </c>
      <c r="K208" t="s">
        <v>25</v>
      </c>
      <c r="L208">
        <v>1</v>
      </c>
      <c r="M208">
        <v>38</v>
      </c>
      <c r="N208" t="s">
        <v>41</v>
      </c>
      <c r="O208">
        <v>5</v>
      </c>
      <c r="P208">
        <v>0</v>
      </c>
      <c r="Q208">
        <v>43</v>
      </c>
      <c r="R208" t="s">
        <v>76</v>
      </c>
      <c r="S208" t="s">
        <v>3104</v>
      </c>
      <c r="T208" t="s">
        <v>83</v>
      </c>
      <c r="U208" t="s">
        <v>30</v>
      </c>
    </row>
    <row r="209" spans="1:21" x14ac:dyDescent="0.35">
      <c r="A209" t="s">
        <v>3355</v>
      </c>
      <c r="B209" s="1">
        <v>46287</v>
      </c>
      <c r="C209" t="s">
        <v>3095</v>
      </c>
      <c r="D209" t="s">
        <v>3340</v>
      </c>
      <c r="E209" t="s">
        <v>102</v>
      </c>
      <c r="F209" t="s">
        <v>3354</v>
      </c>
      <c r="G209" s="1">
        <v>46295</v>
      </c>
      <c r="H209" t="s">
        <v>2441</v>
      </c>
      <c r="I209" t="s">
        <v>39</v>
      </c>
      <c r="J209" t="s">
        <v>44</v>
      </c>
      <c r="K209" t="s">
        <v>92</v>
      </c>
      <c r="L209">
        <v>1</v>
      </c>
      <c r="M209">
        <v>114</v>
      </c>
      <c r="N209" t="s">
        <v>26</v>
      </c>
      <c r="O209">
        <v>0</v>
      </c>
      <c r="P209">
        <v>0</v>
      </c>
      <c r="Q209">
        <v>114</v>
      </c>
      <c r="R209" t="s">
        <v>42</v>
      </c>
      <c r="S209" t="s">
        <v>3104</v>
      </c>
      <c r="T209" t="s">
        <v>83</v>
      </c>
      <c r="U209" t="s">
        <v>30</v>
      </c>
    </row>
    <row r="210" spans="1:21" x14ac:dyDescent="0.35">
      <c r="A210" t="s">
        <v>3356</v>
      </c>
      <c r="B210" s="1">
        <v>46287</v>
      </c>
      <c r="C210" t="s">
        <v>3095</v>
      </c>
      <c r="D210" t="s">
        <v>3340</v>
      </c>
      <c r="E210" t="s">
        <v>102</v>
      </c>
      <c r="F210" t="s">
        <v>3354</v>
      </c>
      <c r="G210" s="1">
        <v>46295</v>
      </c>
      <c r="H210" t="s">
        <v>2441</v>
      </c>
      <c r="I210" t="s">
        <v>23</v>
      </c>
      <c r="J210" t="s">
        <v>33</v>
      </c>
      <c r="K210" t="s">
        <v>25</v>
      </c>
      <c r="L210">
        <v>1</v>
      </c>
      <c r="M210">
        <v>38</v>
      </c>
      <c r="N210" t="s">
        <v>26</v>
      </c>
      <c r="O210">
        <v>0</v>
      </c>
      <c r="P210">
        <v>0</v>
      </c>
      <c r="Q210">
        <v>38</v>
      </c>
      <c r="R210" t="s">
        <v>76</v>
      </c>
      <c r="S210" t="s">
        <v>3104</v>
      </c>
      <c r="T210" t="s">
        <v>29</v>
      </c>
      <c r="U210" t="s">
        <v>58</v>
      </c>
    </row>
    <row r="211" spans="1:21" x14ac:dyDescent="0.35">
      <c r="A211" t="s">
        <v>3357</v>
      </c>
      <c r="B211" s="1">
        <v>46288</v>
      </c>
      <c r="C211" t="s">
        <v>3095</v>
      </c>
      <c r="D211" t="s">
        <v>3340</v>
      </c>
      <c r="E211" t="s">
        <v>109</v>
      </c>
      <c r="F211" t="s">
        <v>3354</v>
      </c>
      <c r="G211" s="1">
        <v>46295</v>
      </c>
      <c r="H211" t="s">
        <v>2441</v>
      </c>
      <c r="I211" t="s">
        <v>23</v>
      </c>
      <c r="J211" t="s">
        <v>138</v>
      </c>
      <c r="K211" t="s">
        <v>25</v>
      </c>
      <c r="L211">
        <v>2</v>
      </c>
      <c r="M211">
        <v>48</v>
      </c>
      <c r="N211" t="s">
        <v>26</v>
      </c>
      <c r="O211">
        <v>0</v>
      </c>
      <c r="P211">
        <v>0</v>
      </c>
      <c r="Q211">
        <v>96</v>
      </c>
      <c r="R211" t="s">
        <v>76</v>
      </c>
      <c r="S211" t="s">
        <v>3104</v>
      </c>
      <c r="T211" t="s">
        <v>90</v>
      </c>
      <c r="U211" t="s">
        <v>36</v>
      </c>
    </row>
    <row r="212" spans="1:21" x14ac:dyDescent="0.35">
      <c r="A212" t="s">
        <v>3358</v>
      </c>
      <c r="B212" s="1">
        <v>46290</v>
      </c>
      <c r="C212" t="s">
        <v>3095</v>
      </c>
      <c r="D212" t="s">
        <v>3340</v>
      </c>
      <c r="E212" t="s">
        <v>38</v>
      </c>
      <c r="F212" t="s">
        <v>3354</v>
      </c>
      <c r="G212" s="1">
        <v>46295</v>
      </c>
      <c r="H212" t="s">
        <v>2441</v>
      </c>
      <c r="I212" t="s">
        <v>39</v>
      </c>
      <c r="J212" t="s">
        <v>49</v>
      </c>
      <c r="K212" t="s">
        <v>40</v>
      </c>
      <c r="L212">
        <v>3</v>
      </c>
      <c r="M212">
        <v>54</v>
      </c>
      <c r="N212" t="s">
        <v>26</v>
      </c>
      <c r="O212">
        <v>0</v>
      </c>
      <c r="P212">
        <v>0</v>
      </c>
      <c r="Q212">
        <v>162</v>
      </c>
      <c r="R212" t="s">
        <v>27</v>
      </c>
      <c r="S212" t="s">
        <v>3104</v>
      </c>
      <c r="T212" t="s">
        <v>63</v>
      </c>
      <c r="U212" t="s">
        <v>58</v>
      </c>
    </row>
    <row r="213" spans="1:21" x14ac:dyDescent="0.35">
      <c r="A213" t="s">
        <v>3359</v>
      </c>
      <c r="B213" s="1">
        <v>46290</v>
      </c>
      <c r="C213" t="s">
        <v>3095</v>
      </c>
      <c r="D213" t="s">
        <v>3340</v>
      </c>
      <c r="E213" t="s">
        <v>38</v>
      </c>
      <c r="F213" t="s">
        <v>3354</v>
      </c>
      <c r="G213" s="1">
        <v>46295</v>
      </c>
      <c r="H213" t="s">
        <v>2441</v>
      </c>
      <c r="I213" t="s">
        <v>48</v>
      </c>
      <c r="J213" t="s">
        <v>111</v>
      </c>
      <c r="K213" t="s">
        <v>25</v>
      </c>
      <c r="L213">
        <v>1</v>
      </c>
      <c r="M213">
        <v>18</v>
      </c>
      <c r="N213" t="s">
        <v>26</v>
      </c>
      <c r="O213">
        <v>0</v>
      </c>
      <c r="P213">
        <v>0</v>
      </c>
      <c r="Q213">
        <v>18</v>
      </c>
      <c r="R213" t="s">
        <v>42</v>
      </c>
      <c r="S213" t="s">
        <v>3104</v>
      </c>
      <c r="T213" t="s">
        <v>63</v>
      </c>
      <c r="U213" t="s">
        <v>58</v>
      </c>
    </row>
    <row r="214" spans="1:21" x14ac:dyDescent="0.35">
      <c r="A214" t="s">
        <v>3360</v>
      </c>
      <c r="B214" s="1">
        <v>46294</v>
      </c>
      <c r="C214" t="s">
        <v>3095</v>
      </c>
      <c r="D214" t="s">
        <v>3340</v>
      </c>
      <c r="E214" t="s">
        <v>102</v>
      </c>
      <c r="F214" t="s">
        <v>3361</v>
      </c>
      <c r="G214" s="1">
        <v>46295</v>
      </c>
      <c r="H214" t="s">
        <v>2441</v>
      </c>
      <c r="I214" t="s">
        <v>48</v>
      </c>
      <c r="J214" t="s">
        <v>138</v>
      </c>
      <c r="K214" t="s">
        <v>60</v>
      </c>
      <c r="L214">
        <v>1</v>
      </c>
      <c r="M214">
        <v>29</v>
      </c>
      <c r="N214" t="s">
        <v>26</v>
      </c>
      <c r="O214">
        <v>0</v>
      </c>
      <c r="P214">
        <v>0</v>
      </c>
      <c r="Q214">
        <v>29</v>
      </c>
      <c r="R214" t="s">
        <v>76</v>
      </c>
      <c r="S214" t="s">
        <v>3104</v>
      </c>
      <c r="T214" t="s">
        <v>83</v>
      </c>
      <c r="U214" t="s">
        <v>36</v>
      </c>
    </row>
    <row r="215" spans="1:21" x14ac:dyDescent="0.35">
      <c r="A215" t="s">
        <v>3362</v>
      </c>
      <c r="B215" s="1">
        <v>46294</v>
      </c>
      <c r="C215" t="s">
        <v>3095</v>
      </c>
      <c r="D215" t="s">
        <v>3340</v>
      </c>
      <c r="E215" t="s">
        <v>102</v>
      </c>
      <c r="F215" t="s">
        <v>3361</v>
      </c>
      <c r="G215" s="1">
        <v>46295</v>
      </c>
      <c r="H215" t="s">
        <v>2441</v>
      </c>
      <c r="I215" t="s">
        <v>23</v>
      </c>
      <c r="J215" t="s">
        <v>127</v>
      </c>
      <c r="K215" t="s">
        <v>92</v>
      </c>
      <c r="L215">
        <v>3</v>
      </c>
      <c r="M215">
        <v>33</v>
      </c>
      <c r="N215" t="s">
        <v>41</v>
      </c>
      <c r="O215">
        <v>5</v>
      </c>
      <c r="P215">
        <v>0</v>
      </c>
      <c r="Q215">
        <v>104</v>
      </c>
      <c r="R215" t="s">
        <v>27</v>
      </c>
      <c r="S215" t="s">
        <v>3104</v>
      </c>
      <c r="T215" t="s">
        <v>90</v>
      </c>
      <c r="U215" t="s">
        <v>30</v>
      </c>
    </row>
    <row r="216" spans="1:21" x14ac:dyDescent="0.35">
      <c r="A216" t="s">
        <v>3363</v>
      </c>
      <c r="B216" s="1">
        <v>46297</v>
      </c>
      <c r="C216" t="s">
        <v>3096</v>
      </c>
      <c r="D216" t="s">
        <v>3364</v>
      </c>
      <c r="E216" t="s">
        <v>38</v>
      </c>
      <c r="F216" t="s">
        <v>3361</v>
      </c>
      <c r="G216" s="1">
        <v>46326</v>
      </c>
      <c r="H216" t="s">
        <v>2441</v>
      </c>
      <c r="I216" t="s">
        <v>48</v>
      </c>
      <c r="J216" t="s">
        <v>49</v>
      </c>
      <c r="K216" t="s">
        <v>25</v>
      </c>
      <c r="L216">
        <v>1</v>
      </c>
      <c r="M216">
        <v>36</v>
      </c>
      <c r="N216" t="s">
        <v>26</v>
      </c>
      <c r="O216">
        <v>0</v>
      </c>
      <c r="P216">
        <v>5</v>
      </c>
      <c r="Q216">
        <v>31</v>
      </c>
      <c r="R216" t="s">
        <v>76</v>
      </c>
      <c r="S216" t="s">
        <v>3104</v>
      </c>
      <c r="T216" t="s">
        <v>90</v>
      </c>
      <c r="U216" t="s">
        <v>58</v>
      </c>
    </row>
    <row r="217" spans="1:21" x14ac:dyDescent="0.35">
      <c r="A217" t="s">
        <v>3365</v>
      </c>
      <c r="B217" s="1">
        <v>46297</v>
      </c>
      <c r="C217" t="s">
        <v>3096</v>
      </c>
      <c r="D217" t="s">
        <v>3364</v>
      </c>
      <c r="E217" t="s">
        <v>38</v>
      </c>
      <c r="F217" t="s">
        <v>3361</v>
      </c>
      <c r="G217" s="1">
        <v>46326</v>
      </c>
      <c r="H217" t="s">
        <v>2441</v>
      </c>
      <c r="I217" t="s">
        <v>23</v>
      </c>
      <c r="J217" t="s">
        <v>78</v>
      </c>
      <c r="K217" t="s">
        <v>60</v>
      </c>
      <c r="L217">
        <v>1</v>
      </c>
      <c r="M217">
        <v>24</v>
      </c>
      <c r="N217" t="s">
        <v>26</v>
      </c>
      <c r="O217">
        <v>0</v>
      </c>
      <c r="P217">
        <v>10</v>
      </c>
      <c r="Q217">
        <v>14</v>
      </c>
      <c r="R217" t="s">
        <v>94</v>
      </c>
      <c r="S217" t="s">
        <v>3104</v>
      </c>
      <c r="T217" t="s">
        <v>83</v>
      </c>
      <c r="U217" t="s">
        <v>30</v>
      </c>
    </row>
    <row r="218" spans="1:21" x14ac:dyDescent="0.35">
      <c r="A218" t="s">
        <v>3366</v>
      </c>
      <c r="B218" s="1">
        <v>46298</v>
      </c>
      <c r="C218" t="s">
        <v>3096</v>
      </c>
      <c r="D218" t="s">
        <v>3364</v>
      </c>
      <c r="E218" t="s">
        <v>56</v>
      </c>
      <c r="F218" t="s">
        <v>3361</v>
      </c>
      <c r="G218" s="1">
        <v>46326</v>
      </c>
      <c r="H218" t="s">
        <v>2441</v>
      </c>
      <c r="I218" t="s">
        <v>39</v>
      </c>
      <c r="J218" t="s">
        <v>24</v>
      </c>
      <c r="K218" t="s">
        <v>25</v>
      </c>
      <c r="L218">
        <v>1</v>
      </c>
      <c r="M218">
        <v>50</v>
      </c>
      <c r="N218" t="s">
        <v>26</v>
      </c>
      <c r="O218">
        <v>0</v>
      </c>
      <c r="P218">
        <v>0</v>
      </c>
      <c r="Q218">
        <v>50</v>
      </c>
      <c r="R218" t="s">
        <v>76</v>
      </c>
      <c r="S218" t="s">
        <v>3104</v>
      </c>
      <c r="T218" t="s">
        <v>63</v>
      </c>
      <c r="U218" t="s">
        <v>30</v>
      </c>
    </row>
    <row r="219" spans="1:21" x14ac:dyDescent="0.35">
      <c r="A219" t="s">
        <v>3367</v>
      </c>
      <c r="B219" s="1">
        <v>46298</v>
      </c>
      <c r="C219" t="s">
        <v>3096</v>
      </c>
      <c r="D219" t="s">
        <v>3364</v>
      </c>
      <c r="E219" t="s">
        <v>56</v>
      </c>
      <c r="F219" t="s">
        <v>3361</v>
      </c>
      <c r="G219" s="1">
        <v>46326</v>
      </c>
      <c r="H219" t="s">
        <v>2441</v>
      </c>
      <c r="I219" t="s">
        <v>32</v>
      </c>
      <c r="J219" t="s">
        <v>49</v>
      </c>
      <c r="K219" t="s">
        <v>92</v>
      </c>
      <c r="L219">
        <v>2</v>
      </c>
      <c r="M219">
        <v>79</v>
      </c>
      <c r="N219" t="s">
        <v>26</v>
      </c>
      <c r="O219">
        <v>0</v>
      </c>
      <c r="P219">
        <v>0</v>
      </c>
      <c r="Q219">
        <v>158</v>
      </c>
      <c r="R219" t="s">
        <v>27</v>
      </c>
      <c r="S219" t="s">
        <v>3104</v>
      </c>
      <c r="T219" t="s">
        <v>29</v>
      </c>
      <c r="U219" t="s">
        <v>79</v>
      </c>
    </row>
    <row r="220" spans="1:21" x14ac:dyDescent="0.35">
      <c r="A220" t="s">
        <v>3368</v>
      </c>
      <c r="B220" s="1">
        <v>46299</v>
      </c>
      <c r="C220" t="s">
        <v>3096</v>
      </c>
      <c r="D220" t="s">
        <v>3364</v>
      </c>
      <c r="E220" t="s">
        <v>68</v>
      </c>
      <c r="F220" t="s">
        <v>3369</v>
      </c>
      <c r="G220" s="1">
        <v>46326</v>
      </c>
      <c r="H220" t="s">
        <v>2441</v>
      </c>
      <c r="I220" t="s">
        <v>53</v>
      </c>
      <c r="J220" t="s">
        <v>44</v>
      </c>
      <c r="K220" t="s">
        <v>25</v>
      </c>
      <c r="L220">
        <v>2</v>
      </c>
      <c r="M220">
        <v>52</v>
      </c>
      <c r="N220" t="s">
        <v>26</v>
      </c>
      <c r="O220">
        <v>0</v>
      </c>
      <c r="P220">
        <v>0</v>
      </c>
      <c r="Q220">
        <v>104</v>
      </c>
      <c r="R220" t="s">
        <v>76</v>
      </c>
      <c r="S220" t="s">
        <v>3104</v>
      </c>
      <c r="T220" t="s">
        <v>29</v>
      </c>
      <c r="U220" t="s">
        <v>79</v>
      </c>
    </row>
    <row r="221" spans="1:21" x14ac:dyDescent="0.35">
      <c r="A221" t="s">
        <v>3370</v>
      </c>
      <c r="B221" s="1">
        <v>46300</v>
      </c>
      <c r="C221" t="s">
        <v>3096</v>
      </c>
      <c r="D221" t="s">
        <v>3364</v>
      </c>
      <c r="E221" t="s">
        <v>74</v>
      </c>
      <c r="F221" t="s">
        <v>3369</v>
      </c>
      <c r="G221" s="1">
        <v>46326</v>
      </c>
      <c r="H221" t="s">
        <v>2441</v>
      </c>
      <c r="I221" t="s">
        <v>48</v>
      </c>
      <c r="J221" t="s">
        <v>65</v>
      </c>
      <c r="K221" t="s">
        <v>40</v>
      </c>
      <c r="L221">
        <v>1</v>
      </c>
      <c r="M221">
        <v>30</v>
      </c>
      <c r="N221" t="s">
        <v>26</v>
      </c>
      <c r="O221">
        <v>0</v>
      </c>
      <c r="P221">
        <v>5</v>
      </c>
      <c r="Q221">
        <v>25</v>
      </c>
      <c r="R221" t="s">
        <v>94</v>
      </c>
      <c r="S221" t="s">
        <v>3104</v>
      </c>
      <c r="T221" t="s">
        <v>51</v>
      </c>
      <c r="U221" t="s">
        <v>58</v>
      </c>
    </row>
    <row r="222" spans="1:21" x14ac:dyDescent="0.35">
      <c r="A222" t="s">
        <v>3371</v>
      </c>
      <c r="B222" s="1">
        <v>46300</v>
      </c>
      <c r="C222" t="s">
        <v>3096</v>
      </c>
      <c r="D222" t="s">
        <v>3364</v>
      </c>
      <c r="E222" t="s">
        <v>74</v>
      </c>
      <c r="F222" t="s">
        <v>3369</v>
      </c>
      <c r="G222" s="1">
        <v>46326</v>
      </c>
      <c r="H222" t="s">
        <v>2441</v>
      </c>
      <c r="I222" t="s">
        <v>23</v>
      </c>
      <c r="J222" t="s">
        <v>65</v>
      </c>
      <c r="K222" t="s">
        <v>92</v>
      </c>
      <c r="L222">
        <v>2</v>
      </c>
      <c r="M222">
        <v>44</v>
      </c>
      <c r="N222" t="s">
        <v>70</v>
      </c>
      <c r="O222">
        <v>10</v>
      </c>
      <c r="P222">
        <v>0</v>
      </c>
      <c r="Q222">
        <v>98</v>
      </c>
      <c r="R222" t="s">
        <v>42</v>
      </c>
      <c r="S222" t="s">
        <v>3104</v>
      </c>
      <c r="T222" t="s">
        <v>63</v>
      </c>
      <c r="U222" t="s">
        <v>30</v>
      </c>
    </row>
    <row r="223" spans="1:21" x14ac:dyDescent="0.35">
      <c r="A223" t="s">
        <v>3372</v>
      </c>
      <c r="B223" s="1">
        <v>46300</v>
      </c>
      <c r="C223" t="s">
        <v>3096</v>
      </c>
      <c r="D223" t="s">
        <v>3364</v>
      </c>
      <c r="E223" t="s">
        <v>74</v>
      </c>
      <c r="F223" t="s">
        <v>3369</v>
      </c>
      <c r="G223" s="1">
        <v>46326</v>
      </c>
      <c r="H223" t="s">
        <v>2441</v>
      </c>
      <c r="I223" t="s">
        <v>48</v>
      </c>
      <c r="J223" t="s">
        <v>44</v>
      </c>
      <c r="K223" t="s">
        <v>60</v>
      </c>
      <c r="L223">
        <v>1</v>
      </c>
      <c r="M223">
        <v>31</v>
      </c>
      <c r="N223" t="s">
        <v>26</v>
      </c>
      <c r="O223">
        <v>0</v>
      </c>
      <c r="P223">
        <v>0</v>
      </c>
      <c r="Q223">
        <v>31</v>
      </c>
      <c r="R223" t="s">
        <v>76</v>
      </c>
      <c r="S223" t="s">
        <v>3104</v>
      </c>
      <c r="T223" t="s">
        <v>63</v>
      </c>
      <c r="U223" t="s">
        <v>30</v>
      </c>
    </row>
    <row r="224" spans="1:21" x14ac:dyDescent="0.35">
      <c r="A224" t="s">
        <v>3373</v>
      </c>
      <c r="B224" s="1">
        <v>46303</v>
      </c>
      <c r="C224" t="s">
        <v>3096</v>
      </c>
      <c r="D224" t="s">
        <v>3364</v>
      </c>
      <c r="E224" t="s">
        <v>21</v>
      </c>
      <c r="F224" t="s">
        <v>3369</v>
      </c>
      <c r="G224" s="1">
        <v>46326</v>
      </c>
      <c r="H224" t="s">
        <v>2441</v>
      </c>
      <c r="I224" t="s">
        <v>48</v>
      </c>
      <c r="J224" t="s">
        <v>44</v>
      </c>
      <c r="K224" t="s">
        <v>60</v>
      </c>
      <c r="L224">
        <v>1</v>
      </c>
      <c r="M224">
        <v>31</v>
      </c>
      <c r="N224" t="s">
        <v>41</v>
      </c>
      <c r="O224">
        <v>5</v>
      </c>
      <c r="P224">
        <v>0</v>
      </c>
      <c r="Q224">
        <v>36</v>
      </c>
      <c r="R224" t="s">
        <v>62</v>
      </c>
      <c r="S224" t="s">
        <v>3104</v>
      </c>
      <c r="T224" t="s">
        <v>90</v>
      </c>
      <c r="U224" t="s">
        <v>30</v>
      </c>
    </row>
    <row r="225" spans="1:21" x14ac:dyDescent="0.35">
      <c r="A225" t="s">
        <v>3374</v>
      </c>
      <c r="B225" s="1">
        <v>46304</v>
      </c>
      <c r="C225" t="s">
        <v>3096</v>
      </c>
      <c r="D225" t="s">
        <v>3364</v>
      </c>
      <c r="E225" t="s">
        <v>38</v>
      </c>
      <c r="F225" t="s">
        <v>3369</v>
      </c>
      <c r="G225" s="1">
        <v>46326</v>
      </c>
      <c r="H225" t="s">
        <v>2441</v>
      </c>
      <c r="I225" t="s">
        <v>48</v>
      </c>
      <c r="J225" t="s">
        <v>65</v>
      </c>
      <c r="K225" t="s">
        <v>40</v>
      </c>
      <c r="L225">
        <v>2</v>
      </c>
      <c r="M225">
        <v>30</v>
      </c>
      <c r="N225" t="s">
        <v>26</v>
      </c>
      <c r="O225">
        <v>0</v>
      </c>
      <c r="P225">
        <v>15</v>
      </c>
      <c r="Q225">
        <v>45</v>
      </c>
      <c r="R225" t="s">
        <v>42</v>
      </c>
      <c r="S225" t="s">
        <v>3104</v>
      </c>
      <c r="T225" t="s">
        <v>51</v>
      </c>
      <c r="U225" t="s">
        <v>79</v>
      </c>
    </row>
    <row r="226" spans="1:21" x14ac:dyDescent="0.35">
      <c r="A226" t="s">
        <v>3375</v>
      </c>
      <c r="B226" s="1">
        <v>46304</v>
      </c>
      <c r="C226" t="s">
        <v>3096</v>
      </c>
      <c r="D226" t="s">
        <v>3364</v>
      </c>
      <c r="E226" t="s">
        <v>38</v>
      </c>
      <c r="F226" t="s">
        <v>3369</v>
      </c>
      <c r="G226" s="1">
        <v>46326</v>
      </c>
      <c r="H226" t="s">
        <v>2441</v>
      </c>
      <c r="I226" t="s">
        <v>32</v>
      </c>
      <c r="J226" t="s">
        <v>111</v>
      </c>
      <c r="K226" t="s">
        <v>40</v>
      </c>
      <c r="L226">
        <v>1</v>
      </c>
      <c r="M226">
        <v>27</v>
      </c>
      <c r="N226" t="s">
        <v>26</v>
      </c>
      <c r="O226">
        <v>0</v>
      </c>
      <c r="P226">
        <v>10</v>
      </c>
      <c r="Q226">
        <v>17</v>
      </c>
      <c r="R226" t="s">
        <v>42</v>
      </c>
      <c r="S226" t="s">
        <v>3104</v>
      </c>
      <c r="T226" t="s">
        <v>83</v>
      </c>
      <c r="U226" t="s">
        <v>58</v>
      </c>
    </row>
    <row r="227" spans="1:21" x14ac:dyDescent="0.35">
      <c r="A227" t="s">
        <v>3376</v>
      </c>
      <c r="B227" s="1">
        <v>46305</v>
      </c>
      <c r="C227" t="s">
        <v>3096</v>
      </c>
      <c r="D227" t="s">
        <v>3364</v>
      </c>
      <c r="E227" t="s">
        <v>56</v>
      </c>
      <c r="F227" t="s">
        <v>3369</v>
      </c>
      <c r="G227" s="1">
        <v>46326</v>
      </c>
      <c r="H227" t="s">
        <v>2441</v>
      </c>
      <c r="I227" t="s">
        <v>39</v>
      </c>
      <c r="J227" t="s">
        <v>78</v>
      </c>
      <c r="K227" t="s">
        <v>25</v>
      </c>
      <c r="L227">
        <v>1</v>
      </c>
      <c r="M227">
        <v>40</v>
      </c>
      <c r="N227" t="s">
        <v>26</v>
      </c>
      <c r="O227">
        <v>0</v>
      </c>
      <c r="P227">
        <v>0</v>
      </c>
      <c r="Q227">
        <v>40</v>
      </c>
      <c r="R227" t="s">
        <v>76</v>
      </c>
      <c r="S227" t="s">
        <v>3104</v>
      </c>
      <c r="T227" t="s">
        <v>51</v>
      </c>
      <c r="U227" t="s">
        <v>58</v>
      </c>
    </row>
    <row r="228" spans="1:21" x14ac:dyDescent="0.35">
      <c r="A228" t="s">
        <v>3377</v>
      </c>
      <c r="B228" s="1">
        <v>46306</v>
      </c>
      <c r="C228" t="s">
        <v>3096</v>
      </c>
      <c r="D228" t="s">
        <v>3364</v>
      </c>
      <c r="E228" t="s">
        <v>68</v>
      </c>
      <c r="F228" t="s">
        <v>3378</v>
      </c>
      <c r="G228" s="1">
        <v>46326</v>
      </c>
      <c r="H228" t="s">
        <v>2441</v>
      </c>
      <c r="I228" t="s">
        <v>23</v>
      </c>
      <c r="J228" t="s">
        <v>65</v>
      </c>
      <c r="K228" t="s">
        <v>40</v>
      </c>
      <c r="L228">
        <v>1</v>
      </c>
      <c r="M228">
        <v>30</v>
      </c>
      <c r="N228" t="s">
        <v>26</v>
      </c>
      <c r="O228">
        <v>0</v>
      </c>
      <c r="P228">
        <v>15</v>
      </c>
      <c r="Q228">
        <v>15</v>
      </c>
      <c r="R228" t="s">
        <v>42</v>
      </c>
      <c r="S228" t="s">
        <v>3104</v>
      </c>
      <c r="T228" t="s">
        <v>90</v>
      </c>
      <c r="U228" t="s">
        <v>36</v>
      </c>
    </row>
    <row r="229" spans="1:21" x14ac:dyDescent="0.35">
      <c r="A229" t="s">
        <v>3379</v>
      </c>
      <c r="B229" s="1">
        <v>46308</v>
      </c>
      <c r="C229" t="s">
        <v>3096</v>
      </c>
      <c r="D229" t="s">
        <v>3364</v>
      </c>
      <c r="E229" t="s">
        <v>102</v>
      </c>
      <c r="F229" t="s">
        <v>3378</v>
      </c>
      <c r="G229" s="1">
        <v>46326</v>
      </c>
      <c r="H229" t="s">
        <v>2441</v>
      </c>
      <c r="I229" t="s">
        <v>39</v>
      </c>
      <c r="J229" t="s">
        <v>49</v>
      </c>
      <c r="K229" t="s">
        <v>92</v>
      </c>
      <c r="L229">
        <v>1</v>
      </c>
      <c r="M229">
        <v>79</v>
      </c>
      <c r="N229" t="s">
        <v>61</v>
      </c>
      <c r="O229">
        <v>12</v>
      </c>
      <c r="P229">
        <v>0</v>
      </c>
      <c r="Q229">
        <v>91</v>
      </c>
      <c r="R229" t="s">
        <v>76</v>
      </c>
      <c r="S229" t="s">
        <v>3104</v>
      </c>
      <c r="T229" t="s">
        <v>51</v>
      </c>
      <c r="U229" t="s">
        <v>30</v>
      </c>
    </row>
    <row r="230" spans="1:21" x14ac:dyDescent="0.35">
      <c r="A230" t="s">
        <v>3380</v>
      </c>
      <c r="B230" s="1">
        <v>46308</v>
      </c>
      <c r="C230" t="s">
        <v>3096</v>
      </c>
      <c r="D230" t="s">
        <v>3364</v>
      </c>
      <c r="E230" t="s">
        <v>102</v>
      </c>
      <c r="F230" t="s">
        <v>3378</v>
      </c>
      <c r="G230" s="1">
        <v>46326</v>
      </c>
      <c r="H230" t="s">
        <v>2441</v>
      </c>
      <c r="I230" t="s">
        <v>39</v>
      </c>
      <c r="J230" t="s">
        <v>127</v>
      </c>
      <c r="K230" t="s">
        <v>25</v>
      </c>
      <c r="L230">
        <v>1</v>
      </c>
      <c r="M230">
        <v>15</v>
      </c>
      <c r="N230" t="s">
        <v>41</v>
      </c>
      <c r="O230">
        <v>5</v>
      </c>
      <c r="P230">
        <v>0</v>
      </c>
      <c r="Q230">
        <v>20</v>
      </c>
      <c r="R230" t="s">
        <v>94</v>
      </c>
      <c r="S230" t="s">
        <v>3104</v>
      </c>
      <c r="T230" t="s">
        <v>83</v>
      </c>
      <c r="U230" t="s">
        <v>30</v>
      </c>
    </row>
    <row r="231" spans="1:21" x14ac:dyDescent="0.35">
      <c r="A231" t="s">
        <v>3381</v>
      </c>
      <c r="B231" s="1">
        <v>46309</v>
      </c>
      <c r="C231" t="s">
        <v>3096</v>
      </c>
      <c r="D231" t="s">
        <v>3364</v>
      </c>
      <c r="E231" t="s">
        <v>109</v>
      </c>
      <c r="F231" t="s">
        <v>3378</v>
      </c>
      <c r="G231" s="1">
        <v>46326</v>
      </c>
      <c r="H231" t="s">
        <v>2441</v>
      </c>
      <c r="I231" t="s">
        <v>48</v>
      </c>
      <c r="J231" t="s">
        <v>86</v>
      </c>
      <c r="K231" t="s">
        <v>92</v>
      </c>
      <c r="L231">
        <v>1</v>
      </c>
      <c r="M231">
        <v>99</v>
      </c>
      <c r="N231" t="s">
        <v>61</v>
      </c>
      <c r="O231">
        <v>12</v>
      </c>
      <c r="P231">
        <v>5</v>
      </c>
      <c r="Q231">
        <v>106</v>
      </c>
      <c r="R231" t="s">
        <v>76</v>
      </c>
      <c r="S231" t="s">
        <v>3104</v>
      </c>
      <c r="T231" t="s">
        <v>51</v>
      </c>
      <c r="U231" t="s">
        <v>30</v>
      </c>
    </row>
    <row r="232" spans="1:21" x14ac:dyDescent="0.35">
      <c r="A232" t="s">
        <v>3382</v>
      </c>
      <c r="B232" s="1">
        <v>46313</v>
      </c>
      <c r="C232" t="s">
        <v>3096</v>
      </c>
      <c r="D232" t="s">
        <v>3364</v>
      </c>
      <c r="E232" t="s">
        <v>68</v>
      </c>
      <c r="F232" t="s">
        <v>3383</v>
      </c>
      <c r="G232" s="1">
        <v>46326</v>
      </c>
      <c r="H232" t="s">
        <v>2441</v>
      </c>
      <c r="I232" t="s">
        <v>32</v>
      </c>
      <c r="J232" t="s">
        <v>24</v>
      </c>
      <c r="K232" t="s">
        <v>25</v>
      </c>
      <c r="L232">
        <v>2</v>
      </c>
      <c r="M232">
        <v>50</v>
      </c>
      <c r="N232" t="s">
        <v>89</v>
      </c>
      <c r="O232">
        <v>7</v>
      </c>
      <c r="P232">
        <v>0</v>
      </c>
      <c r="Q232">
        <v>107</v>
      </c>
      <c r="R232" t="s">
        <v>62</v>
      </c>
      <c r="S232" t="s">
        <v>3104</v>
      </c>
      <c r="T232" t="s">
        <v>51</v>
      </c>
      <c r="U232" t="s">
        <v>79</v>
      </c>
    </row>
    <row r="233" spans="1:21" x14ac:dyDescent="0.35">
      <c r="A233" t="s">
        <v>3384</v>
      </c>
      <c r="B233" s="1">
        <v>46314</v>
      </c>
      <c r="C233" t="s">
        <v>3096</v>
      </c>
      <c r="D233" t="s">
        <v>3364</v>
      </c>
      <c r="E233" t="s">
        <v>74</v>
      </c>
      <c r="F233" t="s">
        <v>3383</v>
      </c>
      <c r="G233" s="1">
        <v>46326</v>
      </c>
      <c r="H233" t="s">
        <v>2441</v>
      </c>
      <c r="I233" t="s">
        <v>32</v>
      </c>
      <c r="J233" t="s">
        <v>49</v>
      </c>
      <c r="K233" t="s">
        <v>40</v>
      </c>
      <c r="L233">
        <v>3</v>
      </c>
      <c r="M233">
        <v>54</v>
      </c>
      <c r="N233" t="s">
        <v>26</v>
      </c>
      <c r="O233">
        <v>0</v>
      </c>
      <c r="P233">
        <v>0</v>
      </c>
      <c r="Q233">
        <v>162</v>
      </c>
      <c r="R233" t="s">
        <v>27</v>
      </c>
      <c r="S233" t="s">
        <v>3104</v>
      </c>
      <c r="T233" t="s">
        <v>29</v>
      </c>
      <c r="U233" t="s">
        <v>36</v>
      </c>
    </row>
    <row r="234" spans="1:21" x14ac:dyDescent="0.35">
      <c r="A234" t="s">
        <v>3385</v>
      </c>
      <c r="B234" s="1">
        <v>46315</v>
      </c>
      <c r="C234" t="s">
        <v>3096</v>
      </c>
      <c r="D234" t="s">
        <v>3364</v>
      </c>
      <c r="E234" t="s">
        <v>102</v>
      </c>
      <c r="F234" t="s">
        <v>3383</v>
      </c>
      <c r="G234" s="1">
        <v>46326</v>
      </c>
      <c r="H234" t="s">
        <v>2441</v>
      </c>
      <c r="I234" t="s">
        <v>39</v>
      </c>
      <c r="J234" t="s">
        <v>49</v>
      </c>
      <c r="K234" t="s">
        <v>25</v>
      </c>
      <c r="L234">
        <v>1</v>
      </c>
      <c r="M234">
        <v>36</v>
      </c>
      <c r="N234" t="s">
        <v>89</v>
      </c>
      <c r="O234">
        <v>7</v>
      </c>
      <c r="P234">
        <v>15</v>
      </c>
      <c r="Q234">
        <v>28</v>
      </c>
      <c r="R234" t="s">
        <v>42</v>
      </c>
      <c r="S234" t="s">
        <v>3104</v>
      </c>
      <c r="T234" t="s">
        <v>90</v>
      </c>
      <c r="U234" t="s">
        <v>30</v>
      </c>
    </row>
    <row r="235" spans="1:21" x14ac:dyDescent="0.35">
      <c r="A235" t="s">
        <v>3386</v>
      </c>
      <c r="B235" s="1">
        <v>46318</v>
      </c>
      <c r="C235" t="s">
        <v>3096</v>
      </c>
      <c r="D235" t="s">
        <v>3364</v>
      </c>
      <c r="E235" t="s">
        <v>38</v>
      </c>
      <c r="F235" t="s">
        <v>3383</v>
      </c>
      <c r="G235" s="1">
        <v>46326</v>
      </c>
      <c r="H235" t="s">
        <v>2441</v>
      </c>
      <c r="I235" t="s">
        <v>48</v>
      </c>
      <c r="J235" t="s">
        <v>78</v>
      </c>
      <c r="K235" t="s">
        <v>25</v>
      </c>
      <c r="L235">
        <v>1</v>
      </c>
      <c r="M235">
        <v>40</v>
      </c>
      <c r="N235" t="s">
        <v>26</v>
      </c>
      <c r="O235">
        <v>0</v>
      </c>
      <c r="P235">
        <v>15</v>
      </c>
      <c r="Q235">
        <v>25</v>
      </c>
      <c r="R235" t="s">
        <v>94</v>
      </c>
      <c r="S235" t="s">
        <v>3104</v>
      </c>
      <c r="T235" t="s">
        <v>29</v>
      </c>
      <c r="U235" t="s">
        <v>30</v>
      </c>
    </row>
    <row r="236" spans="1:21" x14ac:dyDescent="0.35">
      <c r="A236" t="s">
        <v>3387</v>
      </c>
      <c r="B236" s="1">
        <v>46319</v>
      </c>
      <c r="C236" t="s">
        <v>3096</v>
      </c>
      <c r="D236" t="s">
        <v>3364</v>
      </c>
      <c r="E236" t="s">
        <v>56</v>
      </c>
      <c r="F236" t="s">
        <v>3383</v>
      </c>
      <c r="G236" s="1">
        <v>46326</v>
      </c>
      <c r="H236" t="s">
        <v>2441</v>
      </c>
      <c r="I236" t="s">
        <v>32</v>
      </c>
      <c r="J236" t="s">
        <v>86</v>
      </c>
      <c r="K236" t="s">
        <v>92</v>
      </c>
      <c r="L236">
        <v>1</v>
      </c>
      <c r="M236">
        <v>99</v>
      </c>
      <c r="N236" t="s">
        <v>70</v>
      </c>
      <c r="O236">
        <v>10</v>
      </c>
      <c r="P236">
        <v>0</v>
      </c>
      <c r="Q236">
        <v>109</v>
      </c>
      <c r="R236" t="s">
        <v>76</v>
      </c>
      <c r="S236" t="s">
        <v>3104</v>
      </c>
      <c r="T236" t="s">
        <v>29</v>
      </c>
      <c r="U236" t="s">
        <v>79</v>
      </c>
    </row>
    <row r="237" spans="1:21" x14ac:dyDescent="0.35">
      <c r="A237" t="s">
        <v>3388</v>
      </c>
      <c r="B237" s="1">
        <v>46319</v>
      </c>
      <c r="C237" t="s">
        <v>3096</v>
      </c>
      <c r="D237" t="s">
        <v>3364</v>
      </c>
      <c r="E237" t="s">
        <v>56</v>
      </c>
      <c r="F237" t="s">
        <v>3383</v>
      </c>
      <c r="G237" s="1">
        <v>46326</v>
      </c>
      <c r="H237" t="s">
        <v>2441</v>
      </c>
      <c r="I237" t="s">
        <v>48</v>
      </c>
      <c r="J237" t="s">
        <v>127</v>
      </c>
      <c r="K237" t="s">
        <v>25</v>
      </c>
      <c r="L237">
        <v>1</v>
      </c>
      <c r="M237">
        <v>15</v>
      </c>
      <c r="N237" t="s">
        <v>26</v>
      </c>
      <c r="O237">
        <v>0</v>
      </c>
      <c r="P237">
        <v>0</v>
      </c>
      <c r="Q237">
        <v>15</v>
      </c>
      <c r="R237" t="s">
        <v>27</v>
      </c>
      <c r="S237" t="s">
        <v>3104</v>
      </c>
      <c r="T237" t="s">
        <v>29</v>
      </c>
      <c r="U237" t="s">
        <v>79</v>
      </c>
    </row>
    <row r="238" spans="1:21" x14ac:dyDescent="0.35">
      <c r="A238" t="s">
        <v>3389</v>
      </c>
      <c r="B238" s="1">
        <v>46320</v>
      </c>
      <c r="C238" t="s">
        <v>3096</v>
      </c>
      <c r="D238" t="s">
        <v>3364</v>
      </c>
      <c r="E238" t="s">
        <v>68</v>
      </c>
      <c r="F238" t="s">
        <v>3390</v>
      </c>
      <c r="G238" s="1">
        <v>46326</v>
      </c>
      <c r="H238" t="s">
        <v>2441</v>
      </c>
      <c r="I238" t="s">
        <v>23</v>
      </c>
      <c r="J238" t="s">
        <v>24</v>
      </c>
      <c r="K238" t="s">
        <v>40</v>
      </c>
      <c r="L238">
        <v>1</v>
      </c>
      <c r="M238">
        <v>75</v>
      </c>
      <c r="N238" t="s">
        <v>26</v>
      </c>
      <c r="O238">
        <v>0</v>
      </c>
      <c r="P238">
        <v>0</v>
      </c>
      <c r="Q238">
        <v>75</v>
      </c>
      <c r="R238" t="s">
        <v>62</v>
      </c>
      <c r="S238" t="s">
        <v>3104</v>
      </c>
      <c r="T238" t="s">
        <v>83</v>
      </c>
      <c r="U238" t="s">
        <v>79</v>
      </c>
    </row>
    <row r="239" spans="1:21" x14ac:dyDescent="0.35">
      <c r="A239" t="s">
        <v>3391</v>
      </c>
      <c r="B239" s="1">
        <v>46320</v>
      </c>
      <c r="C239" t="s">
        <v>3096</v>
      </c>
      <c r="D239" t="s">
        <v>3364</v>
      </c>
      <c r="E239" t="s">
        <v>68</v>
      </c>
      <c r="F239" t="s">
        <v>3390</v>
      </c>
      <c r="G239" s="1">
        <v>46326</v>
      </c>
      <c r="H239" t="s">
        <v>2441</v>
      </c>
      <c r="I239" t="s">
        <v>23</v>
      </c>
      <c r="J239" t="s">
        <v>111</v>
      </c>
      <c r="K239" t="s">
        <v>40</v>
      </c>
      <c r="L239">
        <v>1</v>
      </c>
      <c r="M239">
        <v>27</v>
      </c>
      <c r="N239" t="s">
        <v>26</v>
      </c>
      <c r="O239">
        <v>0</v>
      </c>
      <c r="P239">
        <v>0</v>
      </c>
      <c r="Q239">
        <v>27</v>
      </c>
      <c r="R239" t="s">
        <v>94</v>
      </c>
      <c r="S239" t="s">
        <v>3104</v>
      </c>
      <c r="T239" t="s">
        <v>51</v>
      </c>
      <c r="U239" t="s">
        <v>30</v>
      </c>
    </row>
    <row r="240" spans="1:21" x14ac:dyDescent="0.35">
      <c r="A240" t="s">
        <v>3392</v>
      </c>
      <c r="B240" s="1">
        <v>46322</v>
      </c>
      <c r="C240" t="s">
        <v>3096</v>
      </c>
      <c r="D240" t="s">
        <v>3364</v>
      </c>
      <c r="E240" t="s">
        <v>102</v>
      </c>
      <c r="F240" t="s">
        <v>3390</v>
      </c>
      <c r="G240" s="1">
        <v>46326</v>
      </c>
      <c r="H240" t="s">
        <v>2441</v>
      </c>
      <c r="I240" t="s">
        <v>39</v>
      </c>
      <c r="J240" t="s">
        <v>24</v>
      </c>
      <c r="K240" t="s">
        <v>60</v>
      </c>
      <c r="L240">
        <v>1</v>
      </c>
      <c r="M240">
        <v>30</v>
      </c>
      <c r="N240" t="s">
        <v>26</v>
      </c>
      <c r="O240">
        <v>0</v>
      </c>
      <c r="P240">
        <v>0</v>
      </c>
      <c r="Q240">
        <v>30</v>
      </c>
      <c r="R240" t="s">
        <v>27</v>
      </c>
      <c r="S240" t="s">
        <v>3104</v>
      </c>
      <c r="T240" t="s">
        <v>51</v>
      </c>
      <c r="U240" t="s">
        <v>58</v>
      </c>
    </row>
    <row r="241" spans="1:21" x14ac:dyDescent="0.35">
      <c r="A241" t="s">
        <v>3393</v>
      </c>
      <c r="B241" s="1">
        <v>46323</v>
      </c>
      <c r="C241" t="s">
        <v>3096</v>
      </c>
      <c r="D241" t="s">
        <v>3364</v>
      </c>
      <c r="E241" t="s">
        <v>109</v>
      </c>
      <c r="F241" t="s">
        <v>3390</v>
      </c>
      <c r="G241" s="1">
        <v>46326</v>
      </c>
      <c r="H241" t="s">
        <v>2441</v>
      </c>
      <c r="I241" t="s">
        <v>23</v>
      </c>
      <c r="J241" t="s">
        <v>33</v>
      </c>
      <c r="K241" t="s">
        <v>60</v>
      </c>
      <c r="L241">
        <v>1</v>
      </c>
      <c r="M241">
        <v>23</v>
      </c>
      <c r="N241" t="s">
        <v>26</v>
      </c>
      <c r="O241">
        <v>0</v>
      </c>
      <c r="P241">
        <v>5</v>
      </c>
      <c r="Q241">
        <v>18</v>
      </c>
      <c r="R241" t="s">
        <v>27</v>
      </c>
      <c r="S241" t="s">
        <v>3104</v>
      </c>
      <c r="T241" t="s">
        <v>63</v>
      </c>
      <c r="U241" t="s">
        <v>58</v>
      </c>
    </row>
    <row r="242" spans="1:21" x14ac:dyDescent="0.35">
      <c r="A242" t="s">
        <v>3394</v>
      </c>
      <c r="B242" s="1">
        <v>46323</v>
      </c>
      <c r="C242" t="s">
        <v>3096</v>
      </c>
      <c r="D242" t="s">
        <v>3364</v>
      </c>
      <c r="E242" t="s">
        <v>109</v>
      </c>
      <c r="F242" t="s">
        <v>3390</v>
      </c>
      <c r="G242" s="1">
        <v>46326</v>
      </c>
      <c r="H242" t="s">
        <v>2441</v>
      </c>
      <c r="I242" t="s">
        <v>23</v>
      </c>
      <c r="J242" t="s">
        <v>24</v>
      </c>
      <c r="K242" t="s">
        <v>92</v>
      </c>
      <c r="L242">
        <v>2</v>
      </c>
      <c r="M242">
        <v>110</v>
      </c>
      <c r="N242" t="s">
        <v>89</v>
      </c>
      <c r="O242">
        <v>7</v>
      </c>
      <c r="P242">
        <v>0</v>
      </c>
      <c r="Q242">
        <v>227</v>
      </c>
      <c r="R242" t="s">
        <v>94</v>
      </c>
      <c r="S242" t="s">
        <v>3104</v>
      </c>
      <c r="T242" t="s">
        <v>51</v>
      </c>
      <c r="U242" t="s">
        <v>36</v>
      </c>
    </row>
    <row r="243" spans="1:21" x14ac:dyDescent="0.35">
      <c r="A243" t="s">
        <v>3395</v>
      </c>
      <c r="B243" s="1">
        <v>46324</v>
      </c>
      <c r="C243" t="s">
        <v>3096</v>
      </c>
      <c r="D243" t="s">
        <v>3364</v>
      </c>
      <c r="E243" t="s">
        <v>21</v>
      </c>
      <c r="F243" t="s">
        <v>3390</v>
      </c>
      <c r="G243" s="1">
        <v>46326</v>
      </c>
      <c r="H243" t="s">
        <v>2441</v>
      </c>
      <c r="I243" t="s">
        <v>32</v>
      </c>
      <c r="J243" t="s">
        <v>49</v>
      </c>
      <c r="K243" t="s">
        <v>92</v>
      </c>
      <c r="L243">
        <v>1</v>
      </c>
      <c r="M243">
        <v>79</v>
      </c>
      <c r="N243" t="s">
        <v>89</v>
      </c>
      <c r="O243">
        <v>7</v>
      </c>
      <c r="P243">
        <v>0</v>
      </c>
      <c r="Q243">
        <v>86</v>
      </c>
      <c r="R243" t="s">
        <v>94</v>
      </c>
      <c r="S243" t="s">
        <v>3104</v>
      </c>
      <c r="T243" t="s">
        <v>29</v>
      </c>
      <c r="U243" t="s">
        <v>30</v>
      </c>
    </row>
    <row r="244" spans="1:21" x14ac:dyDescent="0.35">
      <c r="A244" t="s">
        <v>3396</v>
      </c>
      <c r="B244" s="1">
        <v>46325</v>
      </c>
      <c r="C244" t="s">
        <v>3096</v>
      </c>
      <c r="D244" t="s">
        <v>3364</v>
      </c>
      <c r="E244" t="s">
        <v>38</v>
      </c>
      <c r="F244" t="s">
        <v>3390</v>
      </c>
      <c r="G244" s="1">
        <v>46326</v>
      </c>
      <c r="H244" t="s">
        <v>2441</v>
      </c>
      <c r="I244" t="s">
        <v>48</v>
      </c>
      <c r="J244" t="s">
        <v>78</v>
      </c>
      <c r="K244" t="s">
        <v>92</v>
      </c>
      <c r="L244">
        <v>2</v>
      </c>
      <c r="M244">
        <v>88</v>
      </c>
      <c r="N244" t="s">
        <v>75</v>
      </c>
      <c r="O244">
        <v>15</v>
      </c>
      <c r="P244">
        <v>0</v>
      </c>
      <c r="Q244">
        <v>191</v>
      </c>
      <c r="R244" t="s">
        <v>94</v>
      </c>
      <c r="S244" t="s">
        <v>3104</v>
      </c>
      <c r="T244" t="s">
        <v>29</v>
      </c>
      <c r="U244" t="s">
        <v>79</v>
      </c>
    </row>
    <row r="245" spans="1:21" x14ac:dyDescent="0.35">
      <c r="A245" t="s">
        <v>3397</v>
      </c>
      <c r="B245" s="1">
        <v>46326</v>
      </c>
      <c r="C245" t="s">
        <v>3096</v>
      </c>
      <c r="D245" t="s">
        <v>3364</v>
      </c>
      <c r="E245" t="s">
        <v>56</v>
      </c>
      <c r="F245" t="s">
        <v>3390</v>
      </c>
      <c r="G245" s="1">
        <v>46326</v>
      </c>
      <c r="H245" t="s">
        <v>2441</v>
      </c>
      <c r="I245" t="s">
        <v>48</v>
      </c>
      <c r="J245" t="s">
        <v>24</v>
      </c>
      <c r="K245" t="s">
        <v>40</v>
      </c>
      <c r="L245">
        <v>1</v>
      </c>
      <c r="M245">
        <v>75</v>
      </c>
      <c r="N245" t="s">
        <v>70</v>
      </c>
      <c r="O245">
        <v>10</v>
      </c>
      <c r="P245">
        <v>15</v>
      </c>
      <c r="Q245">
        <v>70</v>
      </c>
      <c r="R245" t="s">
        <v>76</v>
      </c>
      <c r="S245" t="s">
        <v>3104</v>
      </c>
      <c r="T245" t="s">
        <v>63</v>
      </c>
      <c r="U245" t="s">
        <v>30</v>
      </c>
    </row>
    <row r="246" spans="1:21" x14ac:dyDescent="0.35">
      <c r="A246" t="s">
        <v>3398</v>
      </c>
      <c r="B246" s="1">
        <v>46329</v>
      </c>
      <c r="C246" t="s">
        <v>3097</v>
      </c>
      <c r="D246" t="s">
        <v>3399</v>
      </c>
      <c r="E246" t="s">
        <v>102</v>
      </c>
      <c r="F246" t="s">
        <v>3400</v>
      </c>
      <c r="G246" s="1">
        <v>46356</v>
      </c>
      <c r="H246" t="s">
        <v>2441</v>
      </c>
      <c r="I246" t="s">
        <v>39</v>
      </c>
      <c r="J246" t="s">
        <v>65</v>
      </c>
      <c r="K246" t="s">
        <v>60</v>
      </c>
      <c r="L246">
        <v>1</v>
      </c>
      <c r="M246">
        <v>12</v>
      </c>
      <c r="N246" t="s">
        <v>26</v>
      </c>
      <c r="O246">
        <v>0</v>
      </c>
      <c r="P246">
        <v>0</v>
      </c>
      <c r="Q246">
        <v>12</v>
      </c>
      <c r="R246" t="s">
        <v>76</v>
      </c>
      <c r="S246" t="s">
        <v>3104</v>
      </c>
      <c r="T246" t="s">
        <v>83</v>
      </c>
      <c r="U246" t="s">
        <v>30</v>
      </c>
    </row>
    <row r="247" spans="1:21" x14ac:dyDescent="0.35">
      <c r="A247" t="s">
        <v>3401</v>
      </c>
      <c r="B247" s="1">
        <v>46329</v>
      </c>
      <c r="C247" t="s">
        <v>3097</v>
      </c>
      <c r="D247" t="s">
        <v>3399</v>
      </c>
      <c r="E247" t="s">
        <v>102</v>
      </c>
      <c r="F247" t="s">
        <v>3400</v>
      </c>
      <c r="G247" s="1">
        <v>46356</v>
      </c>
      <c r="H247" t="s">
        <v>2441</v>
      </c>
      <c r="I247" t="s">
        <v>23</v>
      </c>
      <c r="J247" t="s">
        <v>49</v>
      </c>
      <c r="K247" t="s">
        <v>92</v>
      </c>
      <c r="L247">
        <v>1</v>
      </c>
      <c r="M247">
        <v>79</v>
      </c>
      <c r="N247" t="s">
        <v>89</v>
      </c>
      <c r="O247">
        <v>7</v>
      </c>
      <c r="P247">
        <v>15</v>
      </c>
      <c r="Q247">
        <v>71</v>
      </c>
      <c r="R247" t="s">
        <v>76</v>
      </c>
      <c r="S247" t="s">
        <v>3104</v>
      </c>
      <c r="T247" t="s">
        <v>29</v>
      </c>
      <c r="U247" t="s">
        <v>30</v>
      </c>
    </row>
    <row r="248" spans="1:21" x14ac:dyDescent="0.35">
      <c r="A248" t="s">
        <v>3402</v>
      </c>
      <c r="B248" s="1">
        <v>46331</v>
      </c>
      <c r="C248" t="s">
        <v>3097</v>
      </c>
      <c r="D248" t="s">
        <v>3399</v>
      </c>
      <c r="E248" t="s">
        <v>21</v>
      </c>
      <c r="F248" t="s">
        <v>3400</v>
      </c>
      <c r="G248" s="1">
        <v>46356</v>
      </c>
      <c r="H248" t="s">
        <v>2441</v>
      </c>
      <c r="I248" t="s">
        <v>32</v>
      </c>
      <c r="J248" t="s">
        <v>65</v>
      </c>
      <c r="K248" t="s">
        <v>60</v>
      </c>
      <c r="L248">
        <v>1</v>
      </c>
      <c r="M248">
        <v>12</v>
      </c>
      <c r="N248" t="s">
        <v>26</v>
      </c>
      <c r="O248">
        <v>0</v>
      </c>
      <c r="P248">
        <v>10</v>
      </c>
      <c r="Q248">
        <v>2</v>
      </c>
      <c r="R248" t="s">
        <v>62</v>
      </c>
      <c r="S248" t="s">
        <v>3104</v>
      </c>
      <c r="T248" t="s">
        <v>90</v>
      </c>
      <c r="U248" t="s">
        <v>30</v>
      </c>
    </row>
    <row r="249" spans="1:21" x14ac:dyDescent="0.35">
      <c r="A249" t="s">
        <v>3403</v>
      </c>
      <c r="B249" s="1">
        <v>46331</v>
      </c>
      <c r="C249" t="s">
        <v>3097</v>
      </c>
      <c r="D249" t="s">
        <v>3399</v>
      </c>
      <c r="E249" t="s">
        <v>21</v>
      </c>
      <c r="F249" t="s">
        <v>3400</v>
      </c>
      <c r="G249" s="1">
        <v>46356</v>
      </c>
      <c r="H249" t="s">
        <v>2441</v>
      </c>
      <c r="I249" t="s">
        <v>48</v>
      </c>
      <c r="J249" t="s">
        <v>127</v>
      </c>
      <c r="K249" t="s">
        <v>60</v>
      </c>
      <c r="L249">
        <v>1</v>
      </c>
      <c r="M249">
        <v>9</v>
      </c>
      <c r="N249" t="s">
        <v>41</v>
      </c>
      <c r="O249">
        <v>5</v>
      </c>
      <c r="P249">
        <v>0</v>
      </c>
      <c r="Q249">
        <v>14</v>
      </c>
      <c r="R249" t="s">
        <v>94</v>
      </c>
      <c r="S249" t="s">
        <v>3104</v>
      </c>
      <c r="T249" t="s">
        <v>51</v>
      </c>
      <c r="U249" t="s">
        <v>58</v>
      </c>
    </row>
    <row r="250" spans="1:21" x14ac:dyDescent="0.35">
      <c r="A250" t="s">
        <v>3404</v>
      </c>
      <c r="B250" s="1">
        <v>46331</v>
      </c>
      <c r="C250" t="s">
        <v>3097</v>
      </c>
      <c r="D250" t="s">
        <v>3399</v>
      </c>
      <c r="E250" t="s">
        <v>21</v>
      </c>
      <c r="F250" t="s">
        <v>3400</v>
      </c>
      <c r="G250" s="1">
        <v>46356</v>
      </c>
      <c r="H250" t="s">
        <v>2441</v>
      </c>
      <c r="I250" t="s">
        <v>39</v>
      </c>
      <c r="J250" t="s">
        <v>127</v>
      </c>
      <c r="K250" t="s">
        <v>40</v>
      </c>
      <c r="L250">
        <v>1</v>
      </c>
      <c r="M250">
        <v>23</v>
      </c>
      <c r="N250" t="s">
        <v>26</v>
      </c>
      <c r="O250">
        <v>0</v>
      </c>
      <c r="P250">
        <v>0</v>
      </c>
      <c r="Q250">
        <v>23</v>
      </c>
      <c r="R250" t="s">
        <v>42</v>
      </c>
      <c r="S250" t="s">
        <v>3104</v>
      </c>
      <c r="T250" t="s">
        <v>63</v>
      </c>
      <c r="U250" t="s">
        <v>30</v>
      </c>
    </row>
    <row r="251" spans="1:21" x14ac:dyDescent="0.35">
      <c r="A251" t="s">
        <v>3405</v>
      </c>
      <c r="B251" s="1">
        <v>46332</v>
      </c>
      <c r="C251" t="s">
        <v>3097</v>
      </c>
      <c r="D251" t="s">
        <v>3399</v>
      </c>
      <c r="E251" t="s">
        <v>38</v>
      </c>
      <c r="F251" t="s">
        <v>3400</v>
      </c>
      <c r="G251" s="1">
        <v>46356</v>
      </c>
      <c r="H251" t="s">
        <v>2441</v>
      </c>
      <c r="I251" t="s">
        <v>53</v>
      </c>
      <c r="J251" t="s">
        <v>24</v>
      </c>
      <c r="K251" t="s">
        <v>25</v>
      </c>
      <c r="L251">
        <v>1</v>
      </c>
      <c r="M251">
        <v>50</v>
      </c>
      <c r="N251" t="s">
        <v>75</v>
      </c>
      <c r="O251">
        <v>15</v>
      </c>
      <c r="P251">
        <v>0</v>
      </c>
      <c r="Q251">
        <v>65</v>
      </c>
      <c r="R251" t="s">
        <v>62</v>
      </c>
      <c r="S251" t="s">
        <v>3104</v>
      </c>
      <c r="T251" t="s">
        <v>83</v>
      </c>
      <c r="U251" t="s">
        <v>58</v>
      </c>
    </row>
    <row r="252" spans="1:21" x14ac:dyDescent="0.35">
      <c r="A252" t="s">
        <v>3406</v>
      </c>
      <c r="B252" s="1">
        <v>46334</v>
      </c>
      <c r="C252" t="s">
        <v>3097</v>
      </c>
      <c r="D252" t="s">
        <v>3399</v>
      </c>
      <c r="E252" t="s">
        <v>68</v>
      </c>
      <c r="F252" t="s">
        <v>3407</v>
      </c>
      <c r="G252" s="1">
        <v>46356</v>
      </c>
      <c r="H252" t="s">
        <v>2441</v>
      </c>
      <c r="I252" t="s">
        <v>32</v>
      </c>
      <c r="J252" t="s">
        <v>86</v>
      </c>
      <c r="K252" t="s">
        <v>25</v>
      </c>
      <c r="L252">
        <v>2</v>
      </c>
      <c r="M252">
        <v>45</v>
      </c>
      <c r="N252" t="s">
        <v>26</v>
      </c>
      <c r="O252">
        <v>0</v>
      </c>
      <c r="P252">
        <v>0</v>
      </c>
      <c r="Q252">
        <v>90</v>
      </c>
      <c r="R252" t="s">
        <v>76</v>
      </c>
      <c r="S252" t="s">
        <v>3104</v>
      </c>
      <c r="T252" t="s">
        <v>51</v>
      </c>
      <c r="U252" t="s">
        <v>58</v>
      </c>
    </row>
    <row r="253" spans="1:21" x14ac:dyDescent="0.35">
      <c r="A253" t="s">
        <v>3408</v>
      </c>
      <c r="B253" s="1">
        <v>46335</v>
      </c>
      <c r="C253" t="s">
        <v>3097</v>
      </c>
      <c r="D253" t="s">
        <v>3399</v>
      </c>
      <c r="E253" t="s">
        <v>74</v>
      </c>
      <c r="F253" t="s">
        <v>3407</v>
      </c>
      <c r="G253" s="1">
        <v>46356</v>
      </c>
      <c r="H253" t="s">
        <v>2441</v>
      </c>
      <c r="I253" t="s">
        <v>48</v>
      </c>
      <c r="J253" t="s">
        <v>111</v>
      </c>
      <c r="K253" t="s">
        <v>40</v>
      </c>
      <c r="L253">
        <v>1</v>
      </c>
      <c r="M253">
        <v>27</v>
      </c>
      <c r="N253" t="s">
        <v>26</v>
      </c>
      <c r="O253">
        <v>0</v>
      </c>
      <c r="P253">
        <v>0</v>
      </c>
      <c r="Q253">
        <v>27</v>
      </c>
      <c r="R253" t="s">
        <v>62</v>
      </c>
      <c r="S253" t="s">
        <v>3104</v>
      </c>
      <c r="T253" t="s">
        <v>29</v>
      </c>
      <c r="U253" t="s">
        <v>36</v>
      </c>
    </row>
    <row r="254" spans="1:21" x14ac:dyDescent="0.35">
      <c r="A254" t="s">
        <v>3409</v>
      </c>
      <c r="B254" s="1">
        <v>46335</v>
      </c>
      <c r="C254" t="s">
        <v>3097</v>
      </c>
      <c r="D254" t="s">
        <v>3399</v>
      </c>
      <c r="E254" t="s">
        <v>74</v>
      </c>
      <c r="F254" t="s">
        <v>3407</v>
      </c>
      <c r="G254" s="1">
        <v>46356</v>
      </c>
      <c r="H254" t="s">
        <v>2441</v>
      </c>
      <c r="I254" t="s">
        <v>39</v>
      </c>
      <c r="J254" t="s">
        <v>138</v>
      </c>
      <c r="K254" t="s">
        <v>25</v>
      </c>
      <c r="L254">
        <v>1</v>
      </c>
      <c r="M254">
        <v>48</v>
      </c>
      <c r="N254" t="s">
        <v>70</v>
      </c>
      <c r="O254">
        <v>10</v>
      </c>
      <c r="P254">
        <v>0</v>
      </c>
      <c r="Q254">
        <v>58</v>
      </c>
      <c r="R254" t="s">
        <v>42</v>
      </c>
      <c r="S254" t="s">
        <v>3104</v>
      </c>
      <c r="T254" t="s">
        <v>63</v>
      </c>
      <c r="U254" t="s">
        <v>58</v>
      </c>
    </row>
    <row r="255" spans="1:21" x14ac:dyDescent="0.35">
      <c r="A255" t="s">
        <v>3410</v>
      </c>
      <c r="B255" s="1">
        <v>46337</v>
      </c>
      <c r="C255" t="s">
        <v>3097</v>
      </c>
      <c r="D255" t="s">
        <v>3399</v>
      </c>
      <c r="E255" t="s">
        <v>109</v>
      </c>
      <c r="F255" t="s">
        <v>3407</v>
      </c>
      <c r="G255" s="1">
        <v>46356</v>
      </c>
      <c r="H255" t="s">
        <v>2441</v>
      </c>
      <c r="I255" t="s">
        <v>39</v>
      </c>
      <c r="J255" t="s">
        <v>44</v>
      </c>
      <c r="K255" t="s">
        <v>25</v>
      </c>
      <c r="L255">
        <v>1</v>
      </c>
      <c r="M255">
        <v>52</v>
      </c>
      <c r="N255" t="s">
        <v>26</v>
      </c>
      <c r="O255">
        <v>0</v>
      </c>
      <c r="P255">
        <v>15</v>
      </c>
      <c r="Q255">
        <v>37</v>
      </c>
      <c r="R255" t="s">
        <v>27</v>
      </c>
      <c r="S255" t="s">
        <v>3104</v>
      </c>
      <c r="T255" t="s">
        <v>83</v>
      </c>
      <c r="U255" t="s">
        <v>79</v>
      </c>
    </row>
    <row r="256" spans="1:21" x14ac:dyDescent="0.35">
      <c r="A256" t="s">
        <v>3411</v>
      </c>
      <c r="B256" s="1">
        <v>46339</v>
      </c>
      <c r="C256" t="s">
        <v>3097</v>
      </c>
      <c r="D256" t="s">
        <v>3399</v>
      </c>
      <c r="E256" t="s">
        <v>38</v>
      </c>
      <c r="F256" t="s">
        <v>3407</v>
      </c>
      <c r="G256" s="1">
        <v>46356</v>
      </c>
      <c r="H256" t="s">
        <v>2441</v>
      </c>
      <c r="I256" t="s">
        <v>53</v>
      </c>
      <c r="J256" t="s">
        <v>86</v>
      </c>
      <c r="K256" t="s">
        <v>60</v>
      </c>
      <c r="L256">
        <v>1</v>
      </c>
      <c r="M256">
        <v>27</v>
      </c>
      <c r="N256" t="s">
        <v>26</v>
      </c>
      <c r="O256">
        <v>0</v>
      </c>
      <c r="P256">
        <v>0</v>
      </c>
      <c r="Q256">
        <v>27</v>
      </c>
      <c r="R256" t="s">
        <v>27</v>
      </c>
      <c r="S256" t="s">
        <v>3104</v>
      </c>
      <c r="T256" t="s">
        <v>90</v>
      </c>
      <c r="U256" t="s">
        <v>58</v>
      </c>
    </row>
    <row r="257" spans="1:21" x14ac:dyDescent="0.35">
      <c r="A257" t="s">
        <v>3412</v>
      </c>
      <c r="B257" s="1">
        <v>46339</v>
      </c>
      <c r="C257" t="s">
        <v>3097</v>
      </c>
      <c r="D257" t="s">
        <v>3399</v>
      </c>
      <c r="E257" t="s">
        <v>38</v>
      </c>
      <c r="F257" t="s">
        <v>3407</v>
      </c>
      <c r="G257" s="1">
        <v>46356</v>
      </c>
      <c r="H257" t="s">
        <v>2441</v>
      </c>
      <c r="I257" t="s">
        <v>39</v>
      </c>
      <c r="J257" t="s">
        <v>138</v>
      </c>
      <c r="K257" t="s">
        <v>40</v>
      </c>
      <c r="L257">
        <v>1</v>
      </c>
      <c r="M257">
        <v>72</v>
      </c>
      <c r="N257" t="s">
        <v>41</v>
      </c>
      <c r="O257">
        <v>5</v>
      </c>
      <c r="P257">
        <v>0</v>
      </c>
      <c r="Q257">
        <v>77</v>
      </c>
      <c r="R257" t="s">
        <v>62</v>
      </c>
      <c r="S257" t="s">
        <v>3104</v>
      </c>
      <c r="T257" t="s">
        <v>63</v>
      </c>
      <c r="U257" t="s">
        <v>30</v>
      </c>
    </row>
    <row r="258" spans="1:21" x14ac:dyDescent="0.35">
      <c r="A258" t="s">
        <v>3413</v>
      </c>
      <c r="B258" s="1">
        <v>46343</v>
      </c>
      <c r="C258" t="s">
        <v>3097</v>
      </c>
      <c r="D258" t="s">
        <v>3399</v>
      </c>
      <c r="E258" t="s">
        <v>102</v>
      </c>
      <c r="F258" t="s">
        <v>3414</v>
      </c>
      <c r="G258" s="1">
        <v>46356</v>
      </c>
      <c r="H258" t="s">
        <v>2441</v>
      </c>
      <c r="I258" t="s">
        <v>39</v>
      </c>
      <c r="J258" t="s">
        <v>24</v>
      </c>
      <c r="K258" t="s">
        <v>60</v>
      </c>
      <c r="L258">
        <v>1</v>
      </c>
      <c r="M258">
        <v>30</v>
      </c>
      <c r="N258" t="s">
        <v>26</v>
      </c>
      <c r="O258">
        <v>0</v>
      </c>
      <c r="P258">
        <v>0</v>
      </c>
      <c r="Q258">
        <v>30</v>
      </c>
      <c r="R258" t="s">
        <v>94</v>
      </c>
      <c r="S258" t="s">
        <v>3104</v>
      </c>
      <c r="T258" t="s">
        <v>51</v>
      </c>
      <c r="U258" t="s">
        <v>36</v>
      </c>
    </row>
    <row r="259" spans="1:21" x14ac:dyDescent="0.35">
      <c r="A259" t="s">
        <v>3415</v>
      </c>
      <c r="B259" s="1">
        <v>46343</v>
      </c>
      <c r="C259" t="s">
        <v>3097</v>
      </c>
      <c r="D259" t="s">
        <v>3399</v>
      </c>
      <c r="E259" t="s">
        <v>102</v>
      </c>
      <c r="F259" t="s">
        <v>3414</v>
      </c>
      <c r="G259" s="1">
        <v>46356</v>
      </c>
      <c r="H259" t="s">
        <v>2441</v>
      </c>
      <c r="I259" t="s">
        <v>23</v>
      </c>
      <c r="J259" t="s">
        <v>65</v>
      </c>
      <c r="K259" t="s">
        <v>40</v>
      </c>
      <c r="L259">
        <v>3</v>
      </c>
      <c r="M259">
        <v>30</v>
      </c>
      <c r="N259" t="s">
        <v>26</v>
      </c>
      <c r="O259">
        <v>0</v>
      </c>
      <c r="P259">
        <v>0</v>
      </c>
      <c r="Q259">
        <v>90</v>
      </c>
      <c r="R259" t="s">
        <v>42</v>
      </c>
      <c r="S259" t="s">
        <v>3104</v>
      </c>
      <c r="T259" t="s">
        <v>51</v>
      </c>
      <c r="U259" t="s">
        <v>30</v>
      </c>
    </row>
    <row r="260" spans="1:21" x14ac:dyDescent="0.35">
      <c r="A260" t="s">
        <v>3416</v>
      </c>
      <c r="B260" s="1">
        <v>46346</v>
      </c>
      <c r="C260" t="s">
        <v>3097</v>
      </c>
      <c r="D260" t="s">
        <v>3399</v>
      </c>
      <c r="E260" t="s">
        <v>38</v>
      </c>
      <c r="F260" t="s">
        <v>3414</v>
      </c>
      <c r="G260" s="1">
        <v>46356</v>
      </c>
      <c r="H260" t="s">
        <v>2441</v>
      </c>
      <c r="I260" t="s">
        <v>32</v>
      </c>
      <c r="J260" t="s">
        <v>24</v>
      </c>
      <c r="K260" t="s">
        <v>92</v>
      </c>
      <c r="L260">
        <v>1</v>
      </c>
      <c r="M260">
        <v>110</v>
      </c>
      <c r="N260" t="s">
        <v>26</v>
      </c>
      <c r="O260">
        <v>0</v>
      </c>
      <c r="P260">
        <v>0</v>
      </c>
      <c r="Q260">
        <v>110</v>
      </c>
      <c r="R260" t="s">
        <v>42</v>
      </c>
      <c r="S260" t="s">
        <v>3104</v>
      </c>
      <c r="T260" t="s">
        <v>83</v>
      </c>
      <c r="U260" t="s">
        <v>30</v>
      </c>
    </row>
    <row r="261" spans="1:21" x14ac:dyDescent="0.35">
      <c r="A261" t="s">
        <v>3417</v>
      </c>
      <c r="B261" s="1">
        <v>46347</v>
      </c>
      <c r="C261" t="s">
        <v>3097</v>
      </c>
      <c r="D261" t="s">
        <v>3399</v>
      </c>
      <c r="E261" t="s">
        <v>56</v>
      </c>
      <c r="F261" t="s">
        <v>3414</v>
      </c>
      <c r="G261" s="1">
        <v>46356</v>
      </c>
      <c r="H261" t="s">
        <v>2441</v>
      </c>
      <c r="I261" t="s">
        <v>32</v>
      </c>
      <c r="J261" t="s">
        <v>24</v>
      </c>
      <c r="K261" t="s">
        <v>40</v>
      </c>
      <c r="L261">
        <v>1</v>
      </c>
      <c r="M261">
        <v>75</v>
      </c>
      <c r="N261" t="s">
        <v>26</v>
      </c>
      <c r="O261">
        <v>0</v>
      </c>
      <c r="P261">
        <v>15</v>
      </c>
      <c r="Q261">
        <v>60</v>
      </c>
      <c r="R261" t="s">
        <v>62</v>
      </c>
      <c r="S261" t="s">
        <v>3104</v>
      </c>
      <c r="T261" t="s">
        <v>63</v>
      </c>
      <c r="U261" t="s">
        <v>36</v>
      </c>
    </row>
    <row r="262" spans="1:21" x14ac:dyDescent="0.35">
      <c r="A262" t="s">
        <v>3418</v>
      </c>
      <c r="B262" s="1">
        <v>46347</v>
      </c>
      <c r="C262" t="s">
        <v>3097</v>
      </c>
      <c r="D262" t="s">
        <v>3399</v>
      </c>
      <c r="E262" t="s">
        <v>56</v>
      </c>
      <c r="F262" t="s">
        <v>3414</v>
      </c>
      <c r="G262" s="1">
        <v>46356</v>
      </c>
      <c r="H262" t="s">
        <v>2441</v>
      </c>
      <c r="I262" t="s">
        <v>53</v>
      </c>
      <c r="J262" t="s">
        <v>127</v>
      </c>
      <c r="K262" t="s">
        <v>60</v>
      </c>
      <c r="L262">
        <v>1</v>
      </c>
      <c r="M262">
        <v>9</v>
      </c>
      <c r="N262" t="s">
        <v>70</v>
      </c>
      <c r="O262">
        <v>10</v>
      </c>
      <c r="P262">
        <v>0</v>
      </c>
      <c r="Q262">
        <v>19</v>
      </c>
      <c r="R262" t="s">
        <v>42</v>
      </c>
      <c r="S262" t="s">
        <v>3104</v>
      </c>
      <c r="T262" t="s">
        <v>90</v>
      </c>
      <c r="U262" t="s">
        <v>58</v>
      </c>
    </row>
    <row r="263" spans="1:21" x14ac:dyDescent="0.35">
      <c r="A263" t="s">
        <v>3419</v>
      </c>
      <c r="B263" s="1">
        <v>46348</v>
      </c>
      <c r="C263" t="s">
        <v>3097</v>
      </c>
      <c r="D263" t="s">
        <v>3399</v>
      </c>
      <c r="E263" t="s">
        <v>68</v>
      </c>
      <c r="F263" t="s">
        <v>3420</v>
      </c>
      <c r="G263" s="1">
        <v>46356</v>
      </c>
      <c r="H263" t="s">
        <v>2441</v>
      </c>
      <c r="I263" t="s">
        <v>32</v>
      </c>
      <c r="J263" t="s">
        <v>138</v>
      </c>
      <c r="K263" t="s">
        <v>60</v>
      </c>
      <c r="L263">
        <v>2</v>
      </c>
      <c r="M263">
        <v>29</v>
      </c>
      <c r="N263" t="s">
        <v>41</v>
      </c>
      <c r="O263">
        <v>5</v>
      </c>
      <c r="P263">
        <v>0</v>
      </c>
      <c r="Q263">
        <v>63</v>
      </c>
      <c r="R263" t="s">
        <v>42</v>
      </c>
      <c r="S263" t="s">
        <v>3104</v>
      </c>
      <c r="T263" t="s">
        <v>83</v>
      </c>
      <c r="U263" t="s">
        <v>58</v>
      </c>
    </row>
    <row r="264" spans="1:21" x14ac:dyDescent="0.35">
      <c r="A264" t="s">
        <v>3421</v>
      </c>
      <c r="B264" s="1">
        <v>46349</v>
      </c>
      <c r="C264" t="s">
        <v>3097</v>
      </c>
      <c r="D264" t="s">
        <v>3399</v>
      </c>
      <c r="E264" t="s">
        <v>74</v>
      </c>
      <c r="F264" t="s">
        <v>3420</v>
      </c>
      <c r="G264" s="1">
        <v>46356</v>
      </c>
      <c r="H264" t="s">
        <v>2441</v>
      </c>
      <c r="I264" t="s">
        <v>53</v>
      </c>
      <c r="J264" t="s">
        <v>49</v>
      </c>
      <c r="K264" t="s">
        <v>60</v>
      </c>
      <c r="L264">
        <v>1</v>
      </c>
      <c r="M264">
        <v>22</v>
      </c>
      <c r="N264" t="s">
        <v>75</v>
      </c>
      <c r="O264">
        <v>15</v>
      </c>
      <c r="P264">
        <v>0</v>
      </c>
      <c r="Q264">
        <v>37</v>
      </c>
      <c r="R264" t="s">
        <v>42</v>
      </c>
      <c r="S264" t="s">
        <v>3104</v>
      </c>
      <c r="T264" t="s">
        <v>29</v>
      </c>
      <c r="U264" t="s">
        <v>36</v>
      </c>
    </row>
    <row r="265" spans="1:21" x14ac:dyDescent="0.35">
      <c r="A265" t="s">
        <v>3422</v>
      </c>
      <c r="B265" s="1">
        <v>46350</v>
      </c>
      <c r="C265" t="s">
        <v>3097</v>
      </c>
      <c r="D265" t="s">
        <v>3399</v>
      </c>
      <c r="E265" t="s">
        <v>102</v>
      </c>
      <c r="F265" t="s">
        <v>3420</v>
      </c>
      <c r="G265" s="1">
        <v>46356</v>
      </c>
      <c r="H265" t="s">
        <v>2441</v>
      </c>
      <c r="I265" t="s">
        <v>53</v>
      </c>
      <c r="J265" t="s">
        <v>86</v>
      </c>
      <c r="K265" t="s">
        <v>60</v>
      </c>
      <c r="L265">
        <v>1</v>
      </c>
      <c r="M265">
        <v>27</v>
      </c>
      <c r="N265" t="s">
        <v>26</v>
      </c>
      <c r="O265">
        <v>0</v>
      </c>
      <c r="P265">
        <v>0</v>
      </c>
      <c r="Q265">
        <v>27</v>
      </c>
      <c r="R265" t="s">
        <v>62</v>
      </c>
      <c r="S265" t="s">
        <v>3104</v>
      </c>
      <c r="T265" t="s">
        <v>29</v>
      </c>
      <c r="U265" t="s">
        <v>36</v>
      </c>
    </row>
    <row r="266" spans="1:21" x14ac:dyDescent="0.35">
      <c r="A266" t="s">
        <v>3423</v>
      </c>
      <c r="B266" s="1">
        <v>46351</v>
      </c>
      <c r="C266" t="s">
        <v>3097</v>
      </c>
      <c r="D266" t="s">
        <v>3399</v>
      </c>
      <c r="E266" t="s">
        <v>109</v>
      </c>
      <c r="F266" t="s">
        <v>3420</v>
      </c>
      <c r="G266" s="1">
        <v>46356</v>
      </c>
      <c r="H266" t="s">
        <v>2441</v>
      </c>
      <c r="I266" t="s">
        <v>39</v>
      </c>
      <c r="J266" t="s">
        <v>111</v>
      </c>
      <c r="K266" t="s">
        <v>25</v>
      </c>
      <c r="L266">
        <v>1</v>
      </c>
      <c r="M266">
        <v>18</v>
      </c>
      <c r="N266" t="s">
        <v>87</v>
      </c>
      <c r="O266">
        <v>18</v>
      </c>
      <c r="P266">
        <v>0</v>
      </c>
      <c r="Q266">
        <v>36</v>
      </c>
      <c r="R266" t="s">
        <v>42</v>
      </c>
      <c r="S266" t="s">
        <v>3104</v>
      </c>
      <c r="T266" t="s">
        <v>29</v>
      </c>
      <c r="U266" t="s">
        <v>79</v>
      </c>
    </row>
    <row r="267" spans="1:21" x14ac:dyDescent="0.35">
      <c r="A267" t="s">
        <v>3424</v>
      </c>
      <c r="B267" s="1">
        <v>46351</v>
      </c>
      <c r="C267" t="s">
        <v>3097</v>
      </c>
      <c r="D267" t="s">
        <v>3399</v>
      </c>
      <c r="E267" t="s">
        <v>109</v>
      </c>
      <c r="F267" t="s">
        <v>3420</v>
      </c>
      <c r="G267" s="1">
        <v>46356</v>
      </c>
      <c r="H267" t="s">
        <v>2441</v>
      </c>
      <c r="I267" t="s">
        <v>53</v>
      </c>
      <c r="J267" t="s">
        <v>127</v>
      </c>
      <c r="K267" t="s">
        <v>40</v>
      </c>
      <c r="L267">
        <v>1</v>
      </c>
      <c r="M267">
        <v>23</v>
      </c>
      <c r="N267" t="s">
        <v>26</v>
      </c>
      <c r="O267">
        <v>0</v>
      </c>
      <c r="P267">
        <v>5</v>
      </c>
      <c r="Q267">
        <v>18</v>
      </c>
      <c r="R267" t="s">
        <v>62</v>
      </c>
      <c r="S267" t="s">
        <v>3104</v>
      </c>
      <c r="T267" t="s">
        <v>51</v>
      </c>
      <c r="U267" t="s">
        <v>58</v>
      </c>
    </row>
    <row r="268" spans="1:21" x14ac:dyDescent="0.35">
      <c r="A268" t="s">
        <v>3425</v>
      </c>
      <c r="B268" s="1">
        <v>46351</v>
      </c>
      <c r="C268" t="s">
        <v>3097</v>
      </c>
      <c r="D268" t="s">
        <v>3399</v>
      </c>
      <c r="E268" t="s">
        <v>109</v>
      </c>
      <c r="F268" t="s">
        <v>3420</v>
      </c>
      <c r="G268" s="1">
        <v>46356</v>
      </c>
      <c r="H268" t="s">
        <v>2441</v>
      </c>
      <c r="I268" t="s">
        <v>23</v>
      </c>
      <c r="J268" t="s">
        <v>86</v>
      </c>
      <c r="K268" t="s">
        <v>60</v>
      </c>
      <c r="L268">
        <v>1</v>
      </c>
      <c r="M268">
        <v>27</v>
      </c>
      <c r="N268" t="s">
        <v>75</v>
      </c>
      <c r="O268">
        <v>15</v>
      </c>
      <c r="P268">
        <v>0</v>
      </c>
      <c r="Q268">
        <v>42</v>
      </c>
      <c r="R268" t="s">
        <v>42</v>
      </c>
      <c r="S268" t="s">
        <v>3104</v>
      </c>
      <c r="T268" t="s">
        <v>29</v>
      </c>
      <c r="U268" t="s">
        <v>30</v>
      </c>
    </row>
    <row r="269" spans="1:21" x14ac:dyDescent="0.35">
      <c r="A269" t="s">
        <v>3426</v>
      </c>
      <c r="B269" s="1">
        <v>46351</v>
      </c>
      <c r="C269" t="s">
        <v>3097</v>
      </c>
      <c r="D269" t="s">
        <v>3399</v>
      </c>
      <c r="E269" t="s">
        <v>109</v>
      </c>
      <c r="F269" t="s">
        <v>3420</v>
      </c>
      <c r="G269" s="1">
        <v>46356</v>
      </c>
      <c r="H269" t="s">
        <v>2441</v>
      </c>
      <c r="I269" t="s">
        <v>23</v>
      </c>
      <c r="J269" t="s">
        <v>65</v>
      </c>
      <c r="K269" t="s">
        <v>40</v>
      </c>
      <c r="L269">
        <v>1</v>
      </c>
      <c r="M269">
        <v>30</v>
      </c>
      <c r="N269" t="s">
        <v>26</v>
      </c>
      <c r="O269">
        <v>0</v>
      </c>
      <c r="P269">
        <v>0</v>
      </c>
      <c r="Q269">
        <v>30</v>
      </c>
      <c r="R269" t="s">
        <v>62</v>
      </c>
      <c r="S269" t="s">
        <v>3104</v>
      </c>
      <c r="T269" t="s">
        <v>90</v>
      </c>
      <c r="U269" t="s">
        <v>30</v>
      </c>
    </row>
    <row r="270" spans="1:21" x14ac:dyDescent="0.35">
      <c r="A270" t="s">
        <v>3427</v>
      </c>
      <c r="B270" s="1">
        <v>46351</v>
      </c>
      <c r="C270" t="s">
        <v>3097</v>
      </c>
      <c r="D270" t="s">
        <v>3399</v>
      </c>
      <c r="E270" t="s">
        <v>109</v>
      </c>
      <c r="F270" t="s">
        <v>3420</v>
      </c>
      <c r="G270" s="1">
        <v>46356</v>
      </c>
      <c r="H270" t="s">
        <v>2441</v>
      </c>
      <c r="I270" t="s">
        <v>23</v>
      </c>
      <c r="J270" t="s">
        <v>78</v>
      </c>
      <c r="K270" t="s">
        <v>92</v>
      </c>
      <c r="L270">
        <v>1</v>
      </c>
      <c r="M270">
        <v>88</v>
      </c>
      <c r="N270" t="s">
        <v>26</v>
      </c>
      <c r="O270">
        <v>0</v>
      </c>
      <c r="P270">
        <v>10</v>
      </c>
      <c r="Q270">
        <v>78</v>
      </c>
      <c r="R270" t="s">
        <v>62</v>
      </c>
      <c r="S270" t="s">
        <v>3104</v>
      </c>
      <c r="T270" t="s">
        <v>63</v>
      </c>
      <c r="U270" t="s">
        <v>58</v>
      </c>
    </row>
    <row r="271" spans="1:21" x14ac:dyDescent="0.35">
      <c r="A271" t="s">
        <v>3428</v>
      </c>
      <c r="B271" s="1">
        <v>46351</v>
      </c>
      <c r="C271" t="s">
        <v>3097</v>
      </c>
      <c r="D271" t="s">
        <v>3399</v>
      </c>
      <c r="E271" t="s">
        <v>109</v>
      </c>
      <c r="F271" t="s">
        <v>3420</v>
      </c>
      <c r="G271" s="1">
        <v>46356</v>
      </c>
      <c r="H271" t="s">
        <v>2441</v>
      </c>
      <c r="I271" t="s">
        <v>32</v>
      </c>
      <c r="J271" t="s">
        <v>33</v>
      </c>
      <c r="K271" t="s">
        <v>25</v>
      </c>
      <c r="L271">
        <v>1</v>
      </c>
      <c r="M271">
        <v>38</v>
      </c>
      <c r="N271" t="s">
        <v>26</v>
      </c>
      <c r="O271">
        <v>0</v>
      </c>
      <c r="P271">
        <v>0</v>
      </c>
      <c r="Q271">
        <v>38</v>
      </c>
      <c r="R271" t="s">
        <v>62</v>
      </c>
      <c r="S271" t="s">
        <v>3104</v>
      </c>
      <c r="T271" t="s">
        <v>63</v>
      </c>
      <c r="U271" t="s">
        <v>58</v>
      </c>
    </row>
    <row r="272" spans="1:21" x14ac:dyDescent="0.35">
      <c r="A272" t="s">
        <v>3429</v>
      </c>
      <c r="B272" s="1">
        <v>46352</v>
      </c>
      <c r="C272" t="s">
        <v>3097</v>
      </c>
      <c r="D272" t="s">
        <v>3399</v>
      </c>
      <c r="E272" t="s">
        <v>21</v>
      </c>
      <c r="F272" t="s">
        <v>3420</v>
      </c>
      <c r="G272" s="1">
        <v>46356</v>
      </c>
      <c r="H272" t="s">
        <v>2441</v>
      </c>
      <c r="I272" t="s">
        <v>32</v>
      </c>
      <c r="J272" t="s">
        <v>138</v>
      </c>
      <c r="K272" t="s">
        <v>40</v>
      </c>
      <c r="L272">
        <v>1</v>
      </c>
      <c r="M272">
        <v>72</v>
      </c>
      <c r="N272" t="s">
        <v>26</v>
      </c>
      <c r="O272">
        <v>0</v>
      </c>
      <c r="P272">
        <v>0</v>
      </c>
      <c r="Q272">
        <v>72</v>
      </c>
      <c r="R272" t="s">
        <v>62</v>
      </c>
      <c r="S272" t="s">
        <v>3104</v>
      </c>
      <c r="T272" t="s">
        <v>29</v>
      </c>
      <c r="U272" t="s">
        <v>30</v>
      </c>
    </row>
    <row r="273" spans="1:21" x14ac:dyDescent="0.35">
      <c r="A273" t="s">
        <v>3430</v>
      </c>
      <c r="B273" s="1">
        <v>46356</v>
      </c>
      <c r="C273" t="s">
        <v>3097</v>
      </c>
      <c r="D273" t="s">
        <v>3399</v>
      </c>
      <c r="E273" t="s">
        <v>74</v>
      </c>
      <c r="F273" t="s">
        <v>3431</v>
      </c>
      <c r="G273" s="1">
        <v>46356</v>
      </c>
      <c r="H273" t="s">
        <v>2441</v>
      </c>
      <c r="I273" t="s">
        <v>53</v>
      </c>
      <c r="J273" t="s">
        <v>86</v>
      </c>
      <c r="K273" t="s">
        <v>60</v>
      </c>
      <c r="L273">
        <v>1</v>
      </c>
      <c r="M273">
        <v>27</v>
      </c>
      <c r="N273" t="s">
        <v>41</v>
      </c>
      <c r="O273">
        <v>5</v>
      </c>
      <c r="P273">
        <v>0</v>
      </c>
      <c r="Q273">
        <v>32</v>
      </c>
      <c r="R273" t="s">
        <v>27</v>
      </c>
      <c r="S273" t="s">
        <v>3104</v>
      </c>
      <c r="T273" t="s">
        <v>63</v>
      </c>
      <c r="U273" t="s">
        <v>30</v>
      </c>
    </row>
    <row r="274" spans="1:21" x14ac:dyDescent="0.35">
      <c r="A274" t="s">
        <v>3432</v>
      </c>
      <c r="B274" s="1">
        <v>46356</v>
      </c>
      <c r="C274" t="s">
        <v>3097</v>
      </c>
      <c r="D274" t="s">
        <v>3399</v>
      </c>
      <c r="E274" t="s">
        <v>74</v>
      </c>
      <c r="F274" t="s">
        <v>3431</v>
      </c>
      <c r="G274" s="1">
        <v>46356</v>
      </c>
      <c r="H274" t="s">
        <v>2441</v>
      </c>
      <c r="I274" t="s">
        <v>23</v>
      </c>
      <c r="J274" t="s">
        <v>24</v>
      </c>
      <c r="K274" t="s">
        <v>92</v>
      </c>
      <c r="L274">
        <v>1</v>
      </c>
      <c r="M274">
        <v>110</v>
      </c>
      <c r="N274" t="s">
        <v>26</v>
      </c>
      <c r="O274">
        <v>0</v>
      </c>
      <c r="P274">
        <v>0</v>
      </c>
      <c r="Q274">
        <v>110</v>
      </c>
      <c r="R274" t="s">
        <v>94</v>
      </c>
      <c r="S274" t="s">
        <v>3104</v>
      </c>
      <c r="T274" t="s">
        <v>51</v>
      </c>
      <c r="U274" t="s">
        <v>36</v>
      </c>
    </row>
    <row r="275" spans="1:21" x14ac:dyDescent="0.35">
      <c r="A275" t="s">
        <v>3433</v>
      </c>
      <c r="B275" s="1">
        <v>46359</v>
      </c>
      <c r="C275" t="s">
        <v>3098</v>
      </c>
      <c r="D275" t="s">
        <v>3434</v>
      </c>
      <c r="E275" t="s">
        <v>21</v>
      </c>
      <c r="F275" t="s">
        <v>3431</v>
      </c>
      <c r="G275" s="1">
        <v>46387</v>
      </c>
      <c r="H275" t="s">
        <v>22</v>
      </c>
      <c r="I275" t="s">
        <v>32</v>
      </c>
      <c r="J275" t="s">
        <v>65</v>
      </c>
      <c r="K275" t="s">
        <v>60</v>
      </c>
      <c r="L275">
        <v>1</v>
      </c>
      <c r="M275">
        <v>12</v>
      </c>
      <c r="N275" t="s">
        <v>26</v>
      </c>
      <c r="O275">
        <v>0</v>
      </c>
      <c r="P275">
        <v>0</v>
      </c>
      <c r="Q275">
        <v>12</v>
      </c>
      <c r="R275" t="s">
        <v>27</v>
      </c>
      <c r="S275" t="s">
        <v>3104</v>
      </c>
      <c r="T275" t="s">
        <v>51</v>
      </c>
      <c r="U275" t="s">
        <v>30</v>
      </c>
    </row>
    <row r="276" spans="1:21" x14ac:dyDescent="0.35">
      <c r="A276" t="s">
        <v>3435</v>
      </c>
      <c r="B276" s="1">
        <v>46366</v>
      </c>
      <c r="C276" t="s">
        <v>3098</v>
      </c>
      <c r="D276" t="s">
        <v>3434</v>
      </c>
      <c r="E276" t="s">
        <v>21</v>
      </c>
      <c r="F276" t="s">
        <v>3436</v>
      </c>
      <c r="G276" s="1">
        <v>46387</v>
      </c>
      <c r="H276" t="s">
        <v>22</v>
      </c>
      <c r="I276" t="s">
        <v>48</v>
      </c>
      <c r="J276" t="s">
        <v>49</v>
      </c>
      <c r="K276" t="s">
        <v>92</v>
      </c>
      <c r="L276">
        <v>1</v>
      </c>
      <c r="M276">
        <v>79</v>
      </c>
      <c r="N276" t="s">
        <v>26</v>
      </c>
      <c r="O276">
        <v>0</v>
      </c>
      <c r="P276">
        <v>0</v>
      </c>
      <c r="Q276">
        <v>79</v>
      </c>
      <c r="R276" t="s">
        <v>94</v>
      </c>
      <c r="S276" t="s">
        <v>3104</v>
      </c>
      <c r="T276" t="s">
        <v>29</v>
      </c>
      <c r="U276" t="s">
        <v>58</v>
      </c>
    </row>
    <row r="277" spans="1:21" x14ac:dyDescent="0.35">
      <c r="A277" t="s">
        <v>3437</v>
      </c>
      <c r="B277" s="1">
        <v>46368</v>
      </c>
      <c r="C277" t="s">
        <v>3098</v>
      </c>
      <c r="D277" t="s">
        <v>3434</v>
      </c>
      <c r="E277" t="s">
        <v>56</v>
      </c>
      <c r="F277" t="s">
        <v>3436</v>
      </c>
      <c r="G277" s="1">
        <v>46387</v>
      </c>
      <c r="H277" t="s">
        <v>22</v>
      </c>
      <c r="I277" t="s">
        <v>32</v>
      </c>
      <c r="J277" t="s">
        <v>65</v>
      </c>
      <c r="K277" t="s">
        <v>25</v>
      </c>
      <c r="L277">
        <v>1</v>
      </c>
      <c r="M277">
        <v>20</v>
      </c>
      <c r="N277" t="s">
        <v>89</v>
      </c>
      <c r="O277">
        <v>7</v>
      </c>
      <c r="P277">
        <v>0</v>
      </c>
      <c r="Q277">
        <v>27</v>
      </c>
      <c r="R277" t="s">
        <v>27</v>
      </c>
      <c r="S277" t="s">
        <v>3104</v>
      </c>
      <c r="T277" t="s">
        <v>90</v>
      </c>
      <c r="U277" t="s">
        <v>30</v>
      </c>
    </row>
    <row r="278" spans="1:21" x14ac:dyDescent="0.35">
      <c r="A278" t="s">
        <v>3438</v>
      </c>
      <c r="B278" s="1">
        <v>46369</v>
      </c>
      <c r="C278" t="s">
        <v>3098</v>
      </c>
      <c r="D278" t="s">
        <v>3434</v>
      </c>
      <c r="E278" t="s">
        <v>68</v>
      </c>
      <c r="F278" t="s">
        <v>3439</v>
      </c>
      <c r="G278" s="1">
        <v>46387</v>
      </c>
      <c r="H278" t="s">
        <v>22</v>
      </c>
      <c r="I278" t="s">
        <v>23</v>
      </c>
      <c r="J278" t="s">
        <v>49</v>
      </c>
      <c r="K278" t="s">
        <v>60</v>
      </c>
      <c r="L278">
        <v>1</v>
      </c>
      <c r="M278">
        <v>22</v>
      </c>
      <c r="N278" t="s">
        <v>26</v>
      </c>
      <c r="O278">
        <v>0</v>
      </c>
      <c r="P278">
        <v>0</v>
      </c>
      <c r="Q278">
        <v>22</v>
      </c>
      <c r="R278" t="s">
        <v>27</v>
      </c>
      <c r="S278" t="s">
        <v>3104</v>
      </c>
      <c r="T278" t="s">
        <v>90</v>
      </c>
      <c r="U278" t="s">
        <v>30</v>
      </c>
    </row>
    <row r="279" spans="1:21" x14ac:dyDescent="0.35">
      <c r="A279" t="s">
        <v>3440</v>
      </c>
      <c r="B279" s="1">
        <v>46369</v>
      </c>
      <c r="C279" t="s">
        <v>3098</v>
      </c>
      <c r="D279" t="s">
        <v>3434</v>
      </c>
      <c r="E279" t="s">
        <v>68</v>
      </c>
      <c r="F279" t="s">
        <v>3439</v>
      </c>
      <c r="G279" s="1">
        <v>46387</v>
      </c>
      <c r="H279" t="s">
        <v>22</v>
      </c>
      <c r="I279" t="s">
        <v>48</v>
      </c>
      <c r="J279" t="s">
        <v>127</v>
      </c>
      <c r="K279" t="s">
        <v>40</v>
      </c>
      <c r="L279">
        <v>1</v>
      </c>
      <c r="M279">
        <v>23</v>
      </c>
      <c r="N279" t="s">
        <v>26</v>
      </c>
      <c r="O279">
        <v>0</v>
      </c>
      <c r="P279">
        <v>0</v>
      </c>
      <c r="Q279">
        <v>23</v>
      </c>
      <c r="R279" t="s">
        <v>94</v>
      </c>
      <c r="S279" t="s">
        <v>3104</v>
      </c>
      <c r="T279" t="s">
        <v>83</v>
      </c>
      <c r="U279" t="s">
        <v>79</v>
      </c>
    </row>
    <row r="280" spans="1:21" x14ac:dyDescent="0.35">
      <c r="A280" t="s">
        <v>3441</v>
      </c>
      <c r="B280" s="1">
        <v>46369</v>
      </c>
      <c r="C280" t="s">
        <v>3098</v>
      </c>
      <c r="D280" t="s">
        <v>3434</v>
      </c>
      <c r="E280" t="s">
        <v>68</v>
      </c>
      <c r="F280" t="s">
        <v>3439</v>
      </c>
      <c r="G280" s="1">
        <v>46387</v>
      </c>
      <c r="H280" t="s">
        <v>22</v>
      </c>
      <c r="I280" t="s">
        <v>23</v>
      </c>
      <c r="J280" t="s">
        <v>65</v>
      </c>
      <c r="K280" t="s">
        <v>60</v>
      </c>
      <c r="L280">
        <v>2</v>
      </c>
      <c r="M280">
        <v>12</v>
      </c>
      <c r="N280" t="s">
        <v>89</v>
      </c>
      <c r="O280">
        <v>7</v>
      </c>
      <c r="P280">
        <v>5</v>
      </c>
      <c r="Q280">
        <v>26</v>
      </c>
      <c r="R280" t="s">
        <v>76</v>
      </c>
      <c r="S280" t="s">
        <v>3104</v>
      </c>
      <c r="T280" t="s">
        <v>29</v>
      </c>
      <c r="U280" t="s">
        <v>30</v>
      </c>
    </row>
    <row r="281" spans="1:21" x14ac:dyDescent="0.35">
      <c r="A281" t="s">
        <v>3442</v>
      </c>
      <c r="B281" s="1">
        <v>46370</v>
      </c>
      <c r="C281" t="s">
        <v>3098</v>
      </c>
      <c r="D281" t="s">
        <v>3434</v>
      </c>
      <c r="E281" t="s">
        <v>74</v>
      </c>
      <c r="F281" t="s">
        <v>3439</v>
      </c>
      <c r="G281" s="1">
        <v>46387</v>
      </c>
      <c r="H281" t="s">
        <v>22</v>
      </c>
      <c r="I281" t="s">
        <v>53</v>
      </c>
      <c r="J281" t="s">
        <v>44</v>
      </c>
      <c r="K281" t="s">
        <v>40</v>
      </c>
      <c r="L281">
        <v>1</v>
      </c>
      <c r="M281">
        <v>78</v>
      </c>
      <c r="N281" t="s">
        <v>70</v>
      </c>
      <c r="O281">
        <v>10</v>
      </c>
      <c r="P281">
        <v>0</v>
      </c>
      <c r="Q281">
        <v>88</v>
      </c>
      <c r="R281" t="s">
        <v>62</v>
      </c>
      <c r="S281" t="s">
        <v>3104</v>
      </c>
      <c r="T281" t="s">
        <v>90</v>
      </c>
      <c r="U281" t="s">
        <v>30</v>
      </c>
    </row>
    <row r="282" spans="1:21" x14ac:dyDescent="0.35">
      <c r="A282" t="s">
        <v>3443</v>
      </c>
      <c r="B282" s="1">
        <v>46371</v>
      </c>
      <c r="C282" t="s">
        <v>3098</v>
      </c>
      <c r="D282" t="s">
        <v>3434</v>
      </c>
      <c r="E282" t="s">
        <v>102</v>
      </c>
      <c r="F282" t="s">
        <v>3439</v>
      </c>
      <c r="G282" s="1">
        <v>46387</v>
      </c>
      <c r="H282" t="s">
        <v>22</v>
      </c>
      <c r="I282" t="s">
        <v>48</v>
      </c>
      <c r="J282" t="s">
        <v>138</v>
      </c>
      <c r="K282" t="s">
        <v>60</v>
      </c>
      <c r="L282">
        <v>3</v>
      </c>
      <c r="M282">
        <v>29</v>
      </c>
      <c r="N282" t="s">
        <v>41</v>
      </c>
      <c r="O282">
        <v>5</v>
      </c>
      <c r="P282">
        <v>0</v>
      </c>
      <c r="Q282">
        <v>92</v>
      </c>
      <c r="R282" t="s">
        <v>94</v>
      </c>
      <c r="S282" t="s">
        <v>3104</v>
      </c>
      <c r="T282" t="s">
        <v>90</v>
      </c>
      <c r="U282" t="s">
        <v>79</v>
      </c>
    </row>
    <row r="283" spans="1:21" x14ac:dyDescent="0.35">
      <c r="A283" t="s">
        <v>3444</v>
      </c>
      <c r="B283" s="1">
        <v>46371</v>
      </c>
      <c r="C283" t="s">
        <v>3098</v>
      </c>
      <c r="D283" t="s">
        <v>3434</v>
      </c>
      <c r="E283" t="s">
        <v>102</v>
      </c>
      <c r="F283" t="s">
        <v>3439</v>
      </c>
      <c r="G283" s="1">
        <v>46387</v>
      </c>
      <c r="H283" t="s">
        <v>22</v>
      </c>
      <c r="I283" t="s">
        <v>39</v>
      </c>
      <c r="J283" t="s">
        <v>49</v>
      </c>
      <c r="K283" t="s">
        <v>92</v>
      </c>
      <c r="L283">
        <v>1</v>
      </c>
      <c r="M283">
        <v>79</v>
      </c>
      <c r="N283" t="s">
        <v>26</v>
      </c>
      <c r="O283">
        <v>0</v>
      </c>
      <c r="P283">
        <v>0</v>
      </c>
      <c r="Q283">
        <v>79</v>
      </c>
      <c r="R283" t="s">
        <v>94</v>
      </c>
      <c r="S283" t="s">
        <v>3104</v>
      </c>
      <c r="T283" t="s">
        <v>63</v>
      </c>
      <c r="U283" t="s">
        <v>30</v>
      </c>
    </row>
    <row r="284" spans="1:21" x14ac:dyDescent="0.35">
      <c r="A284" t="s">
        <v>3445</v>
      </c>
      <c r="B284" s="1">
        <v>46371</v>
      </c>
      <c r="C284" t="s">
        <v>3098</v>
      </c>
      <c r="D284" t="s">
        <v>3434</v>
      </c>
      <c r="E284" t="s">
        <v>102</v>
      </c>
      <c r="F284" t="s">
        <v>3439</v>
      </c>
      <c r="G284" s="1">
        <v>46387</v>
      </c>
      <c r="H284" t="s">
        <v>22</v>
      </c>
      <c r="I284" t="s">
        <v>39</v>
      </c>
      <c r="J284" t="s">
        <v>65</v>
      </c>
      <c r="K284" t="s">
        <v>60</v>
      </c>
      <c r="L284">
        <v>1</v>
      </c>
      <c r="M284">
        <v>12</v>
      </c>
      <c r="N284" t="s">
        <v>26</v>
      </c>
      <c r="O284">
        <v>0</v>
      </c>
      <c r="P284">
        <v>10</v>
      </c>
      <c r="Q284">
        <v>2</v>
      </c>
      <c r="R284" t="s">
        <v>42</v>
      </c>
      <c r="S284" t="s">
        <v>3104</v>
      </c>
      <c r="T284" t="s">
        <v>51</v>
      </c>
      <c r="U284" t="s">
        <v>30</v>
      </c>
    </row>
    <row r="285" spans="1:21" x14ac:dyDescent="0.35">
      <c r="A285" t="s">
        <v>3446</v>
      </c>
      <c r="B285" s="1">
        <v>46373</v>
      </c>
      <c r="C285" t="s">
        <v>3098</v>
      </c>
      <c r="D285" t="s">
        <v>3434</v>
      </c>
      <c r="E285" t="s">
        <v>21</v>
      </c>
      <c r="F285" t="s">
        <v>3439</v>
      </c>
      <c r="G285" s="1">
        <v>46387</v>
      </c>
      <c r="H285" t="s">
        <v>22</v>
      </c>
      <c r="I285" t="s">
        <v>53</v>
      </c>
      <c r="J285" t="s">
        <v>49</v>
      </c>
      <c r="K285" t="s">
        <v>25</v>
      </c>
      <c r="L285">
        <v>1</v>
      </c>
      <c r="M285">
        <v>36</v>
      </c>
      <c r="N285" t="s">
        <v>70</v>
      </c>
      <c r="O285">
        <v>10</v>
      </c>
      <c r="P285">
        <v>0</v>
      </c>
      <c r="Q285">
        <v>46</v>
      </c>
      <c r="R285" t="s">
        <v>27</v>
      </c>
      <c r="S285" t="s">
        <v>3104</v>
      </c>
      <c r="T285" t="s">
        <v>29</v>
      </c>
      <c r="U285" t="s">
        <v>30</v>
      </c>
    </row>
    <row r="286" spans="1:21" x14ac:dyDescent="0.35">
      <c r="A286" t="s">
        <v>3447</v>
      </c>
      <c r="B286" s="1">
        <v>46373</v>
      </c>
      <c r="C286" t="s">
        <v>3098</v>
      </c>
      <c r="D286" t="s">
        <v>3434</v>
      </c>
      <c r="E286" t="s">
        <v>21</v>
      </c>
      <c r="F286" t="s">
        <v>3439</v>
      </c>
      <c r="G286" s="1">
        <v>46387</v>
      </c>
      <c r="H286" t="s">
        <v>22</v>
      </c>
      <c r="I286" t="s">
        <v>32</v>
      </c>
      <c r="J286" t="s">
        <v>33</v>
      </c>
      <c r="K286" t="s">
        <v>60</v>
      </c>
      <c r="L286">
        <v>1</v>
      </c>
      <c r="M286">
        <v>23</v>
      </c>
      <c r="N286" t="s">
        <v>89</v>
      </c>
      <c r="O286">
        <v>7</v>
      </c>
      <c r="P286">
        <v>0</v>
      </c>
      <c r="Q286">
        <v>30</v>
      </c>
      <c r="R286" t="s">
        <v>62</v>
      </c>
      <c r="S286" t="s">
        <v>3104</v>
      </c>
      <c r="T286" t="s">
        <v>83</v>
      </c>
      <c r="U286" t="s">
        <v>36</v>
      </c>
    </row>
    <row r="287" spans="1:21" x14ac:dyDescent="0.35">
      <c r="A287" t="s">
        <v>3448</v>
      </c>
      <c r="B287" s="1">
        <v>46375</v>
      </c>
      <c r="C287" t="s">
        <v>3098</v>
      </c>
      <c r="D287" t="s">
        <v>3434</v>
      </c>
      <c r="E287" t="s">
        <v>56</v>
      </c>
      <c r="F287" t="s">
        <v>3439</v>
      </c>
      <c r="G287" s="1">
        <v>46387</v>
      </c>
      <c r="H287" t="s">
        <v>22</v>
      </c>
      <c r="I287" t="s">
        <v>39</v>
      </c>
      <c r="J287" t="s">
        <v>33</v>
      </c>
      <c r="K287" t="s">
        <v>25</v>
      </c>
      <c r="L287">
        <v>1</v>
      </c>
      <c r="M287">
        <v>38</v>
      </c>
      <c r="N287" t="s">
        <v>41</v>
      </c>
      <c r="O287">
        <v>5</v>
      </c>
      <c r="P287">
        <v>0</v>
      </c>
      <c r="Q287">
        <v>43</v>
      </c>
      <c r="R287" t="s">
        <v>27</v>
      </c>
      <c r="S287" t="s">
        <v>3104</v>
      </c>
      <c r="T287" t="s">
        <v>63</v>
      </c>
      <c r="U287" t="s">
        <v>79</v>
      </c>
    </row>
    <row r="288" spans="1:21" x14ac:dyDescent="0.35">
      <c r="A288" t="s">
        <v>3449</v>
      </c>
      <c r="B288" s="1">
        <v>46375</v>
      </c>
      <c r="C288" t="s">
        <v>3098</v>
      </c>
      <c r="D288" t="s">
        <v>3434</v>
      </c>
      <c r="E288" t="s">
        <v>56</v>
      </c>
      <c r="F288" t="s">
        <v>3439</v>
      </c>
      <c r="G288" s="1">
        <v>46387</v>
      </c>
      <c r="H288" t="s">
        <v>22</v>
      </c>
      <c r="I288" t="s">
        <v>32</v>
      </c>
      <c r="J288" t="s">
        <v>49</v>
      </c>
      <c r="K288" t="s">
        <v>92</v>
      </c>
      <c r="L288">
        <v>1</v>
      </c>
      <c r="M288">
        <v>79</v>
      </c>
      <c r="N288" t="s">
        <v>41</v>
      </c>
      <c r="O288">
        <v>5</v>
      </c>
      <c r="P288">
        <v>0</v>
      </c>
      <c r="Q288">
        <v>84</v>
      </c>
      <c r="R288" t="s">
        <v>76</v>
      </c>
      <c r="S288" t="s">
        <v>3104</v>
      </c>
      <c r="T288" t="s">
        <v>29</v>
      </c>
      <c r="U288" t="s">
        <v>30</v>
      </c>
    </row>
    <row r="289" spans="1:21" x14ac:dyDescent="0.35">
      <c r="A289" t="s">
        <v>3450</v>
      </c>
      <c r="B289" s="1">
        <v>46377</v>
      </c>
      <c r="C289" t="s">
        <v>3098</v>
      </c>
      <c r="D289" t="s">
        <v>3434</v>
      </c>
      <c r="E289" t="s">
        <v>74</v>
      </c>
      <c r="F289" t="s">
        <v>3451</v>
      </c>
      <c r="G289" s="1">
        <v>46387</v>
      </c>
      <c r="H289" t="s">
        <v>22</v>
      </c>
      <c r="I289" t="s">
        <v>23</v>
      </c>
      <c r="J289" t="s">
        <v>49</v>
      </c>
      <c r="K289" t="s">
        <v>92</v>
      </c>
      <c r="L289">
        <v>1</v>
      </c>
      <c r="M289">
        <v>79</v>
      </c>
      <c r="N289" t="s">
        <v>26</v>
      </c>
      <c r="O289">
        <v>0</v>
      </c>
      <c r="P289">
        <v>0</v>
      </c>
      <c r="Q289">
        <v>79</v>
      </c>
      <c r="R289" t="s">
        <v>27</v>
      </c>
      <c r="S289" t="s">
        <v>3104</v>
      </c>
      <c r="T289" t="s">
        <v>83</v>
      </c>
      <c r="U289" t="s">
        <v>30</v>
      </c>
    </row>
    <row r="290" spans="1:21" x14ac:dyDescent="0.35">
      <c r="A290" t="s">
        <v>3452</v>
      </c>
      <c r="B290" s="1">
        <v>46377</v>
      </c>
      <c r="C290" t="s">
        <v>3098</v>
      </c>
      <c r="D290" t="s">
        <v>3434</v>
      </c>
      <c r="E290" t="s">
        <v>74</v>
      </c>
      <c r="F290" t="s">
        <v>3451</v>
      </c>
      <c r="G290" s="1">
        <v>46387</v>
      </c>
      <c r="H290" t="s">
        <v>22</v>
      </c>
      <c r="I290" t="s">
        <v>53</v>
      </c>
      <c r="J290" t="s">
        <v>78</v>
      </c>
      <c r="K290" t="s">
        <v>92</v>
      </c>
      <c r="L290">
        <v>1</v>
      </c>
      <c r="M290">
        <v>88</v>
      </c>
      <c r="N290" t="s">
        <v>26</v>
      </c>
      <c r="O290">
        <v>0</v>
      </c>
      <c r="P290">
        <v>0</v>
      </c>
      <c r="Q290">
        <v>88</v>
      </c>
      <c r="R290" t="s">
        <v>42</v>
      </c>
      <c r="S290" t="s">
        <v>3104</v>
      </c>
      <c r="T290" t="s">
        <v>51</v>
      </c>
      <c r="U290" t="s">
        <v>30</v>
      </c>
    </row>
    <row r="291" spans="1:21" x14ac:dyDescent="0.35">
      <c r="A291" t="s">
        <v>3453</v>
      </c>
      <c r="B291" s="1">
        <v>46379</v>
      </c>
      <c r="C291" t="s">
        <v>3098</v>
      </c>
      <c r="D291" t="s">
        <v>3434</v>
      </c>
      <c r="E291" t="s">
        <v>109</v>
      </c>
      <c r="F291" t="s">
        <v>3451</v>
      </c>
      <c r="G291" s="1">
        <v>46387</v>
      </c>
      <c r="H291" t="s">
        <v>22</v>
      </c>
      <c r="I291" t="s">
        <v>53</v>
      </c>
      <c r="J291" t="s">
        <v>86</v>
      </c>
      <c r="K291" t="s">
        <v>40</v>
      </c>
      <c r="L291">
        <v>2</v>
      </c>
      <c r="M291">
        <v>68</v>
      </c>
      <c r="N291" t="s">
        <v>26</v>
      </c>
      <c r="O291">
        <v>0</v>
      </c>
      <c r="P291">
        <v>0</v>
      </c>
      <c r="Q291">
        <v>136</v>
      </c>
      <c r="R291" t="s">
        <v>62</v>
      </c>
      <c r="S291" t="s">
        <v>3104</v>
      </c>
      <c r="T291" t="s">
        <v>90</v>
      </c>
      <c r="U291" t="s">
        <v>30</v>
      </c>
    </row>
    <row r="292" spans="1:21" x14ac:dyDescent="0.35">
      <c r="A292" t="s">
        <v>3454</v>
      </c>
      <c r="B292" s="1">
        <v>46379</v>
      </c>
      <c r="C292" t="s">
        <v>3098</v>
      </c>
      <c r="D292" t="s">
        <v>3434</v>
      </c>
      <c r="E292" t="s">
        <v>109</v>
      </c>
      <c r="F292" t="s">
        <v>3451</v>
      </c>
      <c r="G292" s="1">
        <v>46387</v>
      </c>
      <c r="H292" t="s">
        <v>22</v>
      </c>
      <c r="I292" t="s">
        <v>53</v>
      </c>
      <c r="J292" t="s">
        <v>138</v>
      </c>
      <c r="K292" t="s">
        <v>92</v>
      </c>
      <c r="L292">
        <v>1</v>
      </c>
      <c r="M292">
        <v>106</v>
      </c>
      <c r="N292" t="s">
        <v>89</v>
      </c>
      <c r="O292">
        <v>7</v>
      </c>
      <c r="P292">
        <v>5</v>
      </c>
      <c r="Q292">
        <v>108</v>
      </c>
      <c r="R292" t="s">
        <v>94</v>
      </c>
      <c r="S292" t="s">
        <v>3104</v>
      </c>
      <c r="T292" t="s">
        <v>90</v>
      </c>
      <c r="U292" t="s">
        <v>30</v>
      </c>
    </row>
    <row r="293" spans="1:21" x14ac:dyDescent="0.35">
      <c r="A293" t="s">
        <v>3455</v>
      </c>
      <c r="B293" s="1">
        <v>46379</v>
      </c>
      <c r="C293" t="s">
        <v>3098</v>
      </c>
      <c r="D293" t="s">
        <v>3434</v>
      </c>
      <c r="E293" t="s">
        <v>109</v>
      </c>
      <c r="F293" t="s">
        <v>3451</v>
      </c>
      <c r="G293" s="1">
        <v>46387</v>
      </c>
      <c r="H293" t="s">
        <v>22</v>
      </c>
      <c r="I293" t="s">
        <v>39</v>
      </c>
      <c r="J293" t="s">
        <v>44</v>
      </c>
      <c r="K293" t="s">
        <v>92</v>
      </c>
      <c r="L293">
        <v>1</v>
      </c>
      <c r="M293">
        <v>114</v>
      </c>
      <c r="N293" t="s">
        <v>26</v>
      </c>
      <c r="O293">
        <v>0</v>
      </c>
      <c r="P293">
        <v>0</v>
      </c>
      <c r="Q293">
        <v>114</v>
      </c>
      <c r="R293" t="s">
        <v>27</v>
      </c>
      <c r="S293" t="s">
        <v>3104</v>
      </c>
      <c r="T293" t="s">
        <v>63</v>
      </c>
      <c r="U293" t="s">
        <v>30</v>
      </c>
    </row>
    <row r="294" spans="1:21" x14ac:dyDescent="0.35">
      <c r="A294" t="s">
        <v>3456</v>
      </c>
      <c r="B294" s="1">
        <v>46380</v>
      </c>
      <c r="C294" t="s">
        <v>3098</v>
      </c>
      <c r="D294" t="s">
        <v>3434</v>
      </c>
      <c r="E294" t="s">
        <v>21</v>
      </c>
      <c r="F294" t="s">
        <v>3451</v>
      </c>
      <c r="G294" s="1">
        <v>46387</v>
      </c>
      <c r="H294" t="s">
        <v>22</v>
      </c>
      <c r="I294" t="s">
        <v>32</v>
      </c>
      <c r="J294" t="s">
        <v>65</v>
      </c>
      <c r="K294" t="s">
        <v>25</v>
      </c>
      <c r="L294">
        <v>2</v>
      </c>
      <c r="M294">
        <v>20</v>
      </c>
      <c r="N294" t="s">
        <v>26</v>
      </c>
      <c r="O294">
        <v>0</v>
      </c>
      <c r="P294">
        <v>0</v>
      </c>
      <c r="Q294">
        <v>40</v>
      </c>
      <c r="R294" t="s">
        <v>62</v>
      </c>
      <c r="S294" t="s">
        <v>3104</v>
      </c>
      <c r="T294" t="s">
        <v>63</v>
      </c>
      <c r="U294" t="s">
        <v>36</v>
      </c>
    </row>
    <row r="295" spans="1:21" x14ac:dyDescent="0.35">
      <c r="A295" t="s">
        <v>3457</v>
      </c>
      <c r="B295" s="1">
        <v>46382</v>
      </c>
      <c r="C295" t="s">
        <v>3098</v>
      </c>
      <c r="D295" t="s">
        <v>3434</v>
      </c>
      <c r="E295" t="s">
        <v>56</v>
      </c>
      <c r="F295" t="s">
        <v>3451</v>
      </c>
      <c r="G295" s="1">
        <v>46387</v>
      </c>
      <c r="H295" t="s">
        <v>22</v>
      </c>
      <c r="I295" t="s">
        <v>23</v>
      </c>
      <c r="J295" t="s">
        <v>44</v>
      </c>
      <c r="K295" t="s">
        <v>60</v>
      </c>
      <c r="L295">
        <v>1</v>
      </c>
      <c r="M295">
        <v>31</v>
      </c>
      <c r="N295" t="s">
        <v>26</v>
      </c>
      <c r="O295">
        <v>0</v>
      </c>
      <c r="P295">
        <v>0</v>
      </c>
      <c r="Q295">
        <v>31</v>
      </c>
      <c r="R295" t="s">
        <v>76</v>
      </c>
      <c r="S295" t="s">
        <v>3104</v>
      </c>
      <c r="T295" t="s">
        <v>51</v>
      </c>
      <c r="U295" t="s">
        <v>58</v>
      </c>
    </row>
    <row r="296" spans="1:21" x14ac:dyDescent="0.35">
      <c r="A296" t="s">
        <v>3458</v>
      </c>
      <c r="B296" s="1">
        <v>46383</v>
      </c>
      <c r="C296" t="s">
        <v>3098</v>
      </c>
      <c r="D296" t="s">
        <v>3434</v>
      </c>
      <c r="E296" t="s">
        <v>68</v>
      </c>
      <c r="F296" t="s">
        <v>3459</v>
      </c>
      <c r="G296" s="1">
        <v>46387</v>
      </c>
      <c r="H296" t="s">
        <v>22</v>
      </c>
      <c r="I296" t="s">
        <v>48</v>
      </c>
      <c r="J296" t="s">
        <v>33</v>
      </c>
      <c r="K296" t="s">
        <v>25</v>
      </c>
      <c r="L296">
        <v>1</v>
      </c>
      <c r="M296">
        <v>38</v>
      </c>
      <c r="N296" t="s">
        <v>41</v>
      </c>
      <c r="O296">
        <v>5</v>
      </c>
      <c r="P296">
        <v>10</v>
      </c>
      <c r="Q296">
        <v>33</v>
      </c>
      <c r="R296" t="s">
        <v>76</v>
      </c>
      <c r="S296" t="s">
        <v>3104</v>
      </c>
      <c r="T296" t="s">
        <v>83</v>
      </c>
      <c r="U296" t="s">
        <v>30</v>
      </c>
    </row>
    <row r="297" spans="1:21" x14ac:dyDescent="0.35">
      <c r="A297" t="s">
        <v>3460</v>
      </c>
      <c r="B297" s="1">
        <v>46383</v>
      </c>
      <c r="C297" t="s">
        <v>3098</v>
      </c>
      <c r="D297" t="s">
        <v>3434</v>
      </c>
      <c r="E297" t="s">
        <v>68</v>
      </c>
      <c r="F297" t="s">
        <v>3459</v>
      </c>
      <c r="G297" s="1">
        <v>46387</v>
      </c>
      <c r="H297" t="s">
        <v>22</v>
      </c>
      <c r="I297" t="s">
        <v>39</v>
      </c>
      <c r="J297" t="s">
        <v>49</v>
      </c>
      <c r="K297" t="s">
        <v>60</v>
      </c>
      <c r="L297">
        <v>3</v>
      </c>
      <c r="M297">
        <v>22</v>
      </c>
      <c r="N297" t="s">
        <v>26</v>
      </c>
      <c r="O297">
        <v>0</v>
      </c>
      <c r="P297">
        <v>0</v>
      </c>
      <c r="Q297">
        <v>66</v>
      </c>
      <c r="R297" t="s">
        <v>94</v>
      </c>
      <c r="S297" t="s">
        <v>3104</v>
      </c>
      <c r="T297" t="s">
        <v>83</v>
      </c>
      <c r="U297" t="s">
        <v>79</v>
      </c>
    </row>
    <row r="298" spans="1:21" x14ac:dyDescent="0.35">
      <c r="A298" t="s">
        <v>3461</v>
      </c>
      <c r="B298" s="1">
        <v>46385</v>
      </c>
      <c r="C298" t="s">
        <v>3098</v>
      </c>
      <c r="D298" t="s">
        <v>3434</v>
      </c>
      <c r="E298" t="s">
        <v>102</v>
      </c>
      <c r="F298" t="s">
        <v>3459</v>
      </c>
      <c r="G298" s="1">
        <v>46387</v>
      </c>
      <c r="H298" t="s">
        <v>22</v>
      </c>
      <c r="I298" t="s">
        <v>39</v>
      </c>
      <c r="J298" t="s">
        <v>24</v>
      </c>
      <c r="K298" t="s">
        <v>40</v>
      </c>
      <c r="L298">
        <v>1</v>
      </c>
      <c r="M298">
        <v>75</v>
      </c>
      <c r="N298" t="s">
        <v>26</v>
      </c>
      <c r="O298">
        <v>0</v>
      </c>
      <c r="P298">
        <v>0</v>
      </c>
      <c r="Q298">
        <v>75</v>
      </c>
      <c r="R298" t="s">
        <v>42</v>
      </c>
      <c r="S298" t="s">
        <v>3104</v>
      </c>
      <c r="T298" t="s">
        <v>51</v>
      </c>
      <c r="U298" t="s">
        <v>30</v>
      </c>
    </row>
    <row r="299" spans="1:21" x14ac:dyDescent="0.35">
      <c r="A299" t="s">
        <v>3462</v>
      </c>
      <c r="B299" s="1">
        <v>46385</v>
      </c>
      <c r="C299" t="s">
        <v>3098</v>
      </c>
      <c r="D299" t="s">
        <v>3434</v>
      </c>
      <c r="E299" t="s">
        <v>102</v>
      </c>
      <c r="F299" t="s">
        <v>3459</v>
      </c>
      <c r="G299" s="1">
        <v>46387</v>
      </c>
      <c r="H299" t="s">
        <v>22</v>
      </c>
      <c r="I299" t="s">
        <v>53</v>
      </c>
      <c r="J299" t="s">
        <v>24</v>
      </c>
      <c r="K299" t="s">
        <v>25</v>
      </c>
      <c r="L299">
        <v>1</v>
      </c>
      <c r="M299">
        <v>50</v>
      </c>
      <c r="N299" t="s">
        <v>26</v>
      </c>
      <c r="O299">
        <v>0</v>
      </c>
      <c r="P299">
        <v>0</v>
      </c>
      <c r="Q299">
        <v>50</v>
      </c>
      <c r="R299" t="s">
        <v>94</v>
      </c>
      <c r="S299" t="s">
        <v>3104</v>
      </c>
      <c r="T299" t="s">
        <v>51</v>
      </c>
      <c r="U299" t="s">
        <v>30</v>
      </c>
    </row>
    <row r="300" spans="1:21" x14ac:dyDescent="0.35">
      <c r="A300" t="s">
        <v>3463</v>
      </c>
      <c r="B300" s="1">
        <v>46386</v>
      </c>
      <c r="C300" t="s">
        <v>3098</v>
      </c>
      <c r="D300" t="s">
        <v>3434</v>
      </c>
      <c r="E300" t="s">
        <v>109</v>
      </c>
      <c r="F300" t="s">
        <v>3459</v>
      </c>
      <c r="G300" s="1">
        <v>46387</v>
      </c>
      <c r="H300" t="s">
        <v>22</v>
      </c>
      <c r="I300" t="s">
        <v>23</v>
      </c>
      <c r="J300" t="s">
        <v>24</v>
      </c>
      <c r="K300" t="s">
        <v>25</v>
      </c>
      <c r="L300">
        <v>2</v>
      </c>
      <c r="M300">
        <v>50</v>
      </c>
      <c r="N300" t="s">
        <v>26</v>
      </c>
      <c r="O300">
        <v>0</v>
      </c>
      <c r="P300">
        <v>0</v>
      </c>
      <c r="Q300">
        <v>100</v>
      </c>
      <c r="R300" t="s">
        <v>62</v>
      </c>
      <c r="S300" t="s">
        <v>3104</v>
      </c>
      <c r="T300" t="s">
        <v>29</v>
      </c>
      <c r="U300" t="s">
        <v>36</v>
      </c>
    </row>
    <row r="301" spans="1:21" x14ac:dyDescent="0.35">
      <c r="A301" t="s">
        <v>3464</v>
      </c>
      <c r="B301" s="1">
        <v>46386</v>
      </c>
      <c r="C301" t="s">
        <v>3098</v>
      </c>
      <c r="D301" t="s">
        <v>3434</v>
      </c>
      <c r="E301" t="s">
        <v>109</v>
      </c>
      <c r="F301" t="s">
        <v>3459</v>
      </c>
      <c r="G301" s="1">
        <v>46387</v>
      </c>
      <c r="H301" t="s">
        <v>22</v>
      </c>
      <c r="I301" t="s">
        <v>32</v>
      </c>
      <c r="J301" t="s">
        <v>44</v>
      </c>
      <c r="K301" t="s">
        <v>40</v>
      </c>
      <c r="L301">
        <v>1</v>
      </c>
      <c r="M301">
        <v>78</v>
      </c>
      <c r="N301" t="s">
        <v>70</v>
      </c>
      <c r="O301">
        <v>10</v>
      </c>
      <c r="P301">
        <v>0</v>
      </c>
      <c r="Q301">
        <v>88</v>
      </c>
      <c r="R301" t="s">
        <v>62</v>
      </c>
      <c r="S301" t="s">
        <v>3104</v>
      </c>
      <c r="T301" t="s">
        <v>51</v>
      </c>
      <c r="U301" t="s">
        <v>30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Dashboard</vt:lpstr>
      <vt:lpstr>Sales by Team Member</vt:lpstr>
      <vt:lpstr>Cards</vt:lpstr>
      <vt:lpstr>Customer Mix Type</vt:lpstr>
      <vt:lpstr>Sales by Week-Month</vt:lpstr>
      <vt:lpstr>Top 5 Rental Items</vt:lpstr>
      <vt:lpstr>Data</vt:lpstr>
      <vt:lpstr>New 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Jon Acampora</dc:creator>
  <cp:lastModifiedBy>Shahzad, Shahmeer</cp:lastModifiedBy>
  <dcterms:created xsi:type="dcterms:W3CDTF">2026-06-05T21:47:01Z</dcterms:created>
  <dcterms:modified xsi:type="dcterms:W3CDTF">2026-09-22T13:08:07Z</dcterms:modified>
</cp:coreProperties>
</file>